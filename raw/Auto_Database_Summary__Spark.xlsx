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4645706095969295616/WOPIServiceId_TP_DROPBOX_PLUS/WOPIUserId_-/"/>
    </mc:Choice>
  </mc:AlternateContent>
  <xr:revisionPtr revIDLastSave="85" documentId="13_ncr:1_{2F5A509A-8D41-406C-BE95-DFA3D15E6F5D}" xr6:coauthVersionLast="47" xr6:coauthVersionMax="47" xr10:uidLastSave="{BFE87FC6-176D-40EA-97CF-179A941BF219}"/>
  <bookViews>
    <workbookView xWindow="-108" yWindow="-108" windowWidth="23256" windowHeight="13896" xr2:uid="{A17DDA18-9AEB-4381-86B5-BE46D810BC7B}"/>
  </bookViews>
  <sheets>
    <sheet name="OEM - Summary - 2W, PV, 3W" sheetId="2" r:id="rId1"/>
    <sheet name="Tractors" sheetId="1" r:id="rId2"/>
    <sheet name="CV" sheetId="3" r:id="rId3"/>
  </sheet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l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1_0EBITDA_Sh">#REF!</definedName>
    <definedName name="_2_0NOPAT_Sh">#REF!</definedName>
    <definedName name="_3_._0Restructuring_char">#REF!</definedName>
    <definedName name="_4_._0SGA_gro">#REF!</definedName>
    <definedName name="_5_._0Shares_repurchase_liabil">#REF!</definedName>
    <definedName name="_6_3_0Other_Segment_Reven">#REF!</definedName>
    <definedName name="_ccVersion">2</definedName>
    <definedName name="_Cf1">#REF!</definedName>
    <definedName name="_DOWN_">#REF!</definedName>
    <definedName name="_EDIT__HOME__DE">#REF!</definedName>
    <definedName name="_Order1" hidden="1">255</definedName>
    <definedName name="_Order2" hidden="1">255</definedName>
    <definedName name="_Regression_Int" hidden="1">1</definedName>
    <definedName name="_Regression_Out" hidden="1">#REF!</definedName>
    <definedName name="_RT1">#REF!</definedName>
    <definedName name="_RT2">#REF!</definedName>
    <definedName name="a">#REF!</definedName>
    <definedName name="Acc_payable" localSheetId="2">#REF!</definedName>
    <definedName name="Acc_payable">#REF!</definedName>
    <definedName name="Acc_payable_growth_fore">#REF!</definedName>
    <definedName name="Acc_Rec" localSheetId="2">#REF!</definedName>
    <definedName name="Acc_Rec">#REF!</definedName>
    <definedName name="Acc_Rec_growth_fore">#REF!</definedName>
    <definedName name="Acc_Rec_turns" localSheetId="2">#REF!</definedName>
    <definedName name="Acc_Rec_turns">#REF!</definedName>
    <definedName name="Accel_Ratio" localSheetId="2">#REF!</definedName>
    <definedName name="Accel_Ratio">#REF!</definedName>
    <definedName name="Accrued_compensation" localSheetId="2">#REF!</definedName>
    <definedName name="Accrued_compensation">#REF!</definedName>
    <definedName name="Accrued_compensation_growth_fore">#REF!</definedName>
    <definedName name="Accrued_expenses" localSheetId="2">#REF!</definedName>
    <definedName name="Accrued_expenses">#REF!</definedName>
    <definedName name="Accrued_expenses_growth_fore">#REF!</definedName>
    <definedName name="Accum_Cap_Expenses" localSheetId="2">#REF!</definedName>
    <definedName name="Accum_Cap_Expenses">#REF!</definedName>
    <definedName name="Accum_Cap_Expenses_growth_fore">#REF!</definedName>
    <definedName name="Accum_Goodwill_Amort" localSheetId="2">#REF!</definedName>
    <definedName name="Accum_Goodwill_Amort">#REF!</definedName>
    <definedName name="Accum_Goodwill_Amort_growth_fore">#REF!</definedName>
    <definedName name="Accum_Other_Amort." localSheetId="2">#REF!</definedName>
    <definedName name="Accum_Other_Amort.">#REF!</definedName>
    <definedName name="ActDepr">#REF!</definedName>
    <definedName name="Adj._Net_Operating_profit" localSheetId="2">#REF!</definedName>
    <definedName name="Adj._Net_Operating_profit">#REF!</definedName>
    <definedName name="Adj_net_oper_fore">#REF!</definedName>
    <definedName name="Adjusted_Common_Equity" localSheetId="2">#REF!</definedName>
    <definedName name="Adjusted_Common_Equity">#REF!</definedName>
    <definedName name="Adjusted_Income_Available_to_Common" localSheetId="2">#REF!</definedName>
    <definedName name="Adjusted_Income_Available_to_Common">#REF!</definedName>
    <definedName name="Adjusted_Net_Operating_Profit" localSheetId="2">#REF!</definedName>
    <definedName name="Adjusted_Net_Operating_Profit">#REF!</definedName>
    <definedName name="AdmExp">#REF!</definedName>
    <definedName name="AdmExpSer" hidden="1">#REF!</definedName>
    <definedName name="After_tax_charge" localSheetId="2">#REF!</definedName>
    <definedName name="After_tax_charge">#REF!</definedName>
    <definedName name="After_Tax_charges_gains" localSheetId="2">#REF!</definedName>
    <definedName name="After_Tax_charges_gains">#REF!</definedName>
    <definedName name="Analyst" localSheetId="2">#REF!</definedName>
    <definedName name="Analyst">#REF!</definedName>
    <definedName name="anscount" hidden="1">1</definedName>
    <definedName name="Average_invested_capital" localSheetId="2">#REF!</definedName>
    <definedName name="Average_invested_capital">#REF!</definedName>
    <definedName name="Average_Invested_Capital_Core" localSheetId="2">#REF!</definedName>
    <definedName name="Average_Invested_Capital_Core">#REF!</definedName>
    <definedName name="Average_invested_capital_DCF" localSheetId="2">#REF!</definedName>
    <definedName name="Average_invested_capital_DCF">#REF!</definedName>
    <definedName name="Average_thereafter" localSheetId="2">#REF!</definedName>
    <definedName name="Average_thereafter">#REF!</definedName>
    <definedName name="Average_Total_debt" localSheetId="2">#REF!</definedName>
    <definedName name="Average_Total_debt">#REF!</definedName>
    <definedName name="Avg._Invetsed_Capital_Core" localSheetId="2">#REF!</definedName>
    <definedName name="Avg._Invetsed_Capital_Core">#REF!</definedName>
    <definedName name="Avg_Invested_Capital" localSheetId="2">#REF!</definedName>
    <definedName name="Avg_Invested_Capital">#REF!</definedName>
    <definedName name="AvgDebt">#REF!</definedName>
    <definedName name="AvgIntRate">#REF!</definedName>
    <definedName name="AvgNW">#REF!</definedName>
    <definedName name="AvgSellPr" hidden="1">#REF!,#REF!,#REF!,#REF!,#REF!,#REF!,#REF!,#REF!</definedName>
    <definedName name="b.g.n" localSheetId="2">#REF!</definedName>
    <definedName name="b.g.n">#REF!</definedName>
    <definedName name="BAL_AssetRevaluationNonCashFlow">#REF!</definedName>
    <definedName name="BAL_CAOther">#REF!</definedName>
    <definedName name="BAL_CAOtherInterestBearing">#REF!</definedName>
    <definedName name="BAL_CAOtherNonCash">#REF!</definedName>
    <definedName name="BAL_CapitalizedInterest">#REF!</definedName>
    <definedName name="BAL_Cash">#REF!</definedName>
    <definedName name="BAL_Cash_STInvestments">#REF!</definedName>
    <definedName name="BAL_CashForeign">#REF!</definedName>
    <definedName name="BAL_CLCurrentPortion">#REF!</definedName>
    <definedName name="BAL_CLOther">#REF!</definedName>
    <definedName name="BAL_CLOtherInterestBearing">#REF!</definedName>
    <definedName name="BAL_CLOtherNonCash">#REF!</definedName>
    <definedName name="BAL_CLTechnicalReserves">#REF!</definedName>
    <definedName name="BAL_CLUnearnedPremium">#REF!</definedName>
    <definedName name="BAL_Creditors">#REF!</definedName>
    <definedName name="BAL_CurrentAssets">#REF!</definedName>
    <definedName name="BAL_CurrentLiabilities">#REF!</definedName>
    <definedName name="BAL_Debtors">#REF!</definedName>
    <definedName name="BAL_EquityRevaluationNonCashFlow">#REF!</definedName>
    <definedName name="BAL_FixedAssets">#REF!</definedName>
    <definedName name="BAL_FixedAssetsTotal">#REF!</definedName>
    <definedName name="BAL_Inventory">#REF!</definedName>
    <definedName name="BAL_Investments">#REF!</definedName>
    <definedName name="BAL_LiabilitiesRevaluationNonCashFlow">#REF!</definedName>
    <definedName name="BAL_LongTermAssets">#REF!</definedName>
    <definedName name="BAL_LongTermLiabilities">#REF!</definedName>
    <definedName name="BAL_LookUpYears">#REF!</definedName>
    <definedName name="BAL_LTAssets">#REF!</definedName>
    <definedName name="BAL_LTAssetsAssociates">#REF!</definedName>
    <definedName name="BAL_LTAssetsInvestmentExcAssociates">#REF!</definedName>
    <definedName name="BAL_LTAssetsOther">#REF!</definedName>
    <definedName name="BAL_LTAssetsTotalInvestments">#REF!</definedName>
    <definedName name="BAL_LTDebt">#REF!</definedName>
    <definedName name="BAL_LTLiabilities">#REF!</definedName>
    <definedName name="BAL_LTLiabilitiesDeferredTax">#REF!</definedName>
    <definedName name="BAL_LTLiabilitiesOther">#REF!</definedName>
    <definedName name="BAL_LTOtherAssets">#REF!</definedName>
    <definedName name="BAL_LTOutstandingClaims">#REF!</definedName>
    <definedName name="BAL_LTUnearnedPremium">#REF!</definedName>
    <definedName name="BAL_Minorities">#REF!</definedName>
    <definedName name="BAL_NetAmortizedAssets">#REF!</definedName>
    <definedName name="BAL_NetAssets">#REF!</definedName>
    <definedName name="BAL_OffBalanceSheetAssets">#REF!</definedName>
    <definedName name="BAL_OffBalanceSheetLiabilities">#REF!</definedName>
    <definedName name="BAL_OtherEquity">#REF!</definedName>
    <definedName name="BAL_Reserves">#REF!</definedName>
    <definedName name="BAL_ShareCapital">#REF!</definedName>
    <definedName name="BAL_ShareholdersFunds">#REF!</definedName>
    <definedName name="BAL_SharePremium">#REF!</definedName>
    <definedName name="BAL_SharePremiumCapital">#REF!</definedName>
    <definedName name="BAL_STDebt">#REF!</definedName>
    <definedName name="BAL_STInvestments">#REF!</definedName>
    <definedName name="BAL_TotalAssets">#REF!</definedName>
    <definedName name="BAL_TotalEquity">#REF!</definedName>
    <definedName name="BAL_TotalLiabilities">#REF!</definedName>
    <definedName name="Balance_Sheet">#REF!</definedName>
    <definedName name="BESale">#REF!</definedName>
    <definedName name="BESaleVal">#REF!</definedName>
    <definedName name="Beta" localSheetId="2">#REF!</definedName>
    <definedName name="Beta">#REF!</definedName>
    <definedName name="bfghhghsghs" localSheetId="2">#REF!</definedName>
    <definedName name="bfghhghsghs">#REF!</definedName>
    <definedName name="block.balancesheet.blue">#REF!</definedName>
    <definedName name="block.businessbackground.blue">#REF!</definedName>
    <definedName name="block.capitalhistory.blue">#REF!</definedName>
    <definedName name="block.cashflow.blue">#REF!</definedName>
    <definedName name="block.expansionplans.blue">#REF!</definedName>
    <definedName name="block.forecasts.blue">#REF!</definedName>
    <definedName name="block.identityblock.blue">#REF!</definedName>
    <definedName name="block.incomestatement.blue">#REF!</definedName>
    <definedName name="block.investmentargument.blue">#REF!</definedName>
    <definedName name="block.keyassumptions.blue">#REF!</definedName>
    <definedName name="block.keyassumptions2.blue">#REF!</definedName>
    <definedName name="block.mainpoints.red">#REF!</definedName>
    <definedName name="block.PEBANDS.none">#REF!</definedName>
    <definedName name="block.perrel.none">#REF!</definedName>
    <definedName name="block.pricetrends.none">#REF!</definedName>
    <definedName name="block.ratioanalysis.blue">#REF!</definedName>
    <definedName name="block.salesbreakdown.none">#REF!</definedName>
    <definedName name="block.shareholdingpattern.blue">#REF!</definedName>
    <definedName name="block.title.blue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1" hidden="1">#REF!</definedName>
    <definedName name="BLPH12" hidden="1">#REF!</definedName>
    <definedName name="BLPH13" hidden="1">#REF!</definedName>
    <definedName name="BLPH16" hidden="1">#REF!</definedName>
    <definedName name="BLPH17" hidden="1">#REF!</definedName>
    <definedName name="BLPH25" hidden="1">#REF!</definedName>
    <definedName name="BLPH26" hidden="1">#REF!</definedName>
    <definedName name="BLPH27" hidden="1">#REF!</definedName>
    <definedName name="BLPH30" hidden="1">#REF!</definedName>
    <definedName name="BLPH31" hidden="1">#REF!</definedName>
    <definedName name="BLPH34" hidden="1">#REF!</definedName>
    <definedName name="BLPH47" hidden="1">#REF!</definedName>
    <definedName name="BLPH48" hidden="1">#REF!</definedName>
    <definedName name="BLPH49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rdata">#REF!</definedName>
    <definedName name="Bond_rating" localSheetId="2">#REF!</definedName>
    <definedName name="Bond_rating">#REF!</definedName>
    <definedName name="Book_value_per_share" localSheetId="2">#REF!</definedName>
    <definedName name="Book_value_per_share">#REF!</definedName>
    <definedName name="BookDepr">#REF!</definedName>
    <definedName name="BS">#REF!</definedName>
    <definedName name="BSDiff">#REF!</definedName>
    <definedName name="CA">#REF!</definedName>
    <definedName name="Cap._RnD_Asset_net_of_RnD_amort." localSheetId="2">#REF!</definedName>
    <definedName name="Cap._RnD_Asset_net_of_RnD_amort.">#REF!</definedName>
    <definedName name="Capacity_percentage">#REF!</definedName>
    <definedName name="CAS_Amortization">#REF!</definedName>
    <definedName name="CAS_CashFlowFinancing">#REF!</definedName>
    <definedName name="CAS_CashFlowGross">#REF!</definedName>
    <definedName name="CAS_CashFlowInvestment">#REF!</definedName>
    <definedName name="CAS_CashFlowNetDebt">#REF!</definedName>
    <definedName name="CAS_CashFlowOperational">#REF!</definedName>
    <definedName name="CAS_CFAssetsInterestBearing">#REF!</definedName>
    <definedName name="CAS_CFAssetsNonInterestBearing">#REF!</definedName>
    <definedName name="CAS_CFAssociatesAssets">#REF!</definedName>
    <definedName name="CAS_CFFixedAssets">#REF!</definedName>
    <definedName name="CAS_ChgCashSTInvestment">#REF!</definedName>
    <definedName name="CAS_ChgCurrentOutstandingClaims">#REF!</definedName>
    <definedName name="CAS_ChgCurrentUnearnedPremium">#REF!</definedName>
    <definedName name="CAS_ChgDeferredTax">#REF!</definedName>
    <definedName name="CAS_ChgDividendPayout">#REF!</definedName>
    <definedName name="CAS_ChgGrossDebt">#REF!</definedName>
    <definedName name="CAS_ChgInventory">#REF!</definedName>
    <definedName name="CAS_ChgInvestment">#REF!</definedName>
    <definedName name="CAS_ChgLTDebt">#REF!</definedName>
    <definedName name="CAS_ChgLTOutstandingClaims">#REF!</definedName>
    <definedName name="CAS_ChgLTUnearnedPremium">#REF!</definedName>
    <definedName name="CAS_ChgMinorityInterest">#REF!</definedName>
    <definedName name="CAS_ChgNewEquity">#REF!</definedName>
    <definedName name="CAS_ChgOtherEquity">#REF!</definedName>
    <definedName name="CAS_ChgOtherLiability">#REF!</definedName>
    <definedName name="CAS_ChgPayables">#REF!</definedName>
    <definedName name="CAS_ChgPremiumPaidUpCapital">#REF!</definedName>
    <definedName name="CAS_ChgReceivables">#REF!</definedName>
    <definedName name="CAS_ChgShareCapital">#REF!</definedName>
    <definedName name="CAS_ChgSTDebt">#REF!</definedName>
    <definedName name="CAS_ChgTotalSharePaidUpCapitalLiability">#REF!</definedName>
    <definedName name="CAS_Depreciation">#REF!</definedName>
    <definedName name="CAS_DepreciationAmortization">#REF!</definedName>
    <definedName name="CAS_Dividends">#REF!</definedName>
    <definedName name="CAS_IncomeAssociatesAfterDividends">#REF!</definedName>
    <definedName name="CAS_LookUpYears">#REF!</definedName>
    <definedName name="CAS_NetProfit">#REF!</definedName>
    <definedName name="CAS_Provisions">#REF!</definedName>
    <definedName name="CAS_PurchasesLessDisposals">#REF!</definedName>
    <definedName name="CAS_TotalChangeinWC">#REF!</definedName>
    <definedName name="Cash" localSheetId="2">#REF!</definedName>
    <definedName name="Cash">#REF!</definedName>
    <definedName name="Cash_DCF" localSheetId="2">#REF!</definedName>
    <definedName name="Cash_DCF">#REF!</definedName>
    <definedName name="Cash_Flow_Statement">#REF!</definedName>
    <definedName name="Cash_fore">#REF!</definedName>
    <definedName name="Cash_growth" localSheetId="2">#REF!</definedName>
    <definedName name="Cash_growth">#REF!</definedName>
    <definedName name="Cash_growth_fore">#REF!</definedName>
    <definedName name="Cash_Op._Taxes" localSheetId="2">#REF!</definedName>
    <definedName name="Cash_Op._Taxes">#REF!</definedName>
    <definedName name="Cash_Op._Taxes_Core" localSheetId="2">#REF!</definedName>
    <definedName name="Cash_Op._Taxes_Core">#REF!</definedName>
    <definedName name="Cash_Operating_Taxes" localSheetId="2">#REF!</definedName>
    <definedName name="Cash_Operating_Taxes">#REF!</definedName>
    <definedName name="Cash_Operating_taxes_Core" localSheetId="2">#REF!</definedName>
    <definedName name="Cash_Operating_taxes_Core">#REF!</definedName>
    <definedName name="Cash_operating_taxes_core_fore">#REF!</definedName>
    <definedName name="Cash_operating_taxes_fore">#REF!</definedName>
    <definedName name="CashChg">#REF!</definedName>
    <definedName name="CashCr">#REF!</definedName>
    <definedName name="CashPr">#REF!</definedName>
    <definedName name="cc_ReportCurrency">"INDR"</definedName>
    <definedName name="cc_ReportCurrencyUnit">"Rs"</definedName>
    <definedName name="cc_ReportCurrencyUnitFactor">1</definedName>
    <definedName name="centre.1">#REF!</definedName>
    <definedName name="centre.2">#REF!</definedName>
    <definedName name="CF">#REF!</definedName>
    <definedName name="CFDiff">#REF!</definedName>
    <definedName name="Cflow">#REF!</definedName>
    <definedName name="CFlow1">#REF!</definedName>
    <definedName name="check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eck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hg_in_fixed_assets" localSheetId="2">#REF!</definedName>
    <definedName name="Chg_in_fixed_assets">#REF!</definedName>
    <definedName name="Chg_in_other_assets" localSheetId="2">#REF!</definedName>
    <definedName name="Chg_in_other_assets">#REF!</definedName>
    <definedName name="Chg_in_working_capital" localSheetId="2">#REF!</definedName>
    <definedName name="Chg_in_working_capital">#REF!</definedName>
    <definedName name="chndata">#REF!</definedName>
    <definedName name="CL">#REF!</definedName>
    <definedName name="ClEqSh">#REF!</definedName>
    <definedName name="Closing_price" localSheetId="2">#REF!</definedName>
    <definedName name="Closing_price">#REF!</definedName>
    <definedName name="CMP">#REF!</definedName>
    <definedName name="ColumnCurrentYear">#REF!</definedName>
    <definedName name="COM_AnalystName">#REF!</definedName>
    <definedName name="COM_Bloomberg">#REF!</definedName>
    <definedName name="COM_CompanyName">#REF!</definedName>
    <definedName name="COM_CompanyType">#REF!</definedName>
    <definedName name="COM_DailyVolume">#REF!</definedName>
    <definedName name="COM_Datastream">#REF!</definedName>
    <definedName name="COM_DateofLastUpdate">#REF!</definedName>
    <definedName name="COM_Float">#REF!</definedName>
    <definedName name="COM_IndexLevel">#REF!</definedName>
    <definedName name="COM_IndexWeighting">#REF!</definedName>
    <definedName name="COM_IssuedCapital">#REF!</definedName>
    <definedName name="COM_IssuedCapitalForeignAuto">#REF!</definedName>
    <definedName name="COM_IssuedCapitalForeignManual">#REF!</definedName>
    <definedName name="COM_IssuedCapitalStdAuto">#REF!</definedName>
    <definedName name="COM_IssuedCapitalStdManual">#REF!</definedName>
    <definedName name="COM_ListedCapital">#REF!</definedName>
    <definedName name="COM_ListedCapitalForeignAuto">#REF!</definedName>
    <definedName name="COM_ListedCapitalForeignManual">#REF!</definedName>
    <definedName name="COM_ListedCapitalStdAuto">#REF!</definedName>
    <definedName name="COM_ListedCapitalStdManual">#REF!</definedName>
    <definedName name="COM_ListedMarketCap">#REF!</definedName>
    <definedName name="COM_ListedMarketCapForeignAuto">#REF!</definedName>
    <definedName name="COM_ListedMarketCapForeignManual">#REF!</definedName>
    <definedName name="COM_ListedMarketCapStdAuto">#REF!</definedName>
    <definedName name="COM_ListedMarketCapStdManual">#REF!</definedName>
    <definedName name="COM_MarketCap">#REF!</definedName>
    <definedName name="COM_MarketCapForeignAuto">#REF!</definedName>
    <definedName name="COM_MarketCapForeignManual">#REF!</definedName>
    <definedName name="COM_MarketCapStdAuto">#REF!</definedName>
    <definedName name="COM_MarketCapStdManual">#REF!</definedName>
    <definedName name="COM_MarketEPSGrowth">#REF!</definedName>
    <definedName name="COM_MarketName">#REF!</definedName>
    <definedName name="COM_MarketPE">#REF!</definedName>
    <definedName name="COM_MonthlyVolume">#REF!</definedName>
    <definedName name="COM_Price">#REF!</definedName>
    <definedName name="COM_Price12MHigh">#REF!</definedName>
    <definedName name="COM_Price12MLow">#REF!</definedName>
    <definedName name="COM_Price12Mth">#REF!</definedName>
    <definedName name="COM_Price1Mth">#REF!</definedName>
    <definedName name="COM_Price3Mth">#REF!</definedName>
    <definedName name="COM_PriceActual12MthStdAuto">#REF!</definedName>
    <definedName name="COM_PriceActual12MthStdManual">#REF!</definedName>
    <definedName name="COM_PriceActual1MthStdAuto">#REF!</definedName>
    <definedName name="COM_PriceActual1MthStdManual">#REF!</definedName>
    <definedName name="COM_PriceActual3MthStdAuto">#REF!</definedName>
    <definedName name="COM_PriceActual3mthStdManual">#REF!</definedName>
    <definedName name="COM_PriceForeign12MHighAuto">#REF!</definedName>
    <definedName name="COM_PriceForeign12MHighManual">#REF!</definedName>
    <definedName name="COM_PriceForeign12MLowAuto">#REF!</definedName>
    <definedName name="COM_PriceForeign12MLowManual">#REF!</definedName>
    <definedName name="COM_PriceForeignActual12MthStdAuto">#REF!</definedName>
    <definedName name="COM_PriceForeignActual12MthStdManual">#REF!</definedName>
    <definedName name="COM_PriceForeignActual1MthStdAuto">#REF!</definedName>
    <definedName name="COM_PriceForeignActual1MthStdManual">#REF!</definedName>
    <definedName name="COM_PriceForeignActual3MthStdAuto">#REF!</definedName>
    <definedName name="COM_PriceForeignActual3mthStdManual">#REF!</definedName>
    <definedName name="COM_PriceForeignAuto">#REF!</definedName>
    <definedName name="COM_PriceForeignManual">#REF!</definedName>
    <definedName name="COM_PriceForeignRelative12MthStdAuto">#REF!</definedName>
    <definedName name="COM_PriceForeignRelative12MthStdManual">#REF!</definedName>
    <definedName name="COM_PriceForeignRelative1MthStdAuto">#REF!</definedName>
    <definedName name="COM_PriceForeignRelative1MthStdManual">#REF!</definedName>
    <definedName name="COM_PriceForeignRelative3MthStdAuto">#REF!</definedName>
    <definedName name="COM_PriceForeignRelative3MthStdManual">#REF!</definedName>
    <definedName name="COM_PriceR12Mth">#REF!</definedName>
    <definedName name="COM_PriceR1Mth">#REF!</definedName>
    <definedName name="COM_PriceR3Mth">#REF!</definedName>
    <definedName name="COM_PriceRelative12mthStdAuto">#REF!</definedName>
    <definedName name="COM_PriceRelative12MthStdManual">#REF!</definedName>
    <definedName name="COM_PriceRelative1MthStdAuto">#REF!</definedName>
    <definedName name="COM_PriceRelative1MthStdManual">#REF!</definedName>
    <definedName name="COM_PriceRelative3MthStdAuto">#REF!</definedName>
    <definedName name="COM_PriceRelative3MthStdManual">#REF!</definedName>
    <definedName name="COM_PriceStd12MHighAuto">#REF!</definedName>
    <definedName name="COM_PriceStd12MHighManual">#REF!</definedName>
    <definedName name="COM_PriceStd12MLowAuto">#REF!</definedName>
    <definedName name="COM_PriceStd12MLowManual">#REF!</definedName>
    <definedName name="COM_PriceStdAuto">#REF!</definedName>
    <definedName name="COM_PriceStdManual">#REF!</definedName>
    <definedName name="COM_Recommendation">#REF!</definedName>
    <definedName name="COM_RecommendationDate">#REF!</definedName>
    <definedName name="COM_RecommendationPrice">#REF!</definedName>
    <definedName name="COM_Reuters">#REF!</definedName>
    <definedName name="COM_SET">#REF!</definedName>
    <definedName name="COM_Spare1">#REF!</definedName>
    <definedName name="COM_Spare2">#REF!</definedName>
    <definedName name="COM_TodaysDate">#REF!</definedName>
    <definedName name="Commercial_paper" localSheetId="2">#REF!</definedName>
    <definedName name="Commercial_paper">#REF!</definedName>
    <definedName name="Company">#REF!</definedName>
    <definedName name="company_nameh">#REF!</definedName>
    <definedName name="CoName" hidden="1">#REF!</definedName>
    <definedName name="conso1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ContrbUnit">#REF!</definedName>
    <definedName name="ContrbVal">#REF!</definedName>
    <definedName name="Core_Average_Invested_Capital_Actual">#REF!</definedName>
    <definedName name="Core_Incremental_Invested_Capital">#REF!</definedName>
    <definedName name="Core_Invested_Capital_Actual">#REF!</definedName>
    <definedName name="Core_Invested_Capital_growth">#REF!</definedName>
    <definedName name="Core_Invested_Capital_turns" localSheetId="2">#REF!</definedName>
    <definedName name="Core_Invested_Capital_turns">#REF!</definedName>
    <definedName name="Corporate_Value" localSheetId="2">#REF!</definedName>
    <definedName name="Corporate_Value">#REF!</definedName>
    <definedName name="Cost_of_sales_net_of_D_A" localSheetId="2">#REF!</definedName>
    <definedName name="Cost_of_sales_net_of_D_A">#REF!</definedName>
    <definedName name="Costing">#REF!</definedName>
    <definedName name="CP">#REF!</definedName>
    <definedName name="Cumulative_PV_of_EVA" localSheetId="2">#REF!</definedName>
    <definedName name="Cumulative_PV_of_EVA">#REF!</definedName>
    <definedName name="Cumulative_PV_of_FCF" localSheetId="2">#REF!</definedName>
    <definedName name="Cumulative_PV_of_FCF">#REF!</definedName>
    <definedName name="Currency">#REF!</definedName>
    <definedName name="current">#REF!</definedName>
    <definedName name="Current_assets" localSheetId="2">#REF!</definedName>
    <definedName name="Current_assets">#REF!</definedName>
    <definedName name="Current_no_of_shares">#REF!</definedName>
    <definedName name="Customer_deposits" localSheetId="2">#REF!</definedName>
    <definedName name="Customer_deposits">#REF!</definedName>
    <definedName name="Customer_deposits_growth_fore">#REF!</definedName>
    <definedName name="CWIP">#REF!</definedName>
    <definedName name="CWIPChg">#REF!</definedName>
    <definedName name="DCF_1995" localSheetId="2">#REF!</definedName>
    <definedName name="DCF_1995">#REF!</definedName>
    <definedName name="DCF_1996" localSheetId="2">#REF!</definedName>
    <definedName name="DCF_1996">#REF!</definedName>
    <definedName name="DCF_1997" localSheetId="2">#REF!</definedName>
    <definedName name="DCF_1997">#REF!</definedName>
    <definedName name="DCF_1998" localSheetId="2">#REF!</definedName>
    <definedName name="DCF_1998">#REF!</definedName>
    <definedName name="DCF_1999" localSheetId="2">#REF!</definedName>
    <definedName name="DCF_1999">#REF!</definedName>
    <definedName name="DCF_2000" localSheetId="2">#REF!</definedName>
    <definedName name="DCF_2000">#REF!</definedName>
    <definedName name="DCF_2001" localSheetId="2">#REF!</definedName>
    <definedName name="DCF_2001">#REF!</definedName>
    <definedName name="DCF_2002" localSheetId="2">#REF!</definedName>
    <definedName name="DCF_2002">#REF!</definedName>
    <definedName name="DCF_2003" localSheetId="2">#REF!</definedName>
    <definedName name="DCF_2003">#REF!</definedName>
    <definedName name="DCF_2004" localSheetId="2">#REF!</definedName>
    <definedName name="DCF_2004">#REF!</definedName>
    <definedName name="DCF_2005" localSheetId="2">#REF!</definedName>
    <definedName name="DCF_2005">#REF!</definedName>
    <definedName name="DCF_2006" localSheetId="2">#REF!</definedName>
    <definedName name="DCF_2006">#REF!</definedName>
    <definedName name="DCF_2007" localSheetId="2">#REF!</definedName>
    <definedName name="DCF_2007">#REF!</definedName>
    <definedName name="DCF_2008" localSheetId="2">#REF!</definedName>
    <definedName name="DCF_2008">#REF!</definedName>
    <definedName name="DCF_2009" localSheetId="2">#REF!</definedName>
    <definedName name="DCF_2009">#REF!</definedName>
    <definedName name="DCF_2010" localSheetId="2">#REF!</definedName>
    <definedName name="DCF_2010">#REF!</definedName>
    <definedName name="DCF_2011" localSheetId="2">#REF!</definedName>
    <definedName name="DCF_2011">#REF!</definedName>
    <definedName name="DCF_2012" localSheetId="2">#REF!</definedName>
    <definedName name="DCF_2012">#REF!</definedName>
    <definedName name="DCF_2013" localSheetId="2">#REF!</definedName>
    <definedName name="DCF_2013">#REF!</definedName>
    <definedName name="DCF_2014" localSheetId="2">#REF!</definedName>
    <definedName name="DCF_2014">#REF!</definedName>
    <definedName name="DCF_2015" localSheetId="2">#REF!</definedName>
    <definedName name="DCF_2015">#REF!</definedName>
    <definedName name="DCF_2016" localSheetId="2">#REF!</definedName>
    <definedName name="DCF_2016">#REF!</definedName>
    <definedName name="DCF_2017" localSheetId="2">#REF!</definedName>
    <definedName name="DCF_2017">#REF!</definedName>
    <definedName name="DCF_2018" localSheetId="2">#REF!</definedName>
    <definedName name="DCF_2018">#REF!</definedName>
    <definedName name="DCF_2019" localSheetId="2">#REF!</definedName>
    <definedName name="DCF_2019">#REF!</definedName>
    <definedName name="DCF_2020" localSheetId="2">#REF!</definedName>
    <definedName name="DCF_2020">#REF!</definedName>
    <definedName name="DCF_DDM_DiscountRate1">#REF!</definedName>
    <definedName name="DCF_DDM_DiscountRate2">#REF!</definedName>
    <definedName name="DCF_DDM_DiscountRate3">#REF!</definedName>
    <definedName name="DCF_DDM_DiscountRate4">#REF!</definedName>
    <definedName name="DCF_DDM_DPS">#REF!</definedName>
    <definedName name="DCF_DDM_DPSManual">#REF!</definedName>
    <definedName name="DCF_DDM_GrowthRate">#REF!</definedName>
    <definedName name="DCF_DDM_GrowthRateHigh">#REF!</definedName>
    <definedName name="DCF_DDM_GrowthRateLongRun">#REF!</definedName>
    <definedName name="DCF_DDM_HalfLife">#REF!</definedName>
    <definedName name="DCF_DDM_MultiDecelerationYears">#REF!</definedName>
    <definedName name="DCF_DDM_MultiHighGrowthRate">#REF!</definedName>
    <definedName name="DCF_DDM_MultiHighYears">#REF!</definedName>
    <definedName name="DCF_DDM_MultiMatureGrowthRate">#REF!</definedName>
    <definedName name="DCF_DDM_MultiMatureYears">#REF!</definedName>
    <definedName name="DCF_DDM_PriceConstantGrowth">#REF!</definedName>
    <definedName name="DCF_DDM_PriceHModel">#REF!</definedName>
    <definedName name="DCF_DDM_PriceMultiStageModel">#REF!</definedName>
    <definedName name="DCF_DDM_PriceZeroGrowth">#REF!</definedName>
    <definedName name="DCF_EY1" localSheetId="2">#REF!</definedName>
    <definedName name="DCF_EY1">#REF!</definedName>
    <definedName name="DCF_EY10" localSheetId="2">#REF!</definedName>
    <definedName name="DCF_EY10">#REF!</definedName>
    <definedName name="DCF_EY11" localSheetId="2">#REF!</definedName>
    <definedName name="DCF_EY11">#REF!</definedName>
    <definedName name="DCF_EY12" localSheetId="2">#REF!</definedName>
    <definedName name="DCF_EY12">#REF!</definedName>
    <definedName name="DCF_EY13" localSheetId="2">#REF!</definedName>
    <definedName name="DCF_EY13">#REF!</definedName>
    <definedName name="DCF_EY14" localSheetId="2">#REF!</definedName>
    <definedName name="DCF_EY14">#REF!</definedName>
    <definedName name="DCF_EY15" localSheetId="2">#REF!</definedName>
    <definedName name="DCF_EY15">#REF!</definedName>
    <definedName name="DCF_EY16" localSheetId="2">#REF!</definedName>
    <definedName name="DCF_EY16">#REF!</definedName>
    <definedName name="DCF_EY17" localSheetId="2">#REF!</definedName>
    <definedName name="DCF_EY17">#REF!</definedName>
    <definedName name="DCF_EY18" localSheetId="2">#REF!</definedName>
    <definedName name="DCF_EY18">#REF!</definedName>
    <definedName name="DCF_EY19" localSheetId="2">#REF!</definedName>
    <definedName name="DCF_EY19">#REF!</definedName>
    <definedName name="DCF_EY2" localSheetId="2">#REF!</definedName>
    <definedName name="DCF_EY2">#REF!</definedName>
    <definedName name="DCF_EY20" localSheetId="2">#REF!</definedName>
    <definedName name="DCF_EY20">#REF!</definedName>
    <definedName name="DCF_EY21" localSheetId="2">#REF!</definedName>
    <definedName name="DCF_EY21">#REF!</definedName>
    <definedName name="DCF_EY22" localSheetId="2">#REF!</definedName>
    <definedName name="DCF_EY22">#REF!</definedName>
    <definedName name="DCF_EY23" localSheetId="2">#REF!</definedName>
    <definedName name="DCF_EY23">#REF!</definedName>
    <definedName name="DCF_EY24" localSheetId="2">#REF!</definedName>
    <definedName name="DCF_EY24">#REF!</definedName>
    <definedName name="DCF_EY25" localSheetId="2">#REF!</definedName>
    <definedName name="DCF_EY25">#REF!</definedName>
    <definedName name="DCF_EY26" localSheetId="2">#REF!</definedName>
    <definedName name="DCF_EY26">#REF!</definedName>
    <definedName name="DCF_EY3" localSheetId="2">#REF!</definedName>
    <definedName name="DCF_EY3">#REF!</definedName>
    <definedName name="DCF_EY4" localSheetId="2">#REF!</definedName>
    <definedName name="DCF_EY4">#REF!</definedName>
    <definedName name="DCF_EY5" localSheetId="2">#REF!</definedName>
    <definedName name="DCF_EY5">#REF!</definedName>
    <definedName name="DCF_EY6" localSheetId="2">#REF!</definedName>
    <definedName name="DCF_EY6">#REF!</definedName>
    <definedName name="DCF_EY7" localSheetId="2">#REF!</definedName>
    <definedName name="DCF_EY7">#REF!</definedName>
    <definedName name="DCF_EY8" localSheetId="2">#REF!</definedName>
    <definedName name="DCF_EY8">#REF!</definedName>
    <definedName name="DCF_EY9" localSheetId="2">#REF!</definedName>
    <definedName name="DCF_EY9">#REF!</definedName>
    <definedName name="DCF_FCF_AdjustmentsToEnterpriseValue">#REF!</definedName>
    <definedName name="DCF_FCF_Beta">#REF!</definedName>
    <definedName name="DCF_FCF_CostofDebt">#REF!</definedName>
    <definedName name="DCF_FCF_CostofDebtMan">#REF!</definedName>
    <definedName name="DCF_FCF_CostofEquity">#REF!</definedName>
    <definedName name="DCF_FCF_CostofPreferredEquity">#REF!</definedName>
    <definedName name="DCF_FCF_CostofSTDebt">#REF!</definedName>
    <definedName name="DCF_FCF_CostofSTDebtMan">#REF!</definedName>
    <definedName name="DCF_FCF_EnterpriseValue">#REF!</definedName>
    <definedName name="DCF_FCF_EnterpriseValueConstantGrowth">#REF!</definedName>
    <definedName name="DCF_FCF_EnterpriseValueEBIT">#REF!</definedName>
    <definedName name="DCF_FCF_EnterpriseValueEBITD">#REF!</definedName>
    <definedName name="DCF_FCF_EnterpriseValueEBITDA">#REF!</definedName>
    <definedName name="DCF_FCF_EnterpriseValueMan">#REF!</definedName>
    <definedName name="DCF_FCF_EnterpriseValuePerShareConstantGrowth">#REF!</definedName>
    <definedName name="DCF_FCF_EnterpriseValuePerShareTimeSeries">#REF!</definedName>
    <definedName name="DCF_FCF_EnterpriseValueRevenue">#REF!</definedName>
    <definedName name="DCF_FCF_EnterpriseValueTimeSeries">#REF!</definedName>
    <definedName name="DCF_FCF_EquityRiskPremium">#REF!</definedName>
    <definedName name="DCF_FCF_FullyDilutedShares">#REF!</definedName>
    <definedName name="DCF_FCF_InterestTaxShield">#REF!</definedName>
    <definedName name="DCF_FCF_leveragedCashFlow">#REF!</definedName>
    <definedName name="DCF_FCF_LongTermGrowthRate">#REF!</definedName>
    <definedName name="DCF_FCF_OffBSLiabilitiesManual">#REF!</definedName>
    <definedName name="DCF_FCF_PerpetuityPremiumDiscount">#REF!</definedName>
    <definedName name="DCF_FCF_PreferredEquityRiskPremium">#REF!</definedName>
    <definedName name="DCF_FCF_PresentValueConstantGrowth">#REF!</definedName>
    <definedName name="DCF_FCF_PresentValueofEquity">#REF!</definedName>
    <definedName name="DCF_FCF_PresentValueTimeSeries">#REF!</definedName>
    <definedName name="DCF_FCF_QualityBondYield">#REF!</definedName>
    <definedName name="DCF_FCF_RangeDiscountCashFlows">#REF!</definedName>
    <definedName name="DCF_FCF_RiskFreeRate">#REF!</definedName>
    <definedName name="DCF_FCF_SharePrice">#REF!</definedName>
    <definedName name="DCF_FCF_SharePriceManual">#REF!</definedName>
    <definedName name="DCF_FCF_STDebtTaxRateMan">#REF!</definedName>
    <definedName name="DCF_FCF_TaxRate">#REF!</definedName>
    <definedName name="DCF_FCF_TaxRateMan">#REF!</definedName>
    <definedName name="DCF_FCF_TerminalValuesForTimeSeries">#REF!</definedName>
    <definedName name="DCF_FCF_TerminalValuesForTimeSeriesTest">#REF!</definedName>
    <definedName name="DCF_FCF_TimeSeriesPremiumDiscount">#REF!</definedName>
    <definedName name="DCF_FCF_TotalEquityBV">#REF!</definedName>
    <definedName name="DCF_FCF_TotalEquityBVMan">#REF!</definedName>
    <definedName name="DCF_FCF_TotalEquityMV">#REF!</definedName>
    <definedName name="DCF_FCF_TotalEquityMVMan">#REF!</definedName>
    <definedName name="DCF_FCF_TotalLTDebtBV">#REF!</definedName>
    <definedName name="DCF_FCF_TotalLTDebtBVMan">#REF!</definedName>
    <definedName name="DCF_FCF_TotalLTDebtMV">#REF!</definedName>
    <definedName name="DCF_FCF_TotalLTDebtMVMan">#REF!</definedName>
    <definedName name="DCF_FCF_TotalPreferredEquityBV">#REF!</definedName>
    <definedName name="DCF_FCF_TotalPreferredEquityBVMan">#REF!</definedName>
    <definedName name="DCF_FCF_TotalPreferredEquityMV">#REF!</definedName>
    <definedName name="DCF_FCF_TotalPreferredEquityMVMan">#REF!</definedName>
    <definedName name="DCF_FCF_TotalSTDebtBV">#REF!</definedName>
    <definedName name="DCF_FCF_TotalSTDebtBVMan">#REF!</definedName>
    <definedName name="DCF_FCF_TotalSTDebtMV">#REF!</definedName>
    <definedName name="DCF_FCF_TotalSTDebtMVMan">#REF!</definedName>
    <definedName name="DCF_FCF_UnleveragedCashFlow">#REF!</definedName>
    <definedName name="DCF_FCF_UnleveragedCashFlowCalc">#REF!</definedName>
    <definedName name="DCF_FCF_UnleveragedCashFlowMan">#REF!</definedName>
    <definedName name="DCF_FCF_WACC">#REF!</definedName>
    <definedName name="DCF_GL_SwitchAmortization">#REF!</definedName>
    <definedName name="DCF_P" localSheetId="2">#REF!</definedName>
    <definedName name="DCF_P">#REF!</definedName>
    <definedName name="Debt_growth" localSheetId="2">#REF!</definedName>
    <definedName name="Debt_growth">#REF!</definedName>
    <definedName name="Debt_Market_Cap_Ratio">#REF!</definedName>
    <definedName name="Deferred_tax_asset" localSheetId="2">#REF!</definedName>
    <definedName name="Deferred_tax_asset">#REF!</definedName>
    <definedName name="Deferred_tax_asset_growth_fore">#REF!</definedName>
    <definedName name="Deferred_tax_liability" localSheetId="2">#REF!</definedName>
    <definedName name="Deferred_tax_liability">#REF!</definedName>
    <definedName name="Deferred_tax_liability_growth_fore">#REF!</definedName>
    <definedName name="Deferred_taxes" localSheetId="2">#REF!</definedName>
    <definedName name="Deferred_taxes">#REF!</definedName>
    <definedName name="DEP_AMT_Amortization">#REF!</definedName>
    <definedName name="DEP_AMT_BeginAmortAssets">#REF!</definedName>
    <definedName name="DEP_AMT_CurrentCashASSETS">#REF!</definedName>
    <definedName name="DEP_AMT_EndingAmortAssets">#REF!</definedName>
    <definedName name="Dep_and_Amort" localSheetId="2">#REF!</definedName>
    <definedName name="Dep_and_Amort">#REF!</definedName>
    <definedName name="DEP_CellNote">#REF!</definedName>
    <definedName name="DEP_DEP_BeginFixedAssets">#REF!</definedName>
    <definedName name="DEP_DEP_CurrentCashCAPEX">#REF!</definedName>
    <definedName name="DEP_DEP_CurrentCashCAPEXAuto">#REF!</definedName>
    <definedName name="DEP_DEP_CurrentDeprCAPEX">#REF!</definedName>
    <definedName name="DEP_DEP_CurrentDeprCAPEXAuto">#REF!</definedName>
    <definedName name="DEP_DEP_Depreciation">#REF!</definedName>
    <definedName name="DEP_DEP_DepreciationAuto">#REF!</definedName>
    <definedName name="DEP_DEP_EndingFixedAssets">#REF!</definedName>
    <definedName name="DEP_DEP_FixedAsset1">#REF!</definedName>
    <definedName name="DEP_DEP_FixedAsset2">#REF!</definedName>
    <definedName name="DEP_DEP_FixedAsset3">#REF!</definedName>
    <definedName name="DEP_DEP_FixedAsset4">#REF!</definedName>
    <definedName name="DEP_DEP_FixedAsset5">#REF!</definedName>
    <definedName name="DEP_DEP_FixedAsset6">#REF!</definedName>
    <definedName name="DEP_DEP_FixedAsset7">#REF!</definedName>
    <definedName name="DEP_DEP_OtherChangesInFixedAssetsCalc">#REF!</definedName>
    <definedName name="DEP_DEP_OtherChangesInFixedAssetsCalcAuto">#REF!</definedName>
    <definedName name="DEP_GL_SwitchDeprCalc">#REF!</definedName>
    <definedName name="DEP_GL_SwitchDepreciation">#REF!</definedName>
    <definedName name="Dep_margin_fore">#REF!</definedName>
    <definedName name="Depreciation" localSheetId="2">#REF!</definedName>
    <definedName name="Depreciation">#REF!</definedName>
    <definedName name="Depreciation_fore">#REF!</definedName>
    <definedName name="Depreciation_margin" localSheetId="2">#REF!</definedName>
    <definedName name="Depreciation_margin">#REF!</definedName>
    <definedName name="DilEqSh">#REF!</definedName>
    <definedName name="dilution_factor">#REF!</definedName>
    <definedName name="DivOut">#REF!</definedName>
    <definedName name="DivTax">#REF!</definedName>
    <definedName name="DnA_fore">#REF!</definedName>
    <definedName name="DnA_growth_fore">#REF!</definedName>
    <definedName name="e">#REF!</definedName>
    <definedName name="EAR_AdminExpenses">#REF!</definedName>
    <definedName name="EAR_AdminIncome">#REF!</definedName>
    <definedName name="EAR_Amortization">#REF!</definedName>
    <definedName name="EAR_CashDividendsPaid">#REF!</definedName>
    <definedName name="EAR_CGS">#REF!</definedName>
    <definedName name="EAR_CommissionExpense">#REF!</definedName>
    <definedName name="EAR_CumulativeAdjustment">#REF!</definedName>
    <definedName name="EAR_DeprAmort">#REF!</definedName>
    <definedName name="EAR_Depreciation">#REF!</definedName>
    <definedName name="EAR_EarningsAfterFinancing">#REF!</definedName>
    <definedName name="EAR_EBIT">#REF!</definedName>
    <definedName name="EAR_EBITDA">#REF!</definedName>
    <definedName name="EAR_Exceptionals">#REF!</definedName>
    <definedName name="EAR_Extraordinaries">#REF!</definedName>
    <definedName name="EAR_GrossProfit">#REF!</definedName>
    <definedName name="EAR_GrossProfitSub1">#REF!</definedName>
    <definedName name="EAR_IncomeFromAssociates">#REF!</definedName>
    <definedName name="EAR_IncomeFromAssociatesAfterDividends">#REF!</definedName>
    <definedName name="EAR_IncomeFromUnConsAffiliates">#REF!</definedName>
    <definedName name="EAR_InterestExpense">#REF!</definedName>
    <definedName name="EAR_InterestIncome">#REF!</definedName>
    <definedName name="EAR_InvestmentIncome">#REF!</definedName>
    <definedName name="EAR_LoanLossProvision">#REF!</definedName>
    <definedName name="EAR_LookUpYears">#REF!</definedName>
    <definedName name="EAR_Minorities">#REF!</definedName>
    <definedName name="EAR_NetInterestIncomeExpense">#REF!</definedName>
    <definedName name="EAR_NetProfit">#REF!</definedName>
    <definedName name="EAR_NetProfitAfterDividends">#REF!</definedName>
    <definedName name="EAR_NetProfitExcExceptionals">#REF!</definedName>
    <definedName name="EAR_OtherAfterTaxIncomeNet">#REF!</definedName>
    <definedName name="EAR_OtherDirectIncomeCosts">#REF!</definedName>
    <definedName name="EAR_OtherExpense">#REF!</definedName>
    <definedName name="EAR_OtherIncome">#REF!</definedName>
    <definedName name="EAR_PreferredDividends">#REF!</definedName>
    <definedName name="EAR_PretaxProfit">#REF!</definedName>
    <definedName name="EAR_ProfitAfterTax">#REF!</definedName>
    <definedName name="EAR_ProfitBeforeMinorities">#REF!</definedName>
    <definedName name="EAR_ProformaAdjustment">#REF!</definedName>
    <definedName name="EAR_Provisions">#REF!</definedName>
    <definedName name="EAR_Revenue">#REF!</definedName>
    <definedName name="EAR_Tax">#REF!</definedName>
    <definedName name="EAR_TaxRate">#REF!</definedName>
    <definedName name="EarnChk">#REF!</definedName>
    <definedName name="EBDT">#REF!</definedName>
    <definedName name="EBIT" localSheetId="2">#REF!</definedName>
    <definedName name="EBIT">#REF!</definedName>
    <definedName name="EBIT_fore">#REF!</definedName>
    <definedName name="EBIT_growth" localSheetId="2">#REF!</definedName>
    <definedName name="EBIT_growth">#REF!</definedName>
    <definedName name="EBIT_margin" localSheetId="2">#REF!</definedName>
    <definedName name="EBIT_margin">#REF!</definedName>
    <definedName name="EBIT_margin_fore">#REF!</definedName>
    <definedName name="EBITA" localSheetId="2">#REF!</definedName>
    <definedName name="EBITA">#REF!</definedName>
    <definedName name="EBITA_fore">#REF!</definedName>
    <definedName name="EBITD" localSheetId="2">#REF!</definedName>
    <definedName name="EBITD">#REF!</definedName>
    <definedName name="EBITDA" localSheetId="2">#REF!</definedName>
    <definedName name="EBITDA">#REF!</definedName>
    <definedName name="EBITDA_DCF" localSheetId="2">#REF!</definedName>
    <definedName name="EBITDA_DCF">#REF!</definedName>
    <definedName name="EBITDA_fore">#REF!</definedName>
    <definedName name="EBITDA_growth" localSheetId="2">#REF!</definedName>
    <definedName name="EBITDA_growth">#REF!</definedName>
    <definedName name="EBITDA_growth_avg">#REF!</definedName>
    <definedName name="EBITDA_margin" localSheetId="2">#REF!</definedName>
    <definedName name="EBITDA_margin">#REF!</definedName>
    <definedName name="EBITDA_margin_fore">#REF!</definedName>
    <definedName name="EBITDA_Share">#REF!</definedName>
    <definedName name="Economic_book_value" localSheetId="2">#REF!</definedName>
    <definedName name="Economic_book_value">#REF!</definedName>
    <definedName name="Economic_profit" localSheetId="2">#REF!</definedName>
    <definedName name="Economic_profit">#REF!</definedName>
    <definedName name="Economic_profit_dcf" localSheetId="2">#REF!</definedName>
    <definedName name="Economic_profit_dcf">#REF!</definedName>
    <definedName name="Economic_profit2" localSheetId="2">#REF!</definedName>
    <definedName name="Economic_profit2">#REF!</definedName>
    <definedName name="EDvTax">#REF!</definedName>
    <definedName name="Effective_tax_rate">#REF!</definedName>
    <definedName name="EffEqShAd">#REF!</definedName>
    <definedName name="Employee_Cost">#REF!</definedName>
    <definedName name="EnEsMode" hidden="1">#REF!</definedName>
    <definedName name="Enterprise_value" localSheetId="2">#REF!</definedName>
    <definedName name="Enterprise_value">#REF!</definedName>
    <definedName name="EnYrRng" hidden="1">#REF!</definedName>
    <definedName name="EPS" localSheetId="2">#REF!</definedName>
    <definedName name="EPS">#REF!</definedName>
    <definedName name="EPS_BD_IncomeTaxRate">#REF!</definedName>
    <definedName name="EPS_BD_IncomeTaxRateMan">#REF!</definedName>
    <definedName name="EPS_BD_NetProfit">#REF!</definedName>
    <definedName name="EPS_BD_NetProfitExcExceptionals">#REF!</definedName>
    <definedName name="EPS_BD_NetProfitExcExceptionalsMan">#REF!</definedName>
    <definedName name="EPS_BD_NetProfitMan">#REF!</definedName>
    <definedName name="EPS_BD_SharesAtYearEnd">#REF!</definedName>
    <definedName name="EPS_BD_SharesWgtAvg">#REF!</definedName>
    <definedName name="EPS_BD_TreasuryRate">#REF!</definedName>
    <definedName name="EPS_BD_TreasuryRateManual">#REF!</definedName>
    <definedName name="EPS_CAL_AdjustedEPS">#REF!</definedName>
    <definedName name="EPS_CAL_AdjustedEPSExcExceptionals">#REF!</definedName>
    <definedName name="EPS_CAL_AdjustmentFactorCumulative">#REF!</definedName>
    <definedName name="EPS_CAL_AdjustmentFactorPeriod">#REF!</definedName>
    <definedName name="EPS_CAL_AdjustmentFactorPeriodCalc">#REF!</definedName>
    <definedName name="EPS_CAL_BasicEPS">#REF!</definedName>
    <definedName name="EPS_CAL_BasicEPSExcExceptionals">#REF!</definedName>
    <definedName name="EPS_CAL_ChangeInWgtAvgShares">#REF!</definedName>
    <definedName name="EPS_CAL_EPS">#REF!</definedName>
    <definedName name="EPS_CAL_EPSExcExceptionals">#REF!</definedName>
    <definedName name="EPS_CAL_FullyDilutedEPS">#REF!</definedName>
    <definedName name="EPS_CAL_FullyDilutedEPSExcExceptionals">#REF!</definedName>
    <definedName name="EPS_CAL_PrimaryEPS">#REF!</definedName>
    <definedName name="EPS_CAL_PrimaryEPSExcExceptionals">#REF!</definedName>
    <definedName name="EPS_CAL_SharePriceAverage">#REF!</definedName>
    <definedName name="EPS_CAL_SharePriceYearEnd">#REF!</definedName>
    <definedName name="EPS_CAL_Shares">#REF!</definedName>
    <definedName name="EPS_CAL_SharesAdjusted">#REF!</definedName>
    <definedName name="EPS_CAL_SharesAtYearEnd">#REF!</definedName>
    <definedName name="EPS_CAL_SharesAtYearEndManual">#REF!</definedName>
    <definedName name="EPS_CAL_SharesAtYearEndUnadjusted">#REF!</definedName>
    <definedName name="EPS_CAL_SharesAtYearStart">#REF!</definedName>
    <definedName name="EPS_CAL_SharesFullyDiluted">#REF!</definedName>
    <definedName name="EPS_CAL_SharesPrimary">#REF!</definedName>
    <definedName name="EPS_CAL_SharesWgtAvg">#REF!</definedName>
    <definedName name="EPS_CAL_SharesWgtAvgUnadjusted">#REF!</definedName>
    <definedName name="EPS_CAL_TotalShareDays">#REF!</definedName>
    <definedName name="EPS_CalcModeSwitch">#REF!</definedName>
    <definedName name="EPS_CellNote">#REF!</definedName>
    <definedName name="EPS_EPS_AdjustedEPS">#REF!</definedName>
    <definedName name="EPS_EPS_AdjustedEPSExcExceptionals">#REF!</definedName>
    <definedName name="EPS_EPS_AdjustedNetEarnings">#REF!</definedName>
    <definedName name="EPS_EPS_AdjustedNetEarningsExcExceptionals">#REF!</definedName>
    <definedName name="EPS_EPS_AdjustedShares">#REF!</definedName>
    <definedName name="EPS_EPS_BasicEPS">#REF!</definedName>
    <definedName name="EPS_EPS_BasicEPSExcExceptionals">#REF!</definedName>
    <definedName name="EPS_EPS_BasicShares">#REF!</definedName>
    <definedName name="EPS_EPS_FullyDilutedEPS">#REF!</definedName>
    <definedName name="EPS_EPS_FullyDilutedEPSExcExceptionals">#REF!</definedName>
    <definedName name="EPS_EPS_FullyDilutedNetEarnings">#REF!</definedName>
    <definedName name="EPS_EPS_FullyDilutedNetEarningsExcExceptionals">#REF!</definedName>
    <definedName name="EPS_EPS_FullyDilutedShares">#REF!</definedName>
    <definedName name="EPS_EPS_PrimaryEPS">#REF!</definedName>
    <definedName name="EPS_EPS_PrimaryEPSExcExceptionals">#REF!</definedName>
    <definedName name="EPS_EPS_PrimaryLTDebtRateMan">#REF!</definedName>
    <definedName name="EPS_EPS_PrimaryLTDebtToRetireMan">#REF!</definedName>
    <definedName name="EPS_EPS_PrimaryNetEarnings">#REF!</definedName>
    <definedName name="EPS_EPS_PrimaryNetEarningsExcExceptionals">#REF!</definedName>
    <definedName name="EPS_EPS_PrimaryShares">#REF!</definedName>
    <definedName name="EPS_EPS_PrimarySTDebtRateMan">#REF!</definedName>
    <definedName name="EPS_EPS_PrimarySTDebtToRetireMan">#REF!</definedName>
    <definedName name="EPS_EPS_UnadjustedNetEarnings">#REF!</definedName>
    <definedName name="EPS_EPS_UnadjustedNetEarningsExcExceptionals">#REF!</definedName>
    <definedName name="EPS_EY1" localSheetId="2">#REF!</definedName>
    <definedName name="EPS_EY1">#REF!</definedName>
    <definedName name="EPS_EY2" localSheetId="2">#REF!</definedName>
    <definedName name="EPS_EY2">#REF!</definedName>
    <definedName name="EPS_EY3" localSheetId="2">#REF!</definedName>
    <definedName name="EPS_EY3">#REF!</definedName>
    <definedName name="EPS_growth" localSheetId="2">#REF!</definedName>
    <definedName name="EPS_growth">#REF!</definedName>
    <definedName name="EPS_growth_avg">#REF!</definedName>
    <definedName name="EPS_LookupYears">#REF!</definedName>
    <definedName name="EPS_MAN_AdjustedEPS">#REF!</definedName>
    <definedName name="EPS_MAN_AdjustedEPSExcExceptionals">#REF!</definedName>
    <definedName name="EPS_MAN_BasicEPS">#REF!</definedName>
    <definedName name="EPS_MAN_BasicEPSExcExceptionals">#REF!</definedName>
    <definedName name="EPS_MAN_EPS">#REF!</definedName>
    <definedName name="EPS_MAN_FullyDilutedEPS">#REF!</definedName>
    <definedName name="EPS_MAN_FullyDilutedEPSExcExceptionals">#REF!</definedName>
    <definedName name="EPS_MAN_PrimaryEPS">#REF!</definedName>
    <definedName name="EPS_MAN_PrimaryEPSExcExceptionals">#REF!</definedName>
    <definedName name="EPS_MAN_ShareAdjFactor">#REF!</definedName>
    <definedName name="EPS_MAN_Shares">#REF!</definedName>
    <definedName name="EPS_MAN_SharesAdjusted">#REF!</definedName>
    <definedName name="EPS_MAN_SharesAtYearEnd">#REF!</definedName>
    <definedName name="EPS_MAN_SharesFullyDiluted">#REF!</definedName>
    <definedName name="EPS_MAN_SharesPrimary">#REF!</definedName>
    <definedName name="EPS_MAN_SharesWgtAvg">#REF!</definedName>
    <definedName name="EPS_PRE_CSEDividendsSaved">#REF!</definedName>
    <definedName name="EPS_PRE_CSESharesConverted">#REF!</definedName>
    <definedName name="EPS_PRE_DividendsPreferred">#REF!</definedName>
    <definedName name="EPS_PRE_DividendsPreferredConvertible">#REF!</definedName>
    <definedName name="EPS_PRE_DividendsPreferredTotal">#REF!</definedName>
    <definedName name="EPS_PRE_NominalValueConvPreferred">#REF!</definedName>
    <definedName name="EPS_PRE_NominalValuePreferred">#REF!</definedName>
    <definedName name="EPS_PRE_PreferredStockTotal">#REF!</definedName>
    <definedName name="EPS_PRE_SharesConvertible">#REF!</definedName>
    <definedName name="EqDiv">#REF!</definedName>
    <definedName name="EqMult" hidden="1">#REF!</definedName>
    <definedName name="Equity_Equivalents" localSheetId="2">#REF!</definedName>
    <definedName name="Equity_Equivalents">#REF!</definedName>
    <definedName name="Equity_risk_premium" localSheetId="2">#REF!</definedName>
    <definedName name="Equity_risk_premium">#REF!</definedName>
    <definedName name="EstInt">#REF!</definedName>
    <definedName name="EstRef" hidden="1">#REF!</definedName>
    <definedName name="EsYrRng" hidden="1">#REF!</definedName>
    <definedName name="EVA">#REF!</definedName>
    <definedName name="Exc">#REF!</definedName>
    <definedName name="Excess_cash" localSheetId="2">#REF!</definedName>
    <definedName name="Excess_cash">#REF!</definedName>
    <definedName name="Excess_Cash_Core" localSheetId="2">#REF!</definedName>
    <definedName name="Excess_Cash_Core">#REF!</definedName>
    <definedName name="Excise_Rate">#REF!</definedName>
    <definedName name="ExItem">#REF!</definedName>
    <definedName name="ExpAdmDmy">#REF!</definedName>
    <definedName name="Expense">#REF!</definedName>
    <definedName name="ExpensesCap">#REF!</definedName>
    <definedName name="Expl_forecast_1st_yr">#REF!</definedName>
    <definedName name="Expl_forecast_2nd_yr">#REF!</definedName>
    <definedName name="Expl_forecast_3rd_yr">#REF!</definedName>
    <definedName name="ExpMfgDmy" hidden="1">#REF!</definedName>
    <definedName name="ExpPerDmy" hidden="1">#REF!</definedName>
    <definedName name="ExpPr">#REF!</definedName>
    <definedName name="ExpSaleDmy" hidden="1">#REF!</definedName>
    <definedName name="FaceVal" hidden="1">#REF!</definedName>
    <definedName name="FAIncr">#REF!</definedName>
    <definedName name="FARedc">#REF!</definedName>
    <definedName name="FASer" hidden="1">#REF!</definedName>
    <definedName name="FD">#REF!</definedName>
    <definedName name="FDEPS">#REF!</definedName>
    <definedName name="FDEqSh">#REF!</definedName>
    <definedName name="FDP_0_1_aSrv" hidden="1">#REF!</definedName>
    <definedName name="FDP_100_1_aSrv" hidden="1">#REF!</definedName>
    <definedName name="FDP_101_1_aSrv" hidden="1">#REF!</definedName>
    <definedName name="FDP_102_1_aSrv" hidden="1">#REF!</definedName>
    <definedName name="FDP_103_1_aSrv" hidden="1">#REF!</definedName>
    <definedName name="FDP_104_1_aSrv" hidden="1">#REF!</definedName>
    <definedName name="FDP_12_1_aDrv" hidden="1">#REF!</definedName>
    <definedName name="FDP_13_1_aDrv" hidden="1">#REF!</definedName>
    <definedName name="FDP_14_1_aDrv" hidden="1">#REF!</definedName>
    <definedName name="FDP_15_1_aUrv" hidden="1">#REF!</definedName>
    <definedName name="FDP_17_1_aSrv" hidden="1">#REF!</definedName>
    <definedName name="FDP_19_1_aDrv" hidden="1">#REF!</definedName>
    <definedName name="FDP_2_1_aSrv" hidden="1">#REF!</definedName>
    <definedName name="FDP_20_1_aDrv" hidden="1">#REF!</definedName>
    <definedName name="FDP_21_1_aDrv" hidden="1">#REF!</definedName>
    <definedName name="FDP_22_1_aDrv" hidden="1">#REF!</definedName>
    <definedName name="FDP_23_1_aDrv" hidden="1">#REF!</definedName>
    <definedName name="FDP_24_1_aDrv" hidden="1">#REF!</definedName>
    <definedName name="FDP_25_1_aUrv" hidden="1">#REF!</definedName>
    <definedName name="FDP_26_1_aSrv" hidden="1">#REF!</definedName>
    <definedName name="FDP_27_1_aUrv" hidden="1">#REF!</definedName>
    <definedName name="FDP_28_1_aUrv" hidden="1">#REF!</definedName>
    <definedName name="FDP_29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Srv" hidden="1">#REF!</definedName>
    <definedName name="FDP_40_1_aUrv" hidden="1">#REF!</definedName>
    <definedName name="FDP_50_1_aDrv" hidden="1">#REF!</definedName>
    <definedName name="FDP_51_1_aDrv" hidden="1">#REF!</definedName>
    <definedName name="FDP_52_1_aDrv" hidden="1">#REF!</definedName>
    <definedName name="FDP_53_1_aUrv" hidden="1">#REF!</definedName>
    <definedName name="FDP_54_1_aUrv" hidden="1">#REF!</definedName>
    <definedName name="FDP_57_1_aSrv" hidden="1">#REF!</definedName>
    <definedName name="FDP_59_1_aUrv" hidden="1">#REF!</definedName>
    <definedName name="FDP_60_1_aUrv" hidden="1">#REF!</definedName>
    <definedName name="FDP_61_1_aSrv" hidden="1">#REF!</definedName>
    <definedName name="FDP_62_1_aDrv" hidden="1">#REF!</definedName>
    <definedName name="FDP_63_1_aUrv" hidden="1">#REF!</definedName>
    <definedName name="FDP_64_1_aUrv" hidden="1">#REF!</definedName>
    <definedName name="FDP_65_1_aUrv" hidden="1">#REF!</definedName>
    <definedName name="FDP_66_1_aUrv" hidden="1">#REF!</definedName>
    <definedName name="FDP_67_1_aDrv" hidden="1">#REF!</definedName>
    <definedName name="FDP_68_1_aUrv" hidden="1">#REF!</definedName>
    <definedName name="FDP_69_1_aUrv" hidden="1">#REF!</definedName>
    <definedName name="FDP_70_1_aUrv" hidden="1">#REF!</definedName>
    <definedName name="FDP_71_1_aDrv" hidden="1">#REF!</definedName>
    <definedName name="FDP_72_1_aDrv" hidden="1">#REF!</definedName>
    <definedName name="FDP_73_1_aDrv" hidden="1">#REF!</definedName>
    <definedName name="FDP_74_1_aDrv" hidden="1">#REF!</definedName>
    <definedName name="FDP_75_1_aUrv" hidden="1">#REF!</definedName>
    <definedName name="FDP_76_1_aUrv" hidden="1">#REF!</definedName>
    <definedName name="FDP_77_1_aDrv" hidden="1">#REF!</definedName>
    <definedName name="FDP_78_1_aUrv" hidden="1">#REF!</definedName>
    <definedName name="FDP_79_1_aUrv" hidden="1">#REF!</definedName>
    <definedName name="FDP_80_1_aDrv" hidden="1">#REF!</definedName>
    <definedName name="FDP_81_1_aSrv" hidden="1">#REF!</definedName>
    <definedName name="FDP_82_1_aUrv" hidden="1">#REF!</definedName>
    <definedName name="FDP_83_1_aDrv" hidden="1">#REF!</definedName>
    <definedName name="FDP_84_1_aDrv" hidden="1">#REF!</definedName>
    <definedName name="FDP_85_1_aDrv" hidden="1">#REF!</definedName>
    <definedName name="FDP_86_1_aDrv" hidden="1">#REF!</definedName>
    <definedName name="FDP_87_1_aDrv" hidden="1">#REF!</definedName>
    <definedName name="FDP_88_1_aDrv" hidden="1">#REF!</definedName>
    <definedName name="FDP_89_1_aDrv" hidden="1">#REF!</definedName>
    <definedName name="FDP_90_1_aDrv" hidden="1">#REF!</definedName>
    <definedName name="FDP_91_1_aDrv" hidden="1">#REF!</definedName>
    <definedName name="FDP_92_1_aDrv" hidden="1">#REF!</definedName>
    <definedName name="FDP_93_1_aSrv" hidden="1">#REF!</definedName>
    <definedName name="FDP_94_1_aSrv" hidden="1">#REF!</definedName>
    <definedName name="FDP_95_1_aSrv" hidden="1">#REF!</definedName>
    <definedName name="FDP_96_1_aSrv" hidden="1">#REF!</definedName>
    <definedName name="FDP_97_1_aUrv" hidden="1">#REF!</definedName>
    <definedName name="FDP_98_1_aSrv" hidden="1">#REF!</definedName>
    <definedName name="FDP_99_1_aSrv" hidden="1">#REF!</definedName>
    <definedName name="FIN_CalcModeSwitch">#REF!</definedName>
    <definedName name="FIN_CAP_BeginShareCapital">#REF!</definedName>
    <definedName name="FIN_CAP_BeginSharePremium">#REF!</definedName>
    <definedName name="FIN_CAP_ChangeInShareCapital">#REF!</definedName>
    <definedName name="FIN_CAP_ChangeInShareCapitalAuto">#REF!</definedName>
    <definedName name="FIN_CAP_ChangeInShareCapitalManual">#REF!</definedName>
    <definedName name="FIN_CAP_ChangeInSharePremium">#REF!</definedName>
    <definedName name="FIN_CAP_ChangeInSharePremiumAuto">#REF!</definedName>
    <definedName name="FIN_CAP_ChangeInSharePremiumManual">#REF!</definedName>
    <definedName name="FIN_CAP_EndingShareCapital">#REF!</definedName>
    <definedName name="FIN_CAP_EndingSharePremium">#REF!</definedName>
    <definedName name="FIN_CellNote">#REF!</definedName>
    <definedName name="FIN_LTD_CurrentPortion">#REF!</definedName>
    <definedName name="FIN_LTD_InterestActual">#REF!</definedName>
    <definedName name="FIN_LTD_InterestCapitalized">#REF!</definedName>
    <definedName name="FIN_LTD_InterestPaid">#REF!</definedName>
    <definedName name="FIN_LTD_InterestRate">#REF!</definedName>
    <definedName name="FIN_LTD_InterestRateBeforeCap">#REF!</definedName>
    <definedName name="FIN_LTD_LTDebt1">#REF!</definedName>
    <definedName name="FIN_LTD_LTDebt10">#REF!</definedName>
    <definedName name="FIN_LTD_LTDebt2">#REF!</definedName>
    <definedName name="FIN_LTD_LTDebt3">#REF!</definedName>
    <definedName name="FIN_LTD_LTDebt4">#REF!</definedName>
    <definedName name="FIN_LTD_LTDebt5">#REF!</definedName>
    <definedName name="FIN_LTD_LTDebt6">#REF!</definedName>
    <definedName name="FIN_LTD_LTDebt7">#REF!</definedName>
    <definedName name="FIN_LTD_LTDebt8">#REF!</definedName>
    <definedName name="FIN_LTD_LTDebt9">#REF!</definedName>
    <definedName name="FIN_LTD_LTDebtAvg">#REF!</definedName>
    <definedName name="FIN_LTD_LTDebtB_R_Total">#REF!</definedName>
    <definedName name="FIN_LTD_LTDebtTotal">#REF!</definedName>
    <definedName name="FIN_LTD_LTDebtTotalBF">#REF!</definedName>
    <definedName name="FIN_LTD_RateLTDebt1">#REF!</definedName>
    <definedName name="FIN_LTD_RateLTDebt2">#REF!</definedName>
    <definedName name="FIN_LTD_RateLTDebt3">#REF!</definedName>
    <definedName name="FIN_LTD_RateLTDebt4">#REF!</definedName>
    <definedName name="FIN_LTD_RateLTDebt5">#REF!</definedName>
    <definedName name="FinInc">#REF!</definedName>
    <definedName name="FinInd">#REF!</definedName>
    <definedName name="Fixed_asset_turns" localSheetId="2">#REF!</definedName>
    <definedName name="Fixed_asset_turns">#REF!</definedName>
    <definedName name="Fixed_asset_turns_DCF" localSheetId="2">#REF!</definedName>
    <definedName name="Fixed_asset_turns_DCF">#REF!</definedName>
    <definedName name="Fixed_asset_turns_fore">#REF!</definedName>
    <definedName name="Fixed_assets" localSheetId="2">#REF!</definedName>
    <definedName name="Fixed_assets">#REF!</definedName>
    <definedName name="Fixed_Assets_Core" localSheetId="2">#REF!</definedName>
    <definedName name="Fixed_Assets_Core">#REF!</definedName>
    <definedName name="Fixed_assets_DCF" localSheetId="2">#REF!</definedName>
    <definedName name="Fixed_assets_DCF">#REF!</definedName>
    <definedName name="FixExp">#REF!</definedName>
    <definedName name="fninc">#REF!</definedName>
    <definedName name="FOR_BankingRatios">#REF!</definedName>
    <definedName name="FOR_BS_AssetRevaluationNonCashFlow">#REF!</definedName>
    <definedName name="FOR_BS_CAInterestBearing">#REF!</definedName>
    <definedName name="FOR_BS_CAInterestBearingNet">#REF!</definedName>
    <definedName name="FOR_BS_CAOtherNonCash">#REF!</definedName>
    <definedName name="FOR_BS_CAOtherTotal">#REF!</definedName>
    <definedName name="FOR_BS_CapitalizedInterest">#REF!</definedName>
    <definedName name="FOR_BS_Cash">#REF!</definedName>
    <definedName name="FOR_BS_CashForeign">#REF!</definedName>
    <definedName name="FOR_BS_ChangeInWorkingCapital">#REF!</definedName>
    <definedName name="FOR_BS_CLInterestBearing">#REF!</definedName>
    <definedName name="FOR_BS_CLOtherNonCash">#REF!</definedName>
    <definedName name="FOR_BS_CLOtherTotal">#REF!</definedName>
    <definedName name="FOR_BS_Creditors">#REF!</definedName>
    <definedName name="FOR_BS_CurrentPortion">#REF!</definedName>
    <definedName name="FOR_BS_Debtors">#REF!</definedName>
    <definedName name="FOR_BS_DeferredTaxLTLiabilities">#REF!</definedName>
    <definedName name="FOR_BS_EquityRevaluationNonCashFlow">#REF!</definedName>
    <definedName name="FOR_BS_FixedAssets">#REF!</definedName>
    <definedName name="FOR_BS_FixedAssets1">#REF!</definedName>
    <definedName name="FOR_BS_FixedAssets2">#REF!</definedName>
    <definedName name="FOR_BS_FixedAssets3">#REF!</definedName>
    <definedName name="FOR_BS_FixedAssets4">#REF!</definedName>
    <definedName name="FOR_BS_FixedAssets5">#REF!</definedName>
    <definedName name="FOR_BS_FixedAssets6">#REF!</definedName>
    <definedName name="FOR_BS_FixedAssets7">#REF!</definedName>
    <definedName name="FOR_BS_FixedAssetsRevaluationNonCashFlow">#REF!</definedName>
    <definedName name="FOR_BS_Inventory">#REF!</definedName>
    <definedName name="FOR_BS_InvestmentRevaluationNonCashFlow">#REF!</definedName>
    <definedName name="FOR_BS_LiabilitiesRevaluationNonCashFlow">#REF!</definedName>
    <definedName name="FOR_BS_LTAssetsInterestBearing">#REF!</definedName>
    <definedName name="FOR_BS_LTAssetsNonInterestBearing">#REF!</definedName>
    <definedName name="FOR_BS_LTAssociates">#REF!</definedName>
    <definedName name="FOR_BS_LTDebt">#REF!</definedName>
    <definedName name="FOR_BS_LTDebt1">#REF!</definedName>
    <definedName name="FOR_BS_LTDebt10">#REF!</definedName>
    <definedName name="FOR_BS_LTDebt2">#REF!</definedName>
    <definedName name="FOR_BS_LTDebt3">#REF!</definedName>
    <definedName name="FOR_BS_LTDebt4">#REF!</definedName>
    <definedName name="FOR_BS_LTDebt5">#REF!</definedName>
    <definedName name="FOR_BS_LTDebt6">#REF!</definedName>
    <definedName name="FOR_BS_LTDebt7">#REF!</definedName>
    <definedName name="FOR_BS_LTDebt8">#REF!</definedName>
    <definedName name="FOR_BS_LTDebt9">#REF!</definedName>
    <definedName name="FOR_BS_LTLiabilitiesOtherTotal">#REF!</definedName>
    <definedName name="FOR_BS_LTOutstandingClaims">#REF!</definedName>
    <definedName name="FOR_BS_LTUnearntPremium">#REF!</definedName>
    <definedName name="FOR_BS_Minorities">#REF!</definedName>
    <definedName name="FOR_BS_NetAmortizedAssets">#REF!</definedName>
    <definedName name="FOR_BS_NetWorkingCapital">#REF!</definedName>
    <definedName name="FOR_BS_OffBalanceSheetAssets">#REF!</definedName>
    <definedName name="FOR_BS_OffBalanceSheetLiabilities">#REF!</definedName>
    <definedName name="FOR_BS_OtherEquityRevaluationNonCashFlow">#REF!</definedName>
    <definedName name="FOR_BS_PossibleLoanLossProvision">#REF!</definedName>
    <definedName name="FOR_BS_RENonCashFlow">#REF!</definedName>
    <definedName name="FOR_BS_Reserves">#REF!</definedName>
    <definedName name="FOR_BS_SCapitalNonCashFlow">#REF!</definedName>
    <definedName name="FOR_BS_ShareCapital">#REF!</definedName>
    <definedName name="FOR_BS_SharePremium">#REF!</definedName>
    <definedName name="FOR_BS_SPremiumNonCashFlow">#REF!</definedName>
    <definedName name="FOR_BS_STDebt">#REF!</definedName>
    <definedName name="FOR_BS_STDebtOther">#REF!</definedName>
    <definedName name="FOR_BS_STInvestments">#REF!</definedName>
    <definedName name="FOR_BS_STInvestmentsOther">#REF!</definedName>
    <definedName name="FOR_BS_TechnicalReserves">#REF!</definedName>
    <definedName name="FOR_BS_TotalAssets">#REF!</definedName>
    <definedName name="FOR_BS_TotalCurrentAssets">#REF!</definedName>
    <definedName name="FOR_BS_TotalCurrentLiabilities">#REF!</definedName>
    <definedName name="FOR_BS_TotalEquity">#REF!</definedName>
    <definedName name="FOR_BS_TotalLiabilities">#REF!</definedName>
    <definedName name="FOR_BS_TotalLTAssets">#REF!</definedName>
    <definedName name="FOR_BS_TotalLTLiabilities">#REF!</definedName>
    <definedName name="FOR_BS_TotalOtherEquity">#REF!</definedName>
    <definedName name="FOR_BS_TotalShareholdersFunds">#REF!</definedName>
    <definedName name="FOR_BS_UnearntPremium">#REF!</definedName>
    <definedName name="FOR_CellNote">#REF!</definedName>
    <definedName name="FOR_CF_B_R_STDebt">#REF!</definedName>
    <definedName name="FOR_CF_B_R_STDebtManual">#REF!</definedName>
    <definedName name="FOR_CF_B_RSTDebtTest">#REF!</definedName>
    <definedName name="FOR_CF_CashBeforeFinancing">#REF!</definedName>
    <definedName name="FOR_CF_CashFromFinancing">#REF!</definedName>
    <definedName name="FOR_CF_ChangeInMarketableSecurities">#REF!</definedName>
    <definedName name="FOR_CF_ChangeInMarketableSecuritiesManual">#REF!</definedName>
    <definedName name="FOR_CF_ChangeInSTInvestments">#REF!</definedName>
    <definedName name="FOR_CF_FundsForDebtRepayment">#REF!</definedName>
    <definedName name="FOR_GL_CalendarAdjFactor">#REF!</definedName>
    <definedName name="FOR_GL_CurrentYear">#REF!</definedName>
    <definedName name="FOR_GL_SwitchAmortization">#REF!</definedName>
    <definedName name="FOR_GL_SwitchDepreciation">#REF!</definedName>
    <definedName name="FOR_IS_ADJtoGP">#REF!</definedName>
    <definedName name="FOR_IS_AdminExpense">#REF!</definedName>
    <definedName name="FOR_IS_AdminIncome">#REF!</definedName>
    <definedName name="FOR_IS_AfterTaxProfit">#REF!</definedName>
    <definedName name="FOR_IS_Amortization">#REF!</definedName>
    <definedName name="FOR_IS_CashDividends">#REF!</definedName>
    <definedName name="FOR_IS_CGS">#REF!</definedName>
    <definedName name="FOR_IS_CommissionExpense">#REF!</definedName>
    <definedName name="FOR_IS_CumAdj">#REF!</definedName>
    <definedName name="FOR_IS_Depreciation">#REF!</definedName>
    <definedName name="FOR_IS_DividendsDeclared">#REF!</definedName>
    <definedName name="FOR_IS_DividendsDeclaredCalculated">#REF!</definedName>
    <definedName name="FOR_IS_DividendsDeclaredManual">#REF!</definedName>
    <definedName name="FOR_IS_DividendsPaidCalculated">#REF!</definedName>
    <definedName name="FOR_IS_DividendsPaidManual">#REF!</definedName>
    <definedName name="FOR_IS_DividendsPaidSummed">#REF!</definedName>
    <definedName name="FOR_IS_DueToMinorities">#REF!</definedName>
    <definedName name="FOR_IS_EarningsAfterFinancing">#REF!</definedName>
    <definedName name="FOR_IS_EBIT">#REF!</definedName>
    <definedName name="FOR_IS_EBITDA">#REF!</definedName>
    <definedName name="FOR_IS_Exceptionals">#REF!</definedName>
    <definedName name="FOR_IS_Extraordinary">#REF!</definedName>
    <definedName name="FOR_IS_GrossProfit">#REF!</definedName>
    <definedName name="FOR_IS_GrossProfitSub1">#REF!</definedName>
    <definedName name="FOR_IS_IncomeFromAssociates">#REF!</definedName>
    <definedName name="FOR_IS_IncomeFromAssociatesAfterDividends">#REF!</definedName>
    <definedName name="FOR_IS_IncomeFromUnConsAffiliates">#REF!</definedName>
    <definedName name="FOR_IS_InsuranceOtherExpense">#REF!</definedName>
    <definedName name="FOR_IS_InsuranceOtherIncome">#REF!</definedName>
    <definedName name="FOR_IS_InterestExpense">#REF!</definedName>
    <definedName name="FOR_IS_InterestExpenseCalculated">#REF!</definedName>
    <definedName name="FOR_IS_InterestExpenseManual">#REF!</definedName>
    <definedName name="FOR_IS_InterestIncome">#REF!</definedName>
    <definedName name="FOR_IS_InterestIncomeCalculated">#REF!</definedName>
    <definedName name="FOR_IS_InterestIncomeManual">#REF!</definedName>
    <definedName name="FOR_IS_InvestmentIncome">#REF!</definedName>
    <definedName name="FOR_IS_LoanLossProvision">#REF!</definedName>
    <definedName name="FOR_IS_NetInterestIncomeExpense">#REF!</definedName>
    <definedName name="FOR_IS_NetProfit">#REF!</definedName>
    <definedName name="FOR_IS_NetProfitAfterDividends">#REF!</definedName>
    <definedName name="FOR_IS_NetProfitAfterDividendsDeclared">#REF!</definedName>
    <definedName name="FOR_IS_NetProfitAfterMinorities">#REF!</definedName>
    <definedName name="FOR_IS_NetProfitAterExtr">#REF!</definedName>
    <definedName name="FOR_IS_NetProfitExcExceptionals">#REF!</definedName>
    <definedName name="FOR_IS_OtherAfterTaxIncomeNet">#REF!</definedName>
    <definedName name="FOR_IS_OtherAssets">#REF!</definedName>
    <definedName name="FOR_IS_OtherBeforeTaxIncomeNet">#REF!</definedName>
    <definedName name="FOR_IS_OtherDirectIncomeCosts">#REF!</definedName>
    <definedName name="FOR_IS_OtherExpenses">#REF!</definedName>
    <definedName name="FOR_IS_OtherIncome">#REF!</definedName>
    <definedName name="FOR_IS_OtherIncomeExpenseNet">#REF!</definedName>
    <definedName name="FOR_IS_PreferenceDividends">#REF!</definedName>
    <definedName name="FOR_IS_PreTaxProfit">#REF!</definedName>
    <definedName name="FOR_IS_ProAdj">#REF!</definedName>
    <definedName name="FOR_IS_ProfitBeforeInvestmentIncome">#REF!</definedName>
    <definedName name="FOR_IS_ProformaAdjustmentSwitch">#REF!</definedName>
    <definedName name="FOR_IS_Provisions">#REF!</definedName>
    <definedName name="FOR_IS_Revenue">#REF!</definedName>
    <definedName name="FOR_IS_STDebtCapitalizedInterest">#REF!</definedName>
    <definedName name="FOR_IS_Tax">#REF!</definedName>
    <definedName name="FOR_SC_AvgAssetsInterestBearing">#REF!</definedName>
    <definedName name="FOR_SC_AvgBorrowing">#REF!</definedName>
    <definedName name="FOR_SC_AvgCAInterestBearing">#REF!</definedName>
    <definedName name="FOR_SC_AvgCAInterestBearingNet">#REF!</definedName>
    <definedName name="FOR_SC_AvgCAOtherTotal">#REF!</definedName>
    <definedName name="FOR_SC_AvgCash">#REF!</definedName>
    <definedName name="FOR_SC_AvgCashForeign">#REF!</definedName>
    <definedName name="FOR_SC_AvgCLInterestBearing">#REF!</definedName>
    <definedName name="FOR_SC_AvgCLOtherTotal">#REF!</definedName>
    <definedName name="FOR_SC_AvgCreditors">#REF!</definedName>
    <definedName name="FOR_SC_AvgDebtors">#REF!</definedName>
    <definedName name="FOR_SC_AvgFixedAssets">#REF!</definedName>
    <definedName name="FOR_SC_AvgInventory">#REF!</definedName>
    <definedName name="FOR_SC_AvgLiabilitiesInterestBearing">#REF!</definedName>
    <definedName name="FOR_SC_AvgLTAssetsInterestBearing">#REF!</definedName>
    <definedName name="FOR_SC_AvgLTAssetsNonInterestBearing">#REF!</definedName>
    <definedName name="FOR_SC_AvgLTDebt">#REF!</definedName>
    <definedName name="FOR_SC_AvgLTLiabilitiesOther">#REF!</definedName>
    <definedName name="FOR_SC_AvgSTDebt">#REF!</definedName>
    <definedName name="FOR_SC_AvgSTInvestments">#REF!</definedName>
    <definedName name="FOR_SC_AvgTotalAssets">#REF!</definedName>
    <definedName name="FOR_SC_AvgTotalCurrentAssets">#REF!</definedName>
    <definedName name="FOR_SC_AvgTotalEquity">#REF!</definedName>
    <definedName name="FOR_SC_AvgTotalLiabilities">#REF!</definedName>
    <definedName name="FOR_SC_IntCAInterestBearing">#REF!</definedName>
    <definedName name="FOR_SC_IntCash">#REF!</definedName>
    <definedName name="FOR_SC_IntCashForeign">#REF!</definedName>
    <definedName name="FOR_SC_IntCLInterestBearing">#REF!</definedName>
    <definedName name="FOR_SC_InterestExpense">#REF!</definedName>
    <definedName name="FOR_SC_InterestExpenseModel1">#REF!</definedName>
    <definedName name="FOR_SC_InterestExpenseModel2">#REF!</definedName>
    <definedName name="FOR_SC_InterestIncome">#REF!</definedName>
    <definedName name="FOR_SC_InterestIncomeModel1">#REF!</definedName>
    <definedName name="FOR_SC_InterestIncomeModel2">#REF!</definedName>
    <definedName name="FOR_SC_IntLTAssetsInterestBearing">#REF!</definedName>
    <definedName name="FOR_SC_IntLTDebt">#REF!</definedName>
    <definedName name="FOR_SC_IntRateCAInterestBearing">#REF!</definedName>
    <definedName name="FOR_SC_IntRateCash">#REF!</definedName>
    <definedName name="FOR_SC_IntRateCashForeign">#REF!</definedName>
    <definedName name="FOR_SC_IntRateCLInterestBearing">#REF!</definedName>
    <definedName name="FOR_SC_IntRateLTAssetsInterestBearing">#REF!</definedName>
    <definedName name="FOR_SC_IntRateLTDebt">#REF!</definedName>
    <definedName name="FOR_SC_IntRateSTDebt">#REF!</definedName>
    <definedName name="FOR_SC_IntRateSTInvestments">#REF!</definedName>
    <definedName name="FOR_SC_IntSTDebt">#REF!</definedName>
    <definedName name="FOR_SC_IntSTInvestments">#REF!</definedName>
    <definedName name="FOR_SC_RangeBankingRatios">#REF!</definedName>
    <definedName name="FOR_SC_RateTax">#REF!</definedName>
    <definedName name="FOR_SC_TotalAssetsInterestBearing">#REF!</definedName>
    <definedName name="FOR_SC_TotalBorrowing">#REF!</definedName>
    <definedName name="FOR_SC_TotalCAInterestBearing">#REF!</definedName>
    <definedName name="FOR_SC_TotalCLInterestBearing">#REF!</definedName>
    <definedName name="FOR_SC_TotalDeposits">#REF!</definedName>
    <definedName name="FOR_SC_TotalLiabilitiesInterestBearing">#REF!</definedName>
    <definedName name="FOR_SC_TotalNetTangibleAssets">#REF!</definedName>
    <definedName name="FOR_SD_AdjustmentFactorCumulative">#REF!</definedName>
    <definedName name="FOR_SD_CashDividends">#REF!</definedName>
    <definedName name="FOR_SD_DPS">#REF!</definedName>
    <definedName name="FOR_SD_DPSAdj">#REF!</definedName>
    <definedName name="FOR_SD_EPSPrimary">#REF!</definedName>
    <definedName name="FOR_SD_PayoutRatio">#REF!</definedName>
    <definedName name="FOR_SD_SharesPrimary">#REF!</definedName>
    <definedName name="Forecast_Year_end" localSheetId="2">#REF!</definedName>
    <definedName name="Forecast_Year_end">#REF!</definedName>
    <definedName name="Free_cash_flow" localSheetId="2">#REF!</definedName>
    <definedName name="Free_cash_flow">#REF!</definedName>
    <definedName name="Free_Reserves">#REF!</definedName>
    <definedName name="FV">#REF!</definedName>
    <definedName name="GI">#REF!</definedName>
    <definedName name="GLO_FOR_RangeModelOL01">#REF!</definedName>
    <definedName name="GLO_FOR_RangeModelOL02">#REF!</definedName>
    <definedName name="GLO_FOR_RangeModelOL03">#REF!</definedName>
    <definedName name="GLO_FOR_RangeModelOL04">#REF!</definedName>
    <definedName name="GLO_FOR_RangeModelOL05">#REF!</definedName>
    <definedName name="GLO_FOR_RangeModelOL06">#REF!</definedName>
    <definedName name="GLO_FOR_RangeModelOL07">#REF!</definedName>
    <definedName name="GLO_FOR_RangeModelOL08">#REF!</definedName>
    <definedName name="GLO_FOR_RangeModelOL09">#REF!</definedName>
    <definedName name="GLO_FOR_RangeModelOL10">#REF!</definedName>
    <definedName name="GLO_FOR_RangeModelOL11">#REF!</definedName>
    <definedName name="GLO_FOR_RangeModelOL12">#REF!</definedName>
    <definedName name="GLO_FOR_RangeModelOL13">#REF!</definedName>
    <definedName name="GLO_FOR_RangeModelOL14">#REF!</definedName>
    <definedName name="GLO_FOR_RangeModelOL15">#REF!</definedName>
    <definedName name="GLO_FOR_RangeModelOL16">#REF!</definedName>
    <definedName name="GLO_FOR_RangeModelOL17">#REF!</definedName>
    <definedName name="GLO_FOR_RangeModelOL18">#REF!</definedName>
    <definedName name="GLO_FOR_RangeModelOL19">#REF!</definedName>
    <definedName name="GLO_FOR_RangeModelOL20">#REF!</definedName>
    <definedName name="GLO_FOR_RangeModelOL21">#REF!</definedName>
    <definedName name="GLO_RangeModelChange1">#REF!</definedName>
    <definedName name="GLO_REP_RangeModelOL01">#REF!</definedName>
    <definedName name="GLO_REP_RangeModelOL02">#REF!</definedName>
    <definedName name="GLO_REP_RangeModelOL03">#REF!</definedName>
    <definedName name="GLO_REP_RangeModelOL04">#REF!</definedName>
    <definedName name="GLO_REP_RangeModelOL05">#REF!</definedName>
    <definedName name="Goodwill" localSheetId="2">#REF!</definedName>
    <definedName name="Goodwill">#REF!</definedName>
    <definedName name="Goodwill_Amort" localSheetId="2">#REF!</definedName>
    <definedName name="Goodwill_Amort">#REF!</definedName>
    <definedName name="Goodwill_growth_fore">#REF!</definedName>
    <definedName name="Gross_inc_growth">#REF!</definedName>
    <definedName name="Gross_income" localSheetId="2">#REF!</definedName>
    <definedName name="Gross_income">#REF!</definedName>
    <definedName name="Gross_income_fore">#REF!</definedName>
    <definedName name="Gross_income_growth_avg">#REF!</definedName>
    <definedName name="Gross_margin_fore">#REF!</definedName>
    <definedName name="Growth">#REF!</definedName>
    <definedName name="GrPbtIt">#REF!</definedName>
    <definedName name="GS">#REF!</definedName>
    <definedName name="Historical_Economic_Profit" localSheetId="2">#REF!</definedName>
    <definedName name="Historical_Economic_Profit">#REF!</definedName>
    <definedName name="Historical_Incremental_ROIC" localSheetId="2">#REF!</definedName>
    <definedName name="Historical_Incremental_ROIC">#REF!</definedName>
    <definedName name="IC_1" localSheetId="2">#REF!</definedName>
    <definedName name="IC_1">#REF!</definedName>
    <definedName name="IC_10" localSheetId="2">#REF!</definedName>
    <definedName name="IC_10">#REF!</definedName>
    <definedName name="IC_11" localSheetId="2">#REF!</definedName>
    <definedName name="IC_11">#REF!</definedName>
    <definedName name="IC_12" localSheetId="2">#REF!</definedName>
    <definedName name="IC_12">#REF!</definedName>
    <definedName name="IC_13" localSheetId="2">#REF!</definedName>
    <definedName name="IC_13">#REF!</definedName>
    <definedName name="IC_14" localSheetId="2">#REF!</definedName>
    <definedName name="IC_14">#REF!</definedName>
    <definedName name="IC_2" localSheetId="2">#REF!</definedName>
    <definedName name="IC_2">#REF!</definedName>
    <definedName name="IC_3" localSheetId="2">#REF!</definedName>
    <definedName name="IC_3">#REF!</definedName>
    <definedName name="IC_4" localSheetId="2">#REF!</definedName>
    <definedName name="IC_4">#REF!</definedName>
    <definedName name="IC_5" localSheetId="2">#REF!</definedName>
    <definedName name="IC_5">#REF!</definedName>
    <definedName name="IC_6" localSheetId="2">#REF!</definedName>
    <definedName name="IC_6">#REF!</definedName>
    <definedName name="IC_7" localSheetId="2">#REF!</definedName>
    <definedName name="IC_7">#REF!</definedName>
    <definedName name="IC_8" localSheetId="2">#REF!</definedName>
    <definedName name="IC_8">#REF!</definedName>
    <definedName name="IC_9" localSheetId="2">#REF!</definedName>
    <definedName name="IC_9">#REF!</definedName>
    <definedName name="IC_P" localSheetId="2">#REF!</definedName>
    <definedName name="IC_P">#REF!</definedName>
    <definedName name="IC_P1" localSheetId="2">#REF!</definedName>
    <definedName name="IC_P1">#REF!</definedName>
    <definedName name="IC_P2" localSheetId="2">#REF!</definedName>
    <definedName name="IC_P2">#REF!</definedName>
    <definedName name="IC_P3" localSheetId="2">#REF!</definedName>
    <definedName name="IC_P3">#REF!</definedName>
    <definedName name="icd">#REF!</definedName>
    <definedName name="ICDInv">#REF!</definedName>
    <definedName name="Img_ML_2x8r4a2e" hidden="1">"IMG_10"</definedName>
    <definedName name="Img_ML_5k1g6v5e" hidden="1">"IMG_11"</definedName>
    <definedName name="Img_ML_6f9i2b5e" hidden="1">"IMG_18"</definedName>
    <definedName name="Img_ML_7m5m4k3b" hidden="1">"IMG_6"</definedName>
    <definedName name="Img_ML_7n6h3t1t" hidden="1">"IMG_10"</definedName>
    <definedName name="Img_ML_8b9j5t1p" hidden="1">"IMG_10"</definedName>
    <definedName name="Img_ML_8i9u7w8k" hidden="1">"IMG_10"</definedName>
    <definedName name="Img_ML_8r1k8t4y" hidden="1">"IMG_10"</definedName>
    <definedName name="Inc_cap_RnD_fore">#REF!</definedName>
    <definedName name="Income_before_taxes">#REF!</definedName>
    <definedName name="Income_equivalents" localSheetId="2">#REF!</definedName>
    <definedName name="Income_equivalents">#REF!</definedName>
    <definedName name="Income_equivalents_fore">#REF!</definedName>
    <definedName name="Income_form_uncons_subs_fore">#REF!</definedName>
    <definedName name="Income_from_Unconsolidated_Subs" localSheetId="2">#REF!</definedName>
    <definedName name="Income_from_Unconsolidated_Subs">#REF!</definedName>
    <definedName name="Income_tax" localSheetId="2">#REF!</definedName>
    <definedName name="Income_tax">#REF!</definedName>
    <definedName name="Income_tax_fore">#REF!</definedName>
    <definedName name="Income_tax_growth_fore">#REF!</definedName>
    <definedName name="Income_tax_rate" localSheetId="2">#REF!</definedName>
    <definedName name="Income_tax_rate">#REF!</definedName>
    <definedName name="Income_taxes_payable" localSheetId="2">#REF!</definedName>
    <definedName name="Income_taxes_payable">#REF!</definedName>
    <definedName name="Income_taxes_payable_growth_fore">#REF!</definedName>
    <definedName name="Increase_cap_RnD_fore">#REF!</definedName>
    <definedName name="Increase_Capitalized_R_D_net" localSheetId="2">#REF!</definedName>
    <definedName name="Increase_Capitalized_R_D_net">#REF!</definedName>
    <definedName name="Increase_Deferred_Taxes" localSheetId="2">#REF!</definedName>
    <definedName name="Increase_Deferred_Taxes">#REF!</definedName>
    <definedName name="Increase_in_Deferred_tax_liabilities">#REF!</definedName>
    <definedName name="Increase_in_other_liabilities">#REF!</definedName>
    <definedName name="Increase_in_other_reserves" localSheetId="2">#REF!</definedName>
    <definedName name="Increase_in_other_reserves">#REF!</definedName>
    <definedName name="Increase_LIFO_Reserve" localSheetId="2">#REF!</definedName>
    <definedName name="Increase_LIFO_Reserve">#REF!</definedName>
    <definedName name="Incremental_investment" localSheetId="2">#REF!</definedName>
    <definedName name="Incremental_investment">#REF!</definedName>
    <definedName name="Incremental_ROIC" localSheetId="2">#REF!</definedName>
    <definedName name="Incremental_ROIC">#REF!</definedName>
    <definedName name="Incremental_ROIC_DCF" localSheetId="2">#REF!</definedName>
    <definedName name="Incremental_ROIC_DCF">#REF!</definedName>
    <definedName name="InstCap" hidden="1">#REF!,#REF!,#REF!,#REF!,#REF!,#REF!,#REF!,#REF!</definedName>
    <definedName name="Int_exp_OL" localSheetId="2">#REF!</definedName>
    <definedName name="Int_exp_OL">#REF!</definedName>
    <definedName name="IntCap">#REF!</definedName>
    <definedName name="IntCost">#REF!</definedName>
    <definedName name="IntDivTrf">#REF!</definedName>
    <definedName name="Interest_exp_growth_fore">#REF!</definedName>
    <definedName name="Interest_exp_inc_fore">#REF!</definedName>
    <definedName name="Interest_expense_after_taxes" localSheetId="2">#REF!</definedName>
    <definedName name="Interest_expense_after_taxes">#REF!</definedName>
    <definedName name="Interest_expense_income" localSheetId="2">#REF!</definedName>
    <definedName name="Interest_expense_income">#REF!</definedName>
    <definedName name="Interest_expense_oper_leases" localSheetId="2">#REF!</definedName>
    <definedName name="Interest_expense_oper_leases">#REF!</definedName>
    <definedName name="Interest_oper_lease" localSheetId="2">#REF!</definedName>
    <definedName name="Interest_oper_lease">#REF!</definedName>
    <definedName name="Inv">#REF!</definedName>
    <definedName name="InvChg" hidden="1">#REF!</definedName>
    <definedName name="Inventory" localSheetId="2">#REF!</definedName>
    <definedName name="Inventory">#REF!</definedName>
    <definedName name="Inventory_growth_fore">#REF!</definedName>
    <definedName name="Inventory_turns" localSheetId="2">#REF!</definedName>
    <definedName name="Inventory_turns">#REF!</definedName>
    <definedName name="Invested_capital" localSheetId="2">#REF!</definedName>
    <definedName name="Invested_capital">#REF!</definedName>
    <definedName name="Invested_Capital_Core" localSheetId="2">#REF!</definedName>
    <definedName name="Invested_Capital_Core">#REF!</definedName>
    <definedName name="Invested_capital_DCF" localSheetId="2">#REF!</definedName>
    <definedName name="Invested_capital_DCF">#REF!</definedName>
    <definedName name="Invested_capital_growth_fore">#REF!</definedName>
    <definedName name="Invested_capital_turns" localSheetId="2">#REF!</definedName>
    <definedName name="Invested_capital_turns">#REF!</definedName>
    <definedName name="Invested_capital_turns_DCF" localSheetId="2">#REF!</definedName>
    <definedName name="Invested_capital_turns_DCF">#REF!</definedName>
    <definedName name="Invested_capital_turns_fore">#REF!</definedName>
    <definedName name="Investments_in_Unconsolidated_Subs" localSheetId="2">#REF!</definedName>
    <definedName name="Investments_in_Unconsolidated_Subs">#REF!</definedName>
    <definedName name="Invt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46128.4856365741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_1">#REF!</definedName>
    <definedName name="IS_10">#REF!</definedName>
    <definedName name="IS_11">#REF!</definedName>
    <definedName name="IS_12">#REF!</definedName>
    <definedName name="IS_13">#REF!</definedName>
    <definedName name="IS_14">#REF!</definedName>
    <definedName name="IS_2">#REF!</definedName>
    <definedName name="IS_3">#REF!</definedName>
    <definedName name="IS_4">#REF!</definedName>
    <definedName name="IS_5">#REF!</definedName>
    <definedName name="IS_6">#REF!</definedName>
    <definedName name="IS_7">#REF!</definedName>
    <definedName name="IS_8">#REF!</definedName>
    <definedName name="IS_9">#REF!</definedName>
    <definedName name="IS_p">#REF!</definedName>
    <definedName name="ITDepr">#REF!</definedName>
    <definedName name="ITDepRt">#REF!</definedName>
    <definedName name="Ivnt">#REF!</definedName>
    <definedName name="IvntDays">#REF!</definedName>
    <definedName name="Kd">#REF!</definedName>
    <definedName name="Ke" localSheetId="2">#REF!</definedName>
    <definedName name="Ke">#REF!</definedName>
    <definedName name="L_T_obligations_under_cap_leases" localSheetId="2">#REF!</definedName>
    <definedName name="L_T_obligations_under_cap_leases">#REF!</definedName>
    <definedName name="LastCell">#REF!</definedName>
    <definedName name="Lease_thereafter" localSheetId="2">#REF!</definedName>
    <definedName name="Lease_thereafter">#REF!</definedName>
    <definedName name="Lease_years" localSheetId="2">#REF!</definedName>
    <definedName name="Lease_years">#REF!</definedName>
    <definedName name="Lease_yr_1" localSheetId="2">#REF!</definedName>
    <definedName name="Lease_yr_1">#REF!</definedName>
    <definedName name="Lease_yr_2" localSheetId="2">#REF!</definedName>
    <definedName name="Lease_yr_2">#REF!</definedName>
    <definedName name="Lease_yr_3" localSheetId="2">#REF!</definedName>
    <definedName name="Lease_yr_3">#REF!</definedName>
    <definedName name="Lease_yr_4" localSheetId="2">#REF!</definedName>
    <definedName name="Lease_yr_4">#REF!</definedName>
    <definedName name="Lease_yr_5" localSheetId="2">#REF!</definedName>
    <definedName name="Lease_yr_5">#REF!</definedName>
    <definedName name="LIFO_Reserve" localSheetId="2">#REF!</definedName>
    <definedName name="LIFO_Reserve">#REF!</definedName>
    <definedName name="Loan">#REF!</definedName>
    <definedName name="Loan_Loss_Provision_fore">#REF!</definedName>
    <definedName name="LookUpYears">#REF!</definedName>
    <definedName name="LT_debt" localSheetId="2">#REF!</definedName>
    <definedName name="LT_debt">#REF!</definedName>
    <definedName name="LT_debt_growth_fore">#REF!</definedName>
    <definedName name="LTDebt">#REF!</definedName>
    <definedName name="LtDebtChg" hidden="1">#REF!</definedName>
    <definedName name="LtDebtDmy" hidden="1">#REF!,#REF!,#REF!,#REF!,#REF!</definedName>
    <definedName name="LtDebtInt">#REF!</definedName>
    <definedName name="LTDebtSer" hidden="1">#REF!</definedName>
    <definedName name="LtInt">#REF!</definedName>
    <definedName name="Marginal_tax_rate">#REF!</definedName>
    <definedName name="Market_capitalization">#REF!</definedName>
    <definedName name="Market_Implied_CAP">#REF!</definedName>
    <definedName name="METRIC_DOWNSIDE_CASE">#REF!</definedName>
    <definedName name="METRIC_PRICE_TARGET">#REF!</definedName>
    <definedName name="METRIC_UPSIDE_CASE">#REF!</definedName>
    <definedName name="MfgExp">#REF!</definedName>
    <definedName name="MfgExpSer" hidden="1">#REF!</definedName>
    <definedName name="Minority_Interests" localSheetId="2">#REF!</definedName>
    <definedName name="Minority_Interests">#REF!</definedName>
    <definedName name="ModeName">#REF!</definedName>
    <definedName name="N_A" localSheetId="2">#REF!</definedName>
    <definedName name="N_A">#REF!</definedName>
    <definedName name="Net_Adj_capitalized_expenses" localSheetId="2">#REF!</definedName>
    <definedName name="Net_Adj_capitalized_expenses">#REF!</definedName>
    <definedName name="Net_adj_for_capitalized_expenses">#REF!</definedName>
    <definedName name="Net_Income" localSheetId="2">#REF!</definedName>
    <definedName name="Net_Income">#REF!</definedName>
    <definedName name="Net_income_adj_cap_expenses" localSheetId="2">#REF!</definedName>
    <definedName name="Net_income_adj_cap_expenses">#REF!</definedName>
    <definedName name="Net_income_fore">#REF!</definedName>
    <definedName name="Net_income_growth" localSheetId="2">#REF!</definedName>
    <definedName name="Net_income_growth">#REF!</definedName>
    <definedName name="Net_income_growth_avg">#REF!</definedName>
    <definedName name="Net_margin" localSheetId="2">#REF!</definedName>
    <definedName name="Net_margin">#REF!</definedName>
    <definedName name="Net_margin_fore">#REF!</definedName>
    <definedName name="Net_PPE" localSheetId="2">#REF!</definedName>
    <definedName name="Net_PPE">#REF!</definedName>
    <definedName name="Net_PPE_DCF" localSheetId="2">#REF!</definedName>
    <definedName name="Net_PPE_DCF">#REF!</definedName>
    <definedName name="Net_PPE_growth_fore">#REF!</definedName>
    <definedName name="Net_property_under_capital_leases" localSheetId="2">#REF!</definedName>
    <definedName name="Net_property_under_capital_leases">#REF!</definedName>
    <definedName name="Net_sales" localSheetId="2">#REF!</definedName>
    <definedName name="Net_sales">#REF!</definedName>
    <definedName name="Net_sales_DCF" localSheetId="2">#REF!</definedName>
    <definedName name="Net_sales_DCF">#REF!</definedName>
    <definedName name="Net_sales_fore">#REF!</definedName>
    <definedName name="Net_sales_growth_fore">#REF!</definedName>
    <definedName name="Net_Tax_Benefit_of_Non_Op_Charges_Gains" localSheetId="2">#REF!</definedName>
    <definedName name="Net_Tax_Benefit_of_Non_Op_Charges_Gains">#REF!</definedName>
    <definedName name="Net_Unrealized_Gains_Losses" localSheetId="2">#REF!</definedName>
    <definedName name="Net_Unrealized_Gains_Losses">#REF!</definedName>
    <definedName name="Net_working_capital" localSheetId="2">#REF!</definedName>
    <definedName name="Net_working_capital">#REF!</definedName>
    <definedName name="Net_Working_Capital_Core" localSheetId="2">#REF!</definedName>
    <definedName name="Net_Working_Capital_Core">#REF!</definedName>
    <definedName name="Net_working_capital_DCF" localSheetId="2">#REF!</definedName>
    <definedName name="Net_working_capital_DCF">#REF!</definedName>
    <definedName name="Net_working_capital_turns" localSheetId="2">#REF!</definedName>
    <definedName name="Net_working_capital_turns">#REF!</definedName>
    <definedName name="Net_working_capital_turns_DCF" localSheetId="2">#REF!</definedName>
    <definedName name="Net_working_capital_turns_DCF">#REF!</definedName>
    <definedName name="NetCA">#REF!</definedName>
    <definedName name="NetCAChg" hidden="1">#REF!</definedName>
    <definedName name="NetDebt">#REF!</definedName>
    <definedName name="NetDebtChg" hidden="1">#REF!</definedName>
    <definedName name="NetEq">#REF!</definedName>
    <definedName name="NetEqChg" hidden="1">#REF!</definedName>
    <definedName name="NetEstInt">#REF!</definedName>
    <definedName name="NetOpInc">#REF!</definedName>
    <definedName name="NetRsrv">#REF!</definedName>
    <definedName name="NetWC_turns_fore">#REF!</definedName>
    <definedName name="newdata">#REF!</definedName>
    <definedName name="NFA">#REF!</definedName>
    <definedName name="NFAChg" hidden="1">#REF!</definedName>
    <definedName name="NI">#REF!</definedName>
    <definedName name="NIBCLs" localSheetId="2">#REF!</definedName>
    <definedName name="NIBCLs">#REF!</definedName>
    <definedName name="Non_Recurring_loss_gain" localSheetId="2">#REF!</definedName>
    <definedName name="Non_Recurring_loss_gain">#REF!</definedName>
    <definedName name="NOPAT" localSheetId="2">#REF!</definedName>
    <definedName name="NOPAT">#REF!</definedName>
    <definedName name="NOPAT_Core">#REF!</definedName>
    <definedName name="NOPAT_DCF" localSheetId="2">#REF!</definedName>
    <definedName name="NOPAT_DCF">#REF!</definedName>
    <definedName name="NOPAT_fore">#REF!</definedName>
    <definedName name="NOPAT_growth" localSheetId="2">#REF!</definedName>
    <definedName name="NOPAT_growth">#REF!</definedName>
    <definedName name="NOPAT_growth_avg">#REF!</definedName>
    <definedName name="NOPAT_margin" localSheetId="2">#REF!</definedName>
    <definedName name="NOPAT_margin">#REF!</definedName>
    <definedName name="NOPAT_margin_fore">#REF!</definedName>
    <definedName name="NOPAT_Margins_Core">#REF!</definedName>
    <definedName name="NOPAT_Share">#REF!</definedName>
    <definedName name="NOPBT" localSheetId="2">#REF!</definedName>
    <definedName name="NOPBT">#REF!</definedName>
    <definedName name="NOPBT_fore">#REF!</definedName>
    <definedName name="Norm_forecast_11_15">#REF!</definedName>
    <definedName name="Norm_forecast_16_25">#REF!</definedName>
    <definedName name="Norm_forecast_4_5">#REF!</definedName>
    <definedName name="Norm_forecast_6_10">#REF!</definedName>
    <definedName name="NPT_1" localSheetId="2">#REF!</definedName>
    <definedName name="NPT_1">#REF!</definedName>
    <definedName name="NPT_10" localSheetId="2">#REF!</definedName>
    <definedName name="NPT_10">#REF!</definedName>
    <definedName name="NPT_11" localSheetId="2">#REF!</definedName>
    <definedName name="NPT_11">#REF!</definedName>
    <definedName name="NPT_12" localSheetId="2">#REF!</definedName>
    <definedName name="NPT_12">#REF!</definedName>
    <definedName name="NPT_13" localSheetId="2">#REF!</definedName>
    <definedName name="NPT_13">#REF!</definedName>
    <definedName name="NPT_14" localSheetId="2">#REF!</definedName>
    <definedName name="NPT_14">#REF!</definedName>
    <definedName name="NPT_2" localSheetId="2">#REF!</definedName>
    <definedName name="NPT_2">#REF!</definedName>
    <definedName name="NPT_3" localSheetId="2">#REF!</definedName>
    <definedName name="NPT_3">#REF!</definedName>
    <definedName name="NPT_4" localSheetId="2">#REF!</definedName>
    <definedName name="NPT_4">#REF!</definedName>
    <definedName name="NPT_5" localSheetId="2">#REF!</definedName>
    <definedName name="NPT_5">#REF!</definedName>
    <definedName name="NPT_6" localSheetId="2">#REF!</definedName>
    <definedName name="NPT_6">#REF!</definedName>
    <definedName name="NPT_7" localSheetId="2">#REF!</definedName>
    <definedName name="NPT_7">#REF!</definedName>
    <definedName name="NPT_8" localSheetId="2">#REF!</definedName>
    <definedName name="NPT_8">#REF!</definedName>
    <definedName name="NPT_9" localSheetId="2">#REF!</definedName>
    <definedName name="NPT_9">#REF!</definedName>
    <definedName name="NPT_EY1" localSheetId="2">#REF!</definedName>
    <definedName name="NPT_EY1">#REF!</definedName>
    <definedName name="NPT_EY2" localSheetId="2">#REF!</definedName>
    <definedName name="NPT_EY2">#REF!</definedName>
    <definedName name="NPT_EY3" localSheetId="2">#REF!</definedName>
    <definedName name="NPT_EY3">#REF!</definedName>
    <definedName name="NPT_P" localSheetId="2">#REF!</definedName>
    <definedName name="NPT_P">#REF!</definedName>
    <definedName name="NRItem">#REF!</definedName>
    <definedName name="NS">#REF!</definedName>
    <definedName name="NtnlPr" hidden="1">#REF!</definedName>
    <definedName name="Number_of_Shares">#REF!</definedName>
    <definedName name="NW">#REF!</definedName>
    <definedName name="Off_B_S_Income">#REF!</definedName>
    <definedName name="Off_B_S_Income_DCF" localSheetId="2">#REF!</definedName>
    <definedName name="Off_B_S_Income_DCF">#REF!</definedName>
    <definedName name="Off_B_S_Income_fore">#REF!</definedName>
    <definedName name="Off_B_S_Income_growth_fore">#REF!</definedName>
    <definedName name="OL_1" localSheetId="2">#REF!</definedName>
    <definedName name="OL_1">#REF!</definedName>
    <definedName name="OL_10" localSheetId="2">#REF!</definedName>
    <definedName name="OL_10">#REF!</definedName>
    <definedName name="OL_11" localSheetId="2">#REF!</definedName>
    <definedName name="OL_11">#REF!</definedName>
    <definedName name="OL_12" localSheetId="2">#REF!</definedName>
    <definedName name="OL_12">#REF!</definedName>
    <definedName name="OL_13" localSheetId="2">#REF!</definedName>
    <definedName name="OL_13">#REF!</definedName>
    <definedName name="OL_14" localSheetId="2">#REF!</definedName>
    <definedName name="OL_14">#REF!</definedName>
    <definedName name="OL_2" localSheetId="2">#REF!</definedName>
    <definedName name="OL_2">#REF!</definedName>
    <definedName name="OL_3" localSheetId="2">#REF!</definedName>
    <definedName name="OL_3">#REF!</definedName>
    <definedName name="OL_4" localSheetId="2">#REF!</definedName>
    <definedName name="OL_4">#REF!</definedName>
    <definedName name="OL_5" localSheetId="2">#REF!</definedName>
    <definedName name="OL_5">#REF!</definedName>
    <definedName name="OL_6" localSheetId="2">#REF!</definedName>
    <definedName name="OL_6">#REF!</definedName>
    <definedName name="OL_7" localSheetId="2">#REF!</definedName>
    <definedName name="OL_7">#REF!</definedName>
    <definedName name="OL_8" localSheetId="2">#REF!</definedName>
    <definedName name="OL_8">#REF!</definedName>
    <definedName name="OL_9" localSheetId="2">#REF!</definedName>
    <definedName name="OL_9">#REF!</definedName>
    <definedName name="OL_P" localSheetId="2">#REF!</definedName>
    <definedName name="OL_P">#REF!</definedName>
    <definedName name="onsolidate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OpEqSh">#REF!</definedName>
    <definedName name="Operating_Expenses" localSheetId="2">#REF!</definedName>
    <definedName name="Operating_Expenses">#REF!</definedName>
    <definedName name="Operating_income" localSheetId="2">#REF!</definedName>
    <definedName name="Operating_income">#REF!</definedName>
    <definedName name="Operating_income_fore">#REF!</definedName>
    <definedName name="Operating_Lease_Expense" localSheetId="2">#REF!</definedName>
    <definedName name="Operating_Lease_Expense">#REF!</definedName>
    <definedName name="Operating_Lease_Expense_fore">#REF!</definedName>
    <definedName name="OpIncDmy" hidden="1">#REF!</definedName>
    <definedName name="OpIncSer" hidden="1">#REF!</definedName>
    <definedName name="OthCFItem">#REF!</definedName>
    <definedName name="Other" localSheetId="2">#REF!</definedName>
    <definedName name="Other">#REF!</definedName>
    <definedName name="Other_Asset_Core" localSheetId="2">#REF!</definedName>
    <definedName name="Other_Asset_Core">#REF!</definedName>
    <definedName name="Other_asset_turns" localSheetId="2">#REF!</definedName>
    <definedName name="Other_asset_turns">#REF!</definedName>
    <definedName name="Other_asset_turns_DCF" localSheetId="2">#REF!</definedName>
    <definedName name="Other_asset_turns_DCF">#REF!</definedName>
    <definedName name="Other_asset_turns_fore">#REF!</definedName>
    <definedName name="Other_assets" localSheetId="2">#REF!</definedName>
    <definedName name="Other_assets">#REF!</definedName>
    <definedName name="Other_assets_DCF" localSheetId="2">#REF!</definedName>
    <definedName name="Other_assets_DCF">#REF!</definedName>
    <definedName name="Other_Assets2" localSheetId="2">#REF!</definedName>
    <definedName name="Other_Assets2">#REF!</definedName>
    <definedName name="Other_current_assets" localSheetId="2">#REF!</definedName>
    <definedName name="Other_current_assets">#REF!</definedName>
    <definedName name="Other_current_assets_growth_fore">#REF!</definedName>
    <definedName name="Other_Current_Assets2" localSheetId="2">#REF!</definedName>
    <definedName name="Other_Current_Assets2">#REF!</definedName>
    <definedName name="Other_current_liabilities" localSheetId="2">#REF!</definedName>
    <definedName name="Other_current_liabilities">#REF!</definedName>
    <definedName name="Other_current_liabilities_growth_fore">#REF!</definedName>
    <definedName name="Other_Current_Liabilities2" localSheetId="2">#REF!</definedName>
    <definedName name="Other_Current_Liabilities2">#REF!</definedName>
    <definedName name="Other_DCF" localSheetId="2">#REF!</definedName>
    <definedName name="Other_DCF">#REF!</definedName>
    <definedName name="Other_dividends">#REF!</definedName>
    <definedName name="Other_Expenses" localSheetId="2">#REF!</definedName>
    <definedName name="Other_Expenses">#REF!</definedName>
    <definedName name="Other_Expenses_fore">#REF!</definedName>
    <definedName name="Other_expenses_gains" localSheetId="2">#REF!</definedName>
    <definedName name="Other_expenses_gains">#REF!</definedName>
    <definedName name="Other_expenses_gains_fore">#REF!</definedName>
    <definedName name="Other_expenses_growth_fore">#REF!</definedName>
    <definedName name="Other_fixed_asset_turns" localSheetId="2">#REF!</definedName>
    <definedName name="Other_fixed_asset_turns">#REF!</definedName>
    <definedName name="Other_fixed_asset_turns_fore">#REF!</definedName>
    <definedName name="Other_fixed_assets" localSheetId="2">#REF!</definedName>
    <definedName name="Other_fixed_assets">#REF!</definedName>
    <definedName name="Other_fixed_assets_growth_fore">#REF!</definedName>
    <definedName name="Other_fixed_assets2" localSheetId="2">#REF!</definedName>
    <definedName name="Other_fixed_assets2">#REF!</definedName>
    <definedName name="Other_growth_fore">#REF!</definedName>
    <definedName name="Other_inc_exp_fore">#REF!</definedName>
    <definedName name="Other_Income" localSheetId="2">#REF!</definedName>
    <definedName name="Other_Income">#REF!</definedName>
    <definedName name="Other_income_growth_fore">#REF!</definedName>
    <definedName name="Other_Intangible_Assets" localSheetId="2">#REF!</definedName>
    <definedName name="Other_Intangible_Assets">#REF!</definedName>
    <definedName name="Other_liabilities" localSheetId="2">#REF!</definedName>
    <definedName name="Other_liabilities">#REF!</definedName>
    <definedName name="Other_liabilities_growth_fore">#REF!</definedName>
    <definedName name="Other_liabilities2" localSheetId="2">#REF!</definedName>
    <definedName name="Other_liabilities2">#REF!</definedName>
    <definedName name="Other_LT_Debt" localSheetId="2">#REF!</definedName>
    <definedName name="Other_LT_Debt">#REF!</definedName>
    <definedName name="Other_ncome_expenses" localSheetId="2">#REF!</definedName>
    <definedName name="Other_ncome_expenses">#REF!</definedName>
    <definedName name="Other_reserves" localSheetId="2">#REF!</definedName>
    <definedName name="Other_reserves">#REF!</definedName>
    <definedName name="Other_Segment_Revenues">#REF!</definedName>
    <definedName name="Other_ST_Debt" localSheetId="2">#REF!</definedName>
    <definedName name="Other_ST_Debt">#REF!</definedName>
    <definedName name="OthOpInc">#REF!</definedName>
    <definedName name="page1">#REF!</definedName>
    <definedName name="page2">#REF!</definedName>
    <definedName name="Partial_year">#REF!</definedName>
    <definedName name="PAT">#REF!</definedName>
    <definedName name="PBT">#REF!</definedName>
    <definedName name="PDvTax">#REF!</definedName>
    <definedName name="pebanddata">#REF!</definedName>
    <definedName name="pereldata">#REF!</definedName>
    <definedName name="PL">#REF!</definedName>
    <definedName name="Plant_Wise_Capacity">#REF!</definedName>
    <definedName name="PPnE_turns_fore">#REF!</definedName>
    <definedName name="PrDiv">#REF!</definedName>
    <definedName name="Preferred_book_value" localSheetId="2">#REF!</definedName>
    <definedName name="Preferred_book_value">#REF!</definedName>
    <definedName name="Preferred_Dividends" localSheetId="2">#REF!</definedName>
    <definedName name="Preferred_Dividends">#REF!</definedName>
    <definedName name="Preferred_stock" localSheetId="2">#REF!</definedName>
    <definedName name="Preferred_stock">#REF!</definedName>
    <definedName name="Preferred_stock_growth_fore">#REF!</definedName>
    <definedName name="Present_Value_Oper_lease" localSheetId="2">#REF!</definedName>
    <definedName name="Present_Value_Oper_lease">#REF!</definedName>
    <definedName name="Pretax_income" localSheetId="2">#REF!</definedName>
    <definedName name="Pretax_income">#REF!</definedName>
    <definedName name="Pretax_income_fore">#REF!</definedName>
    <definedName name="PrfDmy" hidden="1">#REF!</definedName>
    <definedName name="PrfShSer" hidden="1">#REF!</definedName>
    <definedName name="price">#REF!</definedName>
    <definedName name="priceh">#REF!</definedName>
    <definedName name="Print_Area_MI">#REF!</definedName>
    <definedName name="ProdDmy" hidden="1">#REF!</definedName>
    <definedName name="Productwise_Capacity">#REF!</definedName>
    <definedName name="Profit_and_Loss_Account">#REF!</definedName>
    <definedName name="PrsExp">#REF!</definedName>
    <definedName name="PrsExpSer" hidden="1">#REF!</definedName>
    <definedName name="PrsVar">#REF!</definedName>
    <definedName name="PrTax">#REF!</definedName>
    <definedName name="pryear">#REF!</definedName>
    <definedName name="PrYears" hidden="1">#REF!</definedName>
    <definedName name="PV_of_Economic_Profit" localSheetId="2">#REF!</definedName>
    <definedName name="PV_of_Economic_Profit">#REF!</definedName>
    <definedName name="PV_of_FCF" localSheetId="2">#REF!</definedName>
    <definedName name="PV_of_FCF">#REF!</definedName>
    <definedName name="PV_of_Residual_Value" localSheetId="2">#REF!</definedName>
    <definedName name="PV_of_Residual_Value">#REF!</definedName>
    <definedName name="PV_Oper_lease" localSheetId="2">#REF!</definedName>
    <definedName name="PV_Oper_lease">#REF!</definedName>
    <definedName name="PVGO" localSheetId="2">#REF!</definedName>
    <definedName name="PVGO">#REF!</definedName>
    <definedName name="qq" hidden="1">#REF!</definedName>
    <definedName name="QuanOpDmy">#REF!,#REF!,#REF!,#REF!,#REF!,#REF!</definedName>
    <definedName name="R_D_amort_years" localSheetId="2">#REF!</definedName>
    <definedName name="R_D_amort_years">#REF!</definedName>
    <definedName name="R_D_Amortization" localSheetId="2">#REF!</definedName>
    <definedName name="R_D_Amortization">#REF!</definedName>
    <definedName name="R_D_Capzed" localSheetId="2">#REF!</definedName>
    <definedName name="R_D_Capzed">#REF!</definedName>
    <definedName name="R_D_expense" localSheetId="2">#REF!</definedName>
    <definedName name="R_D_expense">#REF!</definedName>
    <definedName name="R_D_expense_IS" localSheetId="2">#REF!</definedName>
    <definedName name="R_D_expense_IS">#REF!</definedName>
    <definedName name="RangeLookUpYears">#REF!</definedName>
    <definedName name="RAT_AdminExpensesGrowth">#REF!</definedName>
    <definedName name="RAT_AdminIncomeGrowth">#REF!</definedName>
    <definedName name="RAT_AdminMargin">#REF!</definedName>
    <definedName name="RAT_AvgShareholdersFunds">#REF!</definedName>
    <definedName name="RAT_AvgTotalAssets">#REF!</definedName>
    <definedName name="RAT_BAN_AvgEarningAssets">#REF!</definedName>
    <definedName name="RAT_BAN_AvgEarningAssetsGrowth">#REF!</definedName>
    <definedName name="RAT_BAN_AvgEarningAssetsToTotalAssets">#REF!</definedName>
    <definedName name="RAT_BAN_BorrowingGrowth">#REF!</definedName>
    <definedName name="RAT_BAN_DepositGrowth">#REF!</definedName>
    <definedName name="RAT_BAN_ExpenseRatio">#REF!</definedName>
    <definedName name="RAT_BAN_ICG">#REF!</definedName>
    <definedName name="RAT_BAN_ICGExcExceptionals">#REF!</definedName>
    <definedName name="RAT_BAN_InterestSpread">#REF!</definedName>
    <definedName name="RAT_BAN_LLPToNetProfit">#REF!</definedName>
    <definedName name="RAT_BAN_LLPToTotalEquity">#REF!</definedName>
    <definedName name="RAT_BAN_LLPToTotalLoans">#REF!</definedName>
    <definedName name="RAT_BAN_LoanGrowth">#REF!</definedName>
    <definedName name="RAT_BAN_LoanLossProvisionToTotalAssets">#REF!</definedName>
    <definedName name="RAT_BAN_NetInterestIncomeToTotalAssets">#REF!</definedName>
    <definedName name="RAT_BAN_NetProfitExcExceptionalsToTotalAss">#REF!</definedName>
    <definedName name="RAT_BAN_NetProfitToTotalAss">#REF!</definedName>
    <definedName name="RAT_BAN_NonInterestExpenseToTotalAss">#REF!</definedName>
    <definedName name="RAT_BAN_NonInterestIncomeToOperatingIncome">#REF!</definedName>
    <definedName name="RAT_BAN_NonInterestIncomeToTotalAssets">#REF!</definedName>
    <definedName name="RAT_BAN_OperatingIncomeToTotalAss">#REF!</definedName>
    <definedName name="RAT_BAN_OtherExpenseToOperatingIncome">#REF!</definedName>
    <definedName name="RAT_BAN_OtherIncomeToOperatingIncome">#REF!</definedName>
    <definedName name="RAT_BAN_OtherIncomeToTotalAss">#REF!</definedName>
    <definedName name="RAT_BAN_PreTaxProfitToTotalAss">#REF!</definedName>
    <definedName name="RAT_BAN_Profitibility">#REF!</definedName>
    <definedName name="RAT_BAN_RevenueComposition">#REF!</definedName>
    <definedName name="RAT_BAN_TaxToTotalAssets">#REF!</definedName>
    <definedName name="RAT_BAN_TotalEarningAssetsGrowth">#REF!</definedName>
    <definedName name="RAT_BAN_User011">#REF!</definedName>
    <definedName name="RAT_BAN_User031">#REF!</definedName>
    <definedName name="RAT_BAN_User032">#REF!</definedName>
    <definedName name="RAT_BAN_User041">#REF!</definedName>
    <definedName name="RAT_BAN_User042">#REF!</definedName>
    <definedName name="RAT_BAN_User043">#REF!</definedName>
    <definedName name="RAT_BAN_User044">#REF!</definedName>
    <definedName name="RAT_BAN_User045">#REF!</definedName>
    <definedName name="RAT_BAN_User051">#REF!</definedName>
    <definedName name="RAT_BAN_User052">#REF!</definedName>
    <definedName name="RAT_BAN_User071">#REF!</definedName>
    <definedName name="RAT_BAN_User072">#REF!</definedName>
    <definedName name="RAT_BAN_User073">#REF!</definedName>
    <definedName name="RAT_BAN_User074">#REF!</definedName>
    <definedName name="RAT_BAN_User101">#REF!</definedName>
    <definedName name="RAT_BAN_User102">#REF!</definedName>
    <definedName name="RAT_BAN_User103">#REF!</definedName>
    <definedName name="RAT_BAN_User104">#REF!</definedName>
    <definedName name="RAT_BAN_User105">#REF!</definedName>
    <definedName name="RAT_BAN_User106">#REF!</definedName>
    <definedName name="RAT_BAN_User107">#REF!</definedName>
    <definedName name="RAT_BAN_User108">#REF!</definedName>
    <definedName name="RAT_BAN_User109">#REF!</definedName>
    <definedName name="RAT_BAN_User110">#REF!</definedName>
    <definedName name="RAT_BAN_User111">#REF!</definedName>
    <definedName name="RAT_BAN_User112">#REF!</definedName>
    <definedName name="RAT_BAN_User113">#REF!</definedName>
    <definedName name="RAT_BAN_User114">#REF!</definedName>
    <definedName name="RAT_BAN_User115">#REF!</definedName>
    <definedName name="RAT_BAN_User116">#REF!</definedName>
    <definedName name="RAT_BAN_User117">#REF!</definedName>
    <definedName name="RAT_BAN_User118">#REF!</definedName>
    <definedName name="RAT_BAN_User119">#REF!</definedName>
    <definedName name="RAT_BAN_User120">#REF!</definedName>
    <definedName name="RAT_BAN_User121">#REF!</definedName>
    <definedName name="RAT_BAN_User122">#REF!</definedName>
    <definedName name="RAT_BAN_User123">#REF!</definedName>
    <definedName name="RAT_BAN_YieldOnEarningAssets">#REF!</definedName>
    <definedName name="RAT_BookValue">#REF!</definedName>
    <definedName name="RAT_CapitalEmployed">#REF!</definedName>
    <definedName name="RAT_CFPS">#REF!</definedName>
    <definedName name="RAT_CFPSGrowth">#REF!</definedName>
    <definedName name="RAT_CGSGrowth">#REF!</definedName>
    <definedName name="RAT_CreditorDays">#REF!</definedName>
    <definedName name="RAT_CurrentRatio">#REF!</definedName>
    <definedName name="RAT_DebtorDays">#REF!</definedName>
    <definedName name="RAT_DebtToEquity">#REF!</definedName>
    <definedName name="RAT_DebtToOperatingCashFlow">#REF!</definedName>
    <definedName name="RAT_DividendCover">#REF!</definedName>
    <definedName name="RAT_DividendPayOutRatio">#REF!</definedName>
    <definedName name="RAT_DPS">#REF!</definedName>
    <definedName name="RAT_DPSGrowth">#REF!</definedName>
    <definedName name="RAT_EBITDAGrowth">#REF!</definedName>
    <definedName name="RAT_EBITDAMargin">#REF!</definedName>
    <definedName name="RAT_EBITGrowth">#REF!</definedName>
    <definedName name="RAT_EBITMargin">#REF!</definedName>
    <definedName name="RAT_EBITtoCapitalEmployed">#REF!</definedName>
    <definedName name="RAT_EPS">#REF!</definedName>
    <definedName name="RAT_EPSAdj">#REF!</definedName>
    <definedName name="RAT_EPSAdjusted">#REF!</definedName>
    <definedName name="RAT_EPSAdjustedExcExceptionals">#REF!</definedName>
    <definedName name="RAT_EPSExcExceptionals">#REF!</definedName>
    <definedName name="RAT_EPSExcExceptionalsAdj">#REF!</definedName>
    <definedName name="RAT_EPSFullyDiluted">#REF!</definedName>
    <definedName name="RAT_EPSFullyDilutedExcExceptionals">#REF!</definedName>
    <definedName name="RAT_EPSGrowth">#REF!</definedName>
    <definedName name="RAT_EPSGrowthExcExceptionals">#REF!</definedName>
    <definedName name="RAT_EPSGrowthexcExceptionalsRelative">#REF!</definedName>
    <definedName name="RAT_EPSGrowthRelative">#REF!</definedName>
    <definedName name="RAT_EPSGrowthToPE">#REF!</definedName>
    <definedName name="RAT_EPSGrowthToPEExcExceptionals">#REF!</definedName>
    <definedName name="RAT_EPSPrimary">#REF!</definedName>
    <definedName name="RAT_EPSPrimaryExcExceptionals">#REF!</definedName>
    <definedName name="RAT_Equity_ShareholderFunds_Switch">#REF!</definedName>
    <definedName name="RAT_EquityToAssets">#REF!</definedName>
    <definedName name="RAT_EVToEBITDA">#REF!</definedName>
    <definedName name="RAT_Gearing">#REF!</definedName>
    <definedName name="RAT_GearingGross">#REF!</definedName>
    <definedName name="RAT_GearingNet">#REF!</definedName>
    <definedName name="RAT_GearingToNTA">#REF!</definedName>
    <definedName name="RAT_GrossMargin">#REF!</definedName>
    <definedName name="RAT_GrossProfitGrowth">#REF!</definedName>
    <definedName name="RAT_InterestCover">#REF!</definedName>
    <definedName name="RAT_InventoryDays">#REF!</definedName>
    <definedName name="RAT_Liquidity">#REF!</definedName>
    <definedName name="RAT_LookUpYears">#REF!</definedName>
    <definedName name="RAT_MarketCapToEBIT">#REF!</definedName>
    <definedName name="RAT_MarketCapToEBITDA">#REF!</definedName>
    <definedName name="RAT_NetDebt">#REF!</definedName>
    <definedName name="RAT_NetDebtToTotalEquity">#REF!</definedName>
    <definedName name="RAT_NetIncomeGrowth">#REF!</definedName>
    <definedName name="RAT_NetMargin">#REF!</definedName>
    <definedName name="RAT_NetMarginExcExceptionals">#REF!</definedName>
    <definedName name="RAT_NetProfitExcExceptionalsGrowth">#REF!</definedName>
    <definedName name="RAT_OtherIncomeGrowth">#REF!</definedName>
    <definedName name="RAT_PBookValue">#REF!</definedName>
    <definedName name="RAT_PCF">#REF!</definedName>
    <definedName name="RAT_PEexcExceptionalsGrowthToEPS">#REF!</definedName>
    <definedName name="RAT_PEGrowthToEPS">#REF!</definedName>
    <definedName name="RAT_PEMarket">#REF!</definedName>
    <definedName name="RAT_PEMarketEPSGrowth">#REF!</definedName>
    <definedName name="RAT_PER">#REF!</definedName>
    <definedName name="RAT_PERelative">#REF!</definedName>
    <definedName name="RAT_PERelativeExcExceptionals">#REF!</definedName>
    <definedName name="RAT_PERExcExceptionals">#REF!</definedName>
    <definedName name="RAT_PHistoric">#REF!</definedName>
    <definedName name="RAT_PretaxGrowth">#REF!</definedName>
    <definedName name="RAT_PretaxMargin">#REF!</definedName>
    <definedName name="RAT_QuickRatio">#REF!</definedName>
    <definedName name="RAT_RevenueGrowth">#REF!</definedName>
    <definedName name="RAT_ROA">#REF!</definedName>
    <definedName name="RAT_ROAAvg">#REF!</definedName>
    <definedName name="RAT_ROAExcExceptionals">#REF!</definedName>
    <definedName name="RAT_ROAExcExceptionalsAvg">#REF!</definedName>
    <definedName name="RAT_ROCE">#REF!</definedName>
    <definedName name="RAT_ROE">#REF!</definedName>
    <definedName name="RAT_ROEAvg">#REF!</definedName>
    <definedName name="RAT_ROEExcExceptionals">#REF!</definedName>
    <definedName name="RAT_ROEExcExceptionalsAvg">#REF!</definedName>
    <definedName name="RAT_Shares">#REF!</definedName>
    <definedName name="RAT_SharesAdj">#REF!</definedName>
    <definedName name="RAT_SustainedFund">#REF!</definedName>
    <definedName name="RAT_SustainedFundCover">#REF!</definedName>
    <definedName name="RAT_TableEV">#REF!</definedName>
    <definedName name="RAT_TableEVPerShare">#REF!</definedName>
    <definedName name="RAT_TotalAssets">#REF!</definedName>
    <definedName name="RAT_TotalDebt">#REF!</definedName>
    <definedName name="RAT_TotalEquity">#REF!</definedName>
    <definedName name="RAT_WCTurnover">#REF!</definedName>
    <definedName name="RAT_Yield">#REF!</definedName>
    <definedName name="RawMat" hidden="1">#REF!</definedName>
    <definedName name="recommendation">#REF!</definedName>
    <definedName name="recommendationH">#REF!</definedName>
    <definedName name="redy_2">1.72</definedName>
    <definedName name="relperfdata">#REF!</definedName>
    <definedName name="REP_BankingRatios">#REF!</definedName>
    <definedName name="REP_CHT_DivisionalBreakdown">"Chart 416"</definedName>
    <definedName name="REP_CHT_GeographicalBreakdown">"Chart 417"</definedName>
    <definedName name="REP_CHT_Spare1">"Chart 422"</definedName>
    <definedName name="REP_CHT_Spare2">"Chart 423"</definedName>
    <definedName name="REP_EWL_CorporateProfile2">#REF!</definedName>
    <definedName name="REP_EWL_Divisional_Column1">#REF!</definedName>
    <definedName name="REP_EWL_Divisional_Column2">#REF!</definedName>
    <definedName name="REP_EWL_Geographical_Column1">#REF!</definedName>
    <definedName name="REP_EWL_Geographical_Column2">#REF!</definedName>
    <definedName name="REP_EWL_Lookup_Years">#REF!</definedName>
    <definedName name="REP_EWL_Other1_Column1">#REF!</definedName>
    <definedName name="REP_EWL_Other1_Column2">#REF!</definedName>
    <definedName name="REP_EWL_Other2_Column1">#REF!</definedName>
    <definedName name="REP_EWL_Other2_Column2">#REF!</definedName>
    <definedName name="REP_EWL_QuarterlyRange">#REF!</definedName>
    <definedName name="REP_EWL_Range1">#REF!</definedName>
    <definedName name="REP_EWL_Range2">#REF!</definedName>
    <definedName name="REP_EWL_Semi_AnnualRange">#REF!</definedName>
    <definedName name="REP_EWL_Sheet1">#REF!</definedName>
    <definedName name="REP_EWL_Sheet2">#REF!</definedName>
    <definedName name="REP_EWL_Sheet3">#REF!</definedName>
    <definedName name="REP_EWL_Table">#REF!</definedName>
    <definedName name="REP_EWL_Title_Chart1">#REF!</definedName>
    <definedName name="REP_EWL_Title_Chart2">#REF!</definedName>
    <definedName name="REP_EWL_Title_Chart3">#REF!</definedName>
    <definedName name="REP_EWL_Title_Chart4">#REF!</definedName>
    <definedName name="REP_EWL_ValuationRange">#REF!</definedName>
    <definedName name="REP_HideRowsRange1">#REF!</definedName>
    <definedName name="REP_HideRowsRange10">#REF!</definedName>
    <definedName name="REP_HideRowsRange11">#REF!</definedName>
    <definedName name="REP_HideRowsRange12">#REF!</definedName>
    <definedName name="REP_HideRowsRange13">#REF!</definedName>
    <definedName name="REP_HideRowsRange14">#REF!</definedName>
    <definedName name="REP_HideRowsRange15">#REF!</definedName>
    <definedName name="REP_HideRowsRange16">#REF!</definedName>
    <definedName name="REP_HideRowsRange17">#REF!</definedName>
    <definedName name="REP_HideRowsRange18">#REF!</definedName>
    <definedName name="REP_HideRowsRange19">#REF!</definedName>
    <definedName name="REP_HideRowsRange2">#REF!</definedName>
    <definedName name="REP_HideRowsRange20">#REF!</definedName>
    <definedName name="REP_HideRowsRange21">#REF!</definedName>
    <definedName name="REP_HideRowsRange22">#REF!</definedName>
    <definedName name="REP_HideRowsRange23">#REF!</definedName>
    <definedName name="REP_HideRowsRange24">#REF!</definedName>
    <definedName name="REP_HideRowsRange25">#REF!</definedName>
    <definedName name="REP_HideRowsRange26">#REF!</definedName>
    <definedName name="REP_HideRowsRange27">#REF!</definedName>
    <definedName name="REP_HideRowsRange28">#REF!</definedName>
    <definedName name="REP_HideRowsRange29">#REF!</definedName>
    <definedName name="REP_HideRowsRange3">#REF!</definedName>
    <definedName name="REP_HideRowsRange30">#REF!</definedName>
    <definedName name="REP_HideRowsRange4">#REF!</definedName>
    <definedName name="REP_HideRowsRange5">#REF!</definedName>
    <definedName name="REP_HideRowsRange6">#REF!</definedName>
    <definedName name="REP_HideRowsRange7">#REF!</definedName>
    <definedName name="REP_HideRowsRange8">#REF!</definedName>
    <definedName name="REP_HideRowsRange9">#REF!</definedName>
    <definedName name="REP_RangeBalanceSheet">#REF!</definedName>
    <definedName name="REP_RangeCashFlow">#REF!</definedName>
    <definedName name="REP_RangeEarningsDrivers">#REF!</definedName>
    <definedName name="REP_RangeProfitLoss">#REF!</definedName>
    <definedName name="REP_RangeRatios">#REF!</definedName>
    <definedName name="REP_RangeRatios2">#REF!</definedName>
    <definedName name="REP_RatiosCapStructure">#REF!</definedName>
    <definedName name="REP_RatiosEPS">#REF!</definedName>
    <definedName name="REP_RatiosOperatingGrowth">#REF!</definedName>
    <definedName name="REP_RatiosOperatingRatios">#REF!</definedName>
    <definedName name="REP_RatiosPESharePriceMatrix">#REF!</definedName>
    <definedName name="REP_RatiosROI">#REF!</definedName>
    <definedName name="REP_RatiosSharePriceMatrix">#REF!</definedName>
    <definedName name="REP_RatiosValuation">#REF!</definedName>
    <definedName name="REP_Reporting_Table1">#REF!</definedName>
    <definedName name="REP_Reporting_Table2">#REF!</definedName>
    <definedName name="REP_Reporting_Table3">#REF!</definedName>
    <definedName name="REP_Reporting_Table4">#REF!</definedName>
    <definedName name="REP_Reporting_Table5">#REF!</definedName>
    <definedName name="REP_UserDefinedNamedRows">#REF!</definedName>
    <definedName name="Required_cash" localSheetId="2">#REF!</definedName>
    <definedName name="Required_cash">#REF!</definedName>
    <definedName name="Required_Cash_Core" localSheetId="2">#REF!</definedName>
    <definedName name="Required_Cash_Core">#REF!</definedName>
    <definedName name="Required_cash_percent" localSheetId="2">#REF!</definedName>
    <definedName name="Required_cash_percent">#REF!</definedName>
    <definedName name="Residual_Value" localSheetId="2">#REF!</definedName>
    <definedName name="Residual_Value">#REF!</definedName>
    <definedName name="Restructuring_charges">#REF!</definedName>
    <definedName name="Restructuring_charges_growth_fore">#REF!</definedName>
    <definedName name="RetEarn">#REF!</definedName>
    <definedName name="reuters">#REF!</definedName>
    <definedName name="reuters_codeh">#REF!</definedName>
    <definedName name="RevalRsrv">#REF!</definedName>
    <definedName name="RIsk_free_30yr_Treas">#REF!</definedName>
    <definedName name="RM">#REF!</definedName>
    <definedName name="RMDmy" hidden="1">#REF!</definedName>
    <definedName name="RMUnit" hidden="1">#REF!</definedName>
    <definedName name="RnD_expense" localSheetId="2">#REF!</definedName>
    <definedName name="RnD_expense">#REF!</definedName>
    <definedName name="RnD_expense_fore">#REF!</definedName>
    <definedName name="RnD_expense_growth_fore">#REF!</definedName>
    <definedName name="RnD_expenses_fore">#REF!</definedName>
    <definedName name="ROIC" localSheetId="2">#REF!</definedName>
    <definedName name="ROIC">#REF!</definedName>
    <definedName name="ROIC_DCF" localSheetId="2">#REF!</definedName>
    <definedName name="ROIC_DCF">#REF!</definedName>
    <definedName name="ROIC_WACC" localSheetId="2">#REF!</definedName>
    <definedName name="ROIC_WACC">#REF!</definedName>
    <definedName name="RORIC__3_yr_rolling" localSheetId="2">#REF!</definedName>
    <definedName name="RORIC__3_yr_rolling">#REF!</definedName>
    <definedName name="rr" hidden="1">#REF!</definedName>
    <definedName name="S_T_obligations_under_cap_leases" localSheetId="2">#REF!</definedName>
    <definedName name="S_T_obligations_under_cap_leases">#REF!</definedName>
    <definedName name="sale2006">#REF!</definedName>
    <definedName name="sale2007">#REF!</definedName>
    <definedName name="sale2008">#REF!</definedName>
    <definedName name="sale2009">#REF!</definedName>
    <definedName name="sale2010">#REF!</definedName>
    <definedName name="sale2011">#REF!</definedName>
    <definedName name="SALE2012">#REF!</definedName>
    <definedName name="Sales">#REF!</definedName>
    <definedName name="Sales_Breakup">#REF!</definedName>
    <definedName name="Sales_growth" localSheetId="2">#REF!</definedName>
    <definedName name="Sales_growth">#REF!</definedName>
    <definedName name="Sales_growth_avg">#REF!</definedName>
    <definedName name="sales07">#REF!</definedName>
    <definedName name="sales08">#REF!</definedName>
    <definedName name="sales09">#REF!</definedName>
    <definedName name="sales10">#REF!</definedName>
    <definedName name="sales11">#REF!</definedName>
    <definedName name="sales12">#REF!</definedName>
    <definedName name="sales13">#REF!</definedName>
    <definedName name="sales14">#REF!</definedName>
    <definedName name="SaleUnit" hidden="1">#REF!,#REF!,#REF!,#REF!,#REF!,#REF!,#REF!,#REF!</definedName>
    <definedName name="SaleVal">#REF!</definedName>
    <definedName name="SaleValue" hidden="1">#REF!,#REF!,#REF!,#REF!,#REF!,#REF!,#REF!,#REF!</definedName>
    <definedName name="SaleVol">#REF!</definedName>
    <definedName name="SCrt">#REF!</definedName>
    <definedName name="ScrtDays">#REF!</definedName>
    <definedName name="SDbt">#REF!</definedName>
    <definedName name="SdbtDays">#REF!</definedName>
    <definedName name="sdcasc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sector">#REF!</definedName>
    <definedName name="Segment1_income" localSheetId="2">#REF!</definedName>
    <definedName name="Segment1_income">#REF!</definedName>
    <definedName name="Segment1_income_DCF" localSheetId="2">#REF!</definedName>
    <definedName name="Segment1_income_DCF">#REF!</definedName>
    <definedName name="Segment1_income_fore">#REF!</definedName>
    <definedName name="Segment1_income_growth_fore">#REF!</definedName>
    <definedName name="Segment2_income" localSheetId="2">#REF!</definedName>
    <definedName name="Segment2_income">#REF!</definedName>
    <definedName name="Segment2_income_DCF" localSheetId="2">#REF!</definedName>
    <definedName name="Segment2_income_DCF">#REF!</definedName>
    <definedName name="Segment2_income_fore">#REF!</definedName>
    <definedName name="Segment2_income_growth_fore">#REF!</definedName>
    <definedName name="SelExp">#REF!</definedName>
    <definedName name="SelExpSer" hidden="1">#REF!</definedName>
    <definedName name="sencount" hidden="1">1</definedName>
    <definedName name="SGA" localSheetId="2">#REF!</definedName>
    <definedName name="SGA">#REF!</definedName>
    <definedName name="SGA_fore">#REF!</definedName>
    <definedName name="SGA_growth">#REF!</definedName>
    <definedName name="SGA_growth_avg">#REF!</definedName>
    <definedName name="SGA_growth_fore">#REF!</definedName>
    <definedName name="SGA_margin" localSheetId="2">#REF!</definedName>
    <definedName name="SGA_margin">#REF!</definedName>
    <definedName name="SGA_margin_fore">#REF!</definedName>
    <definedName name="SGCInv">#REF!</definedName>
    <definedName name="SGCInvChg" hidden="1">#REF!</definedName>
    <definedName name="Share_Price">#REF!</definedName>
    <definedName name="Shareholder_value" localSheetId="2">#REF!</definedName>
    <definedName name="Shareholder_value">#REF!</definedName>
    <definedName name="Shareholder_Value_EVA" localSheetId="2">#REF!</definedName>
    <definedName name="Shareholder_Value_EVA">#REF!</definedName>
    <definedName name="Shareholders_equity" localSheetId="2">#REF!</definedName>
    <definedName name="Shareholders_equity">#REF!</definedName>
    <definedName name="Shares" localSheetId="2">#REF!</definedName>
    <definedName name="Shares">#REF!</definedName>
    <definedName name="Shares_DCF" localSheetId="2">#REF!</definedName>
    <definedName name="Shares_DCF">#REF!</definedName>
    <definedName name="Shares_fore">#REF!</definedName>
    <definedName name="Shares_growth" localSheetId="2">#REF!</definedName>
    <definedName name="Shares_growth">#REF!</definedName>
    <definedName name="Shares_growth_fore">#REF!</definedName>
    <definedName name="Shares_repurchase_liability">#REF!</definedName>
    <definedName name="ShOutst">#REF!</definedName>
    <definedName name="ShPrm">#REF!</definedName>
    <definedName name="ShPrmChg" hidden="1">#REF!</definedName>
    <definedName name="solver_opt" hidden="1">#REF!</definedName>
    <definedName name="Spread_on_debt">#REF!</definedName>
    <definedName name="ST_debt" localSheetId="2">#REF!</definedName>
    <definedName name="ST_debt">#REF!</definedName>
    <definedName name="ST_debt_growth_fore">#REF!</definedName>
    <definedName name="Staightline_charge" localSheetId="2">#REF!</definedName>
    <definedName name="Staightline_charge">#REF!</definedName>
    <definedName name="StDebt">#REF!</definedName>
    <definedName name="StDebtChg" hidden="1">#REF!</definedName>
    <definedName name="StDebtDmy" hidden="1">#REF!,#REF!,#REF!,#REF!,#REF!</definedName>
    <definedName name="STDebtSer" hidden="1">#REF!</definedName>
    <definedName name="StInt">#REF!</definedName>
    <definedName name="Stock_price" localSheetId="2">#REF!</definedName>
    <definedName name="Stock_price">#REF!</definedName>
    <definedName name="Stock_price_close" localSheetId="2">#REF!</definedName>
    <definedName name="Stock_price_close">#REF!</definedName>
    <definedName name="Stock_price_high" localSheetId="2">#REF!</definedName>
    <definedName name="Stock_price_high">#REF!</definedName>
    <definedName name="Stock_price_low" localSheetId="2">#REF!</definedName>
    <definedName name="Stock_price_low">#REF!</definedName>
    <definedName name="Summary_1" localSheetId="2">#REF!</definedName>
    <definedName name="Summary_1">#REF!</definedName>
    <definedName name="Summary_1991" localSheetId="2">#REF!</definedName>
    <definedName name="Summary_1991">#REF!</definedName>
    <definedName name="Summary_1992" localSheetId="2">#REF!</definedName>
    <definedName name="Summary_1992">#REF!</definedName>
    <definedName name="Summary_1993" localSheetId="2">#REF!</definedName>
    <definedName name="Summary_1993">#REF!</definedName>
    <definedName name="Summary_1994" localSheetId="2">#REF!</definedName>
    <definedName name="Summary_1994">#REF!</definedName>
    <definedName name="Summary_1995" localSheetId="2">#REF!</definedName>
    <definedName name="Summary_1995">#REF!</definedName>
    <definedName name="Summary_1996" localSheetId="2">#REF!</definedName>
    <definedName name="Summary_1996">#REF!</definedName>
    <definedName name="Summary_1997" localSheetId="2">#REF!</definedName>
    <definedName name="Summary_1997">#REF!</definedName>
    <definedName name="Summary_2" localSheetId="2">#REF!</definedName>
    <definedName name="Summary_2">#REF!</definedName>
    <definedName name="Summary_3" localSheetId="2">#REF!</definedName>
    <definedName name="Summary_3">#REF!</definedName>
    <definedName name="Summary_4" localSheetId="2">#REF!</definedName>
    <definedName name="Summary_4">#REF!</definedName>
    <definedName name="Summary_EY1" localSheetId="2">#REF!</definedName>
    <definedName name="Summary_EY1">#REF!</definedName>
    <definedName name="Summary_EY2" localSheetId="2">#REF!</definedName>
    <definedName name="Summary_EY2">#REF!</definedName>
    <definedName name="Summary_P" localSheetId="2">#REF!</definedName>
    <definedName name="Summary_P">#REF!</definedName>
    <definedName name="SystemDefaults_AaRate">#REF!</definedName>
    <definedName name="SystemDefaults_AdjustmentSwitch">#REF!</definedName>
    <definedName name="SystemDefaults_Country">#REF!</definedName>
    <definedName name="SystemDefaults_CSEYieldThreshold">#REF!</definedName>
    <definedName name="SystemDefaults_Currency">#REF!</definedName>
    <definedName name="SystemDefaults_CurrentYear">#REF!</definedName>
    <definedName name="SystemDefaults_DateLastModified">#REF!</definedName>
    <definedName name="SystemDefaults_DecimalPlacesChoices">#REF!</definedName>
    <definedName name="SystemDefaults_DecimalSwitch">#REF!</definedName>
    <definedName name="SystemDefaults_EPSCalcMethods">#REF!</definedName>
    <definedName name="SystemDefaults_EPSSwitch">#REF!</definedName>
    <definedName name="SystemDefaults_EquityRiskPremiumEquity">#REF!</definedName>
    <definedName name="SystemDefaults_EquityShareholdersFundsSwitch">#REF!</definedName>
    <definedName name="SystemDefaults_Error1">#REF!</definedName>
    <definedName name="SystemDefaults_Error2">#REF!</definedName>
    <definedName name="SystemDefaults_Error3">#REF!</definedName>
    <definedName name="SystemDefaults_ExpiryDate" hidden="1">#REF!</definedName>
    <definedName name="SystemDefaults_ExpiryStatus" hidden="1">#REF!</definedName>
    <definedName name="SystemDefaults_ForeignPriceSwitch">#REF!</definedName>
    <definedName name="SystemDefaults_GearingSwitch">#REF!</definedName>
    <definedName name="SystemDefaults_IDCode">#REF!</definedName>
    <definedName name="SystemDefaults_InsertColumnsSheets1">#REF!</definedName>
    <definedName name="SystemDefaults_InsertColumnsSheets2">#REF!</definedName>
    <definedName name="SystemDefaults_InsertRowsRangeNamesFOR">#REF!</definedName>
    <definedName name="SystemDefaults_InsertRowsRangeNamesRAT">#REF!</definedName>
    <definedName name="SystemDefaults_IterationSwitch">#REF!</definedName>
    <definedName name="SystemDefaults_LocalStockCode">#REF!</definedName>
    <definedName name="SystemDefaults_MarketCode">#REF!</definedName>
    <definedName name="SystemDefaults_MarketName">#REF!</definedName>
    <definedName name="SystemDefaults_ModelChanges">#REF!</definedName>
    <definedName name="SystemDefaults_ModelChoices">#REF!</definedName>
    <definedName name="SystemDefaults_ModelSwitch">#REF!</definedName>
    <definedName name="SystemDefaults_NameForConsolidated">#REF!</definedName>
    <definedName name="SystemDefaults_NameForNetProfitExcAdj2">#REF!</definedName>
    <definedName name="SystemDefaults_NameForNetProfitExcAdj3">#REF!</definedName>
    <definedName name="SystemDefaults_NameForNetProfitExcAdjustments">#REF!</definedName>
    <definedName name="SystemDefaults_NextDividend">#REF!</definedName>
    <definedName name="SystemDefaults_ResultsDue">#REF!</definedName>
    <definedName name="SystemDefaults_Rounding">#REF!</definedName>
    <definedName name="SystemDefaults_Shareholder1">#REF!</definedName>
    <definedName name="SystemDefaults_Shareholder2">#REF!</definedName>
    <definedName name="SystemDefaults_Shareholder3">#REF!</definedName>
    <definedName name="SystemDefaults_Shareholder4">#REF!</definedName>
    <definedName name="SystemDefaults_Shareholder5">#REF!</definedName>
    <definedName name="SystemDefaults_ShareRepurchaseLimit">#REF!</definedName>
    <definedName name="SystemDefaults_ShareTransactionDescriptions">#REF!</definedName>
    <definedName name="SystemDefaults_ShareTransactionTypes1">#REF!</definedName>
    <definedName name="SystemDefaults_Spare1">#REF!</definedName>
    <definedName name="SystemDefaults_Spare2">#REF!</definedName>
    <definedName name="SystemDefaults_Spare3">#REF!</definedName>
    <definedName name="SystemDefaults_SystemSheets">#REF!</definedName>
    <definedName name="SystemDefaults_TaxRate">#REF!</definedName>
    <definedName name="SystemDefaults_TreasuryRate">#REF!</definedName>
    <definedName name="SystemDefaults_Units">#REF!</definedName>
    <definedName name="SystemDefaults_UpdateYearSheets1">#REF!</definedName>
    <definedName name="SystemDefaults_UpdateYearSheets2">#REF!</definedName>
    <definedName name="SystemDefaults_UpdateYearSheets3">#REF!</definedName>
    <definedName name="SystemDefaults_UserMode">#REF!</definedName>
    <definedName name="SystemDefaults_VersionDate">#REF!</definedName>
    <definedName name="SystemDefaults_VersionNumber">#REF!</definedName>
    <definedName name="SystemDefaults_YearCodeForecast">#REF!</definedName>
    <definedName name="SystemDefaults_YearCodeHistoric">#REF!</definedName>
    <definedName name="Target_debt_to_capital">#REF!</definedName>
    <definedName name="Tax">#REF!</definedName>
    <definedName name="Tax_benefit_from_interest" localSheetId="2">#REF!</definedName>
    <definedName name="Tax_benefit_from_interest">#REF!</definedName>
    <definedName name="Tax_benefit_from_oper_leases" localSheetId="2">#REF!</definedName>
    <definedName name="Tax_benefit_from_oper_leases">#REF!</definedName>
    <definedName name="Tax_benefit_from_ops_leases" localSheetId="2">#REF!</definedName>
    <definedName name="Tax_benefit_from_ops_leases">#REF!</definedName>
    <definedName name="Tax_rate_for_WACC">#REF!</definedName>
    <definedName name="Tax_Shield_Tax_Rate" localSheetId="2">#REF!</definedName>
    <definedName name="Tax_Shield_Tax_Rate">#REF!</definedName>
    <definedName name="Total_amort_fore">#REF!</definedName>
    <definedName name="Total_Amortization" localSheetId="2">#REF!</definedName>
    <definedName name="Total_Amortization">#REF!</definedName>
    <definedName name="Total_Amortization_fore">#REF!</definedName>
    <definedName name="Total_COS" localSheetId="2">#REF!</definedName>
    <definedName name="Total_COS">#REF!</definedName>
    <definedName name="Total_COS_fore">#REF!</definedName>
    <definedName name="Total_COS_growth_fore">#REF!</definedName>
    <definedName name="Total_COS_net_DnA" localSheetId="2">#REF!</definedName>
    <definedName name="Total_COS_net_DnA">#REF!</definedName>
    <definedName name="Total_COS_net_DnA_fore">#REF!</definedName>
    <definedName name="Total_debt" localSheetId="2">#REF!</definedName>
    <definedName name="Total_debt">#REF!</definedName>
    <definedName name="Total_debt_DCF" localSheetId="2">#REF!</definedName>
    <definedName name="Total_debt_DCF">#REF!</definedName>
    <definedName name="Total_debt_fore">#REF!</definedName>
    <definedName name="Total_debt_growth_fore">#REF!</definedName>
    <definedName name="Total_increase_in_EEs" localSheetId="2">#REF!</definedName>
    <definedName name="Total_increase_in_EEs">#REF!</definedName>
    <definedName name="Total_Increase_in_EEs_fore">#REF!</definedName>
    <definedName name="Total_other_assets" localSheetId="2">#REF!</definedName>
    <definedName name="Total_other_assets">#REF!</definedName>
    <definedName name="TotAst">#REF!</definedName>
    <definedName name="TotDebt">#REF!</definedName>
    <definedName name="TotEqShAd">#REF!</definedName>
    <definedName name="TotLia">#REF!</definedName>
    <definedName name="Units">#REF!</definedName>
    <definedName name="UtilCap" hidden="1">#REF!,#REF!,#REF!,#REF!,#REF!,#REF!,#REF!,#REF!</definedName>
    <definedName name="UtilProd" hidden="1">#REF!,#REF!,#REF!,#REF!,#REF!,#REF!,#REF!,#REF!</definedName>
    <definedName name="VAL_CellNote">#REF!</definedName>
    <definedName name="Valuation_date" localSheetId="2">#REF!</definedName>
    <definedName name="Valuation_date">#REF!</definedName>
    <definedName name="Value_of_Equity">#REF!</definedName>
    <definedName name="Value_of_Firm" localSheetId="2">#REF!</definedName>
    <definedName name="Value_of_Firm">#REF!</definedName>
    <definedName name="Value_of_Unconsol._Subs" localSheetId="2">#REF!</definedName>
    <definedName name="Value_of_Unconsol._Subs">#REF!</definedName>
    <definedName name="Value_per_share" localSheetId="2">#REF!</definedName>
    <definedName name="Value_per_share">#REF!</definedName>
    <definedName name="VarExp">#REF!</definedName>
    <definedName name="VarNames">#REF!</definedName>
    <definedName name="Version">#REF!</definedName>
    <definedName name="WACC">#REF!</definedName>
    <definedName name="WACC_1">#REF!</definedName>
    <definedName name="WACC_10">#REF!</definedName>
    <definedName name="WACC_11">#REF!</definedName>
    <definedName name="WACC_12">#REF!</definedName>
    <definedName name="WACC_13">#REF!</definedName>
    <definedName name="WACC_14">#REF!</definedName>
    <definedName name="WACC_2">#REF!</definedName>
    <definedName name="WACC_3">#REF!</definedName>
    <definedName name="WACC_4">#REF!</definedName>
    <definedName name="WACC_5">#REF!</definedName>
    <definedName name="WACC_6">#REF!</definedName>
    <definedName name="WACC_7">#REF!</definedName>
    <definedName name="WACC_8">#REF!</definedName>
    <definedName name="WACC_9">#REF!</definedName>
    <definedName name="WACC_fore" localSheetId="2">#REF!</definedName>
    <definedName name="WACC_fore">#REF!</definedName>
    <definedName name="WACC_P" localSheetId="2">#REF!</definedName>
    <definedName name="WACC_P">#REF!</definedName>
    <definedName name="WACC_P_1" localSheetId="2">#REF!</definedName>
    <definedName name="WACC_P_1">#REF!</definedName>
    <definedName name="WACC_P_10" localSheetId="2">#REF!</definedName>
    <definedName name="WACC_P_10">#REF!</definedName>
    <definedName name="WACC_P_11" localSheetId="2">#REF!</definedName>
    <definedName name="WACC_P_11">#REF!</definedName>
    <definedName name="WACC_P_12" localSheetId="2">#REF!</definedName>
    <definedName name="WACC_P_12">#REF!</definedName>
    <definedName name="WACC_P_13" localSheetId="2">#REF!</definedName>
    <definedName name="WACC_P_13">#REF!</definedName>
    <definedName name="WACC_P_14" localSheetId="2">#REF!</definedName>
    <definedName name="WACC_P_14">#REF!</definedName>
    <definedName name="WACC_P_2" localSheetId="2">#REF!</definedName>
    <definedName name="WACC_P_2">#REF!</definedName>
    <definedName name="WACC_P_3" localSheetId="2">#REF!</definedName>
    <definedName name="WACC_P_3">#REF!</definedName>
    <definedName name="WACC_P_4" localSheetId="2">#REF!</definedName>
    <definedName name="WACC_P_4">#REF!</definedName>
    <definedName name="WACC_P_5" localSheetId="2">#REF!</definedName>
    <definedName name="WACC_P_5">#REF!</definedName>
    <definedName name="WACC_P_6" localSheetId="2">#REF!</definedName>
    <definedName name="WACC_P_6">#REF!</definedName>
    <definedName name="WACC_P_7" localSheetId="2">#REF!</definedName>
    <definedName name="WACC_P_7">#REF!</definedName>
    <definedName name="WACC_P_8">#REF!</definedName>
    <definedName name="WACC_P_9" localSheetId="2">#REF!</definedName>
    <definedName name="WACC_P_9">#REF!</definedName>
    <definedName name="WAEqSh">#REF!</definedName>
    <definedName name="WCDays">#REF!</definedName>
    <definedName name="wrn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plete._.Repor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1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dec02." hidden="1">{#N/A,#N/A,FALSE,"BS"}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hidden="1">{#N/A,#N/A,FALSE,"One Pager";#N/A,#N/A,FALSE,"Technical"}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Year" localSheetId="2">#REF!</definedName>
    <definedName name="Year">#REF!</definedName>
    <definedName name="Year_End_Core_Fixed_asset_turns">#REF!</definedName>
    <definedName name="Year_End_Core_Invested_Capital_turns">#REF!</definedName>
    <definedName name="Year_End_Core_NetWC_turns">#REF!</definedName>
    <definedName name="Year_End_Core_other_asset_turns">#REF!</definedName>
    <definedName name="year_in_future">#REF!</definedName>
    <definedName name="Years_in_full_stream" localSheetId="2">#REF!</definedName>
    <definedName name="Years_in_full_stream">#REF!</definedName>
    <definedName name="Years_into_future" localSheetId="2">#REF!</definedName>
    <definedName name="Years_into_future">#REF!</definedName>
    <definedName name="YeEq">#REF!</definedName>
    <definedName name="YrRang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C8" i="2" l="1"/>
  <c r="HU3" i="2" l="1"/>
  <c r="AU1" i="3"/>
  <c r="AV1" i="3"/>
  <c r="AW1" i="3"/>
  <c r="AX1" i="3"/>
  <c r="AY1" i="3"/>
  <c r="AZ1" i="3"/>
  <c r="BA1" i="3"/>
  <c r="BB1" i="3"/>
  <c r="BC1" i="3"/>
  <c r="BD1" i="3"/>
  <c r="BE1" i="3"/>
  <c r="BF1" i="3"/>
  <c r="BG1" i="3"/>
  <c r="AU2" i="3"/>
  <c r="C3" i="3"/>
  <c r="D3" i="3"/>
  <c r="E3" i="3"/>
  <c r="E15" i="3" s="1"/>
  <c r="G3" i="3"/>
  <c r="H3" i="3"/>
  <c r="I3" i="3"/>
  <c r="K3" i="3"/>
  <c r="L3" i="3"/>
  <c r="M3" i="3"/>
  <c r="M15" i="3" s="1"/>
  <c r="O3" i="3"/>
  <c r="O15" i="3" s="1"/>
  <c r="P3" i="3"/>
  <c r="P15" i="3" s="1"/>
  <c r="Q3" i="3"/>
  <c r="S3" i="3"/>
  <c r="AP3" i="3" s="1"/>
  <c r="T3" i="3"/>
  <c r="T15" i="3" s="1"/>
  <c r="U3" i="3"/>
  <c r="W3" i="3"/>
  <c r="X3" i="3"/>
  <c r="X15" i="3" s="1"/>
  <c r="Y3" i="3"/>
  <c r="AA3" i="3"/>
  <c r="AB3" i="3"/>
  <c r="AC3" i="3"/>
  <c r="AL3" i="3"/>
  <c r="AM3" i="3"/>
  <c r="AN3" i="3"/>
  <c r="AQ3" i="3"/>
  <c r="AU3" i="3"/>
  <c r="AF15" i="3"/>
  <c r="AV3" i="3"/>
  <c r="AG15" i="3"/>
  <c r="AW3" i="3" s="1"/>
  <c r="AH15" i="3"/>
  <c r="AX3" i="3"/>
  <c r="AI15" i="3"/>
  <c r="AY15" i="3" s="1"/>
  <c r="AJ15" i="3"/>
  <c r="AZ7" i="3" s="1"/>
  <c r="AZ3" i="3"/>
  <c r="AK15" i="3"/>
  <c r="BA11" i="3" s="1"/>
  <c r="BA3" i="3"/>
  <c r="B15" i="3"/>
  <c r="B29" i="3" s="1"/>
  <c r="C4" i="3"/>
  <c r="AL4" i="3" s="1"/>
  <c r="C5" i="3"/>
  <c r="C6" i="3"/>
  <c r="C7" i="3"/>
  <c r="AL7" i="3" s="1"/>
  <c r="C8" i="3"/>
  <c r="C10" i="3"/>
  <c r="C11" i="3"/>
  <c r="C12" i="3"/>
  <c r="C13" i="3"/>
  <c r="C14" i="3"/>
  <c r="AL14" i="3" s="1"/>
  <c r="D4" i="3"/>
  <c r="D15" i="3" s="1"/>
  <c r="D5" i="3"/>
  <c r="AL5" i="3" s="1"/>
  <c r="D6" i="3"/>
  <c r="AL6" i="3" s="1"/>
  <c r="D7" i="3"/>
  <c r="D8" i="3"/>
  <c r="D10" i="3"/>
  <c r="D11" i="3"/>
  <c r="D12" i="3"/>
  <c r="D13" i="3"/>
  <c r="D14" i="3"/>
  <c r="E4" i="3"/>
  <c r="E5" i="3"/>
  <c r="E6" i="3"/>
  <c r="E7" i="3"/>
  <c r="E8" i="3"/>
  <c r="E10" i="3"/>
  <c r="AL10" i="3" s="1"/>
  <c r="E11" i="3"/>
  <c r="AL11" i="3" s="1"/>
  <c r="E12" i="3"/>
  <c r="E13" i="3"/>
  <c r="E14" i="3"/>
  <c r="F15" i="3"/>
  <c r="G4" i="3"/>
  <c r="G15" i="3" s="1"/>
  <c r="G5" i="3"/>
  <c r="AM5" i="3" s="1"/>
  <c r="G6" i="3"/>
  <c r="AM6" i="3" s="1"/>
  <c r="G7" i="3"/>
  <c r="AM7" i="3" s="1"/>
  <c r="G8" i="3"/>
  <c r="G10" i="3"/>
  <c r="G11" i="3"/>
  <c r="AM11" i="3" s="1"/>
  <c r="G12" i="3"/>
  <c r="G13" i="3"/>
  <c r="G14" i="3"/>
  <c r="H4" i="3"/>
  <c r="H15" i="3" s="1"/>
  <c r="H5" i="3"/>
  <c r="H6" i="3"/>
  <c r="H7" i="3"/>
  <c r="H8" i="3"/>
  <c r="H10" i="3"/>
  <c r="H11" i="3"/>
  <c r="H12" i="3"/>
  <c r="AM12" i="3" s="1"/>
  <c r="H13" i="3"/>
  <c r="AM13" i="3" s="1"/>
  <c r="H14" i="3"/>
  <c r="AM14" i="3" s="1"/>
  <c r="I4" i="3"/>
  <c r="I5" i="3"/>
  <c r="I6" i="3"/>
  <c r="I7" i="3"/>
  <c r="I8" i="3"/>
  <c r="I10" i="3"/>
  <c r="I11" i="3"/>
  <c r="I12" i="3"/>
  <c r="I15" i="3" s="1"/>
  <c r="I13" i="3"/>
  <c r="I14" i="3"/>
  <c r="J15" i="3"/>
  <c r="K4" i="3"/>
  <c r="K5" i="3"/>
  <c r="AN5" i="3" s="1"/>
  <c r="K6" i="3"/>
  <c r="K7" i="3"/>
  <c r="K8" i="3"/>
  <c r="K10" i="3"/>
  <c r="K11" i="3"/>
  <c r="K12" i="3"/>
  <c r="AN12" i="3" s="1"/>
  <c r="K13" i="3"/>
  <c r="K14" i="3"/>
  <c r="AN14" i="3" s="1"/>
  <c r="L4" i="3"/>
  <c r="L15" i="3" s="1"/>
  <c r="L29" i="3" s="1"/>
  <c r="L5" i="3"/>
  <c r="L6" i="3"/>
  <c r="L7" i="3"/>
  <c r="L8" i="3"/>
  <c r="L10" i="3"/>
  <c r="L11" i="3"/>
  <c r="L12" i="3"/>
  <c r="L13" i="3"/>
  <c r="L14" i="3"/>
  <c r="M4" i="3"/>
  <c r="M5" i="3"/>
  <c r="M6" i="3"/>
  <c r="M7" i="3"/>
  <c r="AN7" i="3" s="1"/>
  <c r="M8" i="3"/>
  <c r="M10" i="3"/>
  <c r="M11" i="3"/>
  <c r="M12" i="3"/>
  <c r="M13" i="3"/>
  <c r="M14" i="3"/>
  <c r="N15" i="3"/>
  <c r="O4" i="3"/>
  <c r="AO4" i="3" s="1"/>
  <c r="O5" i="3"/>
  <c r="AO5" i="3" s="1"/>
  <c r="O6" i="3"/>
  <c r="O7" i="3"/>
  <c r="AO7" i="3" s="1"/>
  <c r="O8" i="3"/>
  <c r="AO8" i="3" s="1"/>
  <c r="O10" i="3"/>
  <c r="O11" i="3"/>
  <c r="O12" i="3"/>
  <c r="O13" i="3"/>
  <c r="O14" i="3"/>
  <c r="P4" i="3"/>
  <c r="P5" i="3"/>
  <c r="P6" i="3"/>
  <c r="P7" i="3"/>
  <c r="P8" i="3"/>
  <c r="P10" i="3"/>
  <c r="AO10" i="3" s="1"/>
  <c r="P11" i="3"/>
  <c r="AO11" i="3" s="1"/>
  <c r="P12" i="3"/>
  <c r="AO12" i="3" s="1"/>
  <c r="P13" i="3"/>
  <c r="P14" i="3"/>
  <c r="AO14" i="3" s="1"/>
  <c r="Q4" i="3"/>
  <c r="Q5" i="3"/>
  <c r="Q6" i="3"/>
  <c r="Q7" i="3"/>
  <c r="Q8" i="3"/>
  <c r="Q10" i="3"/>
  <c r="Q11" i="3"/>
  <c r="Q12" i="3"/>
  <c r="Q13" i="3"/>
  <c r="Q14" i="3"/>
  <c r="Q15" i="3"/>
  <c r="R15" i="3"/>
  <c r="S4" i="3"/>
  <c r="S5" i="3"/>
  <c r="S6" i="3"/>
  <c r="S7" i="3"/>
  <c r="AP7" i="3" s="1"/>
  <c r="BF7" i="3" s="1"/>
  <c r="S8" i="3"/>
  <c r="S10" i="3"/>
  <c r="AP10" i="3" s="1"/>
  <c r="S11" i="3"/>
  <c r="S12" i="3"/>
  <c r="AP12" i="3" s="1"/>
  <c r="S13" i="3"/>
  <c r="S14" i="3"/>
  <c r="AP14" i="3" s="1"/>
  <c r="BF14" i="3" s="1"/>
  <c r="S15" i="3"/>
  <c r="AP15" i="3" s="1"/>
  <c r="T4" i="3"/>
  <c r="T5" i="3"/>
  <c r="T6" i="3"/>
  <c r="T7" i="3"/>
  <c r="T8" i="3"/>
  <c r="T10" i="3"/>
  <c r="T11" i="3"/>
  <c r="T12" i="3"/>
  <c r="T13" i="3"/>
  <c r="T14" i="3"/>
  <c r="U4" i="3"/>
  <c r="U15" i="3" s="1"/>
  <c r="U5" i="3"/>
  <c r="AP5" i="3" s="1"/>
  <c r="U6" i="3"/>
  <c r="U7" i="3"/>
  <c r="U8" i="3"/>
  <c r="U10" i="3"/>
  <c r="U11" i="3"/>
  <c r="U12" i="3"/>
  <c r="U13" i="3"/>
  <c r="U14" i="3"/>
  <c r="V15" i="3"/>
  <c r="AQ15" i="3" s="1"/>
  <c r="W4" i="3"/>
  <c r="W15" i="3" s="1"/>
  <c r="W5" i="3"/>
  <c r="AQ5" i="3" s="1"/>
  <c r="W6" i="3"/>
  <c r="AQ6" i="3" s="1"/>
  <c r="W7" i="3"/>
  <c r="W8" i="3"/>
  <c r="W10" i="3"/>
  <c r="W11" i="3"/>
  <c r="W12" i="3"/>
  <c r="W13" i="3"/>
  <c r="W14" i="3"/>
  <c r="X4" i="3"/>
  <c r="X5" i="3"/>
  <c r="X6" i="3"/>
  <c r="X7" i="3"/>
  <c r="X8" i="3"/>
  <c r="AQ8" i="3" s="1"/>
  <c r="X10" i="3"/>
  <c r="AQ10" i="3" s="1"/>
  <c r="X11" i="3"/>
  <c r="X12" i="3"/>
  <c r="AQ12" i="3" s="1"/>
  <c r="X13" i="3"/>
  <c r="X14" i="3"/>
  <c r="Y4" i="3"/>
  <c r="Y5" i="3"/>
  <c r="Y15" i="3" s="1"/>
  <c r="Y6" i="3"/>
  <c r="Y7" i="3"/>
  <c r="Y8" i="3"/>
  <c r="Y10" i="3"/>
  <c r="Y11" i="3"/>
  <c r="Y12" i="3"/>
  <c r="Y13" i="3"/>
  <c r="Y14" i="3"/>
  <c r="AA4" i="3"/>
  <c r="AB4" i="3"/>
  <c r="AC4" i="3"/>
  <c r="AM4" i="3"/>
  <c r="AP4" i="3"/>
  <c r="BF4" i="3" s="1"/>
  <c r="AQ4" i="3"/>
  <c r="AU4" i="3"/>
  <c r="AV4" i="3"/>
  <c r="AW4" i="3"/>
  <c r="AX4" i="3"/>
  <c r="AA5" i="3"/>
  <c r="AA15" i="3" s="1"/>
  <c r="AB5" i="3"/>
  <c r="AB15" i="3" s="1"/>
  <c r="AC5" i="3"/>
  <c r="AU5" i="3"/>
  <c r="AV5" i="3"/>
  <c r="AW5" i="3"/>
  <c r="AX5" i="3"/>
  <c r="AY5" i="3"/>
  <c r="AZ5" i="3"/>
  <c r="BA5" i="3"/>
  <c r="AA6" i="3"/>
  <c r="AB6" i="3"/>
  <c r="AC6" i="3"/>
  <c r="AN6" i="3"/>
  <c r="AO6" i="3"/>
  <c r="AP6" i="3"/>
  <c r="BF6" i="3" s="1"/>
  <c r="AU6" i="3"/>
  <c r="AV6" i="3"/>
  <c r="AX6" i="3"/>
  <c r="AY6" i="3"/>
  <c r="AZ6" i="3"/>
  <c r="AA7" i="3"/>
  <c r="AB7" i="3"/>
  <c r="AC7" i="3"/>
  <c r="AQ7" i="3"/>
  <c r="AU7" i="3"/>
  <c r="AV7" i="3"/>
  <c r="AW7" i="3"/>
  <c r="AX7" i="3"/>
  <c r="AY7" i="3"/>
  <c r="BA7" i="3"/>
  <c r="AA8" i="3"/>
  <c r="AB8" i="3"/>
  <c r="AC8" i="3"/>
  <c r="AL8" i="3"/>
  <c r="AM8" i="3"/>
  <c r="AN8" i="3"/>
  <c r="AP8" i="3"/>
  <c r="AU8" i="3"/>
  <c r="AV8" i="3"/>
  <c r="AW8" i="3"/>
  <c r="AX8" i="3"/>
  <c r="AZ8" i="3"/>
  <c r="BA8" i="3"/>
  <c r="AA9" i="3"/>
  <c r="AL9" i="3"/>
  <c r="AM9" i="3"/>
  <c r="AN9" i="3"/>
  <c r="AO9" i="3"/>
  <c r="AP9" i="3"/>
  <c r="AQ9" i="3"/>
  <c r="AU9" i="3"/>
  <c r="AV9" i="3"/>
  <c r="AW9" i="3"/>
  <c r="AX9" i="3"/>
  <c r="AY9" i="3"/>
  <c r="BA9" i="3"/>
  <c r="AA10" i="3"/>
  <c r="AB10" i="3"/>
  <c r="AC10" i="3"/>
  <c r="AM10" i="3"/>
  <c r="AN10" i="3"/>
  <c r="AU10" i="3"/>
  <c r="AV10" i="3"/>
  <c r="AW10" i="3"/>
  <c r="AX10" i="3"/>
  <c r="AZ10" i="3"/>
  <c r="BA10" i="3"/>
  <c r="AA11" i="3"/>
  <c r="AB11" i="3"/>
  <c r="AC11" i="3"/>
  <c r="AN11" i="3"/>
  <c r="AP11" i="3"/>
  <c r="BF11" i="3" s="1"/>
  <c r="AQ11" i="3"/>
  <c r="AU11" i="3"/>
  <c r="AV11" i="3"/>
  <c r="AW11" i="3"/>
  <c r="AX11" i="3"/>
  <c r="AY11" i="3"/>
  <c r="AA12" i="3"/>
  <c r="AB12" i="3"/>
  <c r="AC12" i="3"/>
  <c r="AC15" i="3" s="1"/>
  <c r="AL12" i="3"/>
  <c r="AU12" i="3"/>
  <c r="AV12" i="3"/>
  <c r="AW12" i="3"/>
  <c r="AX12" i="3"/>
  <c r="AY12" i="3"/>
  <c r="AZ12" i="3"/>
  <c r="BA12" i="3"/>
  <c r="AA13" i="3"/>
  <c r="AB13" i="3"/>
  <c r="AC13" i="3"/>
  <c r="AL13" i="3"/>
  <c r="AN13" i="3"/>
  <c r="AO13" i="3"/>
  <c r="AP13" i="3"/>
  <c r="BF13" i="3" s="1"/>
  <c r="AQ13" i="3"/>
  <c r="BG13" i="3" s="1"/>
  <c r="AU13" i="3"/>
  <c r="AV13" i="3"/>
  <c r="AW13" i="3"/>
  <c r="AX13" i="3"/>
  <c r="BA13" i="3"/>
  <c r="AA14" i="3"/>
  <c r="AB14" i="3"/>
  <c r="AC14" i="3"/>
  <c r="AQ14" i="3"/>
  <c r="AU14" i="3"/>
  <c r="AV14" i="3"/>
  <c r="AW14" i="3"/>
  <c r="AX14" i="3"/>
  <c r="AY14" i="3"/>
  <c r="AZ14" i="3"/>
  <c r="BA14" i="3"/>
  <c r="Z15" i="3"/>
  <c r="AU15" i="3"/>
  <c r="AV15" i="3"/>
  <c r="AW15" i="3"/>
  <c r="AX15" i="3"/>
  <c r="BA15" i="3"/>
  <c r="BK15" i="3"/>
  <c r="BL15" i="3"/>
  <c r="BM15" i="3"/>
  <c r="BO15" i="3"/>
  <c r="BP15" i="3"/>
  <c r="BP29" i="3" s="1"/>
  <c r="BQ15" i="3"/>
  <c r="BS15" i="3"/>
  <c r="BT15" i="3"/>
  <c r="BT29" i="3" s="1"/>
  <c r="BU15" i="3"/>
  <c r="BW15" i="3"/>
  <c r="BX15" i="3"/>
  <c r="BY15" i="3"/>
  <c r="CA15" i="3"/>
  <c r="CB15" i="3"/>
  <c r="CC15" i="3"/>
  <c r="CE15" i="3"/>
  <c r="CF15" i="3"/>
  <c r="CG15" i="3"/>
  <c r="CI15" i="3"/>
  <c r="CI29" i="3" s="1"/>
  <c r="CJ15" i="3"/>
  <c r="AU17" i="3"/>
  <c r="AU18" i="3"/>
  <c r="AF27" i="3"/>
  <c r="AV18" i="3" s="1"/>
  <c r="AG27" i="3"/>
  <c r="AW23" i="3" s="1"/>
  <c r="AW18" i="3"/>
  <c r="AH27" i="3"/>
  <c r="AX18" i="3"/>
  <c r="AI27" i="3"/>
  <c r="AY21" i="3" s="1"/>
  <c r="AJ27" i="3"/>
  <c r="AZ23" i="3" s="1"/>
  <c r="AZ18" i="3"/>
  <c r="AK27" i="3"/>
  <c r="BA18" i="3" s="1"/>
  <c r="B27" i="3"/>
  <c r="C19" i="3"/>
  <c r="C20" i="3"/>
  <c r="C21" i="3"/>
  <c r="C22" i="3"/>
  <c r="C23" i="3"/>
  <c r="C27" i="3" s="1"/>
  <c r="C24" i="3"/>
  <c r="C25" i="3"/>
  <c r="C26" i="3"/>
  <c r="AL26" i="3" s="1"/>
  <c r="D19" i="3"/>
  <c r="D27" i="3" s="1"/>
  <c r="D29" i="3" s="1"/>
  <c r="D20" i="3"/>
  <c r="AL20" i="3" s="1"/>
  <c r="D21" i="3"/>
  <c r="AL21" i="3" s="1"/>
  <c r="D22" i="3"/>
  <c r="D23" i="3"/>
  <c r="D24" i="3"/>
  <c r="AL24" i="3" s="1"/>
  <c r="D25" i="3"/>
  <c r="D26" i="3"/>
  <c r="E19" i="3"/>
  <c r="E27" i="3" s="1"/>
  <c r="E29" i="3" s="1"/>
  <c r="E20" i="3"/>
  <c r="E21" i="3"/>
  <c r="E22" i="3"/>
  <c r="E23" i="3"/>
  <c r="E24" i="3"/>
  <c r="E25" i="3"/>
  <c r="AL25" i="3" s="1"/>
  <c r="E26" i="3"/>
  <c r="F27" i="3"/>
  <c r="G19" i="3"/>
  <c r="G20" i="3"/>
  <c r="G21" i="3"/>
  <c r="AM21" i="3" s="1"/>
  <c r="G22" i="3"/>
  <c r="G23" i="3"/>
  <c r="AM23" i="3" s="1"/>
  <c r="G24" i="3"/>
  <c r="AM24" i="3" s="1"/>
  <c r="G25" i="3"/>
  <c r="G26" i="3"/>
  <c r="AM26" i="3" s="1"/>
  <c r="G27" i="3"/>
  <c r="H19" i="3"/>
  <c r="AM19" i="3" s="1"/>
  <c r="H20" i="3"/>
  <c r="H21" i="3"/>
  <c r="H22" i="3"/>
  <c r="H23" i="3"/>
  <c r="H24" i="3"/>
  <c r="H25" i="3"/>
  <c r="H26" i="3"/>
  <c r="I19" i="3"/>
  <c r="I27" i="3" s="1"/>
  <c r="I29" i="3" s="1"/>
  <c r="I20" i="3"/>
  <c r="AM20" i="3" s="1"/>
  <c r="I21" i="3"/>
  <c r="I22" i="3"/>
  <c r="I23" i="3"/>
  <c r="I24" i="3"/>
  <c r="I25" i="3"/>
  <c r="I26" i="3"/>
  <c r="J27" i="3"/>
  <c r="K19" i="3"/>
  <c r="K27" i="3" s="1"/>
  <c r="K20" i="3"/>
  <c r="K21" i="3"/>
  <c r="K22" i="3"/>
  <c r="AN22" i="3" s="1"/>
  <c r="K23" i="3"/>
  <c r="K24" i="3"/>
  <c r="K25" i="3"/>
  <c r="AN25" i="3" s="1"/>
  <c r="K26" i="3"/>
  <c r="AN26" i="3" s="1"/>
  <c r="L19" i="3"/>
  <c r="L20" i="3"/>
  <c r="L21" i="3"/>
  <c r="L22" i="3"/>
  <c r="L23" i="3"/>
  <c r="L24" i="3"/>
  <c r="L25" i="3"/>
  <c r="L26" i="3"/>
  <c r="L27" i="3"/>
  <c r="M19" i="3"/>
  <c r="M27" i="3" s="1"/>
  <c r="M20" i="3"/>
  <c r="M21" i="3"/>
  <c r="AN21" i="3" s="1"/>
  <c r="M22" i="3"/>
  <c r="M23" i="3"/>
  <c r="M24" i="3"/>
  <c r="M25" i="3"/>
  <c r="M26" i="3"/>
  <c r="N27" i="3"/>
  <c r="O19" i="3"/>
  <c r="O27" i="3" s="1"/>
  <c r="O20" i="3"/>
  <c r="O21" i="3"/>
  <c r="AO21" i="3" s="1"/>
  <c r="O22" i="3"/>
  <c r="O23" i="3"/>
  <c r="AO23" i="3" s="1"/>
  <c r="O24" i="3"/>
  <c r="AO24" i="3" s="1"/>
  <c r="O25" i="3"/>
  <c r="O26" i="3"/>
  <c r="P19" i="3"/>
  <c r="P20" i="3"/>
  <c r="P21" i="3"/>
  <c r="P22" i="3"/>
  <c r="AO22" i="3" s="1"/>
  <c r="P23" i="3"/>
  <c r="P24" i="3"/>
  <c r="P25" i="3"/>
  <c r="AO25" i="3" s="1"/>
  <c r="P26" i="3"/>
  <c r="Q19" i="3"/>
  <c r="Q63" i="3" s="1"/>
  <c r="Q20" i="3"/>
  <c r="Q21" i="3"/>
  <c r="Q22" i="3"/>
  <c r="Q23" i="3"/>
  <c r="Q24" i="3"/>
  <c r="Q25" i="3"/>
  <c r="Q26" i="3"/>
  <c r="R27" i="3"/>
  <c r="R29" i="3" s="1"/>
  <c r="S19" i="3"/>
  <c r="S27" i="3" s="1"/>
  <c r="S20" i="3"/>
  <c r="AP20" i="3" s="1"/>
  <c r="S21" i="3"/>
  <c r="AP21" i="3" s="1"/>
  <c r="S22" i="3"/>
  <c r="AP22" i="3" s="1"/>
  <c r="S23" i="3"/>
  <c r="S24" i="3"/>
  <c r="AP24" i="3" s="1"/>
  <c r="S25" i="3"/>
  <c r="S26" i="3"/>
  <c r="T19" i="3"/>
  <c r="T20" i="3"/>
  <c r="T21" i="3"/>
  <c r="T22" i="3"/>
  <c r="T23" i="3"/>
  <c r="AP23" i="3" s="1"/>
  <c r="T24" i="3"/>
  <c r="T25" i="3"/>
  <c r="T26" i="3"/>
  <c r="AP26" i="3" s="1"/>
  <c r="T27" i="3"/>
  <c r="T29" i="3" s="1"/>
  <c r="U19" i="3"/>
  <c r="U20" i="3"/>
  <c r="U21" i="3"/>
  <c r="U22" i="3"/>
  <c r="U23" i="3"/>
  <c r="U24" i="3"/>
  <c r="U25" i="3"/>
  <c r="U27" i="3" s="1"/>
  <c r="U29" i="3" s="1"/>
  <c r="U26" i="3"/>
  <c r="V27" i="3"/>
  <c r="W19" i="3"/>
  <c r="W27" i="3" s="1"/>
  <c r="W20" i="3"/>
  <c r="AQ20" i="3" s="1"/>
  <c r="W21" i="3"/>
  <c r="W22" i="3"/>
  <c r="AQ22" i="3" s="1"/>
  <c r="W23" i="3"/>
  <c r="W24" i="3"/>
  <c r="W25" i="3"/>
  <c r="W26" i="3"/>
  <c r="AQ26" i="3" s="1"/>
  <c r="X19" i="3"/>
  <c r="X20" i="3"/>
  <c r="X27" i="3" s="1"/>
  <c r="X29" i="3" s="1"/>
  <c r="X21" i="3"/>
  <c r="X22" i="3"/>
  <c r="X23" i="3"/>
  <c r="X24" i="3"/>
  <c r="AQ24" i="3" s="1"/>
  <c r="X25" i="3"/>
  <c r="X26" i="3"/>
  <c r="Y19" i="3"/>
  <c r="Y27" i="3" s="1"/>
  <c r="Y29" i="3" s="1"/>
  <c r="Y20" i="3"/>
  <c r="Y21" i="3"/>
  <c r="Y22" i="3"/>
  <c r="Y23" i="3"/>
  <c r="AQ23" i="3" s="1"/>
  <c r="Y24" i="3"/>
  <c r="Y25" i="3"/>
  <c r="Y26" i="3"/>
  <c r="AA19" i="3"/>
  <c r="AA27" i="3" s="1"/>
  <c r="AB19" i="3"/>
  <c r="AC19" i="3"/>
  <c r="AP19" i="3"/>
  <c r="AU19" i="3"/>
  <c r="AV19" i="3"/>
  <c r="AW19" i="3"/>
  <c r="AX19" i="3"/>
  <c r="AY19" i="3"/>
  <c r="AZ19" i="3"/>
  <c r="AA20" i="3"/>
  <c r="AB20" i="3"/>
  <c r="AC20" i="3"/>
  <c r="AC27" i="3" s="1"/>
  <c r="AN20" i="3"/>
  <c r="AO20" i="3"/>
  <c r="AU20" i="3"/>
  <c r="AV20" i="3"/>
  <c r="AX20" i="3"/>
  <c r="AA21" i="3"/>
  <c r="AB21" i="3"/>
  <c r="AC21" i="3"/>
  <c r="AQ21" i="3"/>
  <c r="AU21" i="3"/>
  <c r="AV21" i="3"/>
  <c r="AW21" i="3"/>
  <c r="AX21" i="3"/>
  <c r="AZ21" i="3"/>
  <c r="AA22" i="3"/>
  <c r="AB22" i="3"/>
  <c r="AC22" i="3"/>
  <c r="AL22" i="3"/>
  <c r="AM22" i="3"/>
  <c r="AU22" i="3"/>
  <c r="AV22" i="3"/>
  <c r="AW22" i="3"/>
  <c r="AX22" i="3"/>
  <c r="AZ22" i="3"/>
  <c r="AA23" i="3"/>
  <c r="AB23" i="3"/>
  <c r="AC23" i="3"/>
  <c r="AL23" i="3"/>
  <c r="AN23" i="3"/>
  <c r="AU23" i="3"/>
  <c r="AV23" i="3"/>
  <c r="AX23" i="3"/>
  <c r="AA24" i="3"/>
  <c r="AB24" i="3"/>
  <c r="AB27" i="3" s="1"/>
  <c r="AC24" i="3"/>
  <c r="AN24" i="3"/>
  <c r="AU24" i="3"/>
  <c r="AV24" i="3"/>
  <c r="AW24" i="3"/>
  <c r="AX24" i="3"/>
  <c r="AZ24" i="3"/>
  <c r="BA24" i="3"/>
  <c r="AA25" i="3"/>
  <c r="AB25" i="3"/>
  <c r="AC25" i="3"/>
  <c r="AM25" i="3"/>
  <c r="AP25" i="3"/>
  <c r="AQ25" i="3"/>
  <c r="AU25" i="3"/>
  <c r="AV25" i="3"/>
  <c r="AW25" i="3"/>
  <c r="AX25" i="3"/>
  <c r="AZ25" i="3"/>
  <c r="AA26" i="3"/>
  <c r="AB26" i="3"/>
  <c r="AC26" i="3"/>
  <c r="AO26" i="3"/>
  <c r="AU26" i="3"/>
  <c r="AV26" i="3"/>
  <c r="AW26" i="3"/>
  <c r="AX26" i="3"/>
  <c r="AY26" i="3"/>
  <c r="AZ26" i="3"/>
  <c r="Z27" i="3"/>
  <c r="AU27" i="3"/>
  <c r="AV27" i="3"/>
  <c r="AW27" i="3"/>
  <c r="AX27" i="3"/>
  <c r="AZ27" i="3"/>
  <c r="BK27" i="3"/>
  <c r="BK29" i="3" s="1"/>
  <c r="BL27" i="3"/>
  <c r="BL29" i="3" s="1"/>
  <c r="BL60" i="3" s="1"/>
  <c r="BM27" i="3"/>
  <c r="BM29" i="3" s="1"/>
  <c r="BO27" i="3"/>
  <c r="BO29" i="3" s="1"/>
  <c r="BP27" i="3"/>
  <c r="BQ27" i="3"/>
  <c r="BS27" i="3"/>
  <c r="BT27" i="3"/>
  <c r="BU27" i="3"/>
  <c r="BW27" i="3"/>
  <c r="BX27" i="3"/>
  <c r="BX29" i="3" s="1"/>
  <c r="BY27" i="3"/>
  <c r="CA27" i="3"/>
  <c r="CB27" i="3"/>
  <c r="CC27" i="3"/>
  <c r="CC29" i="3" s="1"/>
  <c r="CE27" i="3"/>
  <c r="CE29" i="3" s="1"/>
  <c r="CE60" i="3" s="1"/>
  <c r="CF27" i="3"/>
  <c r="CF29" i="3" s="1"/>
  <c r="CG27" i="3"/>
  <c r="CG29" i="3" s="1"/>
  <c r="CI27" i="3"/>
  <c r="CJ27" i="3"/>
  <c r="F29" i="3"/>
  <c r="J29" i="3"/>
  <c r="V29" i="3"/>
  <c r="Z29" i="3"/>
  <c r="AF29" i="3"/>
  <c r="AH29" i="3"/>
  <c r="AJ29" i="3"/>
  <c r="BQ29" i="3"/>
  <c r="BS29" i="3"/>
  <c r="BU29" i="3"/>
  <c r="BW29" i="3"/>
  <c r="BY29" i="3"/>
  <c r="CA29" i="3"/>
  <c r="CB29" i="3"/>
  <c r="CJ29" i="3"/>
  <c r="AU31" i="3"/>
  <c r="C32" i="3"/>
  <c r="AL32" i="3" s="1"/>
  <c r="D32" i="3"/>
  <c r="D39" i="3" s="1"/>
  <c r="E32" i="3"/>
  <c r="G32" i="3"/>
  <c r="H32" i="3"/>
  <c r="AM32" i="3" s="1"/>
  <c r="I32" i="3"/>
  <c r="I39" i="3" s="1"/>
  <c r="K32" i="3"/>
  <c r="AN32" i="3" s="1"/>
  <c r="L32" i="3"/>
  <c r="M32" i="3"/>
  <c r="M39" i="3" s="1"/>
  <c r="O32" i="3"/>
  <c r="O39" i="3" s="1"/>
  <c r="P32" i="3"/>
  <c r="Q32" i="3"/>
  <c r="S32" i="3"/>
  <c r="AP32" i="3" s="1"/>
  <c r="T32" i="3"/>
  <c r="T39" i="3" s="1"/>
  <c r="U32" i="3"/>
  <c r="W32" i="3"/>
  <c r="AQ32" i="3" s="1"/>
  <c r="X32" i="3"/>
  <c r="Y32" i="3"/>
  <c r="AA32" i="3"/>
  <c r="AB32" i="3"/>
  <c r="AB39" i="3" s="1"/>
  <c r="AC32" i="3"/>
  <c r="AC63" i="3" s="1"/>
  <c r="AU32" i="3"/>
  <c r="AF39" i="3"/>
  <c r="AV32" i="3"/>
  <c r="AG39" i="3"/>
  <c r="AW34" i="3" s="1"/>
  <c r="AH39" i="3"/>
  <c r="AX36" i="3" s="1"/>
  <c r="AX32" i="3"/>
  <c r="AI39" i="3"/>
  <c r="AY32" i="3" s="1"/>
  <c r="AJ39" i="3"/>
  <c r="AZ34" i="3" s="1"/>
  <c r="AZ32" i="3"/>
  <c r="AK39" i="3"/>
  <c r="BA32" i="3" s="1"/>
  <c r="B39" i="3"/>
  <c r="C33" i="3"/>
  <c r="C34" i="3"/>
  <c r="C35" i="3"/>
  <c r="AL35" i="3" s="1"/>
  <c r="C36" i="3"/>
  <c r="AL36" i="3" s="1"/>
  <c r="C37" i="3"/>
  <c r="C38" i="3"/>
  <c r="C39" i="3"/>
  <c r="AL39" i="3" s="1"/>
  <c r="D33" i="3"/>
  <c r="D34" i="3"/>
  <c r="D35" i="3"/>
  <c r="D36" i="3"/>
  <c r="D37" i="3"/>
  <c r="D38" i="3"/>
  <c r="E33" i="3"/>
  <c r="E34" i="3"/>
  <c r="E35" i="3"/>
  <c r="E36" i="3"/>
  <c r="E37" i="3"/>
  <c r="E38" i="3"/>
  <c r="E39" i="3"/>
  <c r="F39" i="3"/>
  <c r="G33" i="3"/>
  <c r="G39" i="3" s="1"/>
  <c r="AM39" i="3" s="1"/>
  <c r="G34" i="3"/>
  <c r="G35" i="3"/>
  <c r="G36" i="3"/>
  <c r="G37" i="3"/>
  <c r="AM37" i="3" s="1"/>
  <c r="G38" i="3"/>
  <c r="H33" i="3"/>
  <c r="H39" i="3" s="1"/>
  <c r="H34" i="3"/>
  <c r="AM34" i="3" s="1"/>
  <c r="H35" i="3"/>
  <c r="H36" i="3"/>
  <c r="AM36" i="3" s="1"/>
  <c r="H37" i="3"/>
  <c r="H38" i="3"/>
  <c r="I33" i="3"/>
  <c r="I34" i="3"/>
  <c r="I35" i="3"/>
  <c r="I36" i="3"/>
  <c r="I37" i="3"/>
  <c r="I38" i="3"/>
  <c r="J39" i="3"/>
  <c r="K33" i="3"/>
  <c r="AN33" i="3" s="1"/>
  <c r="K34" i="3"/>
  <c r="AN34" i="3" s="1"/>
  <c r="K35" i="3"/>
  <c r="K36" i="3"/>
  <c r="AN36" i="3" s="1"/>
  <c r="K37" i="3"/>
  <c r="AN37" i="3" s="1"/>
  <c r="K38" i="3"/>
  <c r="L33" i="3"/>
  <c r="L34" i="3"/>
  <c r="L39" i="3" s="1"/>
  <c r="L35" i="3"/>
  <c r="L36" i="3"/>
  <c r="L37" i="3"/>
  <c r="L38" i="3"/>
  <c r="M33" i="3"/>
  <c r="M34" i="3"/>
  <c r="M35" i="3"/>
  <c r="M36" i="3"/>
  <c r="M37" i="3"/>
  <c r="M38" i="3"/>
  <c r="N39" i="3"/>
  <c r="O33" i="3"/>
  <c r="O34" i="3"/>
  <c r="O35" i="3"/>
  <c r="AO35" i="3" s="1"/>
  <c r="O36" i="3"/>
  <c r="O37" i="3"/>
  <c r="AO37" i="3" s="1"/>
  <c r="O38" i="3"/>
  <c r="P33" i="3"/>
  <c r="P39" i="3" s="1"/>
  <c r="P34" i="3"/>
  <c r="P35" i="3"/>
  <c r="P36" i="3"/>
  <c r="P37" i="3"/>
  <c r="P38" i="3"/>
  <c r="Q33" i="3"/>
  <c r="Q39" i="3" s="1"/>
  <c r="Q34" i="3"/>
  <c r="Q35" i="3"/>
  <c r="Q36" i="3"/>
  <c r="Q37" i="3"/>
  <c r="Q38" i="3"/>
  <c r="R39" i="3"/>
  <c r="S33" i="3"/>
  <c r="S34" i="3"/>
  <c r="S39" i="3" s="1"/>
  <c r="S35" i="3"/>
  <c r="AP35" i="3" s="1"/>
  <c r="S36" i="3"/>
  <c r="S37" i="3"/>
  <c r="S38" i="3"/>
  <c r="AP38" i="3" s="1"/>
  <c r="T33" i="3"/>
  <c r="T34" i="3"/>
  <c r="T35" i="3"/>
  <c r="T36" i="3"/>
  <c r="T37" i="3"/>
  <c r="T38" i="3"/>
  <c r="U33" i="3"/>
  <c r="U34" i="3"/>
  <c r="U39" i="3" s="1"/>
  <c r="U35" i="3"/>
  <c r="U36" i="3"/>
  <c r="U37" i="3"/>
  <c r="U38" i="3"/>
  <c r="V39" i="3"/>
  <c r="V58" i="3" s="1"/>
  <c r="W33" i="3"/>
  <c r="W34" i="3"/>
  <c r="W35" i="3"/>
  <c r="AQ35" i="3" s="1"/>
  <c r="W36" i="3"/>
  <c r="W37" i="3"/>
  <c r="W38" i="3"/>
  <c r="W39" i="3"/>
  <c r="X33" i="3"/>
  <c r="X34" i="3"/>
  <c r="AQ34" i="3" s="1"/>
  <c r="X35" i="3"/>
  <c r="X36" i="3"/>
  <c r="X37" i="3"/>
  <c r="AQ37" i="3" s="1"/>
  <c r="X38" i="3"/>
  <c r="AQ38" i="3" s="1"/>
  <c r="Y33" i="3"/>
  <c r="Y34" i="3"/>
  <c r="Y35" i="3"/>
  <c r="Y36" i="3"/>
  <c r="Y37" i="3"/>
  <c r="Y38" i="3"/>
  <c r="Y39" i="3"/>
  <c r="AA33" i="3"/>
  <c r="AA39" i="3" s="1"/>
  <c r="AB33" i="3"/>
  <c r="AC33" i="3"/>
  <c r="AL33" i="3"/>
  <c r="AM33" i="3"/>
  <c r="AO33" i="3"/>
  <c r="AP33" i="3"/>
  <c r="AQ33" i="3"/>
  <c r="AU33" i="3"/>
  <c r="AV33" i="3"/>
  <c r="AZ33" i="3"/>
  <c r="BA33" i="3"/>
  <c r="AA34" i="3"/>
  <c r="AB34" i="3"/>
  <c r="AC34" i="3"/>
  <c r="AL34" i="3"/>
  <c r="BB34" i="3" s="1"/>
  <c r="AO34" i="3"/>
  <c r="AU34" i="3"/>
  <c r="AV34" i="3"/>
  <c r="AX34" i="3"/>
  <c r="BA34" i="3"/>
  <c r="AA35" i="3"/>
  <c r="AB35" i="3"/>
  <c r="AC35" i="3"/>
  <c r="AM35" i="3"/>
  <c r="AN35" i="3"/>
  <c r="AU35" i="3"/>
  <c r="AV35" i="3"/>
  <c r="AX35" i="3"/>
  <c r="AZ35" i="3"/>
  <c r="BA35" i="3"/>
  <c r="AA36" i="3"/>
  <c r="AB36" i="3"/>
  <c r="AC36" i="3"/>
  <c r="AO36" i="3"/>
  <c r="AP36" i="3"/>
  <c r="AQ36" i="3"/>
  <c r="AU36" i="3"/>
  <c r="AV36" i="3"/>
  <c r="AZ36" i="3"/>
  <c r="BA36" i="3"/>
  <c r="AA37" i="3"/>
  <c r="AB37" i="3"/>
  <c r="AC37" i="3"/>
  <c r="AL37" i="3"/>
  <c r="BB37" i="3" s="1"/>
  <c r="AP37" i="3"/>
  <c r="AU37" i="3"/>
  <c r="AV37" i="3"/>
  <c r="AX37" i="3"/>
  <c r="AY37" i="3"/>
  <c r="AZ37" i="3"/>
  <c r="BA37" i="3"/>
  <c r="AA38" i="3"/>
  <c r="AB38" i="3"/>
  <c r="AC38" i="3"/>
  <c r="AL38" i="3"/>
  <c r="AM38" i="3"/>
  <c r="AN38" i="3"/>
  <c r="AO38" i="3"/>
  <c r="AU38" i="3"/>
  <c r="AV38" i="3"/>
  <c r="AX38" i="3"/>
  <c r="BA38" i="3"/>
  <c r="Z39" i="3"/>
  <c r="AU39" i="3"/>
  <c r="AV39" i="3"/>
  <c r="AX39" i="3"/>
  <c r="AZ39" i="3"/>
  <c r="BA39" i="3"/>
  <c r="BK39" i="3"/>
  <c r="BL39" i="3"/>
  <c r="BM39" i="3"/>
  <c r="BO39" i="3"/>
  <c r="BP39" i="3"/>
  <c r="BQ39" i="3"/>
  <c r="BQ58" i="3" s="1"/>
  <c r="BQ60" i="3" s="1"/>
  <c r="BS39" i="3"/>
  <c r="BT39" i="3"/>
  <c r="BU39" i="3"/>
  <c r="BU58" i="3" s="1"/>
  <c r="BU60" i="3" s="1"/>
  <c r="BW39" i="3"/>
  <c r="BW58" i="3" s="1"/>
  <c r="BW60" i="3" s="1"/>
  <c r="BX39" i="3"/>
  <c r="BY39" i="3"/>
  <c r="BY58" i="3" s="1"/>
  <c r="BY60" i="3" s="1"/>
  <c r="CA39" i="3"/>
  <c r="CB39" i="3"/>
  <c r="CC39" i="3"/>
  <c r="CE39" i="3"/>
  <c r="CF39" i="3"/>
  <c r="CG39" i="3"/>
  <c r="CI39" i="3"/>
  <c r="CJ39" i="3"/>
  <c r="CJ58" i="3" s="1"/>
  <c r="CJ60" i="3" s="1"/>
  <c r="AU41" i="3"/>
  <c r="C42" i="3"/>
  <c r="AL42" i="3" s="1"/>
  <c r="D42" i="3"/>
  <c r="D56" i="3" s="1"/>
  <c r="D58" i="3" s="1"/>
  <c r="D60" i="3" s="1"/>
  <c r="E42" i="3"/>
  <c r="E56" i="3" s="1"/>
  <c r="E58" i="3" s="1"/>
  <c r="G42" i="3"/>
  <c r="H42" i="3"/>
  <c r="AM42" i="3" s="1"/>
  <c r="I42" i="3"/>
  <c r="I56" i="3" s="1"/>
  <c r="I58" i="3" s="1"/>
  <c r="K42" i="3"/>
  <c r="L42" i="3"/>
  <c r="M42" i="3"/>
  <c r="O42" i="3"/>
  <c r="O56" i="3" s="1"/>
  <c r="O58" i="3" s="1"/>
  <c r="P42" i="3"/>
  <c r="Q42" i="3"/>
  <c r="Q56" i="3" s="1"/>
  <c r="S42" i="3"/>
  <c r="AP42" i="3" s="1"/>
  <c r="T42" i="3"/>
  <c r="T56" i="3" s="1"/>
  <c r="U42" i="3"/>
  <c r="U56" i="3" s="1"/>
  <c r="W42" i="3"/>
  <c r="W56" i="3" s="1"/>
  <c r="X42" i="3"/>
  <c r="X56" i="3" s="1"/>
  <c r="Y42" i="3"/>
  <c r="AA42" i="3"/>
  <c r="AA56" i="3" s="1"/>
  <c r="AA58" i="3" s="1"/>
  <c r="AB42" i="3"/>
  <c r="AC42" i="3"/>
  <c r="AN42" i="3"/>
  <c r="AU42" i="3"/>
  <c r="AF56" i="3"/>
  <c r="AV44" i="3" s="1"/>
  <c r="AV42" i="3"/>
  <c r="AG56" i="3"/>
  <c r="AW42" i="3" s="1"/>
  <c r="AH56" i="3"/>
  <c r="AX43" i="3" s="1"/>
  <c r="AX42" i="3"/>
  <c r="AI56" i="3"/>
  <c r="AY42" i="3" s="1"/>
  <c r="AJ56" i="3"/>
  <c r="AZ52" i="3" s="1"/>
  <c r="AZ42" i="3"/>
  <c r="AK56" i="3"/>
  <c r="BA42" i="3"/>
  <c r="B56" i="3"/>
  <c r="AL56" i="3" s="1"/>
  <c r="C43" i="3"/>
  <c r="C45" i="3"/>
  <c r="AL45" i="3" s="1"/>
  <c r="C46" i="3"/>
  <c r="C56" i="3" s="1"/>
  <c r="C58" i="3" s="1"/>
  <c r="C47" i="3"/>
  <c r="AL47" i="3" s="1"/>
  <c r="C48" i="3"/>
  <c r="C49" i="3"/>
  <c r="C50" i="3"/>
  <c r="C52" i="3"/>
  <c r="C54" i="3"/>
  <c r="C55" i="3"/>
  <c r="D43" i="3"/>
  <c r="D45" i="3"/>
  <c r="D46" i="3"/>
  <c r="D47" i="3"/>
  <c r="D48" i="3"/>
  <c r="AL48" i="3" s="1"/>
  <c r="D49" i="3"/>
  <c r="AL49" i="3" s="1"/>
  <c r="D50" i="3"/>
  <c r="AL50" i="3" s="1"/>
  <c r="D52" i="3"/>
  <c r="D54" i="3"/>
  <c r="AL54" i="3" s="1"/>
  <c r="D55" i="3"/>
  <c r="E43" i="3"/>
  <c r="E45" i="3"/>
  <c r="E46" i="3"/>
  <c r="E47" i="3"/>
  <c r="E48" i="3"/>
  <c r="E49" i="3"/>
  <c r="E50" i="3"/>
  <c r="E52" i="3"/>
  <c r="AL52" i="3" s="1"/>
  <c r="BB52" i="3" s="1"/>
  <c r="E54" i="3"/>
  <c r="E55" i="3"/>
  <c r="F56" i="3"/>
  <c r="G43" i="3"/>
  <c r="G45" i="3"/>
  <c r="G56" i="3" s="1"/>
  <c r="G46" i="3"/>
  <c r="G47" i="3"/>
  <c r="G48" i="3"/>
  <c r="G49" i="3"/>
  <c r="G50" i="3"/>
  <c r="AM50" i="3" s="1"/>
  <c r="G52" i="3"/>
  <c r="AM52" i="3" s="1"/>
  <c r="G54" i="3"/>
  <c r="AM54" i="3" s="1"/>
  <c r="G55" i="3"/>
  <c r="H43" i="3"/>
  <c r="H45" i="3"/>
  <c r="H46" i="3"/>
  <c r="H47" i="3"/>
  <c r="H48" i="3"/>
  <c r="H49" i="3"/>
  <c r="H50" i="3"/>
  <c r="H52" i="3"/>
  <c r="H54" i="3"/>
  <c r="H55" i="3"/>
  <c r="I43" i="3"/>
  <c r="AM43" i="3" s="1"/>
  <c r="I45" i="3"/>
  <c r="AM45" i="3" s="1"/>
  <c r="I46" i="3"/>
  <c r="I47" i="3"/>
  <c r="AM47" i="3" s="1"/>
  <c r="AM82" i="3" s="1"/>
  <c r="I48" i="3"/>
  <c r="I49" i="3"/>
  <c r="I50" i="3"/>
  <c r="I52" i="3"/>
  <c r="I54" i="3"/>
  <c r="I55" i="3"/>
  <c r="J56" i="3"/>
  <c r="K43" i="3"/>
  <c r="AN43" i="3" s="1"/>
  <c r="K45" i="3"/>
  <c r="AN45" i="3" s="1"/>
  <c r="K46" i="3"/>
  <c r="K47" i="3"/>
  <c r="AN47" i="3" s="1"/>
  <c r="K48" i="3"/>
  <c r="K49" i="3"/>
  <c r="K50" i="3"/>
  <c r="K52" i="3"/>
  <c r="K54" i="3"/>
  <c r="K55" i="3"/>
  <c r="L43" i="3"/>
  <c r="L56" i="3" s="1"/>
  <c r="L58" i="3" s="1"/>
  <c r="L60" i="3" s="1"/>
  <c r="L45" i="3"/>
  <c r="L46" i="3"/>
  <c r="AN46" i="3" s="1"/>
  <c r="L47" i="3"/>
  <c r="L48" i="3"/>
  <c r="AN48" i="3" s="1"/>
  <c r="L49" i="3"/>
  <c r="L50" i="3"/>
  <c r="AN50" i="3" s="1"/>
  <c r="L52" i="3"/>
  <c r="L54" i="3"/>
  <c r="L55" i="3"/>
  <c r="M43" i="3"/>
  <c r="M56" i="3" s="1"/>
  <c r="M58" i="3" s="1"/>
  <c r="M45" i="3"/>
  <c r="M46" i="3"/>
  <c r="M47" i="3"/>
  <c r="M48" i="3"/>
  <c r="M49" i="3"/>
  <c r="M50" i="3"/>
  <c r="M52" i="3"/>
  <c r="AN52" i="3" s="1"/>
  <c r="M54" i="3"/>
  <c r="M55" i="3"/>
  <c r="AN55" i="3" s="1"/>
  <c r="N56" i="3"/>
  <c r="N58" i="3" s="1"/>
  <c r="O43" i="3"/>
  <c r="AO43" i="3" s="1"/>
  <c r="O45" i="3"/>
  <c r="O46" i="3"/>
  <c r="O47" i="3"/>
  <c r="O48" i="3"/>
  <c r="AO48" i="3" s="1"/>
  <c r="O49" i="3"/>
  <c r="O50" i="3"/>
  <c r="AO50" i="3" s="1"/>
  <c r="O52" i="3"/>
  <c r="AO52" i="3" s="1"/>
  <c r="O54" i="3"/>
  <c r="O55" i="3"/>
  <c r="P43" i="3"/>
  <c r="P45" i="3"/>
  <c r="P46" i="3"/>
  <c r="P47" i="3"/>
  <c r="P48" i="3"/>
  <c r="P49" i="3"/>
  <c r="P50" i="3"/>
  <c r="P52" i="3"/>
  <c r="P54" i="3"/>
  <c r="AO54" i="3" s="1"/>
  <c r="P55" i="3"/>
  <c r="AO55" i="3" s="1"/>
  <c r="Q43" i="3"/>
  <c r="Q45" i="3"/>
  <c r="AO45" i="3" s="1"/>
  <c r="Q46" i="3"/>
  <c r="Q47" i="3"/>
  <c r="Q48" i="3"/>
  <c r="Q49" i="3"/>
  <c r="Q50" i="3"/>
  <c r="Q52" i="3"/>
  <c r="Q54" i="3"/>
  <c r="Q55" i="3"/>
  <c r="R56" i="3"/>
  <c r="R58" i="3" s="1"/>
  <c r="S43" i="3"/>
  <c r="S45" i="3"/>
  <c r="AP45" i="3" s="1"/>
  <c r="S46" i="3"/>
  <c r="S47" i="3"/>
  <c r="S48" i="3"/>
  <c r="S49" i="3"/>
  <c r="S50" i="3"/>
  <c r="S52" i="3"/>
  <c r="S54" i="3"/>
  <c r="S55" i="3"/>
  <c r="AP55" i="3" s="1"/>
  <c r="T43" i="3"/>
  <c r="T45" i="3"/>
  <c r="T46" i="3"/>
  <c r="AP46" i="3" s="1"/>
  <c r="T47" i="3"/>
  <c r="T48" i="3"/>
  <c r="AP48" i="3" s="1"/>
  <c r="T49" i="3"/>
  <c r="T50" i="3"/>
  <c r="T52" i="3"/>
  <c r="T54" i="3"/>
  <c r="AP54" i="3" s="1"/>
  <c r="T55" i="3"/>
  <c r="U43" i="3"/>
  <c r="U45" i="3"/>
  <c r="U46" i="3"/>
  <c r="U47" i="3"/>
  <c r="AP47" i="3" s="1"/>
  <c r="U48" i="3"/>
  <c r="U49" i="3"/>
  <c r="U50" i="3"/>
  <c r="U52" i="3"/>
  <c r="AP52" i="3" s="1"/>
  <c r="U54" i="3"/>
  <c r="U55" i="3"/>
  <c r="V56" i="3"/>
  <c r="W43" i="3"/>
  <c r="AQ43" i="3" s="1"/>
  <c r="W45" i="3"/>
  <c r="W46" i="3"/>
  <c r="AQ46" i="3" s="1"/>
  <c r="W47" i="3"/>
  <c r="W48" i="3"/>
  <c r="AQ48" i="3" s="1"/>
  <c r="W49" i="3"/>
  <c r="W50" i="3"/>
  <c r="W51" i="3"/>
  <c r="W52" i="3"/>
  <c r="AQ52" i="3" s="1"/>
  <c r="W54" i="3"/>
  <c r="W55" i="3"/>
  <c r="X43" i="3"/>
  <c r="X45" i="3"/>
  <c r="X46" i="3"/>
  <c r="X47" i="3"/>
  <c r="AQ47" i="3" s="1"/>
  <c r="X48" i="3"/>
  <c r="X49" i="3"/>
  <c r="X50" i="3"/>
  <c r="AQ50" i="3" s="1"/>
  <c r="X52" i="3"/>
  <c r="X54" i="3"/>
  <c r="X55" i="3"/>
  <c r="AQ55" i="3" s="1"/>
  <c r="Y43" i="3"/>
  <c r="Y45" i="3"/>
  <c r="Y46" i="3"/>
  <c r="Y47" i="3"/>
  <c r="Y48" i="3"/>
  <c r="Y49" i="3"/>
  <c r="Y50" i="3"/>
  <c r="Y52" i="3"/>
  <c r="Y54" i="3"/>
  <c r="Y55" i="3"/>
  <c r="Y56" i="3"/>
  <c r="Y58" i="3" s="1"/>
  <c r="Y60" i="3" s="1"/>
  <c r="AA43" i="3"/>
  <c r="AB43" i="3"/>
  <c r="AC43" i="3"/>
  <c r="AL43" i="3"/>
  <c r="AP43" i="3"/>
  <c r="AU43" i="3"/>
  <c r="AV43" i="3"/>
  <c r="AW43" i="3"/>
  <c r="AY43" i="3"/>
  <c r="AZ43" i="3"/>
  <c r="BA43" i="3"/>
  <c r="AL44" i="3"/>
  <c r="AM44" i="3"/>
  <c r="AN44" i="3"/>
  <c r="AO44" i="3"/>
  <c r="AP44" i="3"/>
  <c r="AQ44" i="3"/>
  <c r="AU44" i="3"/>
  <c r="AX44" i="3"/>
  <c r="AY44" i="3"/>
  <c r="BA44" i="3"/>
  <c r="AA45" i="3"/>
  <c r="AB45" i="3"/>
  <c r="AC45" i="3"/>
  <c r="AQ45" i="3"/>
  <c r="AU45" i="3"/>
  <c r="AV45" i="3"/>
  <c r="AW45" i="3"/>
  <c r="AX45" i="3"/>
  <c r="AY45" i="3"/>
  <c r="AZ45" i="3"/>
  <c r="BA45" i="3"/>
  <c r="AA46" i="3"/>
  <c r="AB46" i="3"/>
  <c r="AC46" i="3"/>
  <c r="AL46" i="3"/>
  <c r="BB46" i="3" s="1"/>
  <c r="AM46" i="3"/>
  <c r="AO46" i="3"/>
  <c r="AU46" i="3"/>
  <c r="AV46" i="3"/>
  <c r="AY46" i="3"/>
  <c r="AZ46" i="3"/>
  <c r="BA46" i="3"/>
  <c r="AA47" i="3"/>
  <c r="AB47" i="3"/>
  <c r="AC47" i="3"/>
  <c r="AO47" i="3"/>
  <c r="AU47" i="3"/>
  <c r="AV47" i="3"/>
  <c r="AX47" i="3"/>
  <c r="AY47" i="3"/>
  <c r="BA47" i="3"/>
  <c r="AA48" i="3"/>
  <c r="AB48" i="3"/>
  <c r="AB56" i="3" s="1"/>
  <c r="AB58" i="3" s="1"/>
  <c r="AC48" i="3"/>
  <c r="AC56" i="3" s="1"/>
  <c r="AM48" i="3"/>
  <c r="AU48" i="3"/>
  <c r="AX48" i="3"/>
  <c r="AY48" i="3"/>
  <c r="AZ48" i="3"/>
  <c r="BA48" i="3"/>
  <c r="AA49" i="3"/>
  <c r="AB49" i="3"/>
  <c r="AC49" i="3"/>
  <c r="AM49" i="3"/>
  <c r="AN49" i="3"/>
  <c r="AO49" i="3"/>
  <c r="AP49" i="3"/>
  <c r="AQ49" i="3"/>
  <c r="AU49" i="3"/>
  <c r="AV49" i="3"/>
  <c r="AY49" i="3"/>
  <c r="AZ49" i="3"/>
  <c r="BA49" i="3"/>
  <c r="AA50" i="3"/>
  <c r="AB50" i="3"/>
  <c r="AC50" i="3"/>
  <c r="AP50" i="3"/>
  <c r="AU50" i="3"/>
  <c r="AV50" i="3"/>
  <c r="AX50" i="3"/>
  <c r="AY50" i="3"/>
  <c r="AZ50" i="3"/>
  <c r="BA50" i="3"/>
  <c r="AA51" i="3"/>
  <c r="AL51" i="3"/>
  <c r="AM51" i="3"/>
  <c r="AN51" i="3"/>
  <c r="AO51" i="3"/>
  <c r="AP51" i="3"/>
  <c r="AQ51" i="3"/>
  <c r="AA52" i="3"/>
  <c r="AB52" i="3"/>
  <c r="AC52" i="3"/>
  <c r="AU52" i="3"/>
  <c r="AV52" i="3"/>
  <c r="AX52" i="3"/>
  <c r="AY52" i="3"/>
  <c r="BA52" i="3"/>
  <c r="AA53" i="3"/>
  <c r="AL53" i="3"/>
  <c r="AM53" i="3"/>
  <c r="AN53" i="3"/>
  <c r="AO53" i="3"/>
  <c r="AP53" i="3"/>
  <c r="AQ53" i="3"/>
  <c r="AA54" i="3"/>
  <c r="AB54" i="3"/>
  <c r="AC54" i="3"/>
  <c r="AN54" i="3"/>
  <c r="AQ54" i="3"/>
  <c r="AU54" i="3"/>
  <c r="AV54" i="3"/>
  <c r="AW54" i="3"/>
  <c r="AX54" i="3"/>
  <c r="AY54" i="3"/>
  <c r="AZ54" i="3"/>
  <c r="BA54" i="3"/>
  <c r="AA55" i="3"/>
  <c r="AB55" i="3"/>
  <c r="AC55" i="3"/>
  <c r="AL55" i="3"/>
  <c r="AM55" i="3"/>
  <c r="AU55" i="3"/>
  <c r="AV55" i="3"/>
  <c r="AY55" i="3"/>
  <c r="AZ55" i="3"/>
  <c r="BA55" i="3"/>
  <c r="Z56" i="3"/>
  <c r="AU56" i="3"/>
  <c r="AV56" i="3"/>
  <c r="AX56" i="3"/>
  <c r="AY56" i="3"/>
  <c r="AZ56" i="3"/>
  <c r="BA56" i="3"/>
  <c r="BK56" i="3"/>
  <c r="BK58" i="3" s="1"/>
  <c r="BL56" i="3"/>
  <c r="BM56" i="3"/>
  <c r="BO56" i="3"/>
  <c r="BP56" i="3"/>
  <c r="BP58" i="3" s="1"/>
  <c r="BP60" i="3" s="1"/>
  <c r="BQ56" i="3"/>
  <c r="BS56" i="3"/>
  <c r="BS58" i="3" s="1"/>
  <c r="BS60" i="3" s="1"/>
  <c r="BT56" i="3"/>
  <c r="BT58" i="3" s="1"/>
  <c r="BT60" i="3" s="1"/>
  <c r="BU56" i="3"/>
  <c r="BW56" i="3"/>
  <c r="BX56" i="3"/>
  <c r="BY56" i="3"/>
  <c r="CA56" i="3"/>
  <c r="CB56" i="3"/>
  <c r="CC56" i="3"/>
  <c r="CC58" i="3" s="1"/>
  <c r="CE56" i="3"/>
  <c r="CF56" i="3"/>
  <c r="CG56" i="3"/>
  <c r="CI56" i="3"/>
  <c r="CI58" i="3" s="1"/>
  <c r="CI60" i="3" s="1"/>
  <c r="CJ56" i="3"/>
  <c r="B58" i="3"/>
  <c r="F58" i="3"/>
  <c r="J58" i="3"/>
  <c r="J60" i="3" s="1"/>
  <c r="Z58" i="3"/>
  <c r="AF58" i="3"/>
  <c r="AF60" i="3" s="1"/>
  <c r="AG58" i="3"/>
  <c r="AJ58" i="3"/>
  <c r="AK58" i="3"/>
  <c r="BL58" i="3"/>
  <c r="BM58" i="3"/>
  <c r="BM60" i="3" s="1"/>
  <c r="BO58" i="3"/>
  <c r="BO60" i="3" s="1"/>
  <c r="BX58" i="3"/>
  <c r="BX60" i="3" s="1"/>
  <c r="CA58" i="3"/>
  <c r="CB58" i="3"/>
  <c r="CE58" i="3"/>
  <c r="CF58" i="3"/>
  <c r="CF60" i="3" s="1"/>
  <c r="CG58" i="3"/>
  <c r="CG60" i="3" s="1"/>
  <c r="F60" i="3"/>
  <c r="Z60" i="3"/>
  <c r="AJ60" i="3"/>
  <c r="CA60" i="3"/>
  <c r="CB60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F62" i="3"/>
  <c r="AV62" i="3" s="1"/>
  <c r="AG62" i="3"/>
  <c r="AH62" i="3"/>
  <c r="AX62" i="3" s="1"/>
  <c r="AI62" i="3"/>
  <c r="AY62" i="3" s="1"/>
  <c r="AJ62" i="3"/>
  <c r="AK62" i="3"/>
  <c r="BA62" i="3" s="1"/>
  <c r="AL62" i="3"/>
  <c r="AM62" i="3"/>
  <c r="AN62" i="3"/>
  <c r="AO62" i="3"/>
  <c r="AP62" i="3"/>
  <c r="AQ62" i="3"/>
  <c r="AU62" i="3"/>
  <c r="AZ62" i="3"/>
  <c r="B63" i="3"/>
  <c r="C63" i="3"/>
  <c r="D63" i="3"/>
  <c r="E63" i="3"/>
  <c r="F63" i="3"/>
  <c r="G63" i="3"/>
  <c r="H63" i="3"/>
  <c r="J63" i="3"/>
  <c r="K63" i="3"/>
  <c r="L63" i="3"/>
  <c r="M63" i="3"/>
  <c r="N63" i="3"/>
  <c r="O63" i="3"/>
  <c r="P63" i="3"/>
  <c r="R63" i="3"/>
  <c r="S63" i="3"/>
  <c r="T63" i="3"/>
  <c r="U63" i="3"/>
  <c r="V63" i="3"/>
  <c r="W63" i="3"/>
  <c r="X63" i="3"/>
  <c r="Y63" i="3"/>
  <c r="Z63" i="3"/>
  <c r="AA63" i="3"/>
  <c r="AB63" i="3"/>
  <c r="AF63" i="3"/>
  <c r="AG63" i="3"/>
  <c r="AH63" i="3"/>
  <c r="AI63" i="3"/>
  <c r="AJ63" i="3"/>
  <c r="AK63" i="3"/>
  <c r="AP63" i="3"/>
  <c r="AU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L65" i="3"/>
  <c r="AL68" i="3"/>
  <c r="AL69" i="3"/>
  <c r="AL73" i="3"/>
  <c r="AL75" i="3"/>
  <c r="AL76" i="3"/>
  <c r="AL78" i="3"/>
  <c r="AL80" i="3"/>
  <c r="AL83" i="3"/>
  <c r="AM65" i="3"/>
  <c r="AM67" i="3"/>
  <c r="AM68" i="3"/>
  <c r="AM70" i="3"/>
  <c r="AM71" i="3"/>
  <c r="AM75" i="3"/>
  <c r="AM77" i="3"/>
  <c r="AM79" i="3"/>
  <c r="AM80" i="3"/>
  <c r="AM81" i="3"/>
  <c r="AM83" i="3"/>
  <c r="AN66" i="3"/>
  <c r="AN67" i="3"/>
  <c r="AN68" i="3"/>
  <c r="AN71" i="3"/>
  <c r="AN74" i="3"/>
  <c r="AN75" i="3"/>
  <c r="AN77" i="3"/>
  <c r="AN80" i="3"/>
  <c r="AN81" i="3"/>
  <c r="AN83" i="3"/>
  <c r="AO65" i="3"/>
  <c r="AO66" i="3"/>
  <c r="AO69" i="3"/>
  <c r="AO72" i="3"/>
  <c r="AO73" i="3"/>
  <c r="AO75" i="3"/>
  <c r="AO77" i="3"/>
  <c r="AO78" i="3"/>
  <c r="AO80" i="3"/>
  <c r="AO82" i="3"/>
  <c r="AO83" i="3"/>
  <c r="AP64" i="3"/>
  <c r="AP65" i="3"/>
  <c r="AP66" i="3"/>
  <c r="AP67" i="3"/>
  <c r="AP68" i="3"/>
  <c r="AP71" i="3"/>
  <c r="AP72" i="3"/>
  <c r="AP74" i="3"/>
  <c r="AP75" i="3"/>
  <c r="AP78" i="3"/>
  <c r="AP79" i="3"/>
  <c r="AP80" i="3"/>
  <c r="AP81" i="3"/>
  <c r="AP83" i="3"/>
  <c r="AQ64" i="3"/>
  <c r="AQ66" i="3"/>
  <c r="AQ67" i="3"/>
  <c r="AQ71" i="3"/>
  <c r="AQ73" i="3"/>
  <c r="AQ74" i="3"/>
  <c r="AQ75" i="3"/>
  <c r="AQ76" i="3"/>
  <c r="AQ78" i="3"/>
  <c r="AQ80" i="3"/>
  <c r="AQ81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U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U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U66" i="3"/>
  <c r="B67" i="3"/>
  <c r="C67" i="3"/>
  <c r="D67" i="3"/>
  <c r="E67" i="3"/>
  <c r="F67" i="3"/>
  <c r="G67" i="3"/>
  <c r="H67" i="3"/>
  <c r="I67" i="3"/>
  <c r="J67" i="3"/>
  <c r="K67" i="3"/>
  <c r="L67" i="3"/>
  <c r="M67" i="3"/>
  <c r="M84" i="3" s="1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A84" i="3" s="1"/>
  <c r="AB67" i="3"/>
  <c r="AC67" i="3"/>
  <c r="AU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U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U69" i="3"/>
  <c r="B70" i="3"/>
  <c r="C70" i="3"/>
  <c r="D70" i="3"/>
  <c r="E70" i="3"/>
  <c r="F70" i="3"/>
  <c r="G70" i="3"/>
  <c r="G84" i="3" s="1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U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U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U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U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U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Z84" i="3" s="1"/>
  <c r="AA75" i="3"/>
  <c r="AB75" i="3"/>
  <c r="AC75" i="3"/>
  <c r="AU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U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U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B84" i="3" s="1"/>
  <c r="AC78" i="3"/>
  <c r="AU78" i="3"/>
  <c r="B79" i="3"/>
  <c r="B84" i="3" s="1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U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U80" i="3"/>
  <c r="B81" i="3"/>
  <c r="C81" i="3"/>
  <c r="D81" i="3"/>
  <c r="E81" i="3"/>
  <c r="F81" i="3"/>
  <c r="G81" i="3"/>
  <c r="H81" i="3"/>
  <c r="I81" i="3"/>
  <c r="J81" i="3"/>
  <c r="K81" i="3"/>
  <c r="L81" i="3"/>
  <c r="L84" i="3" s="1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U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U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U83" i="3"/>
  <c r="F84" i="3"/>
  <c r="N84" i="3"/>
  <c r="P84" i="3"/>
  <c r="T84" i="3"/>
  <c r="U84" i="3"/>
  <c r="AU84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BK86" i="3"/>
  <c r="BL86" i="3"/>
  <c r="BM86" i="3"/>
  <c r="BO86" i="3"/>
  <c r="BP86" i="3"/>
  <c r="BQ86" i="3"/>
  <c r="BS86" i="3"/>
  <c r="BT86" i="3"/>
  <c r="BU86" i="3"/>
  <c r="BW86" i="3"/>
  <c r="BX86" i="3"/>
  <c r="BY86" i="3"/>
  <c r="CA86" i="3"/>
  <c r="CB86" i="3"/>
  <c r="CC86" i="3"/>
  <c r="CE86" i="3"/>
  <c r="CF86" i="3"/>
  <c r="CG86" i="3"/>
  <c r="CI86" i="3"/>
  <c r="CJ86" i="3"/>
  <c r="CK86" i="3"/>
  <c r="C88" i="3"/>
  <c r="D88" i="3"/>
  <c r="E88" i="3"/>
  <c r="G88" i="3"/>
  <c r="H88" i="3"/>
  <c r="I88" i="3"/>
  <c r="K88" i="3"/>
  <c r="L88" i="3"/>
  <c r="M88" i="3"/>
  <c r="M148" i="3" s="1"/>
  <c r="O88" i="3"/>
  <c r="O148" i="3" s="1"/>
  <c r="P88" i="3"/>
  <c r="Q88" i="3"/>
  <c r="S88" i="3"/>
  <c r="T88" i="3"/>
  <c r="U88" i="3"/>
  <c r="W88" i="3"/>
  <c r="AQ88" i="3" s="1"/>
  <c r="X88" i="3"/>
  <c r="Y88" i="3"/>
  <c r="AA88" i="3"/>
  <c r="AB88" i="3"/>
  <c r="AC88" i="3"/>
  <c r="AM88" i="3"/>
  <c r="AN88" i="3"/>
  <c r="C89" i="3"/>
  <c r="D89" i="3"/>
  <c r="D149" i="3" s="1"/>
  <c r="E89" i="3"/>
  <c r="G89" i="3"/>
  <c r="AM89" i="3" s="1"/>
  <c r="AM149" i="3" s="1"/>
  <c r="H89" i="3"/>
  <c r="I89" i="3"/>
  <c r="K89" i="3"/>
  <c r="L89" i="3"/>
  <c r="AN89" i="3" s="1"/>
  <c r="M89" i="3"/>
  <c r="O89" i="3"/>
  <c r="O149" i="3" s="1"/>
  <c r="P89" i="3"/>
  <c r="Q89" i="3"/>
  <c r="AO89" i="3" s="1"/>
  <c r="S89" i="3"/>
  <c r="T89" i="3"/>
  <c r="U89" i="3"/>
  <c r="W89" i="3"/>
  <c r="AQ89" i="3" s="1"/>
  <c r="X89" i="3"/>
  <c r="Y89" i="3"/>
  <c r="AA89" i="3"/>
  <c r="AB89" i="3"/>
  <c r="AC89" i="3"/>
  <c r="AL89" i="3"/>
  <c r="AP89" i="3"/>
  <c r="C90" i="3"/>
  <c r="D90" i="3"/>
  <c r="E90" i="3"/>
  <c r="E150" i="3" s="1"/>
  <c r="G90" i="3"/>
  <c r="H90" i="3"/>
  <c r="I90" i="3"/>
  <c r="K90" i="3"/>
  <c r="AN90" i="3" s="1"/>
  <c r="AN150" i="3" s="1"/>
  <c r="L90" i="3"/>
  <c r="M90" i="3"/>
  <c r="O90" i="3"/>
  <c r="P90" i="3"/>
  <c r="AO90" i="3" s="1"/>
  <c r="AO150" i="3" s="1"/>
  <c r="Q90" i="3"/>
  <c r="Q150" i="3" s="1"/>
  <c r="S90" i="3"/>
  <c r="T90" i="3"/>
  <c r="U90" i="3"/>
  <c r="W90" i="3"/>
  <c r="X90" i="3"/>
  <c r="Y90" i="3"/>
  <c r="Y150" i="3" s="1"/>
  <c r="AA90" i="3"/>
  <c r="AB90" i="3"/>
  <c r="AC90" i="3"/>
  <c r="AP90" i="3"/>
  <c r="C91" i="3"/>
  <c r="D91" i="3"/>
  <c r="E91" i="3"/>
  <c r="AL91" i="3" s="1"/>
  <c r="G91" i="3"/>
  <c r="AM91" i="3" s="1"/>
  <c r="H91" i="3"/>
  <c r="H101" i="3" s="1"/>
  <c r="I91" i="3"/>
  <c r="K91" i="3"/>
  <c r="L91" i="3"/>
  <c r="M91" i="3"/>
  <c r="O91" i="3"/>
  <c r="AO91" i="3" s="1"/>
  <c r="AO151" i="3" s="1"/>
  <c r="P91" i="3"/>
  <c r="Q91" i="3"/>
  <c r="S91" i="3"/>
  <c r="AP91" i="3" s="1"/>
  <c r="AP151" i="3" s="1"/>
  <c r="T91" i="3"/>
  <c r="U91" i="3"/>
  <c r="W91" i="3"/>
  <c r="X91" i="3"/>
  <c r="Y91" i="3"/>
  <c r="Y151" i="3" s="1"/>
  <c r="AA91" i="3"/>
  <c r="AB91" i="3"/>
  <c r="AC91" i="3"/>
  <c r="AN91" i="3"/>
  <c r="AQ91" i="3"/>
  <c r="AQ151" i="3" s="1"/>
  <c r="C92" i="3"/>
  <c r="D92" i="3"/>
  <c r="E92" i="3"/>
  <c r="G92" i="3"/>
  <c r="AM92" i="3" s="1"/>
  <c r="H92" i="3"/>
  <c r="I92" i="3"/>
  <c r="K92" i="3"/>
  <c r="AN92" i="3" s="1"/>
  <c r="L92" i="3"/>
  <c r="M92" i="3"/>
  <c r="O92" i="3"/>
  <c r="P92" i="3"/>
  <c r="Q92" i="3"/>
  <c r="S92" i="3"/>
  <c r="T92" i="3"/>
  <c r="T152" i="3" s="1"/>
  <c r="U92" i="3"/>
  <c r="U152" i="3" s="1"/>
  <c r="W92" i="3"/>
  <c r="X92" i="3"/>
  <c r="Y92" i="3"/>
  <c r="AA92" i="3"/>
  <c r="AA101" i="3" s="1"/>
  <c r="AB92" i="3"/>
  <c r="AC92" i="3"/>
  <c r="AQ92" i="3"/>
  <c r="C93" i="3"/>
  <c r="AL93" i="3" s="1"/>
  <c r="D93" i="3"/>
  <c r="D153" i="3" s="1"/>
  <c r="E93" i="3"/>
  <c r="G93" i="3"/>
  <c r="H93" i="3"/>
  <c r="I93" i="3"/>
  <c r="I101" i="3" s="1"/>
  <c r="K93" i="3"/>
  <c r="L93" i="3"/>
  <c r="M93" i="3"/>
  <c r="O93" i="3"/>
  <c r="P93" i="3"/>
  <c r="Q93" i="3"/>
  <c r="AO93" i="3" s="1"/>
  <c r="S93" i="3"/>
  <c r="T93" i="3"/>
  <c r="U93" i="3"/>
  <c r="AP93" i="3" s="1"/>
  <c r="AP153" i="3" s="1"/>
  <c r="W93" i="3"/>
  <c r="X93" i="3"/>
  <c r="Y93" i="3"/>
  <c r="AA93" i="3"/>
  <c r="AB93" i="3"/>
  <c r="AB153" i="3" s="1"/>
  <c r="AC93" i="3"/>
  <c r="AA94" i="3"/>
  <c r="AL94" i="3"/>
  <c r="AM94" i="3"/>
  <c r="AN94" i="3"/>
  <c r="AO94" i="3"/>
  <c r="AP94" i="3"/>
  <c r="AQ94" i="3"/>
  <c r="C95" i="3"/>
  <c r="AL95" i="3" s="1"/>
  <c r="D95" i="3"/>
  <c r="E95" i="3"/>
  <c r="G95" i="3"/>
  <c r="H95" i="3"/>
  <c r="I95" i="3"/>
  <c r="AM95" i="3" s="1"/>
  <c r="K95" i="3"/>
  <c r="L95" i="3"/>
  <c r="AN95" i="3" s="1"/>
  <c r="M95" i="3"/>
  <c r="O95" i="3"/>
  <c r="AO95" i="3" s="1"/>
  <c r="P95" i="3"/>
  <c r="Q95" i="3"/>
  <c r="S95" i="3"/>
  <c r="T95" i="3"/>
  <c r="T155" i="3" s="1"/>
  <c r="U95" i="3"/>
  <c r="W95" i="3"/>
  <c r="AQ95" i="3" s="1"/>
  <c r="X95" i="3"/>
  <c r="Y95" i="3"/>
  <c r="AA95" i="3"/>
  <c r="AB95" i="3"/>
  <c r="AC95" i="3"/>
  <c r="C96" i="3"/>
  <c r="D96" i="3"/>
  <c r="E96" i="3"/>
  <c r="G96" i="3"/>
  <c r="H96" i="3"/>
  <c r="I96" i="3"/>
  <c r="K96" i="3"/>
  <c r="AN96" i="3" s="1"/>
  <c r="AN156" i="3" s="1"/>
  <c r="L96" i="3"/>
  <c r="M96" i="3"/>
  <c r="O96" i="3"/>
  <c r="P96" i="3"/>
  <c r="AO96" i="3" s="1"/>
  <c r="Q96" i="3"/>
  <c r="S96" i="3"/>
  <c r="T96" i="3"/>
  <c r="U96" i="3"/>
  <c r="W96" i="3"/>
  <c r="X96" i="3"/>
  <c r="Y96" i="3"/>
  <c r="AA96" i="3"/>
  <c r="AB96" i="3"/>
  <c r="AC96" i="3"/>
  <c r="AM96" i="3"/>
  <c r="C97" i="3"/>
  <c r="D97" i="3"/>
  <c r="E97" i="3"/>
  <c r="G97" i="3"/>
  <c r="AM97" i="3" s="1"/>
  <c r="H97" i="3"/>
  <c r="I97" i="3"/>
  <c r="K97" i="3"/>
  <c r="L97" i="3"/>
  <c r="AN97" i="3" s="1"/>
  <c r="M97" i="3"/>
  <c r="O97" i="3"/>
  <c r="P97" i="3"/>
  <c r="Q97" i="3"/>
  <c r="Q162" i="3" s="1"/>
  <c r="S97" i="3"/>
  <c r="T97" i="3"/>
  <c r="U97" i="3"/>
  <c r="W97" i="3"/>
  <c r="AQ97" i="3" s="1"/>
  <c r="X97" i="3"/>
  <c r="Y97" i="3"/>
  <c r="AA97" i="3"/>
  <c r="AB97" i="3"/>
  <c r="AC97" i="3"/>
  <c r="AL97" i="3"/>
  <c r="AP97" i="3"/>
  <c r="C98" i="3"/>
  <c r="D98" i="3"/>
  <c r="E98" i="3"/>
  <c r="G98" i="3"/>
  <c r="H98" i="3"/>
  <c r="I98" i="3"/>
  <c r="K98" i="3"/>
  <c r="L98" i="3"/>
  <c r="M98" i="3"/>
  <c r="O98" i="3"/>
  <c r="P98" i="3"/>
  <c r="Q98" i="3"/>
  <c r="S98" i="3"/>
  <c r="T98" i="3"/>
  <c r="U98" i="3"/>
  <c r="W98" i="3"/>
  <c r="X98" i="3"/>
  <c r="Y98" i="3"/>
  <c r="AA98" i="3"/>
  <c r="AB98" i="3"/>
  <c r="AC98" i="3"/>
  <c r="AM98" i="3"/>
  <c r="AP98" i="3"/>
  <c r="AQ98" i="3"/>
  <c r="C99" i="3"/>
  <c r="D99" i="3"/>
  <c r="E99" i="3"/>
  <c r="AL99" i="3" s="1"/>
  <c r="G99" i="3"/>
  <c r="H99" i="3"/>
  <c r="I99" i="3"/>
  <c r="K99" i="3"/>
  <c r="L99" i="3"/>
  <c r="M99" i="3"/>
  <c r="O99" i="3"/>
  <c r="P99" i="3"/>
  <c r="Q99" i="3"/>
  <c r="S99" i="3"/>
  <c r="T99" i="3"/>
  <c r="T158" i="3" s="1"/>
  <c r="U99" i="3"/>
  <c r="W99" i="3"/>
  <c r="X99" i="3"/>
  <c r="Y99" i="3"/>
  <c r="AA99" i="3"/>
  <c r="AB99" i="3"/>
  <c r="AC99" i="3"/>
  <c r="AN99" i="3"/>
  <c r="C100" i="3"/>
  <c r="AL100" i="3" s="1"/>
  <c r="D100" i="3"/>
  <c r="E100" i="3"/>
  <c r="G100" i="3"/>
  <c r="AM100" i="3" s="1"/>
  <c r="AM159" i="3" s="1"/>
  <c r="H100" i="3"/>
  <c r="I100" i="3"/>
  <c r="K100" i="3"/>
  <c r="L100" i="3"/>
  <c r="M100" i="3"/>
  <c r="O100" i="3"/>
  <c r="P100" i="3"/>
  <c r="Q100" i="3"/>
  <c r="S100" i="3"/>
  <c r="T100" i="3"/>
  <c r="U100" i="3"/>
  <c r="W100" i="3"/>
  <c r="X100" i="3"/>
  <c r="Y100" i="3"/>
  <c r="AA100" i="3"/>
  <c r="AB100" i="3"/>
  <c r="AC100" i="3"/>
  <c r="AC159" i="3" s="1"/>
  <c r="AO100" i="3"/>
  <c r="AO159" i="3" s="1"/>
  <c r="AQ100" i="3"/>
  <c r="B101" i="3"/>
  <c r="F101" i="3"/>
  <c r="J101" i="3"/>
  <c r="M101" i="3"/>
  <c r="N101" i="3"/>
  <c r="Q101" i="3"/>
  <c r="R101" i="3"/>
  <c r="V101" i="3"/>
  <c r="Z101" i="3"/>
  <c r="AF101" i="3"/>
  <c r="AG101" i="3"/>
  <c r="AH101" i="3"/>
  <c r="AI101" i="3"/>
  <c r="AJ101" i="3"/>
  <c r="AK101" i="3"/>
  <c r="BK101" i="3"/>
  <c r="BL101" i="3"/>
  <c r="BL115" i="3" s="1"/>
  <c r="BM101" i="3"/>
  <c r="BO101" i="3"/>
  <c r="BP101" i="3"/>
  <c r="BQ101" i="3"/>
  <c r="BS101" i="3"/>
  <c r="BT101" i="3"/>
  <c r="BT115" i="3" s="1"/>
  <c r="BT145" i="3" s="1"/>
  <c r="BU101" i="3"/>
  <c r="BU115" i="3" s="1"/>
  <c r="BW101" i="3"/>
  <c r="BX101" i="3"/>
  <c r="BY101" i="3"/>
  <c r="CA101" i="3"/>
  <c r="CB101" i="3"/>
  <c r="CC101" i="3"/>
  <c r="CE101" i="3"/>
  <c r="CF101" i="3"/>
  <c r="CG101" i="3"/>
  <c r="CI101" i="3"/>
  <c r="CJ101" i="3"/>
  <c r="C105" i="3"/>
  <c r="AL105" i="3" s="1"/>
  <c r="D105" i="3"/>
  <c r="E105" i="3"/>
  <c r="E148" i="3" s="1"/>
  <c r="G105" i="3"/>
  <c r="AM105" i="3" s="1"/>
  <c r="H105" i="3"/>
  <c r="I105" i="3"/>
  <c r="I113" i="3" s="1"/>
  <c r="K105" i="3"/>
  <c r="L105" i="3"/>
  <c r="M105" i="3"/>
  <c r="O105" i="3"/>
  <c r="P105" i="3"/>
  <c r="Q105" i="3"/>
  <c r="S105" i="3"/>
  <c r="T105" i="3"/>
  <c r="U105" i="3"/>
  <c r="W105" i="3"/>
  <c r="X105" i="3"/>
  <c r="Y105" i="3"/>
  <c r="AA105" i="3"/>
  <c r="AB105" i="3"/>
  <c r="AC105" i="3"/>
  <c r="AN105" i="3"/>
  <c r="AO105" i="3"/>
  <c r="AP105" i="3"/>
  <c r="C106" i="3"/>
  <c r="D106" i="3"/>
  <c r="E106" i="3"/>
  <c r="G106" i="3"/>
  <c r="AM106" i="3" s="1"/>
  <c r="H106" i="3"/>
  <c r="I106" i="3"/>
  <c r="K106" i="3"/>
  <c r="L106" i="3"/>
  <c r="M106" i="3"/>
  <c r="O106" i="3"/>
  <c r="P106" i="3"/>
  <c r="Q106" i="3"/>
  <c r="S106" i="3"/>
  <c r="T106" i="3"/>
  <c r="U106" i="3"/>
  <c r="W106" i="3"/>
  <c r="X106" i="3"/>
  <c r="AQ106" i="3" s="1"/>
  <c r="Y106" i="3"/>
  <c r="AA106" i="3"/>
  <c r="AB106" i="3"/>
  <c r="AC106" i="3"/>
  <c r="AO106" i="3"/>
  <c r="AP106" i="3"/>
  <c r="C107" i="3"/>
  <c r="D107" i="3"/>
  <c r="E107" i="3"/>
  <c r="AL107" i="3" s="1"/>
  <c r="G107" i="3"/>
  <c r="H107" i="3"/>
  <c r="I107" i="3"/>
  <c r="K107" i="3"/>
  <c r="L107" i="3"/>
  <c r="M107" i="3"/>
  <c r="O107" i="3"/>
  <c r="P107" i="3"/>
  <c r="Q107" i="3"/>
  <c r="S107" i="3"/>
  <c r="T107" i="3"/>
  <c r="U107" i="3"/>
  <c r="W107" i="3"/>
  <c r="X107" i="3"/>
  <c r="Y107" i="3"/>
  <c r="AA107" i="3"/>
  <c r="AB107" i="3"/>
  <c r="AC107" i="3"/>
  <c r="AN107" i="3"/>
  <c r="AQ107" i="3"/>
  <c r="C108" i="3"/>
  <c r="AL108" i="3" s="1"/>
  <c r="D108" i="3"/>
  <c r="E108" i="3"/>
  <c r="G108" i="3"/>
  <c r="H108" i="3"/>
  <c r="I108" i="3"/>
  <c r="K108" i="3"/>
  <c r="AN108" i="3" s="1"/>
  <c r="L108" i="3"/>
  <c r="M108" i="3"/>
  <c r="O108" i="3"/>
  <c r="P108" i="3"/>
  <c r="Q108" i="3"/>
  <c r="S108" i="3"/>
  <c r="T108" i="3"/>
  <c r="U108" i="3"/>
  <c r="W108" i="3"/>
  <c r="X108" i="3"/>
  <c r="Y108" i="3"/>
  <c r="AQ108" i="3" s="1"/>
  <c r="AA108" i="3"/>
  <c r="AB108" i="3"/>
  <c r="AC108" i="3"/>
  <c r="AO108" i="3"/>
  <c r="C109" i="3"/>
  <c r="D109" i="3"/>
  <c r="E109" i="3"/>
  <c r="G109" i="3"/>
  <c r="H109" i="3"/>
  <c r="AM109" i="3" s="1"/>
  <c r="I109" i="3"/>
  <c r="K109" i="3"/>
  <c r="L109" i="3"/>
  <c r="M109" i="3"/>
  <c r="O109" i="3"/>
  <c r="P109" i="3"/>
  <c r="Q109" i="3"/>
  <c r="AO109" i="3" s="1"/>
  <c r="S109" i="3"/>
  <c r="T109" i="3"/>
  <c r="U109" i="3"/>
  <c r="AP109" i="3" s="1"/>
  <c r="W109" i="3"/>
  <c r="AQ109" i="3" s="1"/>
  <c r="X109" i="3"/>
  <c r="Y109" i="3"/>
  <c r="AA109" i="3"/>
  <c r="AB109" i="3"/>
  <c r="AC109" i="3"/>
  <c r="AC157" i="3" s="1"/>
  <c r="AL109" i="3"/>
  <c r="C110" i="3"/>
  <c r="D110" i="3"/>
  <c r="E110" i="3"/>
  <c r="G110" i="3"/>
  <c r="H110" i="3"/>
  <c r="I110" i="3"/>
  <c r="K110" i="3"/>
  <c r="L110" i="3"/>
  <c r="AN110" i="3" s="1"/>
  <c r="M110" i="3"/>
  <c r="O110" i="3"/>
  <c r="AO110" i="3" s="1"/>
  <c r="P110" i="3"/>
  <c r="Q110" i="3"/>
  <c r="S110" i="3"/>
  <c r="T110" i="3"/>
  <c r="U110" i="3"/>
  <c r="W110" i="3"/>
  <c r="AQ110" i="3" s="1"/>
  <c r="X110" i="3"/>
  <c r="Y110" i="3"/>
  <c r="AA110" i="3"/>
  <c r="AB110" i="3"/>
  <c r="AC110" i="3"/>
  <c r="AL110" i="3"/>
  <c r="AM110" i="3"/>
  <c r="C111" i="3"/>
  <c r="D111" i="3"/>
  <c r="AL111" i="3" s="1"/>
  <c r="E111" i="3"/>
  <c r="G111" i="3"/>
  <c r="H111" i="3"/>
  <c r="I111" i="3"/>
  <c r="K111" i="3"/>
  <c r="L111" i="3"/>
  <c r="M111" i="3"/>
  <c r="AN111" i="3" s="1"/>
  <c r="AN158" i="3" s="1"/>
  <c r="O111" i="3"/>
  <c r="P111" i="3"/>
  <c r="Q111" i="3"/>
  <c r="S111" i="3"/>
  <c r="AP111" i="3" s="1"/>
  <c r="T111" i="3"/>
  <c r="U111" i="3"/>
  <c r="W111" i="3"/>
  <c r="X111" i="3"/>
  <c r="Y111" i="3"/>
  <c r="AA111" i="3"/>
  <c r="AB111" i="3"/>
  <c r="AC111" i="3"/>
  <c r="AM111" i="3"/>
  <c r="AO111" i="3"/>
  <c r="C112" i="3"/>
  <c r="D112" i="3"/>
  <c r="E112" i="3"/>
  <c r="G112" i="3"/>
  <c r="H112" i="3"/>
  <c r="H163" i="3" s="1"/>
  <c r="I112" i="3"/>
  <c r="K112" i="3"/>
  <c r="L112" i="3"/>
  <c r="AN112" i="3" s="1"/>
  <c r="AN163" i="3" s="1"/>
  <c r="M112" i="3"/>
  <c r="O112" i="3"/>
  <c r="AO112" i="3" s="1"/>
  <c r="AO163" i="3" s="1"/>
  <c r="P112" i="3"/>
  <c r="Q112" i="3"/>
  <c r="S112" i="3"/>
  <c r="T112" i="3"/>
  <c r="U112" i="3"/>
  <c r="W112" i="3"/>
  <c r="X112" i="3"/>
  <c r="Y112" i="3"/>
  <c r="Y113" i="3" s="1"/>
  <c r="AA112" i="3"/>
  <c r="AA163" i="3" s="1"/>
  <c r="AB112" i="3"/>
  <c r="AC112" i="3"/>
  <c r="B113" i="3"/>
  <c r="E113" i="3"/>
  <c r="F113" i="3"/>
  <c r="F115" i="3" s="1"/>
  <c r="J113" i="3"/>
  <c r="J115" i="3" s="1"/>
  <c r="N113" i="3"/>
  <c r="N115" i="3" s="1"/>
  <c r="R113" i="3"/>
  <c r="T113" i="3"/>
  <c r="V113" i="3"/>
  <c r="Z113" i="3"/>
  <c r="AA113" i="3"/>
  <c r="AB113" i="3"/>
  <c r="AF113" i="3"/>
  <c r="AG113" i="3"/>
  <c r="AH113" i="3"/>
  <c r="AI113" i="3"/>
  <c r="AI115" i="3" s="1"/>
  <c r="AJ113" i="3"/>
  <c r="AK113" i="3"/>
  <c r="BK113" i="3"/>
  <c r="BK115" i="3" s="1"/>
  <c r="BL113" i="3"/>
  <c r="BM113" i="3"/>
  <c r="BM115" i="3" s="1"/>
  <c r="BO113" i="3"/>
  <c r="BO115" i="3" s="1"/>
  <c r="BP113" i="3"/>
  <c r="BQ113" i="3"/>
  <c r="BQ115" i="3" s="1"/>
  <c r="BS113" i="3"/>
  <c r="BT113" i="3"/>
  <c r="BU113" i="3"/>
  <c r="BW113" i="3"/>
  <c r="BX113" i="3"/>
  <c r="BY113" i="3"/>
  <c r="BY115" i="3" s="1"/>
  <c r="CA113" i="3"/>
  <c r="CA115" i="3" s="1"/>
  <c r="CB113" i="3"/>
  <c r="CB115" i="3" s="1"/>
  <c r="CC113" i="3"/>
  <c r="CC115" i="3" s="1"/>
  <c r="CE113" i="3"/>
  <c r="CF113" i="3"/>
  <c r="CF115" i="3" s="1"/>
  <c r="CG113" i="3"/>
  <c r="CG115" i="3" s="1"/>
  <c r="CG145" i="3" s="1"/>
  <c r="CI113" i="3"/>
  <c r="CJ113" i="3"/>
  <c r="CJ115" i="3" s="1"/>
  <c r="B115" i="3"/>
  <c r="R115" i="3"/>
  <c r="V115" i="3"/>
  <c r="Z115" i="3"/>
  <c r="AF115" i="3"/>
  <c r="AG115" i="3"/>
  <c r="AH115" i="3"/>
  <c r="AJ115" i="3"/>
  <c r="AJ145" i="3" s="1"/>
  <c r="AK115" i="3"/>
  <c r="BP115" i="3"/>
  <c r="BS115" i="3"/>
  <c r="BW115" i="3"/>
  <c r="BX115" i="3"/>
  <c r="CE115" i="3"/>
  <c r="CI115" i="3"/>
  <c r="C118" i="3"/>
  <c r="D118" i="3"/>
  <c r="E118" i="3"/>
  <c r="E125" i="3" s="1"/>
  <c r="G118" i="3"/>
  <c r="H118" i="3"/>
  <c r="I118" i="3"/>
  <c r="K118" i="3"/>
  <c r="L118" i="3"/>
  <c r="L148" i="3" s="1"/>
  <c r="M118" i="3"/>
  <c r="O118" i="3"/>
  <c r="P118" i="3"/>
  <c r="AO118" i="3" s="1"/>
  <c r="Q118" i="3"/>
  <c r="S118" i="3"/>
  <c r="T118" i="3"/>
  <c r="U118" i="3"/>
  <c r="W118" i="3"/>
  <c r="X118" i="3"/>
  <c r="X125" i="3" s="1"/>
  <c r="Y118" i="3"/>
  <c r="AA118" i="3"/>
  <c r="AB118" i="3"/>
  <c r="AC118" i="3"/>
  <c r="AC148" i="3" s="1"/>
  <c r="AL118" i="3"/>
  <c r="C119" i="3"/>
  <c r="D119" i="3"/>
  <c r="E119" i="3"/>
  <c r="G119" i="3"/>
  <c r="AM119" i="3" s="1"/>
  <c r="H119" i="3"/>
  <c r="I119" i="3"/>
  <c r="I125" i="3" s="1"/>
  <c r="K119" i="3"/>
  <c r="AN119" i="3" s="1"/>
  <c r="AN149" i="3" s="1"/>
  <c r="L119" i="3"/>
  <c r="M119" i="3"/>
  <c r="M149" i="3" s="1"/>
  <c r="O119" i="3"/>
  <c r="P119" i="3"/>
  <c r="P149" i="3" s="1"/>
  <c r="Q119" i="3"/>
  <c r="S119" i="3"/>
  <c r="S149" i="3" s="1"/>
  <c r="T119" i="3"/>
  <c r="U119" i="3"/>
  <c r="W119" i="3"/>
  <c r="AQ119" i="3" s="1"/>
  <c r="X119" i="3"/>
  <c r="Y119" i="3"/>
  <c r="Y149" i="3" s="1"/>
  <c r="AA119" i="3"/>
  <c r="AB119" i="3"/>
  <c r="AB125" i="3" s="1"/>
  <c r="AC119" i="3"/>
  <c r="AL119" i="3"/>
  <c r="AP119" i="3"/>
  <c r="C120" i="3"/>
  <c r="D120" i="3"/>
  <c r="E120" i="3"/>
  <c r="AL120" i="3" s="1"/>
  <c r="G120" i="3"/>
  <c r="H120" i="3"/>
  <c r="I120" i="3"/>
  <c r="K120" i="3"/>
  <c r="L120" i="3"/>
  <c r="M120" i="3"/>
  <c r="M125" i="3" s="1"/>
  <c r="O120" i="3"/>
  <c r="P120" i="3"/>
  <c r="Q120" i="3"/>
  <c r="Q154" i="3" s="1"/>
  <c r="S120" i="3"/>
  <c r="T120" i="3"/>
  <c r="U120" i="3"/>
  <c r="W120" i="3"/>
  <c r="X120" i="3"/>
  <c r="AQ120" i="3" s="1"/>
  <c r="Y120" i="3"/>
  <c r="AA120" i="3"/>
  <c r="AB120" i="3"/>
  <c r="AC120" i="3"/>
  <c r="AM120" i="3"/>
  <c r="AN120" i="3"/>
  <c r="C121" i="3"/>
  <c r="D121" i="3"/>
  <c r="E121" i="3"/>
  <c r="G121" i="3"/>
  <c r="H121" i="3"/>
  <c r="I121" i="3"/>
  <c r="K121" i="3"/>
  <c r="L121" i="3"/>
  <c r="M121" i="3"/>
  <c r="O121" i="3"/>
  <c r="P121" i="3"/>
  <c r="AO121" i="3" s="1"/>
  <c r="Q121" i="3"/>
  <c r="S121" i="3"/>
  <c r="T121" i="3"/>
  <c r="U121" i="3"/>
  <c r="U155" i="3" s="1"/>
  <c r="W121" i="3"/>
  <c r="X121" i="3"/>
  <c r="Y121" i="3"/>
  <c r="AA121" i="3"/>
  <c r="AB121" i="3"/>
  <c r="AC121" i="3"/>
  <c r="AN121" i="3"/>
  <c r="AQ121" i="3"/>
  <c r="C122" i="3"/>
  <c r="AL122" i="3" s="1"/>
  <c r="D122" i="3"/>
  <c r="D125" i="3" s="1"/>
  <c r="E122" i="3"/>
  <c r="G122" i="3"/>
  <c r="H122" i="3"/>
  <c r="I122" i="3"/>
  <c r="K122" i="3"/>
  <c r="L122" i="3"/>
  <c r="M122" i="3"/>
  <c r="O122" i="3"/>
  <c r="P122" i="3"/>
  <c r="Q122" i="3"/>
  <c r="AO122" i="3" s="1"/>
  <c r="S122" i="3"/>
  <c r="T122" i="3"/>
  <c r="T125" i="3" s="1"/>
  <c r="U122" i="3"/>
  <c r="U157" i="3" s="1"/>
  <c r="W122" i="3"/>
  <c r="AQ122" i="3" s="1"/>
  <c r="X122" i="3"/>
  <c r="Y122" i="3"/>
  <c r="AA122" i="3"/>
  <c r="AA125" i="3" s="1"/>
  <c r="AB122" i="3"/>
  <c r="AC122" i="3"/>
  <c r="C123" i="3"/>
  <c r="D123" i="3"/>
  <c r="E123" i="3"/>
  <c r="G123" i="3"/>
  <c r="H123" i="3"/>
  <c r="I123" i="3"/>
  <c r="AM123" i="3" s="1"/>
  <c r="K123" i="3"/>
  <c r="L123" i="3"/>
  <c r="M123" i="3"/>
  <c r="O123" i="3"/>
  <c r="P123" i="3"/>
  <c r="Q123" i="3"/>
  <c r="S123" i="3"/>
  <c r="T123" i="3"/>
  <c r="U123" i="3"/>
  <c r="AP123" i="3" s="1"/>
  <c r="AP164" i="3" s="1"/>
  <c r="W123" i="3"/>
  <c r="X123" i="3"/>
  <c r="AQ123" i="3" s="1"/>
  <c r="Y123" i="3"/>
  <c r="AA123" i="3"/>
  <c r="AB123" i="3"/>
  <c r="AC123" i="3"/>
  <c r="AC164" i="3" s="1"/>
  <c r="AL123" i="3"/>
  <c r="C124" i="3"/>
  <c r="D124" i="3"/>
  <c r="E124" i="3"/>
  <c r="AL124" i="3" s="1"/>
  <c r="G124" i="3"/>
  <c r="H124" i="3"/>
  <c r="I124" i="3"/>
  <c r="K124" i="3"/>
  <c r="L124" i="3"/>
  <c r="M124" i="3"/>
  <c r="M158" i="3" s="1"/>
  <c r="O124" i="3"/>
  <c r="AO124" i="3" s="1"/>
  <c r="P124" i="3"/>
  <c r="Q124" i="3"/>
  <c r="S124" i="3"/>
  <c r="AP124" i="3" s="1"/>
  <c r="T124" i="3"/>
  <c r="U124" i="3"/>
  <c r="W124" i="3"/>
  <c r="X124" i="3"/>
  <c r="AQ124" i="3" s="1"/>
  <c r="Y124" i="3"/>
  <c r="AA124" i="3"/>
  <c r="AB124" i="3"/>
  <c r="AC124" i="3"/>
  <c r="AM124" i="3"/>
  <c r="AN124" i="3"/>
  <c r="B125" i="3"/>
  <c r="F125" i="3"/>
  <c r="J125" i="3"/>
  <c r="L125" i="3"/>
  <c r="N125" i="3"/>
  <c r="R125" i="3"/>
  <c r="V125" i="3"/>
  <c r="Z125" i="3"/>
  <c r="AC125" i="3"/>
  <c r="AF125" i="3"/>
  <c r="AG125" i="3"/>
  <c r="AH125" i="3"/>
  <c r="AI125" i="3"/>
  <c r="AJ125" i="3"/>
  <c r="AK125" i="3"/>
  <c r="BK125" i="3"/>
  <c r="BL125" i="3"/>
  <c r="BM125" i="3"/>
  <c r="BO125" i="3"/>
  <c r="BP125" i="3"/>
  <c r="BQ125" i="3"/>
  <c r="BS125" i="3"/>
  <c r="BT125" i="3"/>
  <c r="BU125" i="3"/>
  <c r="BW125" i="3"/>
  <c r="BX125" i="3"/>
  <c r="BY125" i="3"/>
  <c r="CA125" i="3"/>
  <c r="CB125" i="3"/>
  <c r="CC125" i="3"/>
  <c r="CE125" i="3"/>
  <c r="CF125" i="3"/>
  <c r="CG125" i="3"/>
  <c r="CI125" i="3"/>
  <c r="CJ125" i="3"/>
  <c r="C128" i="3"/>
  <c r="D128" i="3"/>
  <c r="E128" i="3"/>
  <c r="G128" i="3"/>
  <c r="AM128" i="3" s="1"/>
  <c r="H128" i="3"/>
  <c r="I128" i="3"/>
  <c r="K128" i="3"/>
  <c r="L128" i="3"/>
  <c r="AN128" i="3" s="1"/>
  <c r="M128" i="3"/>
  <c r="O128" i="3"/>
  <c r="P128" i="3"/>
  <c r="Q128" i="3"/>
  <c r="S128" i="3"/>
  <c r="T128" i="3"/>
  <c r="T141" i="3" s="1"/>
  <c r="T143" i="3" s="1"/>
  <c r="U128" i="3"/>
  <c r="U141" i="3" s="1"/>
  <c r="W128" i="3"/>
  <c r="X128" i="3"/>
  <c r="Y128" i="3"/>
  <c r="AA128" i="3"/>
  <c r="AB128" i="3"/>
  <c r="AB148" i="3" s="1"/>
  <c r="AC128" i="3"/>
  <c r="AQ128" i="3"/>
  <c r="C129" i="3"/>
  <c r="AL129" i="3" s="1"/>
  <c r="AL149" i="3" s="1"/>
  <c r="D129" i="3"/>
  <c r="E129" i="3"/>
  <c r="G129" i="3"/>
  <c r="H129" i="3"/>
  <c r="I129" i="3"/>
  <c r="K129" i="3"/>
  <c r="AN129" i="3" s="1"/>
  <c r="L129" i="3"/>
  <c r="M129" i="3"/>
  <c r="M141" i="3" s="1"/>
  <c r="M143" i="3" s="1"/>
  <c r="O129" i="3"/>
  <c r="P129" i="3"/>
  <c r="AO129" i="3" s="1"/>
  <c r="Q129" i="3"/>
  <c r="S129" i="3"/>
  <c r="T129" i="3"/>
  <c r="U129" i="3"/>
  <c r="W129" i="3"/>
  <c r="X129" i="3"/>
  <c r="Y129" i="3"/>
  <c r="AA129" i="3"/>
  <c r="AB129" i="3"/>
  <c r="AC129" i="3"/>
  <c r="AC149" i="3" s="1"/>
  <c r="AM129" i="3"/>
  <c r="AL130" i="3"/>
  <c r="AM130" i="3"/>
  <c r="AN130" i="3"/>
  <c r="AN165" i="3" s="1"/>
  <c r="AO130" i="3"/>
  <c r="AP130" i="3"/>
  <c r="AQ130" i="3"/>
  <c r="AQ165" i="3" s="1"/>
  <c r="C131" i="3"/>
  <c r="AL131" i="3" s="1"/>
  <c r="AL166" i="3" s="1"/>
  <c r="D131" i="3"/>
  <c r="E131" i="3"/>
  <c r="G131" i="3"/>
  <c r="H131" i="3"/>
  <c r="I131" i="3"/>
  <c r="K131" i="3"/>
  <c r="L131" i="3"/>
  <c r="M131" i="3"/>
  <c r="O131" i="3"/>
  <c r="P131" i="3"/>
  <c r="AO131" i="3" s="1"/>
  <c r="AO166" i="3" s="1"/>
  <c r="Q131" i="3"/>
  <c r="S131" i="3"/>
  <c r="T131" i="3"/>
  <c r="U131" i="3"/>
  <c r="W131" i="3"/>
  <c r="X131" i="3"/>
  <c r="Y131" i="3"/>
  <c r="AA131" i="3"/>
  <c r="AB131" i="3"/>
  <c r="AC131" i="3"/>
  <c r="AM131" i="3"/>
  <c r="AN131" i="3"/>
  <c r="C132" i="3"/>
  <c r="D132" i="3"/>
  <c r="D141" i="3" s="1"/>
  <c r="D143" i="3" s="1"/>
  <c r="E132" i="3"/>
  <c r="G132" i="3"/>
  <c r="H132" i="3"/>
  <c r="I132" i="3"/>
  <c r="K132" i="3"/>
  <c r="L132" i="3"/>
  <c r="L154" i="3" s="1"/>
  <c r="M132" i="3"/>
  <c r="O132" i="3"/>
  <c r="P132" i="3"/>
  <c r="Q132" i="3"/>
  <c r="AO132" i="3" s="1"/>
  <c r="S132" i="3"/>
  <c r="T132" i="3"/>
  <c r="U132" i="3"/>
  <c r="AP132" i="3" s="1"/>
  <c r="W132" i="3"/>
  <c r="X132" i="3"/>
  <c r="Y132" i="3"/>
  <c r="AA132" i="3"/>
  <c r="AA154" i="3" s="1"/>
  <c r="AB132" i="3"/>
  <c r="AC132" i="3"/>
  <c r="C133" i="3"/>
  <c r="D133" i="3"/>
  <c r="E133" i="3"/>
  <c r="G133" i="3"/>
  <c r="H133" i="3"/>
  <c r="I133" i="3"/>
  <c r="K133" i="3"/>
  <c r="AN133" i="3" s="1"/>
  <c r="AN167" i="3" s="1"/>
  <c r="L133" i="3"/>
  <c r="L167" i="3" s="1"/>
  <c r="M133" i="3"/>
  <c r="O133" i="3"/>
  <c r="P133" i="3"/>
  <c r="AO133" i="3" s="1"/>
  <c r="AO167" i="3" s="1"/>
  <c r="Q133" i="3"/>
  <c r="S133" i="3"/>
  <c r="T133" i="3"/>
  <c r="U133" i="3"/>
  <c r="W133" i="3"/>
  <c r="X133" i="3"/>
  <c r="Y133" i="3"/>
  <c r="AA133" i="3"/>
  <c r="AB133" i="3"/>
  <c r="AC133" i="3"/>
  <c r="AL133" i="3"/>
  <c r="AP133" i="3"/>
  <c r="C134" i="3"/>
  <c r="D134" i="3"/>
  <c r="E134" i="3"/>
  <c r="AL134" i="3" s="1"/>
  <c r="G134" i="3"/>
  <c r="AM134" i="3" s="1"/>
  <c r="AM168" i="3" s="1"/>
  <c r="H134" i="3"/>
  <c r="I134" i="3"/>
  <c r="I168" i="3" s="1"/>
  <c r="K134" i="3"/>
  <c r="L134" i="3"/>
  <c r="M134" i="3"/>
  <c r="O134" i="3"/>
  <c r="P134" i="3"/>
  <c r="Q134" i="3"/>
  <c r="S134" i="3"/>
  <c r="T134" i="3"/>
  <c r="U134" i="3"/>
  <c r="W134" i="3"/>
  <c r="X134" i="3"/>
  <c r="AQ134" i="3" s="1"/>
  <c r="AQ168" i="3" s="1"/>
  <c r="Y134" i="3"/>
  <c r="AA134" i="3"/>
  <c r="AB134" i="3"/>
  <c r="AC134" i="3"/>
  <c r="AP134" i="3"/>
  <c r="AP168" i="3" s="1"/>
  <c r="C135" i="3"/>
  <c r="D135" i="3"/>
  <c r="E135" i="3"/>
  <c r="G135" i="3"/>
  <c r="H135" i="3"/>
  <c r="I135" i="3"/>
  <c r="K135" i="3"/>
  <c r="L135" i="3"/>
  <c r="L152" i="3" s="1"/>
  <c r="M135" i="3"/>
  <c r="O135" i="3"/>
  <c r="P135" i="3"/>
  <c r="Q135" i="3"/>
  <c r="S135" i="3"/>
  <c r="T135" i="3"/>
  <c r="U135" i="3"/>
  <c r="W135" i="3"/>
  <c r="X135" i="3"/>
  <c r="Y135" i="3"/>
  <c r="AQ135" i="3" s="1"/>
  <c r="AQ152" i="3" s="1"/>
  <c r="AA135" i="3"/>
  <c r="AB135" i="3"/>
  <c r="AC135" i="3"/>
  <c r="AL135" i="3"/>
  <c r="AN135" i="3"/>
  <c r="AN152" i="3" s="1"/>
  <c r="AO135" i="3"/>
  <c r="C136" i="3"/>
  <c r="AL136" i="3" s="1"/>
  <c r="D136" i="3"/>
  <c r="D155" i="3" s="1"/>
  <c r="E136" i="3"/>
  <c r="G136" i="3"/>
  <c r="H136" i="3"/>
  <c r="I136" i="3"/>
  <c r="K136" i="3"/>
  <c r="AN136" i="3" s="1"/>
  <c r="L136" i="3"/>
  <c r="M136" i="3"/>
  <c r="O136" i="3"/>
  <c r="P136" i="3"/>
  <c r="Q136" i="3"/>
  <c r="S136" i="3"/>
  <c r="T136" i="3"/>
  <c r="U136" i="3"/>
  <c r="AP136" i="3" s="1"/>
  <c r="W136" i="3"/>
  <c r="AQ136" i="3" s="1"/>
  <c r="X136" i="3"/>
  <c r="Y136" i="3"/>
  <c r="AA136" i="3"/>
  <c r="AB136" i="3"/>
  <c r="AC136" i="3"/>
  <c r="AM136" i="3"/>
  <c r="C137" i="3"/>
  <c r="AL137" i="3" s="1"/>
  <c r="D137" i="3"/>
  <c r="E137" i="3"/>
  <c r="E156" i="3" s="1"/>
  <c r="G137" i="3"/>
  <c r="H137" i="3"/>
  <c r="I137" i="3"/>
  <c r="AM137" i="3" s="1"/>
  <c r="K137" i="3"/>
  <c r="AN137" i="3" s="1"/>
  <c r="L137" i="3"/>
  <c r="M137" i="3"/>
  <c r="O137" i="3"/>
  <c r="P137" i="3"/>
  <c r="Q137" i="3"/>
  <c r="S137" i="3"/>
  <c r="AP137" i="3" s="1"/>
  <c r="T137" i="3"/>
  <c r="U137" i="3"/>
  <c r="W137" i="3"/>
  <c r="X137" i="3"/>
  <c r="Y137" i="3"/>
  <c r="AA137" i="3"/>
  <c r="AB137" i="3"/>
  <c r="AC137" i="3"/>
  <c r="AO137" i="3"/>
  <c r="C138" i="3"/>
  <c r="D138" i="3"/>
  <c r="E138" i="3"/>
  <c r="G138" i="3"/>
  <c r="H138" i="3"/>
  <c r="I138" i="3"/>
  <c r="K138" i="3"/>
  <c r="L138" i="3"/>
  <c r="AN138" i="3" s="1"/>
  <c r="M138" i="3"/>
  <c r="O138" i="3"/>
  <c r="AO138" i="3" s="1"/>
  <c r="P138" i="3"/>
  <c r="Q138" i="3"/>
  <c r="S138" i="3"/>
  <c r="T138" i="3"/>
  <c r="AP138" i="3" s="1"/>
  <c r="U138" i="3"/>
  <c r="W138" i="3"/>
  <c r="X138" i="3"/>
  <c r="Y138" i="3"/>
  <c r="Y157" i="3" s="1"/>
  <c r="AA138" i="3"/>
  <c r="AB138" i="3"/>
  <c r="AC138" i="3"/>
  <c r="AL138" i="3"/>
  <c r="C139" i="3"/>
  <c r="AL139" i="3" s="1"/>
  <c r="D139" i="3"/>
  <c r="E139" i="3"/>
  <c r="G139" i="3"/>
  <c r="H139" i="3"/>
  <c r="I139" i="3"/>
  <c r="K139" i="3"/>
  <c r="L139" i="3"/>
  <c r="M139" i="3"/>
  <c r="AN139" i="3" s="1"/>
  <c r="O139" i="3"/>
  <c r="AO139" i="3" s="1"/>
  <c r="P139" i="3"/>
  <c r="Q139" i="3"/>
  <c r="S139" i="3"/>
  <c r="AP139" i="3" s="1"/>
  <c r="T139" i="3"/>
  <c r="U139" i="3"/>
  <c r="W139" i="3"/>
  <c r="X139" i="3"/>
  <c r="Y139" i="3"/>
  <c r="AA139" i="3"/>
  <c r="AB139" i="3"/>
  <c r="AC139" i="3"/>
  <c r="AQ139" i="3"/>
  <c r="C140" i="3"/>
  <c r="D140" i="3"/>
  <c r="E140" i="3"/>
  <c r="G140" i="3"/>
  <c r="AM140" i="3" s="1"/>
  <c r="H140" i="3"/>
  <c r="I140" i="3"/>
  <c r="I158" i="3" s="1"/>
  <c r="K140" i="3"/>
  <c r="L140" i="3"/>
  <c r="M140" i="3"/>
  <c r="O140" i="3"/>
  <c r="P140" i="3"/>
  <c r="Q140" i="3"/>
  <c r="S140" i="3"/>
  <c r="T140" i="3"/>
  <c r="AP140" i="3" s="1"/>
  <c r="U140" i="3"/>
  <c r="W140" i="3"/>
  <c r="AQ140" i="3" s="1"/>
  <c r="X140" i="3"/>
  <c r="Y140" i="3"/>
  <c r="AA140" i="3"/>
  <c r="AB140" i="3"/>
  <c r="AB158" i="3" s="1"/>
  <c r="AC140" i="3"/>
  <c r="AN140" i="3"/>
  <c r="AO140" i="3"/>
  <c r="B141" i="3"/>
  <c r="F141" i="3"/>
  <c r="J141" i="3"/>
  <c r="K141" i="3"/>
  <c r="L141" i="3"/>
  <c r="L143" i="3" s="1"/>
  <c r="N141" i="3"/>
  <c r="R141" i="3"/>
  <c r="V141" i="3"/>
  <c r="V143" i="3" s="1"/>
  <c r="Z141" i="3"/>
  <c r="Z143" i="3" s="1"/>
  <c r="AB141" i="3"/>
  <c r="AC141" i="3"/>
  <c r="AF141" i="3"/>
  <c r="AG141" i="3"/>
  <c r="AG143" i="3" s="1"/>
  <c r="AG145" i="3" s="1"/>
  <c r="AH141" i="3"/>
  <c r="AI141" i="3"/>
  <c r="AJ141" i="3"/>
  <c r="AJ143" i="3" s="1"/>
  <c r="AK141" i="3"/>
  <c r="BK141" i="3"/>
  <c r="BL141" i="3"/>
  <c r="BM141" i="3"/>
  <c r="BM143" i="3" s="1"/>
  <c r="BM145" i="3" s="1"/>
  <c r="BO141" i="3"/>
  <c r="BO143" i="3" s="1"/>
  <c r="BO145" i="3" s="1"/>
  <c r="BP141" i="3"/>
  <c r="BQ141" i="3"/>
  <c r="BS141" i="3"/>
  <c r="BT141" i="3"/>
  <c r="BU141" i="3"/>
  <c r="BU143" i="3" s="1"/>
  <c r="BW141" i="3"/>
  <c r="BX141" i="3"/>
  <c r="BY141" i="3"/>
  <c r="BY143" i="3" s="1"/>
  <c r="BY145" i="3" s="1"/>
  <c r="CA141" i="3"/>
  <c r="CA143" i="3" s="1"/>
  <c r="CA145" i="3" s="1"/>
  <c r="CB141" i="3"/>
  <c r="CB143" i="3" s="1"/>
  <c r="CB145" i="3" s="1"/>
  <c r="CC141" i="3"/>
  <c r="CC143" i="3" s="1"/>
  <c r="CC145" i="3" s="1"/>
  <c r="CE141" i="3"/>
  <c r="CF141" i="3"/>
  <c r="CF143" i="3" s="1"/>
  <c r="CF145" i="3" s="1"/>
  <c r="CG141" i="3"/>
  <c r="CG143" i="3" s="1"/>
  <c r="CI141" i="3"/>
  <c r="CJ141" i="3"/>
  <c r="B143" i="3"/>
  <c r="B145" i="3" s="1"/>
  <c r="J143" i="3"/>
  <c r="N143" i="3"/>
  <c r="R143" i="3"/>
  <c r="R145" i="3" s="1"/>
  <c r="AB143" i="3"/>
  <c r="AF143" i="3"/>
  <c r="AH143" i="3"/>
  <c r="AH145" i="3" s="1"/>
  <c r="AK143" i="3"/>
  <c r="BK143" i="3"/>
  <c r="BK145" i="3" s="1"/>
  <c r="BP143" i="3"/>
  <c r="BP145" i="3" s="1"/>
  <c r="BT143" i="3"/>
  <c r="BW143" i="3"/>
  <c r="BW145" i="3" s="1"/>
  <c r="BX143" i="3"/>
  <c r="BX145" i="3" s="1"/>
  <c r="CI143" i="3"/>
  <c r="CI145" i="3" s="1"/>
  <c r="V145" i="3"/>
  <c r="Z145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B148" i="3"/>
  <c r="D148" i="3"/>
  <c r="F148" i="3"/>
  <c r="H148" i="3"/>
  <c r="J148" i="3"/>
  <c r="N148" i="3"/>
  <c r="Q148" i="3"/>
  <c r="R148" i="3"/>
  <c r="S148" i="3"/>
  <c r="V148" i="3"/>
  <c r="Z148" i="3"/>
  <c r="AF148" i="3"/>
  <c r="AG148" i="3"/>
  <c r="AH148" i="3"/>
  <c r="AI148" i="3"/>
  <c r="AJ148" i="3"/>
  <c r="AK148" i="3"/>
  <c r="B149" i="3"/>
  <c r="C149" i="3"/>
  <c r="E149" i="3"/>
  <c r="F149" i="3"/>
  <c r="G149" i="3"/>
  <c r="H149" i="3"/>
  <c r="J149" i="3"/>
  <c r="K149" i="3"/>
  <c r="L149" i="3"/>
  <c r="N149" i="3"/>
  <c r="Q149" i="3"/>
  <c r="R149" i="3"/>
  <c r="U149" i="3"/>
  <c r="V149" i="3"/>
  <c r="W149" i="3"/>
  <c r="X149" i="3"/>
  <c r="Z149" i="3"/>
  <c r="AA149" i="3"/>
  <c r="AF149" i="3"/>
  <c r="AG149" i="3"/>
  <c r="AH149" i="3"/>
  <c r="AI149" i="3"/>
  <c r="AJ149" i="3"/>
  <c r="AK149" i="3"/>
  <c r="B150" i="3"/>
  <c r="C150" i="3"/>
  <c r="D150" i="3"/>
  <c r="F150" i="3"/>
  <c r="H150" i="3"/>
  <c r="I150" i="3"/>
  <c r="J150" i="3"/>
  <c r="K150" i="3"/>
  <c r="L150" i="3"/>
  <c r="M150" i="3"/>
  <c r="N150" i="3"/>
  <c r="O150" i="3"/>
  <c r="P150" i="3"/>
  <c r="R150" i="3"/>
  <c r="S150" i="3"/>
  <c r="T150" i="3"/>
  <c r="U150" i="3"/>
  <c r="V150" i="3"/>
  <c r="W150" i="3"/>
  <c r="X150" i="3"/>
  <c r="Z150" i="3"/>
  <c r="AA150" i="3"/>
  <c r="AB150" i="3"/>
  <c r="AC150" i="3"/>
  <c r="AF150" i="3"/>
  <c r="AG150" i="3"/>
  <c r="AH150" i="3"/>
  <c r="AI150" i="3"/>
  <c r="AJ150" i="3"/>
  <c r="AK150" i="3"/>
  <c r="AP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R169" i="3" s="1"/>
  <c r="S151" i="3"/>
  <c r="U151" i="3"/>
  <c r="V151" i="3"/>
  <c r="W151" i="3"/>
  <c r="X151" i="3"/>
  <c r="Z151" i="3"/>
  <c r="AA151" i="3"/>
  <c r="AB151" i="3"/>
  <c r="AC151" i="3"/>
  <c r="AF151" i="3"/>
  <c r="AG151" i="3"/>
  <c r="AH151" i="3"/>
  <c r="AH169" i="3" s="1"/>
  <c r="AI151" i="3"/>
  <c r="AJ151" i="3"/>
  <c r="AK151" i="3"/>
  <c r="AL151" i="3"/>
  <c r="AM151" i="3"/>
  <c r="AN151" i="3"/>
  <c r="B152" i="3"/>
  <c r="D152" i="3"/>
  <c r="E152" i="3"/>
  <c r="F152" i="3"/>
  <c r="G152" i="3"/>
  <c r="H152" i="3"/>
  <c r="I152" i="3"/>
  <c r="J152" i="3"/>
  <c r="K152" i="3"/>
  <c r="M152" i="3"/>
  <c r="N152" i="3"/>
  <c r="O152" i="3"/>
  <c r="Q152" i="3"/>
  <c r="R152" i="3"/>
  <c r="V152" i="3"/>
  <c r="W152" i="3"/>
  <c r="X152" i="3"/>
  <c r="Y152" i="3"/>
  <c r="Z152" i="3"/>
  <c r="AA152" i="3"/>
  <c r="AB152" i="3"/>
  <c r="AC152" i="3"/>
  <c r="AF152" i="3"/>
  <c r="AG152" i="3"/>
  <c r="AH152" i="3"/>
  <c r="AI152" i="3"/>
  <c r="AJ152" i="3"/>
  <c r="AK152" i="3"/>
  <c r="B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V153" i="3"/>
  <c r="V169" i="3" s="1"/>
  <c r="W153" i="3"/>
  <c r="X153" i="3"/>
  <c r="Y153" i="3"/>
  <c r="Z153" i="3"/>
  <c r="AA153" i="3"/>
  <c r="AC153" i="3"/>
  <c r="AF153" i="3"/>
  <c r="AG153" i="3"/>
  <c r="AH153" i="3"/>
  <c r="AI153" i="3"/>
  <c r="AJ153" i="3"/>
  <c r="AK153" i="3"/>
  <c r="AL153" i="3"/>
  <c r="AO153" i="3"/>
  <c r="B154" i="3"/>
  <c r="D154" i="3"/>
  <c r="E154" i="3"/>
  <c r="F154" i="3"/>
  <c r="G154" i="3"/>
  <c r="I154" i="3"/>
  <c r="J154" i="3"/>
  <c r="K154" i="3"/>
  <c r="N154" i="3"/>
  <c r="O154" i="3"/>
  <c r="P154" i="3"/>
  <c r="R154" i="3"/>
  <c r="T154" i="3"/>
  <c r="U154" i="3"/>
  <c r="V154" i="3"/>
  <c r="W154" i="3"/>
  <c r="X154" i="3"/>
  <c r="Y154" i="3"/>
  <c r="Z154" i="3"/>
  <c r="AB154" i="3"/>
  <c r="AC154" i="3"/>
  <c r="AF154" i="3"/>
  <c r="AG154" i="3"/>
  <c r="AH154" i="3"/>
  <c r="AI154" i="3"/>
  <c r="AJ154" i="3"/>
  <c r="AK154" i="3"/>
  <c r="B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R155" i="3"/>
  <c r="V155" i="3"/>
  <c r="W155" i="3"/>
  <c r="X155" i="3"/>
  <c r="Y155" i="3"/>
  <c r="Z155" i="3"/>
  <c r="AA155" i="3"/>
  <c r="AB155" i="3"/>
  <c r="AC155" i="3"/>
  <c r="AF155" i="3"/>
  <c r="AG155" i="3"/>
  <c r="AH155" i="3"/>
  <c r="AI155" i="3"/>
  <c r="AJ155" i="3"/>
  <c r="AK155" i="3"/>
  <c r="AQ155" i="3"/>
  <c r="B156" i="3"/>
  <c r="C156" i="3"/>
  <c r="D156" i="3"/>
  <c r="F156" i="3"/>
  <c r="G156" i="3"/>
  <c r="H156" i="3"/>
  <c r="I156" i="3"/>
  <c r="J156" i="3"/>
  <c r="K156" i="3"/>
  <c r="L156" i="3"/>
  <c r="M156" i="3"/>
  <c r="N156" i="3"/>
  <c r="N169" i="3" s="1"/>
  <c r="O156" i="3"/>
  <c r="P156" i="3"/>
  <c r="Q156" i="3"/>
  <c r="R156" i="3"/>
  <c r="S156" i="3"/>
  <c r="T156" i="3"/>
  <c r="U156" i="3"/>
  <c r="V156" i="3"/>
  <c r="W156" i="3"/>
  <c r="Y156" i="3"/>
  <c r="Z156" i="3"/>
  <c r="AA156" i="3"/>
  <c r="AB156" i="3"/>
  <c r="AC156" i="3"/>
  <c r="AF156" i="3"/>
  <c r="AG156" i="3"/>
  <c r="AH156" i="3"/>
  <c r="AI156" i="3"/>
  <c r="AJ156" i="3"/>
  <c r="AK156" i="3"/>
  <c r="AO156" i="3"/>
  <c r="B157" i="3"/>
  <c r="C157" i="3"/>
  <c r="D157" i="3"/>
  <c r="E157" i="3"/>
  <c r="F157" i="3"/>
  <c r="I157" i="3"/>
  <c r="J157" i="3"/>
  <c r="M157" i="3"/>
  <c r="N157" i="3"/>
  <c r="O157" i="3"/>
  <c r="Q157" i="3"/>
  <c r="R157" i="3"/>
  <c r="S157" i="3"/>
  <c r="T157" i="3"/>
  <c r="V157" i="3"/>
  <c r="W157" i="3"/>
  <c r="X157" i="3"/>
  <c r="Z157" i="3"/>
  <c r="AA157" i="3"/>
  <c r="AB157" i="3"/>
  <c r="AF157" i="3"/>
  <c r="AG157" i="3"/>
  <c r="AH157" i="3"/>
  <c r="AI157" i="3"/>
  <c r="AJ157" i="3"/>
  <c r="AK157" i="3"/>
  <c r="B158" i="3"/>
  <c r="C158" i="3"/>
  <c r="D158" i="3"/>
  <c r="E158" i="3"/>
  <c r="F158" i="3"/>
  <c r="H158" i="3"/>
  <c r="J158" i="3"/>
  <c r="K158" i="3"/>
  <c r="L158" i="3"/>
  <c r="N158" i="3"/>
  <c r="P158" i="3"/>
  <c r="Q158" i="3"/>
  <c r="R158" i="3"/>
  <c r="S158" i="3"/>
  <c r="U158" i="3"/>
  <c r="V158" i="3"/>
  <c r="X158" i="3"/>
  <c r="Z158" i="3"/>
  <c r="AA158" i="3"/>
  <c r="AC158" i="3"/>
  <c r="AF158" i="3"/>
  <c r="AG158" i="3"/>
  <c r="AH158" i="3"/>
  <c r="AI158" i="3"/>
  <c r="AJ158" i="3"/>
  <c r="AK158" i="3"/>
  <c r="B159" i="3"/>
  <c r="C159" i="3"/>
  <c r="D159" i="3"/>
  <c r="E159" i="3"/>
  <c r="F159" i="3"/>
  <c r="G159" i="3"/>
  <c r="H159" i="3"/>
  <c r="I159" i="3"/>
  <c r="J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F159" i="3"/>
  <c r="AG159" i="3"/>
  <c r="AH159" i="3"/>
  <c r="AI159" i="3"/>
  <c r="AJ159" i="3"/>
  <c r="AK159" i="3"/>
  <c r="AL159" i="3"/>
  <c r="AQ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R161" i="3"/>
  <c r="T161" i="3"/>
  <c r="U161" i="3"/>
  <c r="V161" i="3"/>
  <c r="W161" i="3"/>
  <c r="X161" i="3"/>
  <c r="Y161" i="3"/>
  <c r="Z161" i="3"/>
  <c r="AA161" i="3"/>
  <c r="AB161" i="3"/>
  <c r="AC161" i="3"/>
  <c r="AF161" i="3"/>
  <c r="AG161" i="3"/>
  <c r="AH161" i="3"/>
  <c r="AI161" i="3"/>
  <c r="AJ161" i="3"/>
  <c r="AK161" i="3"/>
  <c r="AL161" i="3"/>
  <c r="AN161" i="3"/>
  <c r="AQ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R162" i="3"/>
  <c r="T162" i="3"/>
  <c r="U162" i="3"/>
  <c r="V162" i="3"/>
  <c r="W162" i="3"/>
  <c r="X162" i="3"/>
  <c r="Y162" i="3"/>
  <c r="Z162" i="3"/>
  <c r="AA162" i="3"/>
  <c r="AB162" i="3"/>
  <c r="AC162" i="3"/>
  <c r="AF162" i="3"/>
  <c r="AG162" i="3"/>
  <c r="AH162" i="3"/>
  <c r="AI162" i="3"/>
  <c r="AJ162" i="3"/>
  <c r="AK162" i="3"/>
  <c r="AL162" i="3"/>
  <c r="AM162" i="3"/>
  <c r="AQ162" i="3"/>
  <c r="B163" i="3"/>
  <c r="D163" i="3"/>
  <c r="E163" i="3"/>
  <c r="F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V163" i="3"/>
  <c r="W163" i="3"/>
  <c r="X163" i="3"/>
  <c r="Y163" i="3"/>
  <c r="Z163" i="3"/>
  <c r="AB163" i="3"/>
  <c r="AC163" i="3"/>
  <c r="AF163" i="3"/>
  <c r="AG163" i="3"/>
  <c r="AH163" i="3"/>
  <c r="AI163" i="3"/>
  <c r="AJ163" i="3"/>
  <c r="AK163" i="3"/>
  <c r="B164" i="3"/>
  <c r="C164" i="3"/>
  <c r="D164" i="3"/>
  <c r="E164" i="3"/>
  <c r="F164" i="3"/>
  <c r="G164" i="3"/>
  <c r="I164" i="3"/>
  <c r="J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F164" i="3"/>
  <c r="AF169" i="3" s="1"/>
  <c r="AG164" i="3"/>
  <c r="AH164" i="3"/>
  <c r="AI164" i="3"/>
  <c r="AJ164" i="3"/>
  <c r="AK164" i="3"/>
  <c r="AQ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F165" i="3"/>
  <c r="AG165" i="3"/>
  <c r="AH165" i="3"/>
  <c r="AI165" i="3"/>
  <c r="AJ165" i="3"/>
  <c r="AK165" i="3"/>
  <c r="AL165" i="3"/>
  <c r="AM165" i="3"/>
  <c r="AO165" i="3"/>
  <c r="AP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F166" i="3"/>
  <c r="AG166" i="3"/>
  <c r="AH166" i="3"/>
  <c r="AI166" i="3"/>
  <c r="AJ166" i="3"/>
  <c r="AK166" i="3"/>
  <c r="AM166" i="3"/>
  <c r="AN166" i="3"/>
  <c r="B167" i="3"/>
  <c r="C167" i="3"/>
  <c r="D167" i="3"/>
  <c r="E167" i="3"/>
  <c r="F167" i="3"/>
  <c r="H167" i="3"/>
  <c r="I167" i="3"/>
  <c r="J167" i="3"/>
  <c r="K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Z167" i="3"/>
  <c r="AA167" i="3"/>
  <c r="AB167" i="3"/>
  <c r="AC167" i="3"/>
  <c r="AF167" i="3"/>
  <c r="AG167" i="3"/>
  <c r="AH167" i="3"/>
  <c r="AI167" i="3"/>
  <c r="AJ167" i="3"/>
  <c r="AK167" i="3"/>
  <c r="AL167" i="3"/>
  <c r="AP167" i="3"/>
  <c r="B168" i="3"/>
  <c r="C168" i="3"/>
  <c r="D168" i="3"/>
  <c r="E168" i="3"/>
  <c r="F168" i="3"/>
  <c r="G168" i="3"/>
  <c r="H168" i="3"/>
  <c r="J168" i="3"/>
  <c r="K168" i="3"/>
  <c r="L168" i="3"/>
  <c r="N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F168" i="3"/>
  <c r="AG168" i="3"/>
  <c r="AH168" i="3"/>
  <c r="AI168" i="3"/>
  <c r="AJ168" i="3"/>
  <c r="AK168" i="3"/>
  <c r="AL168" i="3"/>
  <c r="B169" i="3"/>
  <c r="J169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BK171" i="3"/>
  <c r="BL171" i="3"/>
  <c r="BM171" i="3"/>
  <c r="BO171" i="3"/>
  <c r="BP171" i="3"/>
  <c r="BQ171" i="3"/>
  <c r="BS171" i="3"/>
  <c r="BT171" i="3"/>
  <c r="BU171" i="3"/>
  <c r="BW171" i="3"/>
  <c r="BX171" i="3"/>
  <c r="BY171" i="3"/>
  <c r="CA171" i="3"/>
  <c r="CB171" i="3"/>
  <c r="CC171" i="3"/>
  <c r="CE171" i="3"/>
  <c r="CF171" i="3"/>
  <c r="CG171" i="3"/>
  <c r="CI171" i="3"/>
  <c r="CJ171" i="3"/>
  <c r="CK171" i="3"/>
  <c r="C173" i="3"/>
  <c r="D173" i="3"/>
  <c r="E173" i="3"/>
  <c r="G173" i="3"/>
  <c r="H173" i="3"/>
  <c r="I173" i="3"/>
  <c r="AM173" i="3" s="1"/>
  <c r="K173" i="3"/>
  <c r="L173" i="3"/>
  <c r="M173" i="3"/>
  <c r="O173" i="3"/>
  <c r="P173" i="3"/>
  <c r="Q173" i="3"/>
  <c r="AO173" i="3" s="1"/>
  <c r="S173" i="3"/>
  <c r="T173" i="3"/>
  <c r="U173" i="3"/>
  <c r="W173" i="3"/>
  <c r="AQ173" i="3" s="1"/>
  <c r="X173" i="3"/>
  <c r="Y173" i="3"/>
  <c r="AA173" i="3"/>
  <c r="AB173" i="3"/>
  <c r="AC173" i="3"/>
  <c r="AL173" i="3"/>
  <c r="AP173" i="3"/>
  <c r="C174" i="3"/>
  <c r="AL174" i="3" s="1"/>
  <c r="D174" i="3"/>
  <c r="E174" i="3"/>
  <c r="G174" i="3"/>
  <c r="H174" i="3"/>
  <c r="AM174" i="3" s="1"/>
  <c r="I174" i="3"/>
  <c r="K174" i="3"/>
  <c r="AN174" i="3" s="1"/>
  <c r="L174" i="3"/>
  <c r="M174" i="3"/>
  <c r="O174" i="3"/>
  <c r="P174" i="3"/>
  <c r="Q174" i="3"/>
  <c r="S174" i="3"/>
  <c r="T174" i="3"/>
  <c r="U174" i="3"/>
  <c r="W174" i="3"/>
  <c r="X174" i="3"/>
  <c r="Y174" i="3"/>
  <c r="AA174" i="3"/>
  <c r="AB174" i="3"/>
  <c r="AC174" i="3"/>
  <c r="AQ174" i="3"/>
  <c r="C175" i="3"/>
  <c r="D175" i="3"/>
  <c r="E175" i="3"/>
  <c r="G175" i="3"/>
  <c r="H175" i="3"/>
  <c r="I175" i="3"/>
  <c r="K175" i="3"/>
  <c r="L175" i="3"/>
  <c r="M175" i="3"/>
  <c r="O175" i="3"/>
  <c r="P175" i="3"/>
  <c r="Q175" i="3"/>
  <c r="S175" i="3"/>
  <c r="T175" i="3"/>
  <c r="U175" i="3"/>
  <c r="W175" i="3"/>
  <c r="X175" i="3"/>
  <c r="Y175" i="3"/>
  <c r="AQ175" i="3" s="1"/>
  <c r="AA175" i="3"/>
  <c r="AB175" i="3"/>
  <c r="AC175" i="3"/>
  <c r="AL175" i="3"/>
  <c r="AN175" i="3"/>
  <c r="AO175" i="3"/>
  <c r="C176" i="3"/>
  <c r="D176" i="3"/>
  <c r="E176" i="3"/>
  <c r="G176" i="3"/>
  <c r="H176" i="3"/>
  <c r="AM176" i="3" s="1"/>
  <c r="I176" i="3"/>
  <c r="K176" i="3"/>
  <c r="L176" i="3"/>
  <c r="M176" i="3"/>
  <c r="O176" i="3"/>
  <c r="P176" i="3"/>
  <c r="Q176" i="3"/>
  <c r="AO176" i="3" s="1"/>
  <c r="S176" i="3"/>
  <c r="T176" i="3"/>
  <c r="U176" i="3"/>
  <c r="AP176" i="3" s="1"/>
  <c r="W176" i="3"/>
  <c r="AQ176" i="3" s="1"/>
  <c r="X176" i="3"/>
  <c r="Y176" i="3"/>
  <c r="AA176" i="3"/>
  <c r="AB176" i="3"/>
  <c r="AC176" i="3"/>
  <c r="AL176" i="3"/>
  <c r="C177" i="3"/>
  <c r="D177" i="3"/>
  <c r="E177" i="3"/>
  <c r="G177" i="3"/>
  <c r="H177" i="3"/>
  <c r="I177" i="3"/>
  <c r="K177" i="3"/>
  <c r="L177" i="3"/>
  <c r="AN177" i="3" s="1"/>
  <c r="M177" i="3"/>
  <c r="O177" i="3"/>
  <c r="AO177" i="3" s="1"/>
  <c r="P177" i="3"/>
  <c r="Q177" i="3"/>
  <c r="S177" i="3"/>
  <c r="AP177" i="3" s="1"/>
  <c r="T177" i="3"/>
  <c r="U177" i="3"/>
  <c r="W177" i="3"/>
  <c r="AQ177" i="3" s="1"/>
  <c r="X177" i="3"/>
  <c r="Y177" i="3"/>
  <c r="AA177" i="3"/>
  <c r="AB177" i="3"/>
  <c r="AC177" i="3"/>
  <c r="AL177" i="3"/>
  <c r="AM177" i="3"/>
  <c r="C178" i="3"/>
  <c r="D178" i="3"/>
  <c r="E178" i="3"/>
  <c r="AL178" i="3" s="1"/>
  <c r="G178" i="3"/>
  <c r="H178" i="3"/>
  <c r="I178" i="3"/>
  <c r="K178" i="3"/>
  <c r="L178" i="3"/>
  <c r="M178" i="3"/>
  <c r="O178" i="3"/>
  <c r="P178" i="3"/>
  <c r="Q178" i="3"/>
  <c r="S178" i="3"/>
  <c r="AP178" i="3" s="1"/>
  <c r="T178" i="3"/>
  <c r="U178" i="3"/>
  <c r="W178" i="3"/>
  <c r="X178" i="3"/>
  <c r="Y178" i="3"/>
  <c r="AA178" i="3"/>
  <c r="AB178" i="3"/>
  <c r="AC178" i="3"/>
  <c r="AM178" i="3"/>
  <c r="AN178" i="3"/>
  <c r="AO178" i="3"/>
  <c r="AQ178" i="3"/>
  <c r="AA179" i="3"/>
  <c r="AL179" i="3"/>
  <c r="AM179" i="3"/>
  <c r="AN179" i="3"/>
  <c r="AO179" i="3"/>
  <c r="AP179" i="3"/>
  <c r="AQ179" i="3"/>
  <c r="C180" i="3"/>
  <c r="C185" i="3" s="1"/>
  <c r="D180" i="3"/>
  <c r="E180" i="3"/>
  <c r="G180" i="3"/>
  <c r="H180" i="3"/>
  <c r="I180" i="3"/>
  <c r="K180" i="3"/>
  <c r="L180" i="3"/>
  <c r="M180" i="3"/>
  <c r="O180" i="3"/>
  <c r="P180" i="3"/>
  <c r="AO180" i="3" s="1"/>
  <c r="Q180" i="3"/>
  <c r="S180" i="3"/>
  <c r="T180" i="3"/>
  <c r="U180" i="3"/>
  <c r="AP180" i="3" s="1"/>
  <c r="W180" i="3"/>
  <c r="X180" i="3"/>
  <c r="Y180" i="3"/>
  <c r="AA180" i="3"/>
  <c r="AB180" i="3"/>
  <c r="AC180" i="3"/>
  <c r="AL180" i="3"/>
  <c r="C181" i="3"/>
  <c r="D181" i="3"/>
  <c r="AL181" i="3" s="1"/>
  <c r="E181" i="3"/>
  <c r="G181" i="3"/>
  <c r="AM181" i="3" s="1"/>
  <c r="H181" i="3"/>
  <c r="I181" i="3"/>
  <c r="K181" i="3"/>
  <c r="L181" i="3"/>
  <c r="M181" i="3"/>
  <c r="O181" i="3"/>
  <c r="P181" i="3"/>
  <c r="Q181" i="3"/>
  <c r="AO181" i="3" s="1"/>
  <c r="S181" i="3"/>
  <c r="T181" i="3"/>
  <c r="U181" i="3"/>
  <c r="W181" i="3"/>
  <c r="X181" i="3"/>
  <c r="Y181" i="3"/>
  <c r="Y185" i="3" s="1"/>
  <c r="AA181" i="3"/>
  <c r="AB181" i="3"/>
  <c r="AC181" i="3"/>
  <c r="AP181" i="3"/>
  <c r="C182" i="3"/>
  <c r="AL182" i="3" s="1"/>
  <c r="D182" i="3"/>
  <c r="E182" i="3"/>
  <c r="G182" i="3"/>
  <c r="H182" i="3"/>
  <c r="I182" i="3"/>
  <c r="K182" i="3"/>
  <c r="L182" i="3"/>
  <c r="M182" i="3"/>
  <c r="O182" i="3"/>
  <c r="AO182" i="3" s="1"/>
  <c r="P182" i="3"/>
  <c r="Q182" i="3"/>
  <c r="S182" i="3"/>
  <c r="AP182" i="3" s="1"/>
  <c r="T182" i="3"/>
  <c r="U182" i="3"/>
  <c r="W182" i="3"/>
  <c r="X182" i="3"/>
  <c r="AQ182" i="3" s="1"/>
  <c r="Y182" i="3"/>
  <c r="AA182" i="3"/>
  <c r="AB182" i="3"/>
  <c r="AC182" i="3"/>
  <c r="AM182" i="3"/>
  <c r="AN182" i="3"/>
  <c r="C183" i="3"/>
  <c r="D183" i="3"/>
  <c r="E183" i="3"/>
  <c r="G183" i="3"/>
  <c r="H183" i="3"/>
  <c r="I183" i="3"/>
  <c r="K183" i="3"/>
  <c r="AN183" i="3" s="1"/>
  <c r="L183" i="3"/>
  <c r="M183" i="3"/>
  <c r="O183" i="3"/>
  <c r="P183" i="3"/>
  <c r="Q183" i="3"/>
  <c r="S183" i="3"/>
  <c r="AP183" i="3" s="1"/>
  <c r="T183" i="3"/>
  <c r="U183" i="3"/>
  <c r="W183" i="3"/>
  <c r="X183" i="3"/>
  <c r="Y183" i="3"/>
  <c r="AQ183" i="3" s="1"/>
  <c r="AA183" i="3"/>
  <c r="AB183" i="3"/>
  <c r="AC183" i="3"/>
  <c r="AL183" i="3"/>
  <c r="AO183" i="3"/>
  <c r="C184" i="3"/>
  <c r="D184" i="3"/>
  <c r="E184" i="3"/>
  <c r="G184" i="3"/>
  <c r="H184" i="3"/>
  <c r="I184" i="3"/>
  <c r="K184" i="3"/>
  <c r="L184" i="3"/>
  <c r="M184" i="3"/>
  <c r="O184" i="3"/>
  <c r="P184" i="3"/>
  <c r="AO184" i="3" s="1"/>
  <c r="Q184" i="3"/>
  <c r="S184" i="3"/>
  <c r="T184" i="3"/>
  <c r="U184" i="3"/>
  <c r="W184" i="3"/>
  <c r="AQ184" i="3" s="1"/>
  <c r="X184" i="3"/>
  <c r="Y184" i="3"/>
  <c r="AA184" i="3"/>
  <c r="AB184" i="3"/>
  <c r="AC184" i="3"/>
  <c r="AL184" i="3"/>
  <c r="AM184" i="3"/>
  <c r="AP184" i="3"/>
  <c r="B185" i="3"/>
  <c r="F185" i="3"/>
  <c r="J185" i="3"/>
  <c r="J199" i="3" s="1"/>
  <c r="N185" i="3"/>
  <c r="R185" i="3"/>
  <c r="U185" i="3"/>
  <c r="V185" i="3"/>
  <c r="W185" i="3"/>
  <c r="Z185" i="3"/>
  <c r="AF185" i="3"/>
  <c r="AG185" i="3"/>
  <c r="AH185" i="3"/>
  <c r="AI185" i="3"/>
  <c r="AJ185" i="3"/>
  <c r="AK185" i="3"/>
  <c r="BK185" i="3"/>
  <c r="BL185" i="3"/>
  <c r="BM185" i="3"/>
  <c r="BO185" i="3"/>
  <c r="BP185" i="3"/>
  <c r="BQ185" i="3"/>
  <c r="BS185" i="3"/>
  <c r="BT185" i="3"/>
  <c r="BU185" i="3"/>
  <c r="BW185" i="3"/>
  <c r="BW199" i="3" s="1"/>
  <c r="BX185" i="3"/>
  <c r="BX199" i="3" s="1"/>
  <c r="BY185" i="3"/>
  <c r="CA185" i="3"/>
  <c r="CB185" i="3"/>
  <c r="CC185" i="3"/>
  <c r="CE185" i="3"/>
  <c r="CF185" i="3"/>
  <c r="CG185" i="3"/>
  <c r="CI185" i="3"/>
  <c r="CJ185" i="3"/>
  <c r="C189" i="3"/>
  <c r="D189" i="3"/>
  <c r="AL189" i="3" s="1"/>
  <c r="E189" i="3"/>
  <c r="G189" i="3"/>
  <c r="H189" i="3"/>
  <c r="H197" i="3" s="1"/>
  <c r="I189" i="3"/>
  <c r="I197" i="3" s="1"/>
  <c r="K189" i="3"/>
  <c r="AN189" i="3" s="1"/>
  <c r="L189" i="3"/>
  <c r="M189" i="3"/>
  <c r="O189" i="3"/>
  <c r="P189" i="3"/>
  <c r="Q189" i="3"/>
  <c r="AO189" i="3" s="1"/>
  <c r="S189" i="3"/>
  <c r="T189" i="3"/>
  <c r="U189" i="3"/>
  <c r="W189" i="3"/>
  <c r="X189" i="3"/>
  <c r="Y189" i="3"/>
  <c r="Y197" i="3" s="1"/>
  <c r="Y199" i="3" s="1"/>
  <c r="AA189" i="3"/>
  <c r="AA197" i="3" s="1"/>
  <c r="AB189" i="3"/>
  <c r="AB197" i="3" s="1"/>
  <c r="AC189" i="3"/>
  <c r="AP189" i="3"/>
  <c r="C190" i="3"/>
  <c r="D190" i="3"/>
  <c r="E190" i="3"/>
  <c r="G190" i="3"/>
  <c r="H190" i="3"/>
  <c r="I190" i="3"/>
  <c r="K190" i="3"/>
  <c r="L190" i="3"/>
  <c r="M190" i="3"/>
  <c r="O190" i="3"/>
  <c r="P190" i="3"/>
  <c r="Q190" i="3"/>
  <c r="S190" i="3"/>
  <c r="T190" i="3"/>
  <c r="U190" i="3"/>
  <c r="W190" i="3"/>
  <c r="X190" i="3"/>
  <c r="Y190" i="3"/>
  <c r="AA190" i="3"/>
  <c r="AB190" i="3"/>
  <c r="AC190" i="3"/>
  <c r="AM190" i="3"/>
  <c r="AN190" i="3"/>
  <c r="AP190" i="3"/>
  <c r="AQ190" i="3"/>
  <c r="C191" i="3"/>
  <c r="D191" i="3"/>
  <c r="E191" i="3"/>
  <c r="G191" i="3"/>
  <c r="H191" i="3"/>
  <c r="I191" i="3"/>
  <c r="K191" i="3"/>
  <c r="AN191" i="3" s="1"/>
  <c r="L191" i="3"/>
  <c r="M191" i="3"/>
  <c r="O191" i="3"/>
  <c r="P191" i="3"/>
  <c r="AO191" i="3" s="1"/>
  <c r="Q191" i="3"/>
  <c r="S191" i="3"/>
  <c r="T191" i="3"/>
  <c r="T197" i="3" s="1"/>
  <c r="U191" i="3"/>
  <c r="W191" i="3"/>
  <c r="X191" i="3"/>
  <c r="Y191" i="3"/>
  <c r="AA191" i="3"/>
  <c r="AB191" i="3"/>
  <c r="AC191" i="3"/>
  <c r="AL191" i="3"/>
  <c r="AQ191" i="3"/>
  <c r="C192" i="3"/>
  <c r="D192" i="3"/>
  <c r="E192" i="3"/>
  <c r="G192" i="3"/>
  <c r="H192" i="3"/>
  <c r="I192" i="3"/>
  <c r="K192" i="3"/>
  <c r="L192" i="3"/>
  <c r="M192" i="3"/>
  <c r="O192" i="3"/>
  <c r="P192" i="3"/>
  <c r="Q192" i="3"/>
  <c r="S192" i="3"/>
  <c r="T192" i="3"/>
  <c r="U192" i="3"/>
  <c r="U197" i="3" s="1"/>
  <c r="W192" i="3"/>
  <c r="AQ192" i="3" s="1"/>
  <c r="X192" i="3"/>
  <c r="Y192" i="3"/>
  <c r="AA192" i="3"/>
  <c r="AB192" i="3"/>
  <c r="AC192" i="3"/>
  <c r="AM192" i="3"/>
  <c r="AO192" i="3"/>
  <c r="C193" i="3"/>
  <c r="AL193" i="3" s="1"/>
  <c r="D193" i="3"/>
  <c r="E193" i="3"/>
  <c r="G193" i="3"/>
  <c r="H193" i="3"/>
  <c r="I193" i="3"/>
  <c r="AM193" i="3" s="1"/>
  <c r="K193" i="3"/>
  <c r="AN193" i="3" s="1"/>
  <c r="L193" i="3"/>
  <c r="M193" i="3"/>
  <c r="O193" i="3"/>
  <c r="P193" i="3"/>
  <c r="Q193" i="3"/>
  <c r="S193" i="3"/>
  <c r="T193" i="3"/>
  <c r="U193" i="3"/>
  <c r="W193" i="3"/>
  <c r="X193" i="3"/>
  <c r="Y193" i="3"/>
  <c r="AA193" i="3"/>
  <c r="AB193" i="3"/>
  <c r="AC193" i="3"/>
  <c r="AP193" i="3"/>
  <c r="AQ193" i="3"/>
  <c r="C194" i="3"/>
  <c r="D194" i="3"/>
  <c r="E194" i="3"/>
  <c r="G194" i="3"/>
  <c r="H194" i="3"/>
  <c r="I194" i="3"/>
  <c r="K194" i="3"/>
  <c r="L194" i="3"/>
  <c r="M194" i="3"/>
  <c r="O194" i="3"/>
  <c r="P194" i="3"/>
  <c r="Q194" i="3"/>
  <c r="S194" i="3"/>
  <c r="T194" i="3"/>
  <c r="U194" i="3"/>
  <c r="W194" i="3"/>
  <c r="AQ194" i="3" s="1"/>
  <c r="X194" i="3"/>
  <c r="Y194" i="3"/>
  <c r="AA194" i="3"/>
  <c r="AB194" i="3"/>
  <c r="AC194" i="3"/>
  <c r="AC197" i="3" s="1"/>
  <c r="AL194" i="3"/>
  <c r="AM194" i="3"/>
  <c r="AO194" i="3"/>
  <c r="C195" i="3"/>
  <c r="D195" i="3"/>
  <c r="E195" i="3"/>
  <c r="G195" i="3"/>
  <c r="H195" i="3"/>
  <c r="I195" i="3"/>
  <c r="K195" i="3"/>
  <c r="L195" i="3"/>
  <c r="M195" i="3"/>
  <c r="O195" i="3"/>
  <c r="AO195" i="3" s="1"/>
  <c r="P195" i="3"/>
  <c r="Q195" i="3"/>
  <c r="S195" i="3"/>
  <c r="T195" i="3"/>
  <c r="U195" i="3"/>
  <c r="AP195" i="3" s="1"/>
  <c r="W195" i="3"/>
  <c r="X195" i="3"/>
  <c r="AQ195" i="3" s="1"/>
  <c r="Y195" i="3"/>
  <c r="AA195" i="3"/>
  <c r="AB195" i="3"/>
  <c r="AC195" i="3"/>
  <c r="AL195" i="3"/>
  <c r="AM195" i="3"/>
  <c r="AN195" i="3"/>
  <c r="C196" i="3"/>
  <c r="AL196" i="3" s="1"/>
  <c r="D196" i="3"/>
  <c r="E196" i="3"/>
  <c r="G196" i="3"/>
  <c r="AM196" i="3" s="1"/>
  <c r="H196" i="3"/>
  <c r="I196" i="3"/>
  <c r="K196" i="3"/>
  <c r="L196" i="3"/>
  <c r="M196" i="3"/>
  <c r="AN196" i="3" s="1"/>
  <c r="O196" i="3"/>
  <c r="AO196" i="3" s="1"/>
  <c r="P196" i="3"/>
  <c r="Q196" i="3"/>
  <c r="Q197" i="3" s="1"/>
  <c r="S196" i="3"/>
  <c r="T196" i="3"/>
  <c r="U196" i="3"/>
  <c r="W196" i="3"/>
  <c r="X196" i="3"/>
  <c r="Y196" i="3"/>
  <c r="AA196" i="3"/>
  <c r="AB196" i="3"/>
  <c r="AC196" i="3"/>
  <c r="AP196" i="3"/>
  <c r="AQ196" i="3"/>
  <c r="B197" i="3"/>
  <c r="D197" i="3"/>
  <c r="F197" i="3"/>
  <c r="J197" i="3"/>
  <c r="N197" i="3"/>
  <c r="N199" i="3" s="1"/>
  <c r="R197" i="3"/>
  <c r="V197" i="3"/>
  <c r="Z197" i="3"/>
  <c r="Z199" i="3" s="1"/>
  <c r="AF197" i="3"/>
  <c r="AG197" i="3"/>
  <c r="AH197" i="3"/>
  <c r="AH199" i="3" s="1"/>
  <c r="AH230" i="3" s="1"/>
  <c r="AI197" i="3"/>
  <c r="AJ197" i="3"/>
  <c r="AJ199" i="3" s="1"/>
  <c r="AK197" i="3"/>
  <c r="BK197" i="3"/>
  <c r="BL197" i="3"/>
  <c r="BL199" i="3" s="1"/>
  <c r="BM197" i="3"/>
  <c r="BO197" i="3"/>
  <c r="BP197" i="3"/>
  <c r="BP199" i="3" s="1"/>
  <c r="BQ197" i="3"/>
  <c r="BS197" i="3"/>
  <c r="BS199" i="3" s="1"/>
  <c r="BT197" i="3"/>
  <c r="BU197" i="3"/>
  <c r="BW197" i="3"/>
  <c r="BX197" i="3"/>
  <c r="BY197" i="3"/>
  <c r="CA197" i="3"/>
  <c r="CA199" i="3" s="1"/>
  <c r="CB197" i="3"/>
  <c r="CB199" i="3" s="1"/>
  <c r="CC197" i="3"/>
  <c r="CC199" i="3" s="1"/>
  <c r="CE197" i="3"/>
  <c r="CE199" i="3" s="1"/>
  <c r="CF197" i="3"/>
  <c r="CG197" i="3"/>
  <c r="CI197" i="3"/>
  <c r="CJ197" i="3"/>
  <c r="B199" i="3"/>
  <c r="V199" i="3"/>
  <c r="AF199" i="3"/>
  <c r="AG199" i="3"/>
  <c r="AI199" i="3"/>
  <c r="BK199" i="3"/>
  <c r="BM199" i="3"/>
  <c r="BO199" i="3"/>
  <c r="BQ199" i="3"/>
  <c r="BT199" i="3"/>
  <c r="BU199" i="3"/>
  <c r="CF199" i="3"/>
  <c r="CG199" i="3"/>
  <c r="CI199" i="3"/>
  <c r="CJ199" i="3"/>
  <c r="C202" i="3"/>
  <c r="D202" i="3"/>
  <c r="E202" i="3"/>
  <c r="G202" i="3"/>
  <c r="AM202" i="3" s="1"/>
  <c r="H202" i="3"/>
  <c r="I202" i="3"/>
  <c r="K202" i="3"/>
  <c r="AN202" i="3" s="1"/>
  <c r="L202" i="3"/>
  <c r="M202" i="3"/>
  <c r="O202" i="3"/>
  <c r="P202" i="3"/>
  <c r="Q202" i="3"/>
  <c r="AO202" i="3" s="1"/>
  <c r="S202" i="3"/>
  <c r="T202" i="3"/>
  <c r="U202" i="3"/>
  <c r="W202" i="3"/>
  <c r="X202" i="3"/>
  <c r="X209" i="3" s="1"/>
  <c r="Y202" i="3"/>
  <c r="AA202" i="3"/>
  <c r="AB202" i="3"/>
  <c r="AB209" i="3" s="1"/>
  <c r="AC202" i="3"/>
  <c r="AL202" i="3"/>
  <c r="AQ202" i="3"/>
  <c r="C203" i="3"/>
  <c r="AL203" i="3" s="1"/>
  <c r="D203" i="3"/>
  <c r="E203" i="3"/>
  <c r="E209" i="3" s="1"/>
  <c r="G203" i="3"/>
  <c r="H203" i="3"/>
  <c r="H209" i="3" s="1"/>
  <c r="I203" i="3"/>
  <c r="K203" i="3"/>
  <c r="L203" i="3"/>
  <c r="M203" i="3"/>
  <c r="O203" i="3"/>
  <c r="AO203" i="3" s="1"/>
  <c r="P203" i="3"/>
  <c r="Q203" i="3"/>
  <c r="S203" i="3"/>
  <c r="T203" i="3"/>
  <c r="U203" i="3"/>
  <c r="U209" i="3" s="1"/>
  <c r="W203" i="3"/>
  <c r="X203" i="3"/>
  <c r="AQ203" i="3" s="1"/>
  <c r="Y203" i="3"/>
  <c r="AA203" i="3"/>
  <c r="AB203" i="3"/>
  <c r="AC203" i="3"/>
  <c r="AM203" i="3"/>
  <c r="AN203" i="3"/>
  <c r="C204" i="3"/>
  <c r="AL204" i="3" s="1"/>
  <c r="D204" i="3"/>
  <c r="E204" i="3"/>
  <c r="G204" i="3"/>
  <c r="H204" i="3"/>
  <c r="I204" i="3"/>
  <c r="K204" i="3"/>
  <c r="L204" i="3"/>
  <c r="M204" i="3"/>
  <c r="O204" i="3"/>
  <c r="P204" i="3"/>
  <c r="AO204" i="3" s="1"/>
  <c r="Q204" i="3"/>
  <c r="S204" i="3"/>
  <c r="AP204" i="3" s="1"/>
  <c r="T204" i="3"/>
  <c r="U204" i="3"/>
  <c r="W204" i="3"/>
  <c r="X204" i="3"/>
  <c r="Y204" i="3"/>
  <c r="AA204" i="3"/>
  <c r="AA209" i="3" s="1"/>
  <c r="AB204" i="3"/>
  <c r="AC204" i="3"/>
  <c r="AN204" i="3"/>
  <c r="C205" i="3"/>
  <c r="D205" i="3"/>
  <c r="E205" i="3"/>
  <c r="G205" i="3"/>
  <c r="H205" i="3"/>
  <c r="I205" i="3"/>
  <c r="K205" i="3"/>
  <c r="L205" i="3"/>
  <c r="L209" i="3" s="1"/>
  <c r="M205" i="3"/>
  <c r="O205" i="3"/>
  <c r="P205" i="3"/>
  <c r="Q205" i="3"/>
  <c r="AO205" i="3" s="1"/>
  <c r="S205" i="3"/>
  <c r="T205" i="3"/>
  <c r="AP205" i="3" s="1"/>
  <c r="U205" i="3"/>
  <c r="W205" i="3"/>
  <c r="AQ205" i="3" s="1"/>
  <c r="X205" i="3"/>
  <c r="Y205" i="3"/>
  <c r="AA205" i="3"/>
  <c r="AB205" i="3"/>
  <c r="AC205" i="3"/>
  <c r="AC209" i="3" s="1"/>
  <c r="AL205" i="3"/>
  <c r="AM205" i="3"/>
  <c r="C206" i="3"/>
  <c r="AL206" i="3" s="1"/>
  <c r="D206" i="3"/>
  <c r="E206" i="3"/>
  <c r="G206" i="3"/>
  <c r="H206" i="3"/>
  <c r="I206" i="3"/>
  <c r="K206" i="3"/>
  <c r="L206" i="3"/>
  <c r="M206" i="3"/>
  <c r="O206" i="3"/>
  <c r="P206" i="3"/>
  <c r="Q206" i="3"/>
  <c r="Q209" i="3" s="1"/>
  <c r="S206" i="3"/>
  <c r="T206" i="3"/>
  <c r="U206" i="3"/>
  <c r="W206" i="3"/>
  <c r="X206" i="3"/>
  <c r="Y206" i="3"/>
  <c r="AA206" i="3"/>
  <c r="AB206" i="3"/>
  <c r="AC206" i="3"/>
  <c r="AM206" i="3"/>
  <c r="AN206" i="3"/>
  <c r="AP206" i="3"/>
  <c r="AQ206" i="3"/>
  <c r="C207" i="3"/>
  <c r="D207" i="3"/>
  <c r="AL207" i="3" s="1"/>
  <c r="E207" i="3"/>
  <c r="G207" i="3"/>
  <c r="H207" i="3"/>
  <c r="AM207" i="3" s="1"/>
  <c r="I207" i="3"/>
  <c r="K207" i="3"/>
  <c r="AN207" i="3" s="1"/>
  <c r="L207" i="3"/>
  <c r="M207" i="3"/>
  <c r="O207" i="3"/>
  <c r="P207" i="3"/>
  <c r="Q207" i="3"/>
  <c r="AO207" i="3" s="1"/>
  <c r="S207" i="3"/>
  <c r="AP207" i="3" s="1"/>
  <c r="T207" i="3"/>
  <c r="U207" i="3"/>
  <c r="W207" i="3"/>
  <c r="X207" i="3"/>
  <c r="Y207" i="3"/>
  <c r="AA207" i="3"/>
  <c r="AB207" i="3"/>
  <c r="AC207" i="3"/>
  <c r="AQ207" i="3"/>
  <c r="C208" i="3"/>
  <c r="AL208" i="3" s="1"/>
  <c r="D208" i="3"/>
  <c r="E208" i="3"/>
  <c r="G208" i="3"/>
  <c r="AM208" i="3" s="1"/>
  <c r="H208" i="3"/>
  <c r="I208" i="3"/>
  <c r="K208" i="3"/>
  <c r="L208" i="3"/>
  <c r="AN208" i="3" s="1"/>
  <c r="M208" i="3"/>
  <c r="O208" i="3"/>
  <c r="AO208" i="3" s="1"/>
  <c r="P208" i="3"/>
  <c r="Q208" i="3"/>
  <c r="S208" i="3"/>
  <c r="T208" i="3"/>
  <c r="U208" i="3"/>
  <c r="W208" i="3"/>
  <c r="X208" i="3"/>
  <c r="Y208" i="3"/>
  <c r="AA208" i="3"/>
  <c r="AB208" i="3"/>
  <c r="AC208" i="3"/>
  <c r="AP208" i="3"/>
  <c r="AQ208" i="3"/>
  <c r="B209" i="3"/>
  <c r="C209" i="3"/>
  <c r="F209" i="3"/>
  <c r="J209" i="3"/>
  <c r="N209" i="3"/>
  <c r="P209" i="3"/>
  <c r="R209" i="3"/>
  <c r="S209" i="3"/>
  <c r="V209" i="3"/>
  <c r="Z209" i="3"/>
  <c r="AF209" i="3"/>
  <c r="AG209" i="3"/>
  <c r="AG228" i="3" s="1"/>
  <c r="AG230" i="3" s="1"/>
  <c r="AH209" i="3"/>
  <c r="AI209" i="3"/>
  <c r="AJ209" i="3"/>
  <c r="AK209" i="3"/>
  <c r="BK209" i="3"/>
  <c r="BL209" i="3"/>
  <c r="BM209" i="3"/>
  <c r="BO209" i="3"/>
  <c r="BP209" i="3"/>
  <c r="BQ209" i="3"/>
  <c r="BQ228" i="3" s="1"/>
  <c r="BS209" i="3"/>
  <c r="BT209" i="3"/>
  <c r="BU209" i="3"/>
  <c r="BW209" i="3"/>
  <c r="BX209" i="3"/>
  <c r="BY209" i="3"/>
  <c r="CA209" i="3"/>
  <c r="CB209" i="3"/>
  <c r="CC209" i="3"/>
  <c r="CE209" i="3"/>
  <c r="CF209" i="3"/>
  <c r="CG209" i="3"/>
  <c r="CI209" i="3"/>
  <c r="CJ209" i="3"/>
  <c r="CJ228" i="3" s="1"/>
  <c r="C212" i="3"/>
  <c r="D212" i="3"/>
  <c r="D226" i="3" s="1"/>
  <c r="E212" i="3"/>
  <c r="G212" i="3"/>
  <c r="H212" i="3"/>
  <c r="AM212" i="3" s="1"/>
  <c r="I212" i="3"/>
  <c r="K212" i="3"/>
  <c r="AN212" i="3" s="1"/>
  <c r="L212" i="3"/>
  <c r="M212" i="3"/>
  <c r="O212" i="3"/>
  <c r="P212" i="3"/>
  <c r="Q212" i="3"/>
  <c r="S212" i="3"/>
  <c r="T212" i="3"/>
  <c r="U212" i="3"/>
  <c r="W212" i="3"/>
  <c r="X212" i="3"/>
  <c r="Y212" i="3"/>
  <c r="AA212" i="3"/>
  <c r="AB212" i="3"/>
  <c r="AC212" i="3"/>
  <c r="AO212" i="3"/>
  <c r="C213" i="3"/>
  <c r="D213" i="3"/>
  <c r="E213" i="3"/>
  <c r="G213" i="3"/>
  <c r="H213" i="3"/>
  <c r="I213" i="3"/>
  <c r="K213" i="3"/>
  <c r="L213" i="3"/>
  <c r="M213" i="3"/>
  <c r="O213" i="3"/>
  <c r="O226" i="3" s="1"/>
  <c r="P213" i="3"/>
  <c r="Q213" i="3"/>
  <c r="S213" i="3"/>
  <c r="AP213" i="3" s="1"/>
  <c r="T213" i="3"/>
  <c r="U213" i="3"/>
  <c r="W213" i="3"/>
  <c r="AQ213" i="3" s="1"/>
  <c r="X213" i="3"/>
  <c r="Y213" i="3"/>
  <c r="AA213" i="3"/>
  <c r="AB213" i="3"/>
  <c r="AC213" i="3"/>
  <c r="AN213" i="3"/>
  <c r="C215" i="3"/>
  <c r="D215" i="3"/>
  <c r="AL215" i="3" s="1"/>
  <c r="E215" i="3"/>
  <c r="G215" i="3"/>
  <c r="H215" i="3"/>
  <c r="I215" i="3"/>
  <c r="K215" i="3"/>
  <c r="L215" i="3"/>
  <c r="M215" i="3"/>
  <c r="O215" i="3"/>
  <c r="P215" i="3"/>
  <c r="P226" i="3" s="1"/>
  <c r="P228" i="3" s="1"/>
  <c r="Q215" i="3"/>
  <c r="S215" i="3"/>
  <c r="T215" i="3"/>
  <c r="U215" i="3"/>
  <c r="W215" i="3"/>
  <c r="AQ215" i="3" s="1"/>
  <c r="X215" i="3"/>
  <c r="Y215" i="3"/>
  <c r="AA215" i="3"/>
  <c r="AB215" i="3"/>
  <c r="AC215" i="3"/>
  <c r="AN215" i="3"/>
  <c r="AO215" i="3"/>
  <c r="AP215" i="3"/>
  <c r="C216" i="3"/>
  <c r="D216" i="3"/>
  <c r="E216" i="3"/>
  <c r="AL216" i="3" s="1"/>
  <c r="G216" i="3"/>
  <c r="AM216" i="3" s="1"/>
  <c r="H216" i="3"/>
  <c r="I216" i="3"/>
  <c r="I226" i="3" s="1"/>
  <c r="K216" i="3"/>
  <c r="L216" i="3"/>
  <c r="AN216" i="3" s="1"/>
  <c r="M216" i="3"/>
  <c r="O216" i="3"/>
  <c r="P216" i="3"/>
  <c r="Q216" i="3"/>
  <c r="S216" i="3"/>
  <c r="T216" i="3"/>
  <c r="U216" i="3"/>
  <c r="W216" i="3"/>
  <c r="X216" i="3"/>
  <c r="Y216" i="3"/>
  <c r="AA216" i="3"/>
  <c r="AB216" i="3"/>
  <c r="AB226" i="3" s="1"/>
  <c r="AC216" i="3"/>
  <c r="AP216" i="3"/>
  <c r="C217" i="3"/>
  <c r="D217" i="3"/>
  <c r="E217" i="3"/>
  <c r="G217" i="3"/>
  <c r="AM217" i="3" s="1"/>
  <c r="H217" i="3"/>
  <c r="I217" i="3"/>
  <c r="K217" i="3"/>
  <c r="AN217" i="3" s="1"/>
  <c r="L217" i="3"/>
  <c r="M217" i="3"/>
  <c r="O217" i="3"/>
  <c r="P217" i="3"/>
  <c r="Q217" i="3"/>
  <c r="AO217" i="3" s="1"/>
  <c r="S217" i="3"/>
  <c r="AP217" i="3" s="1"/>
  <c r="T217" i="3"/>
  <c r="U217" i="3"/>
  <c r="W217" i="3"/>
  <c r="X217" i="3"/>
  <c r="Y217" i="3"/>
  <c r="AQ217" i="3" s="1"/>
  <c r="AA217" i="3"/>
  <c r="AB217" i="3"/>
  <c r="AC217" i="3"/>
  <c r="C218" i="3"/>
  <c r="D218" i="3"/>
  <c r="E218" i="3"/>
  <c r="G218" i="3"/>
  <c r="H218" i="3"/>
  <c r="I218" i="3"/>
  <c r="K218" i="3"/>
  <c r="AN218" i="3" s="1"/>
  <c r="L218" i="3"/>
  <c r="M218" i="3"/>
  <c r="O218" i="3"/>
  <c r="P218" i="3"/>
  <c r="AO218" i="3" s="1"/>
  <c r="Q218" i="3"/>
  <c r="S218" i="3"/>
  <c r="T218" i="3"/>
  <c r="AP218" i="3" s="1"/>
  <c r="U218" i="3"/>
  <c r="W218" i="3"/>
  <c r="X218" i="3"/>
  <c r="Y218" i="3"/>
  <c r="AA218" i="3"/>
  <c r="AB218" i="3"/>
  <c r="AC218" i="3"/>
  <c r="AL218" i="3"/>
  <c r="AQ218" i="3"/>
  <c r="C219" i="3"/>
  <c r="D219" i="3"/>
  <c r="E219" i="3"/>
  <c r="G219" i="3"/>
  <c r="H219" i="3"/>
  <c r="I219" i="3"/>
  <c r="K219" i="3"/>
  <c r="L219" i="3"/>
  <c r="M219" i="3"/>
  <c r="O219" i="3"/>
  <c r="P219" i="3"/>
  <c r="AO219" i="3" s="1"/>
  <c r="Q219" i="3"/>
  <c r="S219" i="3"/>
  <c r="T219" i="3"/>
  <c r="U219" i="3"/>
  <c r="W219" i="3"/>
  <c r="AQ219" i="3" s="1"/>
  <c r="X219" i="3"/>
  <c r="Y219" i="3"/>
  <c r="AA219" i="3"/>
  <c r="AB219" i="3"/>
  <c r="AC219" i="3"/>
  <c r="AL219" i="3"/>
  <c r="AM219" i="3"/>
  <c r="AP219" i="3"/>
  <c r="C220" i="3"/>
  <c r="AL220" i="3" s="1"/>
  <c r="D220" i="3"/>
  <c r="E220" i="3"/>
  <c r="G220" i="3"/>
  <c r="AM220" i="3" s="1"/>
  <c r="H220" i="3"/>
  <c r="I220" i="3"/>
  <c r="K220" i="3"/>
  <c r="L220" i="3"/>
  <c r="M220" i="3"/>
  <c r="O220" i="3"/>
  <c r="P220" i="3"/>
  <c r="Q220" i="3"/>
  <c r="S220" i="3"/>
  <c r="T220" i="3"/>
  <c r="U220" i="3"/>
  <c r="W220" i="3"/>
  <c r="X220" i="3"/>
  <c r="Y220" i="3"/>
  <c r="AA220" i="3"/>
  <c r="AB220" i="3"/>
  <c r="AC220" i="3"/>
  <c r="AN220" i="3"/>
  <c r="AP220" i="3"/>
  <c r="AQ220" i="3"/>
  <c r="C221" i="3"/>
  <c r="AL221" i="3" s="1"/>
  <c r="D221" i="3"/>
  <c r="E221" i="3"/>
  <c r="G221" i="3"/>
  <c r="AM221" i="3" s="1"/>
  <c r="H221" i="3"/>
  <c r="I221" i="3"/>
  <c r="K221" i="3"/>
  <c r="AN221" i="3" s="1"/>
  <c r="L221" i="3"/>
  <c r="M221" i="3"/>
  <c r="O221" i="3"/>
  <c r="AO221" i="3" s="1"/>
  <c r="P221" i="3"/>
  <c r="Q221" i="3"/>
  <c r="S221" i="3"/>
  <c r="AP221" i="3" s="1"/>
  <c r="T221" i="3"/>
  <c r="U221" i="3"/>
  <c r="W221" i="3"/>
  <c r="X221" i="3"/>
  <c r="Y221" i="3"/>
  <c r="AA221" i="3"/>
  <c r="AB221" i="3"/>
  <c r="AC221" i="3"/>
  <c r="AQ221" i="3"/>
  <c r="C222" i="3"/>
  <c r="D222" i="3"/>
  <c r="E222" i="3"/>
  <c r="G222" i="3"/>
  <c r="H222" i="3"/>
  <c r="I222" i="3"/>
  <c r="K222" i="3"/>
  <c r="L222" i="3"/>
  <c r="AN222" i="3" s="1"/>
  <c r="M222" i="3"/>
  <c r="O222" i="3"/>
  <c r="AO222" i="3" s="1"/>
  <c r="P222" i="3"/>
  <c r="Q222" i="3"/>
  <c r="S222" i="3"/>
  <c r="T222" i="3"/>
  <c r="AP222" i="3" s="1"/>
  <c r="U222" i="3"/>
  <c r="W222" i="3"/>
  <c r="X222" i="3"/>
  <c r="Y222" i="3"/>
  <c r="AA222" i="3"/>
  <c r="AB222" i="3"/>
  <c r="AC222" i="3"/>
  <c r="AM222" i="3"/>
  <c r="AA223" i="3"/>
  <c r="AB223" i="3"/>
  <c r="AC223" i="3"/>
  <c r="AL223" i="3"/>
  <c r="AM223" i="3"/>
  <c r="AN223" i="3"/>
  <c r="AO223" i="3"/>
  <c r="AP223" i="3"/>
  <c r="AQ223" i="3"/>
  <c r="C224" i="3"/>
  <c r="D224" i="3"/>
  <c r="E224" i="3"/>
  <c r="G224" i="3"/>
  <c r="H224" i="3"/>
  <c r="I224" i="3"/>
  <c r="K224" i="3"/>
  <c r="AN224" i="3" s="1"/>
  <c r="L224" i="3"/>
  <c r="M224" i="3"/>
  <c r="O224" i="3"/>
  <c r="AO224" i="3" s="1"/>
  <c r="P224" i="3"/>
  <c r="Q224" i="3"/>
  <c r="S224" i="3"/>
  <c r="AP224" i="3" s="1"/>
  <c r="T224" i="3"/>
  <c r="U224" i="3"/>
  <c r="W224" i="3"/>
  <c r="AQ224" i="3" s="1"/>
  <c r="X224" i="3"/>
  <c r="Y224" i="3"/>
  <c r="AA224" i="3"/>
  <c r="AB224" i="3"/>
  <c r="AC224" i="3"/>
  <c r="AL224" i="3"/>
  <c r="AM224" i="3"/>
  <c r="C225" i="3"/>
  <c r="D225" i="3"/>
  <c r="E225" i="3"/>
  <c r="G225" i="3"/>
  <c r="H225" i="3"/>
  <c r="I225" i="3"/>
  <c r="K225" i="3"/>
  <c r="L225" i="3"/>
  <c r="M225" i="3"/>
  <c r="O225" i="3"/>
  <c r="P225" i="3"/>
  <c r="Q225" i="3"/>
  <c r="S225" i="3"/>
  <c r="AP225" i="3" s="1"/>
  <c r="T225" i="3"/>
  <c r="U225" i="3"/>
  <c r="W225" i="3"/>
  <c r="AQ225" i="3" s="1"/>
  <c r="X225" i="3"/>
  <c r="Y225" i="3"/>
  <c r="AA225" i="3"/>
  <c r="AB225" i="3"/>
  <c r="AC225" i="3"/>
  <c r="AL225" i="3"/>
  <c r="AM225" i="3"/>
  <c r="AO225" i="3"/>
  <c r="B226" i="3"/>
  <c r="F226" i="3"/>
  <c r="J226" i="3"/>
  <c r="K226" i="3"/>
  <c r="N226" i="3"/>
  <c r="R226" i="3"/>
  <c r="V226" i="3"/>
  <c r="Y226" i="3"/>
  <c r="Z226" i="3"/>
  <c r="Z228" i="3" s="1"/>
  <c r="Z230" i="3" s="1"/>
  <c r="AA226" i="3"/>
  <c r="AA228" i="3" s="1"/>
  <c r="AF226" i="3"/>
  <c r="AG226" i="3"/>
  <c r="AH226" i="3"/>
  <c r="AI226" i="3"/>
  <c r="AJ226" i="3"/>
  <c r="AJ228" i="3" s="1"/>
  <c r="AJ230" i="3" s="1"/>
  <c r="AK226" i="3"/>
  <c r="AK228" i="3" s="1"/>
  <c r="BK226" i="3"/>
  <c r="BK228" i="3" s="1"/>
  <c r="BL226" i="3"/>
  <c r="BL228" i="3" s="1"/>
  <c r="BL230" i="3" s="1"/>
  <c r="BM226" i="3"/>
  <c r="BO226" i="3"/>
  <c r="BP226" i="3"/>
  <c r="BP228" i="3" s="1"/>
  <c r="BP230" i="3" s="1"/>
  <c r="BQ226" i="3"/>
  <c r="BS226" i="3"/>
  <c r="BT226" i="3"/>
  <c r="BU226" i="3"/>
  <c r="BW226" i="3"/>
  <c r="BX226" i="3"/>
  <c r="BY226" i="3"/>
  <c r="CA226" i="3"/>
  <c r="CA228" i="3" s="1"/>
  <c r="CA230" i="3" s="1"/>
  <c r="CB226" i="3"/>
  <c r="CB228" i="3" s="1"/>
  <c r="CB230" i="3" s="1"/>
  <c r="CC226" i="3"/>
  <c r="CC228" i="3" s="1"/>
  <c r="CC230" i="3" s="1"/>
  <c r="CE226" i="3"/>
  <c r="CE228" i="3" s="1"/>
  <c r="CE230" i="3" s="1"/>
  <c r="CF226" i="3"/>
  <c r="CG226" i="3"/>
  <c r="CI226" i="3"/>
  <c r="CI228" i="3" s="1"/>
  <c r="CJ226" i="3"/>
  <c r="J228" i="3"/>
  <c r="R228" i="3"/>
  <c r="V228" i="3"/>
  <c r="AF228" i="3"/>
  <c r="AF230" i="3" s="1"/>
  <c r="AH228" i="3"/>
  <c r="BM228" i="3"/>
  <c r="BO228" i="3"/>
  <c r="BU228" i="3"/>
  <c r="BU230" i="3" s="1"/>
  <c r="BW228" i="3"/>
  <c r="BX228" i="3"/>
  <c r="BY228" i="3"/>
  <c r="CF228" i="3"/>
  <c r="CF230" i="3" s="1"/>
  <c r="CG228" i="3"/>
  <c r="CG230" i="3" s="1"/>
  <c r="BQ230" i="3"/>
  <c r="CI230" i="3"/>
  <c r="CJ230" i="3"/>
  <c r="CG2" i="1"/>
  <c r="CN2" i="1"/>
  <c r="CP2" i="1"/>
  <c r="CQ2" i="1" s="1"/>
  <c r="CS2" i="1"/>
  <c r="CW2" i="1"/>
  <c r="CX2" i="1"/>
  <c r="CY2" i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A5" i="1"/>
  <c r="A6" i="1" s="1"/>
  <c r="A7" i="1" s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C8" i="1"/>
  <c r="D8" i="1"/>
  <c r="E8" i="1"/>
  <c r="F8" i="1"/>
  <c r="G8" i="1"/>
  <c r="H8" i="1"/>
  <c r="I8" i="1"/>
  <c r="J8" i="1"/>
  <c r="K8" i="1"/>
  <c r="L8" i="1"/>
  <c r="M8" i="1"/>
  <c r="FU8" i="1" s="1"/>
  <c r="N8" i="1"/>
  <c r="O8" i="1"/>
  <c r="P8" i="1"/>
  <c r="FV8" i="1" s="1"/>
  <c r="Q8" i="1"/>
  <c r="R8" i="1"/>
  <c r="S8" i="1"/>
  <c r="T8" i="1"/>
  <c r="FW8" i="1" s="1"/>
  <c r="U8" i="1"/>
  <c r="V8" i="1"/>
  <c r="W8" i="1"/>
  <c r="X8" i="1"/>
  <c r="FY8" i="1" s="1"/>
  <c r="Y8" i="1"/>
  <c r="Z8" i="1"/>
  <c r="AA8" i="1"/>
  <c r="AB8" i="1"/>
  <c r="AC8" i="1"/>
  <c r="AD8" i="1"/>
  <c r="GA8" i="1" s="1"/>
  <c r="AE8" i="1"/>
  <c r="AF8" i="1"/>
  <c r="AG8" i="1"/>
  <c r="AH8" i="1"/>
  <c r="GB8" i="1" s="1"/>
  <c r="AI8" i="1"/>
  <c r="AJ8" i="1"/>
  <c r="GC8" i="1" s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GI8" i="1" s="1"/>
  <c r="BD8" i="1"/>
  <c r="BE8" i="1"/>
  <c r="BF8" i="1"/>
  <c r="GJ8" i="1" s="1"/>
  <c r="BG8" i="1"/>
  <c r="BH8" i="1"/>
  <c r="BI8" i="1"/>
  <c r="BJ8" i="1"/>
  <c r="GK8" i="1" s="1"/>
  <c r="BK8" i="1"/>
  <c r="BL8" i="1"/>
  <c r="BM8" i="1"/>
  <c r="BN8" i="1"/>
  <c r="GM8" i="1" s="1"/>
  <c r="BO8" i="1"/>
  <c r="BP8" i="1"/>
  <c r="BQ8" i="1"/>
  <c r="GN8" i="1" s="1"/>
  <c r="BR8" i="1"/>
  <c r="BS8" i="1"/>
  <c r="BT8" i="1"/>
  <c r="GO8" i="1" s="1"/>
  <c r="BU8" i="1"/>
  <c r="BV8" i="1"/>
  <c r="BW8" i="1"/>
  <c r="BX8" i="1"/>
  <c r="IH8" i="1" s="1"/>
  <c r="BY8" i="1"/>
  <c r="BZ8" i="1"/>
  <c r="GQ8" i="1" s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GW8" i="1" s="1"/>
  <c r="CT8" i="1"/>
  <c r="CU8" i="1"/>
  <c r="CV8" i="1"/>
  <c r="GX8" i="1" s="1"/>
  <c r="CW8" i="1"/>
  <c r="CX8" i="1"/>
  <c r="CY8" i="1"/>
  <c r="CZ8" i="1"/>
  <c r="GY8" i="1" s="1"/>
  <c r="DA8" i="1"/>
  <c r="DB8" i="1"/>
  <c r="FR8" i="1"/>
  <c r="GD8" i="1"/>
  <c r="GE8" i="1"/>
  <c r="GF8" i="1"/>
  <c r="GR8" i="1"/>
  <c r="GS8" i="1"/>
  <c r="GT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IK8" i="1"/>
  <c r="IL8" i="1"/>
  <c r="IM8" i="1"/>
  <c r="IN8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C12" i="1"/>
  <c r="D12" i="1"/>
  <c r="E12" i="1"/>
  <c r="F12" i="1"/>
  <c r="G12" i="1"/>
  <c r="H12" i="1"/>
  <c r="I12" i="1"/>
  <c r="FT12" i="1" s="1"/>
  <c r="J12" i="1"/>
  <c r="K12" i="1"/>
  <c r="L12" i="1"/>
  <c r="M12" i="1"/>
  <c r="FU12" i="1" s="1"/>
  <c r="N12" i="1"/>
  <c r="O12" i="1"/>
  <c r="P12" i="1"/>
  <c r="FV12" i="1" s="1"/>
  <c r="Q12" i="1"/>
  <c r="R12" i="1"/>
  <c r="S12" i="1"/>
  <c r="T12" i="1"/>
  <c r="FW12" i="1" s="1"/>
  <c r="U12" i="1"/>
  <c r="V12" i="1"/>
  <c r="W12" i="1"/>
  <c r="X12" i="1"/>
  <c r="FY12" i="1" s="1"/>
  <c r="Y12" i="1"/>
  <c r="Z12" i="1"/>
  <c r="AA12" i="1"/>
  <c r="ID12" i="1" s="1"/>
  <c r="AB12" i="1"/>
  <c r="AC12" i="1"/>
  <c r="AD12" i="1"/>
  <c r="GA12" i="1" s="1"/>
  <c r="AE12" i="1"/>
  <c r="AF12" i="1"/>
  <c r="AG12" i="1"/>
  <c r="AH12" i="1"/>
  <c r="GB12" i="1" s="1"/>
  <c r="AI12" i="1"/>
  <c r="AJ12" i="1"/>
  <c r="AK12" i="1"/>
  <c r="AL12" i="1"/>
  <c r="AM12" i="1"/>
  <c r="AN12" i="1"/>
  <c r="AO12" i="1"/>
  <c r="IE12" i="1" s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GI12" i="1" s="1"/>
  <c r="BD12" i="1"/>
  <c r="BE12" i="1"/>
  <c r="BF12" i="1"/>
  <c r="GJ12" i="1" s="1"/>
  <c r="BG12" i="1"/>
  <c r="BH12" i="1"/>
  <c r="BI12" i="1"/>
  <c r="BJ12" i="1"/>
  <c r="GK12" i="1" s="1"/>
  <c r="BK12" i="1"/>
  <c r="BL12" i="1"/>
  <c r="BM12" i="1"/>
  <c r="BN12" i="1"/>
  <c r="GM12" i="1" s="1"/>
  <c r="BO12" i="1"/>
  <c r="BP12" i="1"/>
  <c r="BQ12" i="1"/>
  <c r="GN12" i="1" s="1"/>
  <c r="BR12" i="1"/>
  <c r="BS12" i="1"/>
  <c r="BT12" i="1"/>
  <c r="GO12" i="1" s="1"/>
  <c r="BU12" i="1"/>
  <c r="BV12" i="1"/>
  <c r="BW12" i="1"/>
  <c r="BX12" i="1"/>
  <c r="IH12" i="1" s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GU12" i="1" s="1"/>
  <c r="CO12" i="1"/>
  <c r="GV12" i="1" s="1"/>
  <c r="CP12" i="1"/>
  <c r="CQ12" i="1"/>
  <c r="CR12" i="1"/>
  <c r="CS12" i="1"/>
  <c r="GW12" i="1" s="1"/>
  <c r="CT12" i="1"/>
  <c r="CU12" i="1"/>
  <c r="CV12" i="1"/>
  <c r="GX12" i="1" s="1"/>
  <c r="CW12" i="1"/>
  <c r="CX12" i="1"/>
  <c r="CY12" i="1"/>
  <c r="CZ12" i="1"/>
  <c r="GY12" i="1" s="1"/>
  <c r="DA12" i="1"/>
  <c r="DB12" i="1"/>
  <c r="FR12" i="1"/>
  <c r="FS12" i="1"/>
  <c r="GD12" i="1"/>
  <c r="GE12" i="1"/>
  <c r="GF12" i="1"/>
  <c r="GG12" i="1"/>
  <c r="GR12" i="1"/>
  <c r="GS12" i="1"/>
  <c r="GT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IK12" i="1"/>
  <c r="IL12" i="1"/>
  <c r="IM12" i="1"/>
  <c r="IN12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/>
  <c r="HH20" i="1"/>
  <c r="HI20" i="1"/>
  <c r="HJ20" i="1"/>
  <c r="HK20" i="1"/>
  <c r="HL20" i="1"/>
  <c r="HM20" i="1"/>
  <c r="HN20" i="1"/>
  <c r="HO20" i="1"/>
  <c r="HP20" i="1"/>
  <c r="HQ20" i="1"/>
  <c r="HR20" i="1"/>
  <c r="HS20" i="1"/>
  <c r="HT20" i="1"/>
  <c r="HU20" i="1"/>
  <c r="HV20" i="1"/>
  <c r="HW20" i="1"/>
  <c r="HX20" i="1"/>
  <c r="IB20" i="1"/>
  <c r="IC20" i="1"/>
  <c r="ID20" i="1"/>
  <c r="IE20" i="1"/>
  <c r="IF20" i="1"/>
  <c r="IG20" i="1"/>
  <c r="IH20" i="1"/>
  <c r="II20" i="1"/>
  <c r="IJ20" i="1"/>
  <c r="IK20" i="1"/>
  <c r="IL20" i="1"/>
  <c r="IM20" i="1"/>
  <c r="IN20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FV22" i="1" s="1"/>
  <c r="P22" i="1"/>
  <c r="Q22" i="1"/>
  <c r="R22" i="1"/>
  <c r="FW22" i="1" s="1"/>
  <c r="S22" i="1"/>
  <c r="T22" i="1"/>
  <c r="U22" i="1"/>
  <c r="V22" i="1"/>
  <c r="W22" i="1"/>
  <c r="FX22" i="1" s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GC22" i="1" s="1"/>
  <c r="AK22" i="1"/>
  <c r="AL22" i="1"/>
  <c r="AM22" i="1"/>
  <c r="AN22" i="1"/>
  <c r="AO22" i="1"/>
  <c r="AP22" i="1"/>
  <c r="GE22" i="1" s="1"/>
  <c r="AQ22" i="1"/>
  <c r="AR22" i="1"/>
  <c r="AS22" i="1"/>
  <c r="AT22" i="1"/>
  <c r="AU22" i="1"/>
  <c r="AV22" i="1"/>
  <c r="AW22" i="1"/>
  <c r="AX22" i="1"/>
  <c r="AY22" i="1"/>
  <c r="AZ22" i="1"/>
  <c r="GH22" i="1" s="1"/>
  <c r="BA22" i="1"/>
  <c r="BB22" i="1"/>
  <c r="BC22" i="1"/>
  <c r="BD22" i="1"/>
  <c r="BE22" i="1"/>
  <c r="GJ22" i="1" s="1"/>
  <c r="BF22" i="1"/>
  <c r="BG22" i="1"/>
  <c r="BH22" i="1"/>
  <c r="GK22" i="1" s="1"/>
  <c r="BI22" i="1"/>
  <c r="BJ22" i="1"/>
  <c r="BK22" i="1"/>
  <c r="BL22" i="1"/>
  <c r="BM22" i="1"/>
  <c r="BN22" i="1"/>
  <c r="GM22" i="1" s="1"/>
  <c r="BO22" i="1"/>
  <c r="BP22" i="1"/>
  <c r="BQ22" i="1"/>
  <c r="BR22" i="1"/>
  <c r="BS22" i="1"/>
  <c r="GN22" i="1" s="1"/>
  <c r="BT22" i="1"/>
  <c r="BU22" i="1"/>
  <c r="BV22" i="1"/>
  <c r="BW22" i="1"/>
  <c r="BX22" i="1"/>
  <c r="BY22" i="1"/>
  <c r="BZ22" i="1"/>
  <c r="GQ22" i="1" s="1"/>
  <c r="CA22" i="1"/>
  <c r="CB22" i="1"/>
  <c r="CC22" i="1"/>
  <c r="GR22" i="1" s="1"/>
  <c r="CD22" i="1"/>
  <c r="CE22" i="1"/>
  <c r="CF22" i="1"/>
  <c r="GS22" i="1" s="1"/>
  <c r="CG22" i="1"/>
  <c r="CH22" i="1"/>
  <c r="CI22" i="1"/>
  <c r="CJ22" i="1"/>
  <c r="CK22" i="1"/>
  <c r="CL22" i="1"/>
  <c r="CM22" i="1"/>
  <c r="CN22" i="1"/>
  <c r="CO22" i="1"/>
  <c r="CP22" i="1"/>
  <c r="GV22" i="1" s="1"/>
  <c r="CQ22" i="1"/>
  <c r="CR22" i="1"/>
  <c r="CS22" i="1"/>
  <c r="CT22" i="1"/>
  <c r="CU22" i="1"/>
  <c r="GX22" i="1" s="1"/>
  <c r="CV22" i="1"/>
  <c r="CW22" i="1"/>
  <c r="CX22" i="1"/>
  <c r="GY22" i="1" s="1"/>
  <c r="CY22" i="1"/>
  <c r="CZ22" i="1"/>
  <c r="DA22" i="1"/>
  <c r="DB22" i="1"/>
  <c r="FR22" i="1"/>
  <c r="FS22" i="1"/>
  <c r="FT22" i="1"/>
  <c r="FU22" i="1"/>
  <c r="GA22" i="1"/>
  <c r="GB22" i="1"/>
  <c r="GF22" i="1"/>
  <c r="GG22" i="1"/>
  <c r="GI22" i="1"/>
  <c r="GO22" i="1"/>
  <c r="GP22" i="1"/>
  <c r="GT22" i="1"/>
  <c r="GU22" i="1"/>
  <c r="GW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IB22" i="1"/>
  <c r="IK22" i="1"/>
  <c r="IL22" i="1"/>
  <c r="IM22" i="1"/>
  <c r="IN22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HL26" i="1"/>
  <c r="HM26" i="1"/>
  <c r="HN26" i="1"/>
  <c r="HO26" i="1"/>
  <c r="HP26" i="1"/>
  <c r="HQ26" i="1"/>
  <c r="HR26" i="1"/>
  <c r="HS26" i="1"/>
  <c r="HT26" i="1"/>
  <c r="HU26" i="1"/>
  <c r="HV26" i="1"/>
  <c r="HW26" i="1"/>
  <c r="HX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C27" i="1"/>
  <c r="D27" i="1"/>
  <c r="E27" i="1"/>
  <c r="F27" i="1"/>
  <c r="G27" i="1"/>
  <c r="IB27" i="1" s="1"/>
  <c r="H27" i="1"/>
  <c r="I27" i="1"/>
  <c r="J27" i="1"/>
  <c r="K27" i="1"/>
  <c r="L27" i="1"/>
  <c r="M27" i="1"/>
  <c r="FU27" i="1" s="1"/>
  <c r="N27" i="1"/>
  <c r="O27" i="1"/>
  <c r="P27" i="1"/>
  <c r="Q27" i="1"/>
  <c r="R27" i="1"/>
  <c r="S27" i="1"/>
  <c r="T27" i="1"/>
  <c r="U27" i="1"/>
  <c r="FX27" i="1" s="1"/>
  <c r="V27" i="1"/>
  <c r="W27" i="1"/>
  <c r="X27" i="1"/>
  <c r="FY27" i="1" s="1"/>
  <c r="Y27" i="1"/>
  <c r="Z27" i="1"/>
  <c r="AA27" i="1"/>
  <c r="AB27" i="1"/>
  <c r="AC27" i="1"/>
  <c r="AD27" i="1"/>
  <c r="AE27" i="1"/>
  <c r="AF27" i="1"/>
  <c r="AG27" i="1"/>
  <c r="AH27" i="1"/>
  <c r="AI27" i="1"/>
  <c r="GB27" i="1" s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GI27" i="1" s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GN27" i="1" s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GS27" i="1" s="1"/>
  <c r="CI27" i="1"/>
  <c r="CJ27" i="1"/>
  <c r="CK27" i="1"/>
  <c r="CL27" i="1"/>
  <c r="CM27" i="1"/>
  <c r="II27" i="1" s="1"/>
  <c r="CN27" i="1"/>
  <c r="CO27" i="1"/>
  <c r="CP27" i="1"/>
  <c r="CQ27" i="1"/>
  <c r="CR27" i="1"/>
  <c r="CS27" i="1"/>
  <c r="GW27" i="1" s="1"/>
  <c r="CT27" i="1"/>
  <c r="CU27" i="1"/>
  <c r="IJ27" i="1" s="1"/>
  <c r="CV27" i="1"/>
  <c r="CW27" i="1"/>
  <c r="CX27" i="1"/>
  <c r="CY27" i="1"/>
  <c r="CZ27" i="1"/>
  <c r="DA27" i="1"/>
  <c r="GZ27" i="1" s="1"/>
  <c r="DB27" i="1"/>
  <c r="FR27" i="1"/>
  <c r="FW27" i="1"/>
  <c r="GD27" i="1"/>
  <c r="GF27" i="1"/>
  <c r="GG27" i="1"/>
  <c r="GK27" i="1"/>
  <c r="GM27" i="1"/>
  <c r="GR27" i="1"/>
  <c r="GT27" i="1"/>
  <c r="GY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IK27" i="1"/>
  <c r="IL27" i="1"/>
  <c r="IM27" i="1"/>
  <c r="IN27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/>
  <c r="HH29" i="1"/>
  <c r="HI29" i="1"/>
  <c r="HJ29" i="1"/>
  <c r="HK29" i="1"/>
  <c r="HL29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IB29" i="1"/>
  <c r="IC29" i="1"/>
  <c r="ID29" i="1"/>
  <c r="IE29" i="1"/>
  <c r="IF29" i="1"/>
  <c r="IG29" i="1"/>
  <c r="IH29" i="1"/>
  <c r="II29" i="1"/>
  <c r="IJ29" i="1"/>
  <c r="IK29" i="1"/>
  <c r="IL29" i="1"/>
  <c r="IM29" i="1"/>
  <c r="IN29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IC32" i="1" s="1"/>
  <c r="T32" i="1"/>
  <c r="U32" i="1"/>
  <c r="V32" i="1"/>
  <c r="W32" i="1"/>
  <c r="X32" i="1"/>
  <c r="FY32" i="1" s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GE32" i="1" s="1"/>
  <c r="AQ32" i="1"/>
  <c r="AR32" i="1"/>
  <c r="AS32" i="1"/>
  <c r="AT32" i="1"/>
  <c r="AU32" i="1"/>
  <c r="GF32" i="1" s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GM32" i="1" s="1"/>
  <c r="BO32" i="1"/>
  <c r="BP32" i="1"/>
  <c r="BQ32" i="1"/>
  <c r="BR32" i="1"/>
  <c r="BS32" i="1"/>
  <c r="BT32" i="1"/>
  <c r="BU32" i="1"/>
  <c r="BV32" i="1"/>
  <c r="BW32" i="1"/>
  <c r="GP32" i="1" s="1"/>
  <c r="BX32" i="1"/>
  <c r="BY32" i="1"/>
  <c r="BZ32" i="1"/>
  <c r="CA32" i="1"/>
  <c r="CB32" i="1"/>
  <c r="CC32" i="1"/>
  <c r="CD32" i="1"/>
  <c r="CE32" i="1"/>
  <c r="CF32" i="1"/>
  <c r="GS32" i="1" s="1"/>
  <c r="CG32" i="1"/>
  <c r="CH32" i="1"/>
  <c r="CI32" i="1"/>
  <c r="CJ32" i="1"/>
  <c r="CK32" i="1"/>
  <c r="GT32" i="1" s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IJ32" i="1" s="1"/>
  <c r="CZ32" i="1"/>
  <c r="DA32" i="1"/>
  <c r="DB32" i="1"/>
  <c r="FT32" i="1"/>
  <c r="FV32" i="1"/>
  <c r="GA32" i="1"/>
  <c r="GB32" i="1"/>
  <c r="GC32" i="1"/>
  <c r="GD32" i="1"/>
  <c r="GH32" i="1"/>
  <c r="GJ32" i="1"/>
  <c r="GK32" i="1"/>
  <c r="GO32" i="1"/>
  <c r="GQ32" i="1"/>
  <c r="GR32" i="1"/>
  <c r="GV32" i="1"/>
  <c r="GX32" i="1"/>
  <c r="GY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IK32" i="1"/>
  <c r="IL32" i="1"/>
  <c r="IM32" i="1"/>
  <c r="IN32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HK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IB35" i="1"/>
  <c r="IC35" i="1"/>
  <c r="ID35" i="1"/>
  <c r="IE35" i="1"/>
  <c r="IF35" i="1"/>
  <c r="IG35" i="1"/>
  <c r="IH35" i="1"/>
  <c r="II35" i="1"/>
  <c r="IJ35" i="1"/>
  <c r="IK35" i="1"/>
  <c r="IL35" i="1"/>
  <c r="IM35" i="1"/>
  <c r="IN35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H36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IB36" i="1"/>
  <c r="IC36" i="1"/>
  <c r="ID36" i="1"/>
  <c r="IE36" i="1"/>
  <c r="IF36" i="1"/>
  <c r="IG36" i="1"/>
  <c r="IH36" i="1"/>
  <c r="II36" i="1"/>
  <c r="IJ36" i="1"/>
  <c r="IK36" i="1"/>
  <c r="IL36" i="1"/>
  <c r="IM36" i="1"/>
  <c r="IN36" i="1"/>
  <c r="C37" i="1"/>
  <c r="FR37" i="1" s="1"/>
  <c r="D37" i="1"/>
  <c r="E37" i="1"/>
  <c r="F37" i="1"/>
  <c r="G37" i="1"/>
  <c r="H37" i="1"/>
  <c r="I37" i="1"/>
  <c r="FT37" i="1" s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FX37" i="1" s="1"/>
  <c r="W37" i="1"/>
  <c r="X37" i="1"/>
  <c r="Y37" i="1"/>
  <c r="FY37" i="1" s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GD37" i="1" s="1"/>
  <c r="AN37" i="1"/>
  <c r="AO37" i="1"/>
  <c r="AP37" i="1"/>
  <c r="AQ37" i="1"/>
  <c r="AR37" i="1"/>
  <c r="AS37" i="1"/>
  <c r="GF37" i="1" s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GL37" i="1" s="1"/>
  <c r="BM37" i="1"/>
  <c r="BN37" i="1"/>
  <c r="BO37" i="1"/>
  <c r="GM37" i="1" s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GR37" i="1" s="1"/>
  <c r="CD37" i="1"/>
  <c r="CE37" i="1"/>
  <c r="CF37" i="1"/>
  <c r="CG37" i="1"/>
  <c r="CH37" i="1"/>
  <c r="CI37" i="1"/>
  <c r="GT37" i="1" s="1"/>
  <c r="CJ37" i="1"/>
  <c r="CK37" i="1"/>
  <c r="CL37" i="1"/>
  <c r="CM37" i="1"/>
  <c r="CN37" i="1"/>
  <c r="CO37" i="1"/>
  <c r="GV37" i="1" s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GZ37" i="1" s="1"/>
  <c r="FU37" i="1"/>
  <c r="FZ37" i="1"/>
  <c r="GC37" i="1"/>
  <c r="GE37" i="1"/>
  <c r="GI37" i="1"/>
  <c r="GN37" i="1"/>
  <c r="GO37" i="1"/>
  <c r="GP37" i="1"/>
  <c r="GQ37" i="1"/>
  <c r="GS37" i="1"/>
  <c r="GW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IB37" i="1"/>
  <c r="IG37" i="1"/>
  <c r="IK37" i="1"/>
  <c r="IL37" i="1"/>
  <c r="IM37" i="1"/>
  <c r="IN37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C41" i="1"/>
  <c r="D41" i="1"/>
  <c r="E41" i="1"/>
  <c r="F41" i="1"/>
  <c r="FS41" i="1" s="1"/>
  <c r="G41" i="1"/>
  <c r="H41" i="1"/>
  <c r="I41" i="1"/>
  <c r="FT41" i="1" s="1"/>
  <c r="J41" i="1"/>
  <c r="K41" i="1"/>
  <c r="L41" i="1"/>
  <c r="FU41" i="1" s="1"/>
  <c r="M41" i="1"/>
  <c r="N41" i="1"/>
  <c r="O41" i="1"/>
  <c r="FV41" i="1" s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ID41" i="1" s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GG41" i="1" s="1"/>
  <c r="AW41" i="1"/>
  <c r="AX41" i="1"/>
  <c r="AY41" i="1"/>
  <c r="AZ41" i="1"/>
  <c r="BA41" i="1"/>
  <c r="BB41" i="1"/>
  <c r="BC41" i="1"/>
  <c r="BD41" i="1"/>
  <c r="BE41" i="1"/>
  <c r="GJ41" i="1" s="1"/>
  <c r="BF41" i="1"/>
  <c r="BG41" i="1"/>
  <c r="BH41" i="1"/>
  <c r="BI41" i="1"/>
  <c r="BJ41" i="1"/>
  <c r="BK41" i="1"/>
  <c r="BL41" i="1"/>
  <c r="BM41" i="1"/>
  <c r="IG41" i="1" s="1"/>
  <c r="BN41" i="1"/>
  <c r="BO41" i="1"/>
  <c r="BP41" i="1"/>
  <c r="BQ41" i="1"/>
  <c r="BR41" i="1"/>
  <c r="BS41" i="1"/>
  <c r="BT41" i="1"/>
  <c r="BU41" i="1"/>
  <c r="BV41" i="1"/>
  <c r="BW41" i="1"/>
  <c r="GP41" i="1" s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GU41" i="1" s="1"/>
  <c r="CM41" i="1"/>
  <c r="CN41" i="1"/>
  <c r="CO41" i="1"/>
  <c r="GV41" i="1" s="1"/>
  <c r="CP41" i="1"/>
  <c r="CQ41" i="1"/>
  <c r="CR41" i="1"/>
  <c r="GW41" i="1" s="1"/>
  <c r="CS41" i="1"/>
  <c r="CT41" i="1"/>
  <c r="CU41" i="1"/>
  <c r="GX41" i="1" s="1"/>
  <c r="CV41" i="1"/>
  <c r="CW41" i="1"/>
  <c r="IJ41" i="1" s="1"/>
  <c r="CX41" i="1"/>
  <c r="CY41" i="1"/>
  <c r="CZ41" i="1"/>
  <c r="DA41" i="1"/>
  <c r="DB41" i="1"/>
  <c r="GZ41" i="1" s="1"/>
  <c r="FZ41" i="1"/>
  <c r="GB41" i="1"/>
  <c r="GC41" i="1"/>
  <c r="GE41" i="1"/>
  <c r="GF41" i="1"/>
  <c r="GI41" i="1"/>
  <c r="GN41" i="1"/>
  <c r="GQ41" i="1"/>
  <c r="GS41" i="1"/>
  <c r="HA41" i="1"/>
  <c r="HB41" i="1"/>
  <c r="HC41" i="1"/>
  <c r="HD41" i="1"/>
  <c r="HE41" i="1"/>
  <c r="HF41" i="1"/>
  <c r="HG41" i="1"/>
  <c r="HH41" i="1"/>
  <c r="HI41" i="1"/>
  <c r="HJ41" i="1"/>
  <c r="HK41" i="1"/>
  <c r="HL41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IK41" i="1"/>
  <c r="IL41" i="1"/>
  <c r="IM41" i="1"/>
  <c r="IN41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/>
  <c r="HH44" i="1"/>
  <c r="HI44" i="1"/>
  <c r="HJ44" i="1"/>
  <c r="HK44" i="1"/>
  <c r="HL44" i="1"/>
  <c r="HM44" i="1"/>
  <c r="HN44" i="1"/>
  <c r="HO44" i="1"/>
  <c r="HP44" i="1"/>
  <c r="HQ44" i="1"/>
  <c r="HR44" i="1"/>
  <c r="HS44" i="1"/>
  <c r="HT44" i="1"/>
  <c r="HU44" i="1"/>
  <c r="HV44" i="1"/>
  <c r="HW44" i="1"/>
  <c r="HX44" i="1"/>
  <c r="IB44" i="1"/>
  <c r="IC44" i="1"/>
  <c r="ID44" i="1"/>
  <c r="IE44" i="1"/>
  <c r="IF44" i="1"/>
  <c r="IG44" i="1"/>
  <c r="IH44" i="1"/>
  <c r="II44" i="1"/>
  <c r="IJ44" i="1"/>
  <c r="IK44" i="1"/>
  <c r="IL44" i="1"/>
  <c r="IM44" i="1"/>
  <c r="IN44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/>
  <c r="HH45" i="1"/>
  <c r="HI45" i="1"/>
  <c r="HJ45" i="1"/>
  <c r="HK45" i="1"/>
  <c r="HL45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IB45" i="1"/>
  <c r="IC45" i="1"/>
  <c r="ID45" i="1"/>
  <c r="IE45" i="1"/>
  <c r="IF45" i="1"/>
  <c r="IG45" i="1"/>
  <c r="IH45" i="1"/>
  <c r="II45" i="1"/>
  <c r="IJ45" i="1"/>
  <c r="IK45" i="1"/>
  <c r="IL45" i="1"/>
  <c r="IM45" i="1"/>
  <c r="IN45" i="1"/>
  <c r="C46" i="1"/>
  <c r="D46" i="1"/>
  <c r="E46" i="1"/>
  <c r="F46" i="1"/>
  <c r="G46" i="1"/>
  <c r="H46" i="1"/>
  <c r="I46" i="1"/>
  <c r="FT46" i="1" s="1"/>
  <c r="J46" i="1"/>
  <c r="K46" i="1"/>
  <c r="L46" i="1"/>
  <c r="M46" i="1"/>
  <c r="FU46" i="1" s="1"/>
  <c r="N46" i="1"/>
  <c r="O46" i="1"/>
  <c r="FV46" i="1" s="1"/>
  <c r="P46" i="1"/>
  <c r="Q46" i="1"/>
  <c r="R46" i="1"/>
  <c r="S46" i="1"/>
  <c r="IC46" i="1" s="1"/>
  <c r="T46" i="1"/>
  <c r="U46" i="1"/>
  <c r="FX46" i="1" s="1"/>
  <c r="V46" i="1"/>
  <c r="W46" i="1"/>
  <c r="X46" i="1"/>
  <c r="FY46" i="1" s="1"/>
  <c r="Y46" i="1"/>
  <c r="Z46" i="1"/>
  <c r="AA46" i="1"/>
  <c r="ID46" i="1" s="1"/>
  <c r="AB46" i="1"/>
  <c r="AC46" i="1"/>
  <c r="AD46" i="1"/>
  <c r="GA46" i="1" s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GH46" i="1" s="1"/>
  <c r="AZ46" i="1"/>
  <c r="BA46" i="1"/>
  <c r="BB46" i="1"/>
  <c r="BC46" i="1"/>
  <c r="GI46" i="1" s="1"/>
  <c r="BD46" i="1"/>
  <c r="BE46" i="1"/>
  <c r="BF46" i="1"/>
  <c r="BG46" i="1"/>
  <c r="BH46" i="1"/>
  <c r="BI46" i="1"/>
  <c r="BJ46" i="1"/>
  <c r="BK46" i="1"/>
  <c r="BL46" i="1"/>
  <c r="BM46" i="1"/>
  <c r="BN46" i="1"/>
  <c r="GM46" i="1" s="1"/>
  <c r="BO46" i="1"/>
  <c r="BP46" i="1"/>
  <c r="BQ46" i="1"/>
  <c r="BR46" i="1"/>
  <c r="BS46" i="1"/>
  <c r="BT46" i="1"/>
  <c r="GO46" i="1" s="1"/>
  <c r="BU46" i="1"/>
  <c r="BV46" i="1"/>
  <c r="BW46" i="1"/>
  <c r="BX46" i="1"/>
  <c r="BY46" i="1"/>
  <c r="BZ46" i="1"/>
  <c r="CA46" i="1"/>
  <c r="GQ46" i="1" s="1"/>
  <c r="CB46" i="1"/>
  <c r="CC46" i="1"/>
  <c r="CD46" i="1"/>
  <c r="CE46" i="1"/>
  <c r="GR46" i="1" s="1"/>
  <c r="CF46" i="1"/>
  <c r="CG46" i="1"/>
  <c r="CH46" i="1"/>
  <c r="CI46" i="1"/>
  <c r="CJ46" i="1"/>
  <c r="CK46" i="1"/>
  <c r="CL46" i="1"/>
  <c r="GU46" i="1" s="1"/>
  <c r="CM46" i="1"/>
  <c r="CN46" i="1"/>
  <c r="CO46" i="1"/>
  <c r="CP46" i="1"/>
  <c r="CQ46" i="1"/>
  <c r="CR46" i="1"/>
  <c r="CS46" i="1"/>
  <c r="GW46" i="1" s="1"/>
  <c r="CT46" i="1"/>
  <c r="CU46" i="1"/>
  <c r="CV46" i="1"/>
  <c r="CW46" i="1"/>
  <c r="CX46" i="1"/>
  <c r="CY46" i="1"/>
  <c r="CZ46" i="1"/>
  <c r="DA46" i="1"/>
  <c r="GZ46" i="1" s="1"/>
  <c r="DB46" i="1"/>
  <c r="DC46" i="1"/>
  <c r="DD46" i="1"/>
  <c r="GB46" i="1"/>
  <c r="GC46" i="1"/>
  <c r="GD46" i="1"/>
  <c r="GE46" i="1"/>
  <c r="GJ46" i="1"/>
  <c r="GN46" i="1"/>
  <c r="GS46" i="1"/>
  <c r="GV46" i="1"/>
  <c r="GX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IB46" i="1"/>
  <c r="IK46" i="1"/>
  <c r="IL46" i="1"/>
  <c r="IM46" i="1"/>
  <c r="IN46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HS48" i="1"/>
  <c r="HT48" i="1"/>
  <c r="HU48" i="1"/>
  <c r="HV48" i="1"/>
  <c r="HW48" i="1"/>
  <c r="HX48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C50" i="1"/>
  <c r="D50" i="1"/>
  <c r="E50" i="1"/>
  <c r="F50" i="1"/>
  <c r="G50" i="1"/>
  <c r="H50" i="1"/>
  <c r="I50" i="1"/>
  <c r="J50" i="1"/>
  <c r="K50" i="1"/>
  <c r="L50" i="1"/>
  <c r="FU50" i="1" s="1"/>
  <c r="M50" i="1"/>
  <c r="N50" i="1"/>
  <c r="O50" i="1"/>
  <c r="P50" i="1"/>
  <c r="Q50" i="1"/>
  <c r="R50" i="1"/>
  <c r="S50" i="1"/>
  <c r="T50" i="1"/>
  <c r="U50" i="1"/>
  <c r="V50" i="1"/>
  <c r="W50" i="1"/>
  <c r="W76" i="1" s="1"/>
  <c r="X50" i="1"/>
  <c r="Y50" i="1"/>
  <c r="FY50" i="1" s="1"/>
  <c r="Z50" i="1"/>
  <c r="AA50" i="1"/>
  <c r="AB50" i="1"/>
  <c r="AC50" i="1"/>
  <c r="AD50" i="1"/>
  <c r="AE50" i="1"/>
  <c r="AF50" i="1"/>
  <c r="GA50" i="1" s="1"/>
  <c r="AG50" i="1"/>
  <c r="AH50" i="1"/>
  <c r="GB50" i="1" s="1"/>
  <c r="AI50" i="1"/>
  <c r="AJ50" i="1"/>
  <c r="AK50" i="1"/>
  <c r="AL50" i="1"/>
  <c r="AM50" i="1"/>
  <c r="AN50" i="1"/>
  <c r="AO50" i="1"/>
  <c r="AP50" i="1"/>
  <c r="AQ50" i="1"/>
  <c r="AR50" i="1"/>
  <c r="AS50" i="1"/>
  <c r="AT50" i="1"/>
  <c r="GF50" i="1" s="1"/>
  <c r="AU50" i="1"/>
  <c r="AV50" i="1"/>
  <c r="GG50" i="1" s="1"/>
  <c r="AW50" i="1"/>
  <c r="AX50" i="1"/>
  <c r="AY50" i="1"/>
  <c r="AZ50" i="1"/>
  <c r="BA50" i="1"/>
  <c r="BB50" i="1"/>
  <c r="GI50" i="1" s="1"/>
  <c r="BC50" i="1"/>
  <c r="BD50" i="1"/>
  <c r="BE50" i="1"/>
  <c r="GJ50" i="1" s="1"/>
  <c r="BF50" i="1"/>
  <c r="BG50" i="1"/>
  <c r="BH50" i="1"/>
  <c r="BI50" i="1"/>
  <c r="BJ50" i="1"/>
  <c r="GK50" i="1" s="1"/>
  <c r="BK50" i="1"/>
  <c r="BL50" i="1"/>
  <c r="BM50" i="1"/>
  <c r="BM76" i="1" s="1"/>
  <c r="BN50" i="1"/>
  <c r="BO50" i="1"/>
  <c r="GM50" i="1" s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GV50" i="1" s="1"/>
  <c r="CP50" i="1"/>
  <c r="CQ50" i="1"/>
  <c r="CR50" i="1"/>
  <c r="CS50" i="1"/>
  <c r="CT50" i="1"/>
  <c r="CU50" i="1"/>
  <c r="GX50" i="1" s="1"/>
  <c r="CV50" i="1"/>
  <c r="CW50" i="1"/>
  <c r="CX50" i="1"/>
  <c r="CY50" i="1"/>
  <c r="CZ50" i="1"/>
  <c r="DA50" i="1"/>
  <c r="DB50" i="1"/>
  <c r="DC50" i="1"/>
  <c r="DC76" i="1" s="1"/>
  <c r="DD50" i="1"/>
  <c r="HA50" i="1" s="1"/>
  <c r="FR50" i="1"/>
  <c r="FV50" i="1"/>
  <c r="GD50" i="1"/>
  <c r="GE50" i="1"/>
  <c r="GO50" i="1"/>
  <c r="GR50" i="1"/>
  <c r="GS50" i="1"/>
  <c r="GT50" i="1"/>
  <c r="GW50" i="1"/>
  <c r="HB50" i="1"/>
  <c r="HC50" i="1"/>
  <c r="HD50" i="1"/>
  <c r="HE50" i="1"/>
  <c r="HF50" i="1"/>
  <c r="HG50" i="1"/>
  <c r="HH50" i="1"/>
  <c r="HI50" i="1"/>
  <c r="HJ50" i="1"/>
  <c r="HK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IK50" i="1"/>
  <c r="IL50" i="1"/>
  <c r="IM50" i="1"/>
  <c r="IN50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IB52" i="1"/>
  <c r="IC52" i="1"/>
  <c r="ID52" i="1"/>
  <c r="IE52" i="1"/>
  <c r="IF52" i="1"/>
  <c r="IG52" i="1"/>
  <c r="IH52" i="1"/>
  <c r="II52" i="1"/>
  <c r="IJ52" i="1"/>
  <c r="IK52" i="1"/>
  <c r="IL52" i="1"/>
  <c r="IM52" i="1"/>
  <c r="IN52" i="1"/>
  <c r="FR53" i="1"/>
  <c r="FS53" i="1"/>
  <c r="FT53" i="1"/>
  <c r="FU53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GJ53" i="1"/>
  <c r="GK53" i="1"/>
  <c r="GL53" i="1"/>
  <c r="GM53" i="1"/>
  <c r="GN53" i="1"/>
  <c r="GO53" i="1"/>
  <c r="GP53" i="1"/>
  <c r="GQ53" i="1"/>
  <c r="GR53" i="1"/>
  <c r="GS53" i="1"/>
  <c r="GT53" i="1"/>
  <c r="GU53" i="1"/>
  <c r="GV53" i="1"/>
  <c r="GW53" i="1"/>
  <c r="GX53" i="1"/>
  <c r="GY53" i="1"/>
  <c r="GZ53" i="1"/>
  <c r="HA53" i="1"/>
  <c r="HB53" i="1"/>
  <c r="HC53" i="1"/>
  <c r="HD53" i="1"/>
  <c r="HE53" i="1"/>
  <c r="HF53" i="1"/>
  <c r="HG53" i="1"/>
  <c r="HH53" i="1"/>
  <c r="HI53" i="1"/>
  <c r="HJ53" i="1"/>
  <c r="HK53" i="1"/>
  <c r="HL53" i="1"/>
  <c r="HM53" i="1"/>
  <c r="HN53" i="1"/>
  <c r="HO53" i="1"/>
  <c r="HP53" i="1"/>
  <c r="HQ53" i="1"/>
  <c r="HR53" i="1"/>
  <c r="HS53" i="1"/>
  <c r="HT53" i="1"/>
  <c r="HU53" i="1"/>
  <c r="HV53" i="1"/>
  <c r="HW53" i="1"/>
  <c r="HX53" i="1"/>
  <c r="IB53" i="1"/>
  <c r="IC53" i="1"/>
  <c r="ID53" i="1"/>
  <c r="IE53" i="1"/>
  <c r="IF53" i="1"/>
  <c r="IG53" i="1"/>
  <c r="IH53" i="1"/>
  <c r="II53" i="1"/>
  <c r="IJ53" i="1"/>
  <c r="IK53" i="1"/>
  <c r="IL53" i="1"/>
  <c r="IM53" i="1"/>
  <c r="IN53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F54" i="1"/>
  <c r="HG54" i="1"/>
  <c r="HH54" i="1"/>
  <c r="HI54" i="1"/>
  <c r="HJ54" i="1"/>
  <c r="HK54" i="1"/>
  <c r="HL54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IB54" i="1"/>
  <c r="IC54" i="1"/>
  <c r="ID54" i="1"/>
  <c r="IE54" i="1"/>
  <c r="IF54" i="1"/>
  <c r="IG54" i="1"/>
  <c r="IH54" i="1"/>
  <c r="II54" i="1"/>
  <c r="IJ54" i="1"/>
  <c r="IK54" i="1"/>
  <c r="IL54" i="1"/>
  <c r="IM54" i="1"/>
  <c r="IN54" i="1"/>
  <c r="C55" i="1"/>
  <c r="D55" i="1"/>
  <c r="E55" i="1"/>
  <c r="F55" i="1"/>
  <c r="G55" i="1"/>
  <c r="H55" i="1"/>
  <c r="I55" i="1"/>
  <c r="FT55" i="1" s="1"/>
  <c r="J55" i="1"/>
  <c r="K55" i="1"/>
  <c r="L55" i="1"/>
  <c r="M55" i="1"/>
  <c r="N55" i="1"/>
  <c r="O55" i="1"/>
  <c r="P55" i="1"/>
  <c r="FV55" i="1" s="1"/>
  <c r="Q55" i="1"/>
  <c r="R55" i="1"/>
  <c r="S55" i="1"/>
  <c r="T55" i="1"/>
  <c r="U55" i="1"/>
  <c r="V55" i="1"/>
  <c r="W55" i="1"/>
  <c r="X55" i="1"/>
  <c r="FY55" i="1" s="1"/>
  <c r="Y55" i="1"/>
  <c r="Z55" i="1"/>
  <c r="AA55" i="1"/>
  <c r="AB55" i="1"/>
  <c r="AC55" i="1"/>
  <c r="AD55" i="1"/>
  <c r="AE55" i="1"/>
  <c r="AF55" i="1"/>
  <c r="AG55" i="1"/>
  <c r="AH55" i="1"/>
  <c r="AI55" i="1"/>
  <c r="GB55" i="1" s="1"/>
  <c r="AJ55" i="1"/>
  <c r="AK55" i="1"/>
  <c r="AL55" i="1"/>
  <c r="AM55" i="1"/>
  <c r="GD55" i="1" s="1"/>
  <c r="AN55" i="1"/>
  <c r="AO55" i="1"/>
  <c r="AP55" i="1"/>
  <c r="AQ55" i="1"/>
  <c r="AR55" i="1"/>
  <c r="AS55" i="1"/>
  <c r="AT55" i="1"/>
  <c r="AU55" i="1"/>
  <c r="GF55" i="1" s="1"/>
  <c r="AV55" i="1"/>
  <c r="AW55" i="1"/>
  <c r="AX55" i="1"/>
  <c r="AY55" i="1"/>
  <c r="GH55" i="1" s="1"/>
  <c r="AZ55" i="1"/>
  <c r="IF55" i="1" s="1"/>
  <c r="BA55" i="1"/>
  <c r="BB55" i="1"/>
  <c r="BC55" i="1"/>
  <c r="BD55" i="1"/>
  <c r="BE55" i="1"/>
  <c r="BF55" i="1"/>
  <c r="GJ55" i="1" s="1"/>
  <c r="BG55" i="1"/>
  <c r="BH55" i="1"/>
  <c r="BI55" i="1"/>
  <c r="BJ55" i="1"/>
  <c r="BK55" i="1"/>
  <c r="BL55" i="1"/>
  <c r="BM55" i="1"/>
  <c r="BN55" i="1"/>
  <c r="GM55" i="1" s="1"/>
  <c r="BO55" i="1"/>
  <c r="BP55" i="1"/>
  <c r="BQ55" i="1"/>
  <c r="BR55" i="1"/>
  <c r="BS55" i="1"/>
  <c r="BT55" i="1"/>
  <c r="BU55" i="1"/>
  <c r="BV55" i="1"/>
  <c r="BW55" i="1"/>
  <c r="BX55" i="1"/>
  <c r="BY55" i="1"/>
  <c r="BZ55" i="1"/>
  <c r="GQ55" i="1" s="1"/>
  <c r="CA55" i="1"/>
  <c r="CB55" i="1"/>
  <c r="CC55" i="1"/>
  <c r="GR55" i="1" s="1"/>
  <c r="CD55" i="1"/>
  <c r="CE55" i="1"/>
  <c r="CF55" i="1"/>
  <c r="CG55" i="1"/>
  <c r="CH55" i="1"/>
  <c r="CI55" i="1"/>
  <c r="CJ55" i="1"/>
  <c r="CK55" i="1"/>
  <c r="GT55" i="1" s="1"/>
  <c r="CL55" i="1"/>
  <c r="CM55" i="1"/>
  <c r="CN55" i="1"/>
  <c r="CO55" i="1"/>
  <c r="GV55" i="1" s="1"/>
  <c r="CP55" i="1"/>
  <c r="CQ55" i="1"/>
  <c r="CR55" i="1"/>
  <c r="CS55" i="1"/>
  <c r="CT55" i="1"/>
  <c r="CU55" i="1"/>
  <c r="CV55" i="1"/>
  <c r="GX55" i="1" s="1"/>
  <c r="CW55" i="1"/>
  <c r="CX55" i="1"/>
  <c r="CY55" i="1"/>
  <c r="CZ55" i="1"/>
  <c r="DA55" i="1"/>
  <c r="DB55" i="1"/>
  <c r="DC55" i="1"/>
  <c r="DD55" i="1"/>
  <c r="HA55" i="1" s="1"/>
  <c r="FU55" i="1"/>
  <c r="FZ55" i="1"/>
  <c r="GA55" i="1"/>
  <c r="GE55" i="1"/>
  <c r="GI55" i="1"/>
  <c r="GN55" i="1"/>
  <c r="GO55" i="1"/>
  <c r="GS55" i="1"/>
  <c r="GW55" i="1"/>
  <c r="HB55" i="1"/>
  <c r="HC55" i="1"/>
  <c r="HD55" i="1"/>
  <c r="HE55" i="1"/>
  <c r="HF55" i="1"/>
  <c r="HG55" i="1"/>
  <c r="HH55" i="1"/>
  <c r="HI55" i="1"/>
  <c r="HJ55" i="1"/>
  <c r="HK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IK55" i="1"/>
  <c r="IL55" i="1"/>
  <c r="IM55" i="1"/>
  <c r="IN55" i="1"/>
  <c r="FR56" i="1"/>
  <c r="FS56" i="1"/>
  <c r="FT56" i="1"/>
  <c r="FU56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GP56" i="1"/>
  <c r="GQ56" i="1"/>
  <c r="GR56" i="1"/>
  <c r="GS56" i="1"/>
  <c r="GT56" i="1"/>
  <c r="GU56" i="1"/>
  <c r="GV56" i="1"/>
  <c r="GW56" i="1"/>
  <c r="GX56" i="1"/>
  <c r="GY56" i="1"/>
  <c r="GZ56" i="1"/>
  <c r="HA56" i="1"/>
  <c r="HB56" i="1"/>
  <c r="HC56" i="1"/>
  <c r="HD56" i="1"/>
  <c r="HE56" i="1"/>
  <c r="HF56" i="1"/>
  <c r="HG56" i="1"/>
  <c r="HH56" i="1"/>
  <c r="HI56" i="1"/>
  <c r="HJ56" i="1"/>
  <c r="HK56" i="1"/>
  <c r="HL56" i="1"/>
  <c r="HM56" i="1"/>
  <c r="HN56" i="1"/>
  <c r="HO56" i="1"/>
  <c r="HP56" i="1"/>
  <c r="HQ56" i="1"/>
  <c r="HR56" i="1"/>
  <c r="HS56" i="1"/>
  <c r="HT56" i="1"/>
  <c r="HU56" i="1"/>
  <c r="HV56" i="1"/>
  <c r="HW56" i="1"/>
  <c r="HX56" i="1"/>
  <c r="IB56" i="1"/>
  <c r="IC56" i="1"/>
  <c r="ID56" i="1"/>
  <c r="IE56" i="1"/>
  <c r="IF56" i="1"/>
  <c r="IG56" i="1"/>
  <c r="IH56" i="1"/>
  <c r="II56" i="1"/>
  <c r="IJ56" i="1"/>
  <c r="IK56" i="1"/>
  <c r="IL56" i="1"/>
  <c r="IM56" i="1"/>
  <c r="IN56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F57" i="1"/>
  <c r="HG57" i="1"/>
  <c r="HH57" i="1"/>
  <c r="HI57" i="1"/>
  <c r="HJ57" i="1"/>
  <c r="HK57" i="1"/>
  <c r="HL57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IB57" i="1"/>
  <c r="IC57" i="1"/>
  <c r="ID57" i="1"/>
  <c r="IE57" i="1"/>
  <c r="IF57" i="1"/>
  <c r="IG57" i="1"/>
  <c r="IH57" i="1"/>
  <c r="II57" i="1"/>
  <c r="IJ57" i="1"/>
  <c r="IK57" i="1"/>
  <c r="IL57" i="1"/>
  <c r="IM57" i="1"/>
  <c r="IN57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GY59" i="1"/>
  <c r="GZ59" i="1"/>
  <c r="HA59" i="1"/>
  <c r="HB59" i="1"/>
  <c r="HC59" i="1"/>
  <c r="HD59" i="1"/>
  <c r="HE59" i="1"/>
  <c r="HF59" i="1"/>
  <c r="HG59" i="1"/>
  <c r="HH59" i="1"/>
  <c r="HI59" i="1"/>
  <c r="HJ59" i="1"/>
  <c r="HK59" i="1"/>
  <c r="HL59" i="1"/>
  <c r="HM59" i="1"/>
  <c r="HN59" i="1"/>
  <c r="HO59" i="1"/>
  <c r="HP59" i="1"/>
  <c r="HQ59" i="1"/>
  <c r="HR59" i="1"/>
  <c r="HS59" i="1"/>
  <c r="HT59" i="1"/>
  <c r="HU59" i="1"/>
  <c r="HV59" i="1"/>
  <c r="HW59" i="1"/>
  <c r="HX59" i="1"/>
  <c r="IB59" i="1"/>
  <c r="IC59" i="1"/>
  <c r="ID59" i="1"/>
  <c r="IE59" i="1"/>
  <c r="IF59" i="1"/>
  <c r="IG59" i="1"/>
  <c r="IH59" i="1"/>
  <c r="II59" i="1"/>
  <c r="IJ59" i="1"/>
  <c r="IK59" i="1"/>
  <c r="IL59" i="1"/>
  <c r="IM59" i="1"/>
  <c r="IN59" i="1"/>
  <c r="C60" i="1"/>
  <c r="D60" i="1"/>
  <c r="E60" i="1"/>
  <c r="F60" i="1"/>
  <c r="FS60" i="1" s="1"/>
  <c r="G60" i="1"/>
  <c r="H60" i="1"/>
  <c r="I60" i="1"/>
  <c r="J60" i="1"/>
  <c r="FT60" i="1" s="1"/>
  <c r="K60" i="1"/>
  <c r="L60" i="1"/>
  <c r="M60" i="1"/>
  <c r="FU60" i="1" s="1"/>
  <c r="N60" i="1"/>
  <c r="O60" i="1"/>
  <c r="O76" i="1" s="1"/>
  <c r="P60" i="1"/>
  <c r="Q60" i="1"/>
  <c r="FV60" i="1" s="1"/>
  <c r="R60" i="1"/>
  <c r="FW60" i="1" s="1"/>
  <c r="S60" i="1"/>
  <c r="T60" i="1"/>
  <c r="U60" i="1"/>
  <c r="V60" i="1"/>
  <c r="W60" i="1"/>
  <c r="X60" i="1"/>
  <c r="Y60" i="1"/>
  <c r="Z60" i="1"/>
  <c r="AA60" i="1"/>
  <c r="AB60" i="1"/>
  <c r="AC60" i="1"/>
  <c r="AC76" i="1" s="1"/>
  <c r="AD60" i="1"/>
  <c r="AE60" i="1"/>
  <c r="AF60" i="1"/>
  <c r="AG60" i="1"/>
  <c r="AH60" i="1"/>
  <c r="AI60" i="1"/>
  <c r="AJ60" i="1"/>
  <c r="AK60" i="1"/>
  <c r="AL60" i="1"/>
  <c r="GC60" i="1" s="1"/>
  <c r="AM60" i="1"/>
  <c r="AN60" i="1"/>
  <c r="GD60" i="1" s="1"/>
  <c r="AO60" i="1"/>
  <c r="AP60" i="1"/>
  <c r="AQ60" i="1"/>
  <c r="AR60" i="1"/>
  <c r="AS60" i="1"/>
  <c r="AT60" i="1"/>
  <c r="AU60" i="1"/>
  <c r="AV60" i="1"/>
  <c r="GG60" i="1" s="1"/>
  <c r="AW60" i="1"/>
  <c r="AX60" i="1"/>
  <c r="AY60" i="1"/>
  <c r="AZ60" i="1"/>
  <c r="GH60" i="1" s="1"/>
  <c r="BA60" i="1"/>
  <c r="BB60" i="1"/>
  <c r="BC60" i="1"/>
  <c r="GI60" i="1" s="1"/>
  <c r="BD60" i="1"/>
  <c r="BE60" i="1"/>
  <c r="BE76" i="1" s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S76" i="1" s="1"/>
  <c r="BT60" i="1"/>
  <c r="BU60" i="1"/>
  <c r="BV60" i="1"/>
  <c r="BW60" i="1"/>
  <c r="BX60" i="1"/>
  <c r="BY60" i="1"/>
  <c r="BZ60" i="1"/>
  <c r="CA60" i="1"/>
  <c r="CB60" i="1"/>
  <c r="GQ60" i="1" s="1"/>
  <c r="CC60" i="1"/>
  <c r="CD60" i="1"/>
  <c r="GR60" i="1" s="1"/>
  <c r="CE60" i="1"/>
  <c r="CF60" i="1"/>
  <c r="CG60" i="1"/>
  <c r="CH60" i="1"/>
  <c r="CI60" i="1"/>
  <c r="CJ60" i="1"/>
  <c r="CK60" i="1"/>
  <c r="CL60" i="1"/>
  <c r="GU60" i="1" s="1"/>
  <c r="CM60" i="1"/>
  <c r="CN60" i="1"/>
  <c r="CO60" i="1"/>
  <c r="CP60" i="1"/>
  <c r="GV60" i="1" s="1"/>
  <c r="CQ60" i="1"/>
  <c r="CR60" i="1"/>
  <c r="CS60" i="1"/>
  <c r="GW60" i="1" s="1"/>
  <c r="CT60" i="1"/>
  <c r="CU60" i="1"/>
  <c r="CV60" i="1"/>
  <c r="CW60" i="1"/>
  <c r="CW76" i="1" s="1"/>
  <c r="CX60" i="1"/>
  <c r="CY60" i="1"/>
  <c r="CZ60" i="1"/>
  <c r="DA60" i="1"/>
  <c r="DB60" i="1"/>
  <c r="DC60" i="1"/>
  <c r="DD60" i="1"/>
  <c r="FX60" i="1"/>
  <c r="FY60" i="1"/>
  <c r="GB60" i="1"/>
  <c r="GK60" i="1"/>
  <c r="GL60" i="1"/>
  <c r="GM60" i="1"/>
  <c r="GP60" i="1"/>
  <c r="GZ60" i="1"/>
  <c r="HA60" i="1"/>
  <c r="HB60" i="1"/>
  <c r="HC60" i="1"/>
  <c r="HD60" i="1"/>
  <c r="HE60" i="1"/>
  <c r="HF60" i="1"/>
  <c r="HG60" i="1"/>
  <c r="HH60" i="1"/>
  <c r="HI60" i="1"/>
  <c r="HJ60" i="1"/>
  <c r="HK60" i="1"/>
  <c r="HL60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IK60" i="1"/>
  <c r="IL60" i="1"/>
  <c r="IM60" i="1"/>
  <c r="IN60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IB61" i="1"/>
  <c r="IC61" i="1"/>
  <c r="ID61" i="1"/>
  <c r="IE61" i="1"/>
  <c r="IF61" i="1"/>
  <c r="IG61" i="1"/>
  <c r="IH61" i="1"/>
  <c r="II61" i="1"/>
  <c r="IJ61" i="1"/>
  <c r="IK61" i="1"/>
  <c r="IL61" i="1"/>
  <c r="IM61" i="1"/>
  <c r="IN61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GY62" i="1"/>
  <c r="GZ62" i="1"/>
  <c r="HA62" i="1"/>
  <c r="HB62" i="1"/>
  <c r="HC62" i="1"/>
  <c r="HD62" i="1"/>
  <c r="HE62" i="1"/>
  <c r="HF62" i="1"/>
  <c r="HG62" i="1"/>
  <c r="HH62" i="1"/>
  <c r="HI62" i="1"/>
  <c r="HJ62" i="1"/>
  <c r="HK62" i="1"/>
  <c r="HL62" i="1"/>
  <c r="HM62" i="1"/>
  <c r="HN62" i="1"/>
  <c r="HO62" i="1"/>
  <c r="HP62" i="1"/>
  <c r="HQ62" i="1"/>
  <c r="HR62" i="1"/>
  <c r="HS62" i="1"/>
  <c r="HT62" i="1"/>
  <c r="HU62" i="1"/>
  <c r="HV62" i="1"/>
  <c r="HW62" i="1"/>
  <c r="HX62" i="1"/>
  <c r="IB62" i="1"/>
  <c r="IC62" i="1"/>
  <c r="ID62" i="1"/>
  <c r="IE62" i="1"/>
  <c r="IF62" i="1"/>
  <c r="IG62" i="1"/>
  <c r="IH62" i="1"/>
  <c r="II62" i="1"/>
  <c r="IJ62" i="1"/>
  <c r="IK62" i="1"/>
  <c r="IL62" i="1"/>
  <c r="IM62" i="1"/>
  <c r="IN62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K63" i="1"/>
  <c r="HL63" i="1"/>
  <c r="HM63" i="1"/>
  <c r="HN63" i="1"/>
  <c r="HO63" i="1"/>
  <c r="HP63" i="1"/>
  <c r="HQ63" i="1"/>
  <c r="HR63" i="1"/>
  <c r="HS63" i="1"/>
  <c r="HT63" i="1"/>
  <c r="HU63" i="1"/>
  <c r="HV63" i="1"/>
  <c r="HW63" i="1"/>
  <c r="HX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C65" i="1"/>
  <c r="D65" i="1"/>
  <c r="E65" i="1"/>
  <c r="F65" i="1"/>
  <c r="G65" i="1"/>
  <c r="H65" i="1"/>
  <c r="I65" i="1"/>
  <c r="J65" i="1"/>
  <c r="K65" i="1"/>
  <c r="K76" i="1" s="1"/>
  <c r="L65" i="1"/>
  <c r="M65" i="1"/>
  <c r="M76" i="1" s="1"/>
  <c r="N65" i="1"/>
  <c r="O65" i="1"/>
  <c r="P65" i="1"/>
  <c r="FV65" i="1" s="1"/>
  <c r="Q65" i="1"/>
  <c r="R65" i="1"/>
  <c r="S65" i="1"/>
  <c r="T65" i="1"/>
  <c r="U65" i="1"/>
  <c r="V65" i="1"/>
  <c r="W65" i="1"/>
  <c r="X65" i="1"/>
  <c r="Y65" i="1"/>
  <c r="Z65" i="1"/>
  <c r="Z76" i="1" s="1"/>
  <c r="AA65" i="1"/>
  <c r="AB65" i="1"/>
  <c r="AC65" i="1"/>
  <c r="AD65" i="1"/>
  <c r="AE65" i="1"/>
  <c r="GA65" i="1" s="1"/>
  <c r="AF65" i="1"/>
  <c r="AG65" i="1"/>
  <c r="GB65" i="1" s="1"/>
  <c r="AH65" i="1"/>
  <c r="AI65" i="1"/>
  <c r="AJ65" i="1"/>
  <c r="AK65" i="1"/>
  <c r="GC65" i="1" s="1"/>
  <c r="AL65" i="1"/>
  <c r="AM65" i="1"/>
  <c r="AN65" i="1"/>
  <c r="AN76" i="1" s="1"/>
  <c r="AO65" i="1"/>
  <c r="AO76" i="1" s="1"/>
  <c r="AP65" i="1"/>
  <c r="GE65" i="1" s="1"/>
  <c r="AQ65" i="1"/>
  <c r="AR65" i="1"/>
  <c r="AS65" i="1"/>
  <c r="AT65" i="1"/>
  <c r="AU65" i="1"/>
  <c r="AV65" i="1"/>
  <c r="AW65" i="1"/>
  <c r="AX65" i="1"/>
  <c r="AY65" i="1"/>
  <c r="AZ65" i="1"/>
  <c r="BA65" i="1"/>
  <c r="BA76" i="1" s="1"/>
  <c r="BB65" i="1"/>
  <c r="BC65" i="1"/>
  <c r="BC76" i="1" s="1"/>
  <c r="BD65" i="1"/>
  <c r="BE65" i="1"/>
  <c r="BF65" i="1"/>
  <c r="GJ65" i="1" s="1"/>
  <c r="BG65" i="1"/>
  <c r="BH65" i="1"/>
  <c r="BI65" i="1"/>
  <c r="BJ65" i="1"/>
  <c r="BK65" i="1"/>
  <c r="BL65" i="1"/>
  <c r="BM65" i="1"/>
  <c r="BN65" i="1"/>
  <c r="BO65" i="1"/>
  <c r="BP65" i="1"/>
  <c r="BP76" i="1" s="1"/>
  <c r="BQ65" i="1"/>
  <c r="BR65" i="1"/>
  <c r="BS65" i="1"/>
  <c r="BT65" i="1"/>
  <c r="BU65" i="1"/>
  <c r="GO65" i="1" s="1"/>
  <c r="BV65" i="1"/>
  <c r="BW65" i="1"/>
  <c r="GP65" i="1" s="1"/>
  <c r="BX65" i="1"/>
  <c r="BY65" i="1"/>
  <c r="BZ65" i="1"/>
  <c r="CA65" i="1"/>
  <c r="GQ65" i="1" s="1"/>
  <c r="CB65" i="1"/>
  <c r="CC65" i="1"/>
  <c r="CD65" i="1"/>
  <c r="CD76" i="1" s="1"/>
  <c r="CE65" i="1"/>
  <c r="CF65" i="1"/>
  <c r="GS65" i="1" s="1"/>
  <c r="CG65" i="1"/>
  <c r="CH65" i="1"/>
  <c r="CI65" i="1"/>
  <c r="CJ65" i="1"/>
  <c r="CK65" i="1"/>
  <c r="CL65" i="1"/>
  <c r="CM65" i="1"/>
  <c r="CN65" i="1"/>
  <c r="CO65" i="1"/>
  <c r="CP65" i="1"/>
  <c r="CQ65" i="1"/>
  <c r="CQ76" i="1" s="1"/>
  <c r="CR65" i="1"/>
  <c r="GW65" i="1" s="1"/>
  <c r="CS65" i="1"/>
  <c r="CT65" i="1"/>
  <c r="CU65" i="1"/>
  <c r="CV65" i="1"/>
  <c r="GX65" i="1" s="1"/>
  <c r="CW65" i="1"/>
  <c r="CX65" i="1"/>
  <c r="CY65" i="1"/>
  <c r="CZ65" i="1"/>
  <c r="DA65" i="1"/>
  <c r="DB65" i="1"/>
  <c r="DC65" i="1"/>
  <c r="DD65" i="1"/>
  <c r="FR65" i="1"/>
  <c r="FS65" i="1"/>
  <c r="FT65" i="1"/>
  <c r="FU65" i="1"/>
  <c r="FW65" i="1"/>
  <c r="FX65" i="1"/>
  <c r="GF65" i="1"/>
  <c r="GG65" i="1"/>
  <c r="GK65" i="1"/>
  <c r="GL65" i="1"/>
  <c r="GT65" i="1"/>
  <c r="GU65" i="1"/>
  <c r="GV65" i="1"/>
  <c r="GY65" i="1"/>
  <c r="GZ65" i="1"/>
  <c r="HA65" i="1"/>
  <c r="HB65" i="1"/>
  <c r="HC65" i="1"/>
  <c r="HD65" i="1"/>
  <c r="HE65" i="1"/>
  <c r="HF65" i="1"/>
  <c r="HG65" i="1"/>
  <c r="HH65" i="1"/>
  <c r="HI65" i="1"/>
  <c r="HJ65" i="1"/>
  <c r="HK65" i="1"/>
  <c r="HL65" i="1"/>
  <c r="HM65" i="1"/>
  <c r="HN65" i="1"/>
  <c r="HO65" i="1"/>
  <c r="HP65" i="1"/>
  <c r="HQ65" i="1"/>
  <c r="HR65" i="1"/>
  <c r="HS65" i="1"/>
  <c r="HT65" i="1"/>
  <c r="HU65" i="1"/>
  <c r="HV65" i="1"/>
  <c r="HW65" i="1"/>
  <c r="HX65" i="1"/>
  <c r="IK65" i="1"/>
  <c r="IL65" i="1"/>
  <c r="IM65" i="1"/>
  <c r="IN65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HL66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GP68" i="1"/>
  <c r="GQ68" i="1"/>
  <c r="GR68" i="1"/>
  <c r="GS68" i="1"/>
  <c r="GT68" i="1"/>
  <c r="GU68" i="1"/>
  <c r="GV68" i="1"/>
  <c r="GW68" i="1"/>
  <c r="GX68" i="1"/>
  <c r="GY68" i="1"/>
  <c r="GZ68" i="1"/>
  <c r="HA68" i="1"/>
  <c r="HB68" i="1"/>
  <c r="HC68" i="1"/>
  <c r="HD68" i="1"/>
  <c r="HE68" i="1"/>
  <c r="HF68" i="1"/>
  <c r="HG68" i="1"/>
  <c r="HH68" i="1"/>
  <c r="HI68" i="1"/>
  <c r="HJ68" i="1"/>
  <c r="HK68" i="1"/>
  <c r="HL68" i="1"/>
  <c r="HM68" i="1"/>
  <c r="HN68" i="1"/>
  <c r="HO68" i="1"/>
  <c r="HP68" i="1"/>
  <c r="HQ68" i="1"/>
  <c r="HR68" i="1"/>
  <c r="HS68" i="1"/>
  <c r="HT68" i="1"/>
  <c r="HU68" i="1"/>
  <c r="HV68" i="1"/>
  <c r="HW68" i="1"/>
  <c r="HX68" i="1"/>
  <c r="IB68" i="1"/>
  <c r="IC68" i="1"/>
  <c r="ID68" i="1"/>
  <c r="IE68" i="1"/>
  <c r="IF68" i="1"/>
  <c r="IG68" i="1"/>
  <c r="IH68" i="1"/>
  <c r="II68" i="1"/>
  <c r="IJ68" i="1"/>
  <c r="IK68" i="1"/>
  <c r="IL68" i="1"/>
  <c r="IM68" i="1"/>
  <c r="IN68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GY69" i="1"/>
  <c r="GZ69" i="1"/>
  <c r="HA69" i="1"/>
  <c r="HB69" i="1"/>
  <c r="HC69" i="1"/>
  <c r="HD69" i="1"/>
  <c r="HE69" i="1"/>
  <c r="HF69" i="1"/>
  <c r="HG69" i="1"/>
  <c r="HH69" i="1"/>
  <c r="HI69" i="1"/>
  <c r="HJ69" i="1"/>
  <c r="HK69" i="1"/>
  <c r="HL69" i="1"/>
  <c r="HM69" i="1"/>
  <c r="HN69" i="1"/>
  <c r="HO69" i="1"/>
  <c r="HP69" i="1"/>
  <c r="HQ69" i="1"/>
  <c r="HR69" i="1"/>
  <c r="HS69" i="1"/>
  <c r="HT69" i="1"/>
  <c r="HU69" i="1"/>
  <c r="HV69" i="1"/>
  <c r="HW69" i="1"/>
  <c r="HX69" i="1"/>
  <c r="IB69" i="1"/>
  <c r="IC69" i="1"/>
  <c r="ID69" i="1"/>
  <c r="IE69" i="1"/>
  <c r="IF69" i="1"/>
  <c r="IG69" i="1"/>
  <c r="IH69" i="1"/>
  <c r="II69" i="1"/>
  <c r="IJ69" i="1"/>
  <c r="IK69" i="1"/>
  <c r="IL69" i="1"/>
  <c r="IM69" i="1"/>
  <c r="IN69" i="1"/>
  <c r="C70" i="1"/>
  <c r="D70" i="1"/>
  <c r="E70" i="1"/>
  <c r="FR70" i="1" s="1"/>
  <c r="F70" i="1"/>
  <c r="G70" i="1"/>
  <c r="H70" i="1"/>
  <c r="I70" i="1"/>
  <c r="J70" i="1"/>
  <c r="J76" i="1" s="1"/>
  <c r="K70" i="1"/>
  <c r="L70" i="1"/>
  <c r="FU70" i="1" s="1"/>
  <c r="M70" i="1"/>
  <c r="N70" i="1"/>
  <c r="O70" i="1"/>
  <c r="P70" i="1"/>
  <c r="FV70" i="1" s="1"/>
  <c r="Q70" i="1"/>
  <c r="R70" i="1"/>
  <c r="S70" i="1"/>
  <c r="T70" i="1"/>
  <c r="U70" i="1"/>
  <c r="V70" i="1"/>
  <c r="W70" i="1"/>
  <c r="X70" i="1"/>
  <c r="FY70" i="1" s="1"/>
  <c r="Y70" i="1"/>
  <c r="Z70" i="1"/>
  <c r="AA70" i="1"/>
  <c r="AB70" i="1"/>
  <c r="AC70" i="1"/>
  <c r="AD70" i="1"/>
  <c r="GA70" i="1" s="1"/>
  <c r="AE70" i="1"/>
  <c r="AF70" i="1"/>
  <c r="AG70" i="1"/>
  <c r="AH70" i="1"/>
  <c r="AI70" i="1"/>
  <c r="GB70" i="1" s="1"/>
  <c r="AJ70" i="1"/>
  <c r="GC70" i="1" s="1"/>
  <c r="AK70" i="1"/>
  <c r="AL70" i="1"/>
  <c r="AL76" i="1" s="1"/>
  <c r="AM70" i="1"/>
  <c r="AN70" i="1"/>
  <c r="AO70" i="1"/>
  <c r="AP70" i="1"/>
  <c r="AQ70" i="1"/>
  <c r="AR70" i="1"/>
  <c r="AS70" i="1"/>
  <c r="AT70" i="1"/>
  <c r="AU70" i="1"/>
  <c r="GF70" i="1" s="1"/>
  <c r="AV70" i="1"/>
  <c r="AW70" i="1"/>
  <c r="AX70" i="1"/>
  <c r="AY70" i="1"/>
  <c r="AZ70" i="1"/>
  <c r="AZ76" i="1" s="1"/>
  <c r="BA70" i="1"/>
  <c r="BB70" i="1"/>
  <c r="GI70" i="1" s="1"/>
  <c r="BC70" i="1"/>
  <c r="BD70" i="1"/>
  <c r="BE70" i="1"/>
  <c r="BF70" i="1"/>
  <c r="GJ70" i="1" s="1"/>
  <c r="BG70" i="1"/>
  <c r="BH70" i="1"/>
  <c r="BI70" i="1"/>
  <c r="BJ70" i="1"/>
  <c r="BK70" i="1"/>
  <c r="BL70" i="1"/>
  <c r="BM70" i="1"/>
  <c r="BN70" i="1"/>
  <c r="GM70" i="1" s="1"/>
  <c r="BO70" i="1"/>
  <c r="BP70" i="1"/>
  <c r="BQ70" i="1"/>
  <c r="GN70" i="1" s="1"/>
  <c r="BR70" i="1"/>
  <c r="BS70" i="1"/>
  <c r="BT70" i="1"/>
  <c r="GO70" i="1" s="1"/>
  <c r="BU70" i="1"/>
  <c r="BV70" i="1"/>
  <c r="BW70" i="1"/>
  <c r="BX70" i="1"/>
  <c r="BY70" i="1"/>
  <c r="GP70" i="1" s="1"/>
  <c r="BZ70" i="1"/>
  <c r="GQ70" i="1" s="1"/>
  <c r="CA70" i="1"/>
  <c r="CB70" i="1"/>
  <c r="CC70" i="1"/>
  <c r="CD70" i="1"/>
  <c r="CE70" i="1"/>
  <c r="CF70" i="1"/>
  <c r="CG70" i="1"/>
  <c r="CH70" i="1"/>
  <c r="CI70" i="1"/>
  <c r="CJ70" i="1"/>
  <c r="CK70" i="1"/>
  <c r="GT70" i="1" s="1"/>
  <c r="CL70" i="1"/>
  <c r="CM70" i="1"/>
  <c r="CN70" i="1"/>
  <c r="CO70" i="1"/>
  <c r="CP70" i="1"/>
  <c r="CP76" i="1" s="1"/>
  <c r="CQ70" i="1"/>
  <c r="CR70" i="1"/>
  <c r="GW70" i="1" s="1"/>
  <c r="CS70" i="1"/>
  <c r="CT70" i="1"/>
  <c r="CU70" i="1"/>
  <c r="CV70" i="1"/>
  <c r="GX70" i="1" s="1"/>
  <c r="CW70" i="1"/>
  <c r="CX70" i="1"/>
  <c r="CY70" i="1"/>
  <c r="CZ70" i="1"/>
  <c r="DA70" i="1"/>
  <c r="DB70" i="1"/>
  <c r="DC70" i="1"/>
  <c r="DD70" i="1"/>
  <c r="FW70" i="1"/>
  <c r="GD70" i="1"/>
  <c r="GE70" i="1"/>
  <c r="GK70" i="1"/>
  <c r="GR70" i="1"/>
  <c r="GS70" i="1"/>
  <c r="GY70" i="1"/>
  <c r="HB70" i="1"/>
  <c r="HC70" i="1"/>
  <c r="HD70" i="1"/>
  <c r="HE70" i="1"/>
  <c r="HF70" i="1"/>
  <c r="HG70" i="1"/>
  <c r="HH70" i="1"/>
  <c r="HI70" i="1"/>
  <c r="HJ70" i="1"/>
  <c r="HK70" i="1"/>
  <c r="HL70" i="1"/>
  <c r="HM70" i="1"/>
  <c r="HN70" i="1"/>
  <c r="HO70" i="1"/>
  <c r="HP70" i="1"/>
  <c r="HQ70" i="1"/>
  <c r="HR70" i="1"/>
  <c r="HS70" i="1"/>
  <c r="HT70" i="1"/>
  <c r="HU70" i="1"/>
  <c r="HV70" i="1"/>
  <c r="HW70" i="1"/>
  <c r="HX70" i="1"/>
  <c r="IK70" i="1"/>
  <c r="IL70" i="1"/>
  <c r="IM70" i="1"/>
  <c r="IN70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GY71" i="1"/>
  <c r="GZ71" i="1"/>
  <c r="HA71" i="1"/>
  <c r="HB71" i="1"/>
  <c r="HC71" i="1"/>
  <c r="HD71" i="1"/>
  <c r="HE71" i="1"/>
  <c r="HF71" i="1"/>
  <c r="HG71" i="1"/>
  <c r="HH71" i="1"/>
  <c r="HI71" i="1"/>
  <c r="HJ71" i="1"/>
  <c r="HK71" i="1"/>
  <c r="HL71" i="1"/>
  <c r="HM71" i="1"/>
  <c r="HN71" i="1"/>
  <c r="HO71" i="1"/>
  <c r="HP71" i="1"/>
  <c r="HQ71" i="1"/>
  <c r="HR71" i="1"/>
  <c r="HS71" i="1"/>
  <c r="HT71" i="1"/>
  <c r="HU71" i="1"/>
  <c r="HV71" i="1"/>
  <c r="HW71" i="1"/>
  <c r="HX71" i="1"/>
  <c r="IB71" i="1"/>
  <c r="IC71" i="1"/>
  <c r="ID71" i="1"/>
  <c r="IE71" i="1"/>
  <c r="IF71" i="1"/>
  <c r="IG71" i="1"/>
  <c r="IH71" i="1"/>
  <c r="II71" i="1"/>
  <c r="IJ71" i="1"/>
  <c r="IK71" i="1"/>
  <c r="IL71" i="1"/>
  <c r="IM71" i="1"/>
  <c r="IN71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X72" i="1"/>
  <c r="GY72" i="1"/>
  <c r="GZ72" i="1"/>
  <c r="HA72" i="1"/>
  <c r="HB72" i="1"/>
  <c r="HC72" i="1"/>
  <c r="HD72" i="1"/>
  <c r="HE72" i="1"/>
  <c r="HF72" i="1"/>
  <c r="HG72" i="1"/>
  <c r="HH72" i="1"/>
  <c r="HI72" i="1"/>
  <c r="HJ72" i="1"/>
  <c r="HK72" i="1"/>
  <c r="HL72" i="1"/>
  <c r="HM72" i="1"/>
  <c r="HN72" i="1"/>
  <c r="HO72" i="1"/>
  <c r="HP72" i="1"/>
  <c r="HQ72" i="1"/>
  <c r="HR72" i="1"/>
  <c r="HS72" i="1"/>
  <c r="HT72" i="1"/>
  <c r="HU72" i="1"/>
  <c r="HV72" i="1"/>
  <c r="HW72" i="1"/>
  <c r="HX72" i="1"/>
  <c r="IB72" i="1"/>
  <c r="IC72" i="1"/>
  <c r="ID72" i="1"/>
  <c r="IE72" i="1"/>
  <c r="IF72" i="1"/>
  <c r="IG72" i="1"/>
  <c r="IH72" i="1"/>
  <c r="II72" i="1"/>
  <c r="IJ72" i="1"/>
  <c r="IK72" i="1"/>
  <c r="IL72" i="1"/>
  <c r="IM72" i="1"/>
  <c r="IN72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GY73" i="1"/>
  <c r="GZ73" i="1"/>
  <c r="HA73" i="1"/>
  <c r="HB73" i="1"/>
  <c r="HC73" i="1"/>
  <c r="HD73" i="1"/>
  <c r="HE73" i="1"/>
  <c r="HF73" i="1"/>
  <c r="HG73" i="1"/>
  <c r="HH73" i="1"/>
  <c r="HI73" i="1"/>
  <c r="HJ73" i="1"/>
  <c r="HK73" i="1"/>
  <c r="HL73" i="1"/>
  <c r="HM73" i="1"/>
  <c r="HN73" i="1"/>
  <c r="HO73" i="1"/>
  <c r="HP73" i="1"/>
  <c r="HQ73" i="1"/>
  <c r="HR73" i="1"/>
  <c r="HS73" i="1"/>
  <c r="HT73" i="1"/>
  <c r="HU73" i="1"/>
  <c r="HV73" i="1"/>
  <c r="HW73" i="1"/>
  <c r="HX73" i="1"/>
  <c r="IB73" i="1"/>
  <c r="IC73" i="1"/>
  <c r="ID73" i="1"/>
  <c r="IE73" i="1"/>
  <c r="IF73" i="1"/>
  <c r="IG73" i="1"/>
  <c r="IH73" i="1"/>
  <c r="II73" i="1"/>
  <c r="IJ73" i="1"/>
  <c r="IK73" i="1"/>
  <c r="IL73" i="1"/>
  <c r="IM73" i="1"/>
  <c r="IN73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GY74" i="1"/>
  <c r="GZ74" i="1"/>
  <c r="HA74" i="1"/>
  <c r="HB74" i="1"/>
  <c r="HC74" i="1"/>
  <c r="HD74" i="1"/>
  <c r="HE74" i="1"/>
  <c r="HF74" i="1"/>
  <c r="HG74" i="1"/>
  <c r="HH74" i="1"/>
  <c r="HI74" i="1"/>
  <c r="HJ74" i="1"/>
  <c r="HK74" i="1"/>
  <c r="HL74" i="1"/>
  <c r="HM74" i="1"/>
  <c r="HN74" i="1"/>
  <c r="HO74" i="1"/>
  <c r="HP74" i="1"/>
  <c r="HQ74" i="1"/>
  <c r="HR74" i="1"/>
  <c r="HS74" i="1"/>
  <c r="HT74" i="1"/>
  <c r="HU74" i="1"/>
  <c r="HV74" i="1"/>
  <c r="HW74" i="1"/>
  <c r="HX74" i="1"/>
  <c r="IB74" i="1"/>
  <c r="IC74" i="1"/>
  <c r="ID74" i="1"/>
  <c r="IE74" i="1"/>
  <c r="IF74" i="1"/>
  <c r="IG74" i="1"/>
  <c r="IH74" i="1"/>
  <c r="II74" i="1"/>
  <c r="IJ74" i="1"/>
  <c r="IK74" i="1"/>
  <c r="IL74" i="1"/>
  <c r="IM74" i="1"/>
  <c r="IN74" i="1"/>
  <c r="C75" i="1"/>
  <c r="D75" i="1"/>
  <c r="E75" i="1"/>
  <c r="F75" i="1"/>
  <c r="FS75" i="1" s="1"/>
  <c r="G75" i="1"/>
  <c r="H75" i="1"/>
  <c r="I75" i="1"/>
  <c r="FT75" i="1" s="1"/>
  <c r="J75" i="1"/>
  <c r="K75" i="1"/>
  <c r="L75" i="1"/>
  <c r="FU75" i="1" s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GB75" i="1" s="1"/>
  <c r="AH75" i="1"/>
  <c r="AI75" i="1"/>
  <c r="AJ75" i="1"/>
  <c r="AK75" i="1"/>
  <c r="GC75" i="1" s="1"/>
  <c r="AL75" i="1"/>
  <c r="AM75" i="1"/>
  <c r="AN75" i="1"/>
  <c r="AO75" i="1"/>
  <c r="AP75" i="1"/>
  <c r="AQ75" i="1"/>
  <c r="GE75" i="1" s="1"/>
  <c r="AR75" i="1"/>
  <c r="AS75" i="1"/>
  <c r="AT75" i="1"/>
  <c r="AU75" i="1"/>
  <c r="IE75" i="1" s="1"/>
  <c r="AV75" i="1"/>
  <c r="GG75" i="1" s="1"/>
  <c r="AW75" i="1"/>
  <c r="AX75" i="1"/>
  <c r="AY75" i="1"/>
  <c r="GH75" i="1" s="1"/>
  <c r="AZ75" i="1"/>
  <c r="BA75" i="1"/>
  <c r="BB75" i="1"/>
  <c r="GI75" i="1" s="1"/>
  <c r="BC75" i="1"/>
  <c r="BD75" i="1"/>
  <c r="BE75" i="1"/>
  <c r="BF75" i="1"/>
  <c r="BG75" i="1"/>
  <c r="GJ75" i="1" s="1"/>
  <c r="BH75" i="1"/>
  <c r="BI75" i="1"/>
  <c r="IF75" i="1" s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GP75" i="1" s="1"/>
  <c r="BX75" i="1"/>
  <c r="BY75" i="1"/>
  <c r="BZ75" i="1"/>
  <c r="CA75" i="1"/>
  <c r="GQ75" i="1" s="1"/>
  <c r="CB75" i="1"/>
  <c r="CC75" i="1"/>
  <c r="CD75" i="1"/>
  <c r="CE75" i="1"/>
  <c r="CF75" i="1"/>
  <c r="CG75" i="1"/>
  <c r="GS75" i="1" s="1"/>
  <c r="CH75" i="1"/>
  <c r="CI75" i="1"/>
  <c r="CJ75" i="1"/>
  <c r="CK75" i="1"/>
  <c r="CL75" i="1"/>
  <c r="GU75" i="1" s="1"/>
  <c r="CM75" i="1"/>
  <c r="CN75" i="1"/>
  <c r="CO75" i="1"/>
  <c r="GV75" i="1" s="1"/>
  <c r="CP75" i="1"/>
  <c r="CQ75" i="1"/>
  <c r="CR75" i="1"/>
  <c r="GW75" i="1" s="1"/>
  <c r="CS75" i="1"/>
  <c r="CT75" i="1"/>
  <c r="CU75" i="1"/>
  <c r="CV75" i="1"/>
  <c r="CW75" i="1"/>
  <c r="CX75" i="1"/>
  <c r="CY75" i="1"/>
  <c r="CZ75" i="1"/>
  <c r="DA75" i="1"/>
  <c r="DB75" i="1"/>
  <c r="DC75" i="1"/>
  <c r="DD75" i="1"/>
  <c r="FX75" i="1"/>
  <c r="FY75" i="1"/>
  <c r="FZ75" i="1"/>
  <c r="GA75" i="1"/>
  <c r="GD75" i="1"/>
  <c r="GL75" i="1"/>
  <c r="GM75" i="1"/>
  <c r="GN75" i="1"/>
  <c r="GO75" i="1"/>
  <c r="GR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HL75" i="1"/>
  <c r="HM75" i="1"/>
  <c r="HN75" i="1"/>
  <c r="HO75" i="1"/>
  <c r="HP75" i="1"/>
  <c r="HQ75" i="1"/>
  <c r="HR75" i="1"/>
  <c r="HS75" i="1"/>
  <c r="HT75" i="1"/>
  <c r="HU75" i="1"/>
  <c r="HV75" i="1"/>
  <c r="HW75" i="1"/>
  <c r="HX75" i="1"/>
  <c r="IG75" i="1"/>
  <c r="IK75" i="1"/>
  <c r="IL75" i="1"/>
  <c r="IM75" i="1"/>
  <c r="IN75" i="1"/>
  <c r="X76" i="1"/>
  <c r="AK76" i="1"/>
  <c r="CA76" i="1"/>
  <c r="CB76" i="1"/>
  <c r="CU76" i="1"/>
  <c r="GS76" i="1"/>
  <c r="HB76" i="1"/>
  <c r="HC76" i="1"/>
  <c r="HD76" i="1"/>
  <c r="HE76" i="1"/>
  <c r="HF76" i="1"/>
  <c r="HG76" i="1"/>
  <c r="HH76" i="1"/>
  <c r="HI76" i="1"/>
  <c r="HJ76" i="1"/>
  <c r="HK76" i="1"/>
  <c r="HL76" i="1"/>
  <c r="HM76" i="1"/>
  <c r="HN76" i="1"/>
  <c r="HO76" i="1"/>
  <c r="HP76" i="1"/>
  <c r="HQ76" i="1"/>
  <c r="HR76" i="1"/>
  <c r="HS76" i="1"/>
  <c r="HT76" i="1"/>
  <c r="HU76" i="1"/>
  <c r="HV76" i="1"/>
  <c r="HW76" i="1"/>
  <c r="HX76" i="1"/>
  <c r="IK76" i="1"/>
  <c r="IL76" i="1"/>
  <c r="IL77" i="1" s="1"/>
  <c r="IM76" i="1"/>
  <c r="IN76" i="1"/>
  <c r="IN77" i="1" s="1"/>
  <c r="IK77" i="1"/>
  <c r="IM77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X80" i="1"/>
  <c r="GY80" i="1"/>
  <c r="GZ80" i="1"/>
  <c r="HA80" i="1"/>
  <c r="HB80" i="1"/>
  <c r="HC80" i="1"/>
  <c r="HD80" i="1"/>
  <c r="HE80" i="1"/>
  <c r="HF80" i="1"/>
  <c r="HG80" i="1"/>
  <c r="HH80" i="1"/>
  <c r="HI80" i="1"/>
  <c r="HJ80" i="1"/>
  <c r="HK80" i="1"/>
  <c r="HL80" i="1"/>
  <c r="HM80" i="1"/>
  <c r="HN80" i="1"/>
  <c r="HO80" i="1"/>
  <c r="HP80" i="1"/>
  <c r="HQ80" i="1"/>
  <c r="HR80" i="1"/>
  <c r="HS80" i="1"/>
  <c r="HT80" i="1"/>
  <c r="HU80" i="1"/>
  <c r="HV80" i="1"/>
  <c r="HW80" i="1"/>
  <c r="HX80" i="1"/>
  <c r="IB80" i="1"/>
  <c r="IC80" i="1"/>
  <c r="ID80" i="1"/>
  <c r="IE80" i="1"/>
  <c r="IF80" i="1"/>
  <c r="IG80" i="1"/>
  <c r="IH80" i="1"/>
  <c r="II80" i="1"/>
  <c r="IJ80" i="1"/>
  <c r="IK80" i="1"/>
  <c r="IL80" i="1"/>
  <c r="IM80" i="1"/>
  <c r="IN80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GY81" i="1"/>
  <c r="GZ81" i="1"/>
  <c r="HA81" i="1"/>
  <c r="HB81" i="1"/>
  <c r="HC81" i="1"/>
  <c r="HD81" i="1"/>
  <c r="HE81" i="1"/>
  <c r="HF81" i="1"/>
  <c r="HG81" i="1"/>
  <c r="HH81" i="1"/>
  <c r="HI81" i="1"/>
  <c r="HJ81" i="1"/>
  <c r="HK81" i="1"/>
  <c r="HL81" i="1"/>
  <c r="HM81" i="1"/>
  <c r="HN81" i="1"/>
  <c r="HO81" i="1"/>
  <c r="HP81" i="1"/>
  <c r="HQ81" i="1"/>
  <c r="HR81" i="1"/>
  <c r="HS81" i="1"/>
  <c r="HT81" i="1"/>
  <c r="HU81" i="1"/>
  <c r="HV81" i="1"/>
  <c r="HW81" i="1"/>
  <c r="HX81" i="1"/>
  <c r="IB81" i="1"/>
  <c r="IC81" i="1"/>
  <c r="ID81" i="1"/>
  <c r="IE81" i="1"/>
  <c r="IF81" i="1"/>
  <c r="IG81" i="1"/>
  <c r="IH81" i="1"/>
  <c r="II81" i="1"/>
  <c r="IJ81" i="1"/>
  <c r="IK81" i="1"/>
  <c r="IL81" i="1"/>
  <c r="IM81" i="1"/>
  <c r="IN81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GP82" i="1"/>
  <c r="GQ82" i="1"/>
  <c r="GR82" i="1"/>
  <c r="GS82" i="1"/>
  <c r="GT82" i="1"/>
  <c r="GU82" i="1"/>
  <c r="GV82" i="1"/>
  <c r="GW82" i="1"/>
  <c r="GX82" i="1"/>
  <c r="GY82" i="1"/>
  <c r="GZ82" i="1"/>
  <c r="HA82" i="1"/>
  <c r="HB82" i="1"/>
  <c r="HC82" i="1"/>
  <c r="HD82" i="1"/>
  <c r="HE82" i="1"/>
  <c r="HF82" i="1"/>
  <c r="HG82" i="1"/>
  <c r="HH82" i="1"/>
  <c r="HI82" i="1"/>
  <c r="HJ82" i="1"/>
  <c r="HK82" i="1"/>
  <c r="HL82" i="1"/>
  <c r="HM82" i="1"/>
  <c r="HN82" i="1"/>
  <c r="HO82" i="1"/>
  <c r="HP82" i="1"/>
  <c r="HQ82" i="1"/>
  <c r="HR82" i="1"/>
  <c r="HS82" i="1"/>
  <c r="HT82" i="1"/>
  <c r="HU82" i="1"/>
  <c r="HV82" i="1"/>
  <c r="HW82" i="1"/>
  <c r="HX82" i="1"/>
  <c r="IB82" i="1"/>
  <c r="IC82" i="1"/>
  <c r="ID82" i="1"/>
  <c r="IE82" i="1"/>
  <c r="IF82" i="1"/>
  <c r="IG82" i="1"/>
  <c r="IH82" i="1"/>
  <c r="II82" i="1"/>
  <c r="IJ82" i="1"/>
  <c r="IK82" i="1"/>
  <c r="IL82" i="1"/>
  <c r="IM82" i="1"/>
  <c r="IN82" i="1"/>
  <c r="FR83" i="1"/>
  <c r="FS83" i="1"/>
  <c r="FT83" i="1"/>
  <c r="FU83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X83" i="1"/>
  <c r="GY83" i="1"/>
  <c r="GZ83" i="1"/>
  <c r="HA83" i="1"/>
  <c r="HB83" i="1"/>
  <c r="HC83" i="1"/>
  <c r="HD83" i="1"/>
  <c r="HE83" i="1"/>
  <c r="HF83" i="1"/>
  <c r="HG83" i="1"/>
  <c r="HH83" i="1"/>
  <c r="HI83" i="1"/>
  <c r="HJ83" i="1"/>
  <c r="HK83" i="1"/>
  <c r="HL83" i="1"/>
  <c r="HM83" i="1"/>
  <c r="HN83" i="1"/>
  <c r="HO83" i="1"/>
  <c r="HP83" i="1"/>
  <c r="HQ83" i="1"/>
  <c r="HR83" i="1"/>
  <c r="HS83" i="1"/>
  <c r="HT83" i="1"/>
  <c r="HU83" i="1"/>
  <c r="HV83" i="1"/>
  <c r="HW83" i="1"/>
  <c r="HX83" i="1"/>
  <c r="IB83" i="1"/>
  <c r="IC83" i="1"/>
  <c r="ID83" i="1"/>
  <c r="IE83" i="1"/>
  <c r="IF83" i="1"/>
  <c r="IG83" i="1"/>
  <c r="IH83" i="1"/>
  <c r="II83" i="1"/>
  <c r="IJ83" i="1"/>
  <c r="IK83" i="1"/>
  <c r="IL83" i="1"/>
  <c r="IM83" i="1"/>
  <c r="IN83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GP84" i="1"/>
  <c r="GQ84" i="1"/>
  <c r="GR84" i="1"/>
  <c r="GS84" i="1"/>
  <c r="GT84" i="1"/>
  <c r="GU84" i="1"/>
  <c r="GV84" i="1"/>
  <c r="GW84" i="1"/>
  <c r="GX84" i="1"/>
  <c r="GY84" i="1"/>
  <c r="GZ84" i="1"/>
  <c r="HA84" i="1"/>
  <c r="HB84" i="1"/>
  <c r="HC84" i="1"/>
  <c r="HD84" i="1"/>
  <c r="HE84" i="1"/>
  <c r="HF84" i="1"/>
  <c r="HG84" i="1"/>
  <c r="HH84" i="1"/>
  <c r="HI84" i="1"/>
  <c r="HJ84" i="1"/>
  <c r="HK84" i="1"/>
  <c r="HL84" i="1"/>
  <c r="HM84" i="1"/>
  <c r="HN84" i="1"/>
  <c r="HO84" i="1"/>
  <c r="HP84" i="1"/>
  <c r="HQ84" i="1"/>
  <c r="HR84" i="1"/>
  <c r="HS84" i="1"/>
  <c r="HT84" i="1"/>
  <c r="HU84" i="1"/>
  <c r="HV84" i="1"/>
  <c r="HW84" i="1"/>
  <c r="HX84" i="1"/>
  <c r="IB84" i="1"/>
  <c r="IC84" i="1"/>
  <c r="ID84" i="1"/>
  <c r="IE84" i="1"/>
  <c r="IF84" i="1"/>
  <c r="IG84" i="1"/>
  <c r="IH84" i="1"/>
  <c r="II84" i="1"/>
  <c r="IJ84" i="1"/>
  <c r="IK84" i="1"/>
  <c r="IL84" i="1"/>
  <c r="IM84" i="1"/>
  <c r="IN84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X85" i="1"/>
  <c r="GY85" i="1"/>
  <c r="GZ85" i="1"/>
  <c r="HA85" i="1"/>
  <c r="HB85" i="1"/>
  <c r="HC85" i="1"/>
  <c r="HD85" i="1"/>
  <c r="HE85" i="1"/>
  <c r="HF85" i="1"/>
  <c r="HG85" i="1"/>
  <c r="HH85" i="1"/>
  <c r="HI85" i="1"/>
  <c r="HJ85" i="1"/>
  <c r="HK85" i="1"/>
  <c r="HL85" i="1"/>
  <c r="HM85" i="1"/>
  <c r="HN85" i="1"/>
  <c r="HO85" i="1"/>
  <c r="HP85" i="1"/>
  <c r="HQ85" i="1"/>
  <c r="HR85" i="1"/>
  <c r="HS85" i="1"/>
  <c r="HT85" i="1"/>
  <c r="HU85" i="1"/>
  <c r="HV85" i="1"/>
  <c r="HW85" i="1"/>
  <c r="HX85" i="1"/>
  <c r="IB85" i="1"/>
  <c r="IC85" i="1"/>
  <c r="ID85" i="1"/>
  <c r="IE85" i="1"/>
  <c r="IF85" i="1"/>
  <c r="IG85" i="1"/>
  <c r="IH85" i="1"/>
  <c r="II85" i="1"/>
  <c r="IJ85" i="1"/>
  <c r="IK85" i="1"/>
  <c r="IL85" i="1"/>
  <c r="IM85" i="1"/>
  <c r="IN85" i="1"/>
  <c r="FR86" i="1"/>
  <c r="FS86" i="1"/>
  <c r="FT86" i="1"/>
  <c r="FU86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GJ86" i="1"/>
  <c r="GK86" i="1"/>
  <c r="GL86" i="1"/>
  <c r="GM86" i="1"/>
  <c r="GN86" i="1"/>
  <c r="GO86" i="1"/>
  <c r="GP86" i="1"/>
  <c r="GQ86" i="1"/>
  <c r="GR86" i="1"/>
  <c r="GS86" i="1"/>
  <c r="GT86" i="1"/>
  <c r="GU86" i="1"/>
  <c r="GV86" i="1"/>
  <c r="GW86" i="1"/>
  <c r="GX86" i="1"/>
  <c r="GY86" i="1"/>
  <c r="GZ86" i="1"/>
  <c r="HA86" i="1"/>
  <c r="HB86" i="1"/>
  <c r="HC86" i="1"/>
  <c r="HD86" i="1"/>
  <c r="HE86" i="1"/>
  <c r="HF86" i="1"/>
  <c r="HG86" i="1"/>
  <c r="HH86" i="1"/>
  <c r="HI86" i="1"/>
  <c r="HJ86" i="1"/>
  <c r="HK86" i="1"/>
  <c r="HL86" i="1"/>
  <c r="HM86" i="1"/>
  <c r="HN86" i="1"/>
  <c r="HO86" i="1"/>
  <c r="HP86" i="1"/>
  <c r="HQ86" i="1"/>
  <c r="HR86" i="1"/>
  <c r="HS86" i="1"/>
  <c r="HT86" i="1"/>
  <c r="HU86" i="1"/>
  <c r="HV86" i="1"/>
  <c r="HW86" i="1"/>
  <c r="HX86" i="1"/>
  <c r="IB86" i="1"/>
  <c r="IC86" i="1"/>
  <c r="ID86" i="1"/>
  <c r="IE86" i="1"/>
  <c r="IF86" i="1"/>
  <c r="IG86" i="1"/>
  <c r="IH86" i="1"/>
  <c r="II86" i="1"/>
  <c r="IJ86" i="1"/>
  <c r="IK86" i="1"/>
  <c r="IL86" i="1"/>
  <c r="IM86" i="1"/>
  <c r="IN86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GY87" i="1"/>
  <c r="GZ87" i="1"/>
  <c r="HA87" i="1"/>
  <c r="HB87" i="1"/>
  <c r="HC87" i="1"/>
  <c r="HD87" i="1"/>
  <c r="HE87" i="1"/>
  <c r="HF87" i="1"/>
  <c r="HG87" i="1"/>
  <c r="HH87" i="1"/>
  <c r="HI87" i="1"/>
  <c r="HJ87" i="1"/>
  <c r="HK87" i="1"/>
  <c r="HL87" i="1"/>
  <c r="HM87" i="1"/>
  <c r="HN87" i="1"/>
  <c r="HO87" i="1"/>
  <c r="HP87" i="1"/>
  <c r="HQ87" i="1"/>
  <c r="HR87" i="1"/>
  <c r="HS87" i="1"/>
  <c r="HT87" i="1"/>
  <c r="HU87" i="1"/>
  <c r="HV87" i="1"/>
  <c r="HW87" i="1"/>
  <c r="HX87" i="1"/>
  <c r="IB87" i="1"/>
  <c r="IC87" i="1"/>
  <c r="ID87" i="1"/>
  <c r="IE87" i="1"/>
  <c r="IF87" i="1"/>
  <c r="IG87" i="1"/>
  <c r="IH87" i="1"/>
  <c r="II87" i="1"/>
  <c r="IJ87" i="1"/>
  <c r="IK87" i="1"/>
  <c r="IL87" i="1"/>
  <c r="IM87" i="1"/>
  <c r="IN87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X88" i="1"/>
  <c r="GY88" i="1"/>
  <c r="GZ88" i="1"/>
  <c r="HA88" i="1"/>
  <c r="HB88" i="1"/>
  <c r="HC88" i="1"/>
  <c r="HD88" i="1"/>
  <c r="HE88" i="1"/>
  <c r="HF88" i="1"/>
  <c r="HG88" i="1"/>
  <c r="HH88" i="1"/>
  <c r="HI88" i="1"/>
  <c r="HJ88" i="1"/>
  <c r="HK88" i="1"/>
  <c r="HL88" i="1"/>
  <c r="HM88" i="1"/>
  <c r="HN88" i="1"/>
  <c r="HO88" i="1"/>
  <c r="HP88" i="1"/>
  <c r="HQ88" i="1"/>
  <c r="HR88" i="1"/>
  <c r="HS88" i="1"/>
  <c r="HT88" i="1"/>
  <c r="HU88" i="1"/>
  <c r="HV88" i="1"/>
  <c r="HW88" i="1"/>
  <c r="HX88" i="1"/>
  <c r="IB88" i="1"/>
  <c r="IC88" i="1"/>
  <c r="ID88" i="1"/>
  <c r="IE88" i="1"/>
  <c r="IF88" i="1"/>
  <c r="IG88" i="1"/>
  <c r="IH88" i="1"/>
  <c r="II88" i="1"/>
  <c r="IJ88" i="1"/>
  <c r="IK88" i="1"/>
  <c r="IL88" i="1"/>
  <c r="IM88" i="1"/>
  <c r="IN88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X89" i="1"/>
  <c r="GY89" i="1"/>
  <c r="GZ89" i="1"/>
  <c r="HA89" i="1"/>
  <c r="HB89" i="1"/>
  <c r="HC89" i="1"/>
  <c r="HD89" i="1"/>
  <c r="HE89" i="1"/>
  <c r="HF89" i="1"/>
  <c r="HG89" i="1"/>
  <c r="HH89" i="1"/>
  <c r="HI89" i="1"/>
  <c r="HJ89" i="1"/>
  <c r="HK89" i="1"/>
  <c r="HL89" i="1"/>
  <c r="HM89" i="1"/>
  <c r="HN89" i="1"/>
  <c r="HO89" i="1"/>
  <c r="HP89" i="1"/>
  <c r="HQ89" i="1"/>
  <c r="HR89" i="1"/>
  <c r="HS89" i="1"/>
  <c r="HT89" i="1"/>
  <c r="HU89" i="1"/>
  <c r="HV89" i="1"/>
  <c r="HW89" i="1"/>
  <c r="HX89" i="1"/>
  <c r="IB89" i="1"/>
  <c r="IC89" i="1"/>
  <c r="ID89" i="1"/>
  <c r="IE89" i="1"/>
  <c r="IF89" i="1"/>
  <c r="IG89" i="1"/>
  <c r="IH89" i="1"/>
  <c r="II89" i="1"/>
  <c r="IJ89" i="1"/>
  <c r="IK89" i="1"/>
  <c r="IL89" i="1"/>
  <c r="IM89" i="1"/>
  <c r="IN89" i="1"/>
  <c r="FR90" i="1"/>
  <c r="FS90" i="1"/>
  <c r="FT90" i="1"/>
  <c r="FU90" i="1"/>
  <c r="FV90" i="1"/>
  <c r="FW90" i="1"/>
  <c r="FX90" i="1"/>
  <c r="FY90" i="1"/>
  <c r="FZ90" i="1"/>
  <c r="GA90" i="1"/>
  <c r="GB90" i="1"/>
  <c r="GC90" i="1"/>
  <c r="GD90" i="1"/>
  <c r="GE90" i="1"/>
  <c r="GF90" i="1"/>
  <c r="GG90" i="1"/>
  <c r="GH90" i="1"/>
  <c r="GI90" i="1"/>
  <c r="GJ90" i="1"/>
  <c r="GK90" i="1"/>
  <c r="GL90" i="1"/>
  <c r="GM90" i="1"/>
  <c r="GN90" i="1"/>
  <c r="GO90" i="1"/>
  <c r="GP90" i="1"/>
  <c r="GQ90" i="1"/>
  <c r="GR90" i="1"/>
  <c r="GS90" i="1"/>
  <c r="GT90" i="1"/>
  <c r="GU90" i="1"/>
  <c r="GV90" i="1"/>
  <c r="GW90" i="1"/>
  <c r="GX90" i="1"/>
  <c r="GY90" i="1"/>
  <c r="GZ90" i="1"/>
  <c r="HA90" i="1"/>
  <c r="HB90" i="1"/>
  <c r="HC90" i="1"/>
  <c r="HD90" i="1"/>
  <c r="HE90" i="1"/>
  <c r="HF90" i="1"/>
  <c r="HG90" i="1"/>
  <c r="HH90" i="1"/>
  <c r="HI90" i="1"/>
  <c r="HJ90" i="1"/>
  <c r="HK90" i="1"/>
  <c r="HL90" i="1"/>
  <c r="HM90" i="1"/>
  <c r="HN90" i="1"/>
  <c r="HO90" i="1"/>
  <c r="HP90" i="1"/>
  <c r="HQ90" i="1"/>
  <c r="HR90" i="1"/>
  <c r="HS90" i="1"/>
  <c r="HT90" i="1"/>
  <c r="HU90" i="1"/>
  <c r="HV90" i="1"/>
  <c r="HW90" i="1"/>
  <c r="HX90" i="1"/>
  <c r="IB90" i="1"/>
  <c r="IC90" i="1"/>
  <c r="ID90" i="1"/>
  <c r="IE90" i="1"/>
  <c r="IF90" i="1"/>
  <c r="IG90" i="1"/>
  <c r="IH90" i="1"/>
  <c r="II90" i="1"/>
  <c r="IJ90" i="1"/>
  <c r="IK90" i="1"/>
  <c r="IL90" i="1"/>
  <c r="IM90" i="1"/>
  <c r="IN90" i="1"/>
  <c r="FR91" i="1"/>
  <c r="FS91" i="1"/>
  <c r="FT91" i="1"/>
  <c r="FU91" i="1"/>
  <c r="FV91" i="1"/>
  <c r="FW91" i="1"/>
  <c r="FX91" i="1"/>
  <c r="FY91" i="1"/>
  <c r="FZ91" i="1"/>
  <c r="GA91" i="1"/>
  <c r="GB91" i="1"/>
  <c r="GC91" i="1"/>
  <c r="GD91" i="1"/>
  <c r="GE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GY91" i="1"/>
  <c r="GZ91" i="1"/>
  <c r="HA91" i="1"/>
  <c r="HB91" i="1"/>
  <c r="HC91" i="1"/>
  <c r="HD91" i="1"/>
  <c r="HE91" i="1"/>
  <c r="HF91" i="1"/>
  <c r="HG91" i="1"/>
  <c r="HH91" i="1"/>
  <c r="HI91" i="1"/>
  <c r="HJ91" i="1"/>
  <c r="HK91" i="1"/>
  <c r="HL91" i="1"/>
  <c r="HM91" i="1"/>
  <c r="HN91" i="1"/>
  <c r="HO91" i="1"/>
  <c r="HP91" i="1"/>
  <c r="HQ91" i="1"/>
  <c r="HR91" i="1"/>
  <c r="HS91" i="1"/>
  <c r="HT91" i="1"/>
  <c r="HU91" i="1"/>
  <c r="HV91" i="1"/>
  <c r="HW91" i="1"/>
  <c r="HX91" i="1"/>
  <c r="IB91" i="1"/>
  <c r="IC91" i="1"/>
  <c r="ID91" i="1"/>
  <c r="IE91" i="1"/>
  <c r="IF91" i="1"/>
  <c r="IG91" i="1"/>
  <c r="IH91" i="1"/>
  <c r="II91" i="1"/>
  <c r="IJ91" i="1"/>
  <c r="IK91" i="1"/>
  <c r="IL91" i="1"/>
  <c r="IM91" i="1"/>
  <c r="IN91" i="1"/>
  <c r="FR92" i="1"/>
  <c r="FS92" i="1"/>
  <c r="FT92" i="1"/>
  <c r="FU92" i="1"/>
  <c r="FV92" i="1"/>
  <c r="FW92" i="1"/>
  <c r="FX92" i="1"/>
  <c r="FY92" i="1"/>
  <c r="FZ92" i="1"/>
  <c r="GA92" i="1"/>
  <c r="GB92" i="1"/>
  <c r="GC92" i="1"/>
  <c r="GD92" i="1"/>
  <c r="GE92" i="1"/>
  <c r="GF92" i="1"/>
  <c r="GG92" i="1"/>
  <c r="GH92" i="1"/>
  <c r="GI92" i="1"/>
  <c r="GJ92" i="1"/>
  <c r="GK92" i="1"/>
  <c r="GL92" i="1"/>
  <c r="GM92" i="1"/>
  <c r="GN92" i="1"/>
  <c r="GO92" i="1"/>
  <c r="GP92" i="1"/>
  <c r="GQ92" i="1"/>
  <c r="GR92" i="1"/>
  <c r="GS92" i="1"/>
  <c r="GT92" i="1"/>
  <c r="GU92" i="1"/>
  <c r="GV92" i="1"/>
  <c r="GW92" i="1"/>
  <c r="GX92" i="1"/>
  <c r="GY92" i="1"/>
  <c r="GZ92" i="1"/>
  <c r="HA92" i="1"/>
  <c r="HB92" i="1"/>
  <c r="HC92" i="1"/>
  <c r="HD92" i="1"/>
  <c r="HE92" i="1"/>
  <c r="HF92" i="1"/>
  <c r="HG92" i="1"/>
  <c r="HH92" i="1"/>
  <c r="HI92" i="1"/>
  <c r="HJ92" i="1"/>
  <c r="HK92" i="1"/>
  <c r="HL92" i="1"/>
  <c r="HM92" i="1"/>
  <c r="HN92" i="1"/>
  <c r="HO92" i="1"/>
  <c r="HP92" i="1"/>
  <c r="HQ92" i="1"/>
  <c r="HR92" i="1"/>
  <c r="HS92" i="1"/>
  <c r="HT92" i="1"/>
  <c r="HU92" i="1"/>
  <c r="HV92" i="1"/>
  <c r="HW92" i="1"/>
  <c r="HX92" i="1"/>
  <c r="IB92" i="1"/>
  <c r="IC92" i="1"/>
  <c r="ID92" i="1"/>
  <c r="IE92" i="1"/>
  <c r="IF92" i="1"/>
  <c r="IG92" i="1"/>
  <c r="IH92" i="1"/>
  <c r="II92" i="1"/>
  <c r="IJ92" i="1"/>
  <c r="IK92" i="1"/>
  <c r="IL92" i="1"/>
  <c r="IM92" i="1"/>
  <c r="IN92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GJ93" i="1"/>
  <c r="GK93" i="1"/>
  <c r="GL93" i="1"/>
  <c r="GM93" i="1"/>
  <c r="GN93" i="1"/>
  <c r="GO93" i="1"/>
  <c r="GP93" i="1"/>
  <c r="GQ93" i="1"/>
  <c r="GR93" i="1"/>
  <c r="GS93" i="1"/>
  <c r="GT93" i="1"/>
  <c r="GU93" i="1"/>
  <c r="GV93" i="1"/>
  <c r="GW93" i="1"/>
  <c r="GX93" i="1"/>
  <c r="GY93" i="1"/>
  <c r="GZ93" i="1"/>
  <c r="HA93" i="1"/>
  <c r="HB93" i="1"/>
  <c r="HC93" i="1"/>
  <c r="HD93" i="1"/>
  <c r="HE93" i="1"/>
  <c r="HF93" i="1"/>
  <c r="HG93" i="1"/>
  <c r="HH93" i="1"/>
  <c r="HI93" i="1"/>
  <c r="HJ93" i="1"/>
  <c r="HK93" i="1"/>
  <c r="HL93" i="1"/>
  <c r="HM93" i="1"/>
  <c r="HN93" i="1"/>
  <c r="HO93" i="1"/>
  <c r="HP93" i="1"/>
  <c r="HQ93" i="1"/>
  <c r="HR93" i="1"/>
  <c r="HS93" i="1"/>
  <c r="HT93" i="1"/>
  <c r="HU93" i="1"/>
  <c r="HV93" i="1"/>
  <c r="HW93" i="1"/>
  <c r="HX93" i="1"/>
  <c r="IB93" i="1"/>
  <c r="IC93" i="1"/>
  <c r="ID93" i="1"/>
  <c r="IE93" i="1"/>
  <c r="IF93" i="1"/>
  <c r="IG93" i="1"/>
  <c r="IH93" i="1"/>
  <c r="II93" i="1"/>
  <c r="IJ93" i="1"/>
  <c r="IK93" i="1"/>
  <c r="IL93" i="1"/>
  <c r="IM93" i="1"/>
  <c r="IN93" i="1"/>
  <c r="FR94" i="1"/>
  <c r="FS94" i="1"/>
  <c r="FT94" i="1"/>
  <c r="FU94" i="1"/>
  <c r="FV94" i="1"/>
  <c r="FW94" i="1"/>
  <c r="FX94" i="1"/>
  <c r="FY94" i="1"/>
  <c r="FZ94" i="1"/>
  <c r="GA94" i="1"/>
  <c r="GB94" i="1"/>
  <c r="GC94" i="1"/>
  <c r="GD94" i="1"/>
  <c r="GE94" i="1"/>
  <c r="GF94" i="1"/>
  <c r="GG94" i="1"/>
  <c r="GH94" i="1"/>
  <c r="GI94" i="1"/>
  <c r="GJ94" i="1"/>
  <c r="GK94" i="1"/>
  <c r="GL94" i="1"/>
  <c r="GM94" i="1"/>
  <c r="GN94" i="1"/>
  <c r="GO94" i="1"/>
  <c r="GP94" i="1"/>
  <c r="GQ94" i="1"/>
  <c r="GR94" i="1"/>
  <c r="GS94" i="1"/>
  <c r="GT94" i="1"/>
  <c r="GU94" i="1"/>
  <c r="GV94" i="1"/>
  <c r="GW94" i="1"/>
  <c r="GX94" i="1"/>
  <c r="GY94" i="1"/>
  <c r="GZ94" i="1"/>
  <c r="HA94" i="1"/>
  <c r="HB94" i="1"/>
  <c r="HC94" i="1"/>
  <c r="HD94" i="1"/>
  <c r="HE94" i="1"/>
  <c r="HF94" i="1"/>
  <c r="HG94" i="1"/>
  <c r="HH94" i="1"/>
  <c r="HI94" i="1"/>
  <c r="HJ94" i="1"/>
  <c r="HK94" i="1"/>
  <c r="HL94" i="1"/>
  <c r="HM94" i="1"/>
  <c r="HN94" i="1"/>
  <c r="HO94" i="1"/>
  <c r="HP94" i="1"/>
  <c r="HQ94" i="1"/>
  <c r="HR94" i="1"/>
  <c r="HS94" i="1"/>
  <c r="HT94" i="1"/>
  <c r="HU94" i="1"/>
  <c r="HV94" i="1"/>
  <c r="HW94" i="1"/>
  <c r="HX94" i="1"/>
  <c r="IB94" i="1"/>
  <c r="IC94" i="1"/>
  <c r="ID94" i="1"/>
  <c r="IE94" i="1"/>
  <c r="IF94" i="1"/>
  <c r="IG94" i="1"/>
  <c r="IH94" i="1"/>
  <c r="II94" i="1"/>
  <c r="IJ94" i="1"/>
  <c r="IK94" i="1"/>
  <c r="IL94" i="1"/>
  <c r="IM94" i="1"/>
  <c r="IN94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GY95" i="1"/>
  <c r="GZ95" i="1"/>
  <c r="HA95" i="1"/>
  <c r="HB95" i="1"/>
  <c r="HC95" i="1"/>
  <c r="HD95" i="1"/>
  <c r="HE95" i="1"/>
  <c r="HF95" i="1"/>
  <c r="HG95" i="1"/>
  <c r="HH95" i="1"/>
  <c r="HI95" i="1"/>
  <c r="HJ95" i="1"/>
  <c r="HK95" i="1"/>
  <c r="HL95" i="1"/>
  <c r="HM95" i="1"/>
  <c r="HN95" i="1"/>
  <c r="HO95" i="1"/>
  <c r="HP95" i="1"/>
  <c r="HQ95" i="1"/>
  <c r="HR95" i="1"/>
  <c r="HS95" i="1"/>
  <c r="HT95" i="1"/>
  <c r="HU95" i="1"/>
  <c r="HV95" i="1"/>
  <c r="HW95" i="1"/>
  <c r="HX95" i="1"/>
  <c r="IB95" i="1"/>
  <c r="IC95" i="1"/>
  <c r="ID95" i="1"/>
  <c r="IE95" i="1"/>
  <c r="IF95" i="1"/>
  <c r="IG95" i="1"/>
  <c r="IH95" i="1"/>
  <c r="II95" i="1"/>
  <c r="IJ95" i="1"/>
  <c r="IK95" i="1"/>
  <c r="IL95" i="1"/>
  <c r="IM95" i="1"/>
  <c r="IN95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GJ96" i="1"/>
  <c r="GK96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X96" i="1"/>
  <c r="GY96" i="1"/>
  <c r="GZ96" i="1"/>
  <c r="HA96" i="1"/>
  <c r="HB96" i="1"/>
  <c r="HC96" i="1"/>
  <c r="HD96" i="1"/>
  <c r="HE96" i="1"/>
  <c r="HF96" i="1"/>
  <c r="HG96" i="1"/>
  <c r="HH96" i="1"/>
  <c r="HI96" i="1"/>
  <c r="HJ96" i="1"/>
  <c r="HK96" i="1"/>
  <c r="HL96" i="1"/>
  <c r="HM96" i="1"/>
  <c r="HN96" i="1"/>
  <c r="HO96" i="1"/>
  <c r="HP96" i="1"/>
  <c r="HQ96" i="1"/>
  <c r="HR96" i="1"/>
  <c r="HS96" i="1"/>
  <c r="HT96" i="1"/>
  <c r="HU96" i="1"/>
  <c r="HV96" i="1"/>
  <c r="HW96" i="1"/>
  <c r="HX96" i="1"/>
  <c r="IB96" i="1"/>
  <c r="IC96" i="1"/>
  <c r="ID96" i="1"/>
  <c r="IE96" i="1"/>
  <c r="IF96" i="1"/>
  <c r="IG96" i="1"/>
  <c r="IH96" i="1"/>
  <c r="II96" i="1"/>
  <c r="IJ96" i="1"/>
  <c r="IK96" i="1"/>
  <c r="IL96" i="1"/>
  <c r="IM96" i="1"/>
  <c r="IN96" i="1"/>
  <c r="FR97" i="1"/>
  <c r="FS97" i="1"/>
  <c r="FT97" i="1"/>
  <c r="FU97" i="1"/>
  <c r="FV97" i="1"/>
  <c r="FW97" i="1"/>
  <c r="FX97" i="1"/>
  <c r="FY97" i="1"/>
  <c r="FZ97" i="1"/>
  <c r="GA97" i="1"/>
  <c r="GB97" i="1"/>
  <c r="GC97" i="1"/>
  <c r="GD97" i="1"/>
  <c r="GE97" i="1"/>
  <c r="GF97" i="1"/>
  <c r="GG97" i="1"/>
  <c r="GH97" i="1"/>
  <c r="GI97" i="1"/>
  <c r="GJ97" i="1"/>
  <c r="GK97" i="1"/>
  <c r="GL97" i="1"/>
  <c r="GM97" i="1"/>
  <c r="GN97" i="1"/>
  <c r="GO97" i="1"/>
  <c r="GP97" i="1"/>
  <c r="GQ97" i="1"/>
  <c r="GR97" i="1"/>
  <c r="GS97" i="1"/>
  <c r="GT97" i="1"/>
  <c r="GU97" i="1"/>
  <c r="GV97" i="1"/>
  <c r="GW97" i="1"/>
  <c r="GX97" i="1"/>
  <c r="GY97" i="1"/>
  <c r="GZ97" i="1"/>
  <c r="HA97" i="1"/>
  <c r="HB97" i="1"/>
  <c r="HC97" i="1"/>
  <c r="HD97" i="1"/>
  <c r="HE97" i="1"/>
  <c r="HF97" i="1"/>
  <c r="HG97" i="1"/>
  <c r="HH97" i="1"/>
  <c r="HI97" i="1"/>
  <c r="HJ97" i="1"/>
  <c r="HK97" i="1"/>
  <c r="HL97" i="1"/>
  <c r="HM97" i="1"/>
  <c r="HN97" i="1"/>
  <c r="HO97" i="1"/>
  <c r="HP97" i="1"/>
  <c r="HQ97" i="1"/>
  <c r="HR97" i="1"/>
  <c r="HS97" i="1"/>
  <c r="HT97" i="1"/>
  <c r="HU97" i="1"/>
  <c r="HV97" i="1"/>
  <c r="HW97" i="1"/>
  <c r="HX97" i="1"/>
  <c r="IB97" i="1"/>
  <c r="IC97" i="1"/>
  <c r="ID97" i="1"/>
  <c r="IE97" i="1"/>
  <c r="IF97" i="1"/>
  <c r="IG97" i="1"/>
  <c r="IH97" i="1"/>
  <c r="II97" i="1"/>
  <c r="IJ97" i="1"/>
  <c r="IK97" i="1"/>
  <c r="IL97" i="1"/>
  <c r="IM97" i="1"/>
  <c r="IN97" i="1"/>
  <c r="FR98" i="1"/>
  <c r="FS98" i="1"/>
  <c r="FT98" i="1"/>
  <c r="FU98" i="1"/>
  <c r="FV98" i="1"/>
  <c r="FW98" i="1"/>
  <c r="FX98" i="1"/>
  <c r="FY98" i="1"/>
  <c r="FZ98" i="1"/>
  <c r="GA98" i="1"/>
  <c r="GB98" i="1"/>
  <c r="GC98" i="1"/>
  <c r="GD98" i="1"/>
  <c r="GE98" i="1"/>
  <c r="GF98" i="1"/>
  <c r="GG98" i="1"/>
  <c r="GH98" i="1"/>
  <c r="GI98" i="1"/>
  <c r="GJ98" i="1"/>
  <c r="GK98" i="1"/>
  <c r="GL98" i="1"/>
  <c r="GM98" i="1"/>
  <c r="GN98" i="1"/>
  <c r="GO98" i="1"/>
  <c r="GP98" i="1"/>
  <c r="GQ98" i="1"/>
  <c r="GR98" i="1"/>
  <c r="GS98" i="1"/>
  <c r="GT98" i="1"/>
  <c r="GU98" i="1"/>
  <c r="GV98" i="1"/>
  <c r="GW98" i="1"/>
  <c r="GX98" i="1"/>
  <c r="GY98" i="1"/>
  <c r="GZ98" i="1"/>
  <c r="HA98" i="1"/>
  <c r="HB98" i="1"/>
  <c r="HC98" i="1"/>
  <c r="HD98" i="1"/>
  <c r="HE98" i="1"/>
  <c r="HF98" i="1"/>
  <c r="HG98" i="1"/>
  <c r="HH98" i="1"/>
  <c r="HI98" i="1"/>
  <c r="HJ98" i="1"/>
  <c r="HK98" i="1"/>
  <c r="HL98" i="1"/>
  <c r="HM98" i="1"/>
  <c r="HN98" i="1"/>
  <c r="HO98" i="1"/>
  <c r="HP98" i="1"/>
  <c r="HQ98" i="1"/>
  <c r="HR98" i="1"/>
  <c r="HS98" i="1"/>
  <c r="HT98" i="1"/>
  <c r="HU98" i="1"/>
  <c r="HV98" i="1"/>
  <c r="HW98" i="1"/>
  <c r="HX98" i="1"/>
  <c r="IB98" i="1"/>
  <c r="IC98" i="1"/>
  <c r="ID98" i="1"/>
  <c r="IE98" i="1"/>
  <c r="IF98" i="1"/>
  <c r="IG98" i="1"/>
  <c r="IH98" i="1"/>
  <c r="II98" i="1"/>
  <c r="IJ98" i="1"/>
  <c r="IK98" i="1"/>
  <c r="IL98" i="1"/>
  <c r="IM98" i="1"/>
  <c r="IN98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GJ99" i="1"/>
  <c r="GK99" i="1"/>
  <c r="GL99" i="1"/>
  <c r="GM99" i="1"/>
  <c r="GN99" i="1"/>
  <c r="GO99" i="1"/>
  <c r="GP99" i="1"/>
  <c r="GQ99" i="1"/>
  <c r="GR99" i="1"/>
  <c r="GS99" i="1"/>
  <c r="GT99" i="1"/>
  <c r="GU99" i="1"/>
  <c r="GV99" i="1"/>
  <c r="GW99" i="1"/>
  <c r="GX99" i="1"/>
  <c r="GY99" i="1"/>
  <c r="GZ99" i="1"/>
  <c r="HA99" i="1"/>
  <c r="HB99" i="1"/>
  <c r="HC99" i="1"/>
  <c r="HD99" i="1"/>
  <c r="HE99" i="1"/>
  <c r="HF99" i="1"/>
  <c r="HG99" i="1"/>
  <c r="HH99" i="1"/>
  <c r="HI99" i="1"/>
  <c r="HJ99" i="1"/>
  <c r="HK99" i="1"/>
  <c r="HL99" i="1"/>
  <c r="HM99" i="1"/>
  <c r="HN99" i="1"/>
  <c r="HO99" i="1"/>
  <c r="HP99" i="1"/>
  <c r="HQ99" i="1"/>
  <c r="HR99" i="1"/>
  <c r="HS99" i="1"/>
  <c r="HT99" i="1"/>
  <c r="HU99" i="1"/>
  <c r="HV99" i="1"/>
  <c r="HW99" i="1"/>
  <c r="HX99" i="1"/>
  <c r="IB99" i="1"/>
  <c r="IC99" i="1"/>
  <c r="ID99" i="1"/>
  <c r="IE99" i="1"/>
  <c r="IF99" i="1"/>
  <c r="IG99" i="1"/>
  <c r="IH99" i="1"/>
  <c r="II99" i="1"/>
  <c r="IJ99" i="1"/>
  <c r="IK99" i="1"/>
  <c r="IL99" i="1"/>
  <c r="IM99" i="1"/>
  <c r="IN99" i="1"/>
  <c r="FR100" i="1"/>
  <c r="FS100" i="1"/>
  <c r="FT100" i="1"/>
  <c r="FU100" i="1"/>
  <c r="FV100" i="1"/>
  <c r="FW100" i="1"/>
  <c r="FX100" i="1"/>
  <c r="FY100" i="1"/>
  <c r="FZ100" i="1"/>
  <c r="GA100" i="1"/>
  <c r="GB100" i="1"/>
  <c r="GC100" i="1"/>
  <c r="GD100" i="1"/>
  <c r="GE100" i="1"/>
  <c r="GF100" i="1"/>
  <c r="GG100" i="1"/>
  <c r="GH100" i="1"/>
  <c r="GI100" i="1"/>
  <c r="GJ100" i="1"/>
  <c r="GK100" i="1"/>
  <c r="GL100" i="1"/>
  <c r="GM100" i="1"/>
  <c r="GN100" i="1"/>
  <c r="GO100" i="1"/>
  <c r="GP100" i="1"/>
  <c r="GQ100" i="1"/>
  <c r="GR100" i="1"/>
  <c r="GS100" i="1"/>
  <c r="GT100" i="1"/>
  <c r="GU100" i="1"/>
  <c r="GV100" i="1"/>
  <c r="GW100" i="1"/>
  <c r="GX100" i="1"/>
  <c r="GY100" i="1"/>
  <c r="GZ100" i="1"/>
  <c r="HA100" i="1"/>
  <c r="HB100" i="1"/>
  <c r="HC100" i="1"/>
  <c r="HD100" i="1"/>
  <c r="HE100" i="1"/>
  <c r="HF100" i="1"/>
  <c r="HG100" i="1"/>
  <c r="HH100" i="1"/>
  <c r="HI100" i="1"/>
  <c r="HJ100" i="1"/>
  <c r="HK100" i="1"/>
  <c r="HL100" i="1"/>
  <c r="HM100" i="1"/>
  <c r="HN100" i="1"/>
  <c r="HO100" i="1"/>
  <c r="HP100" i="1"/>
  <c r="HQ100" i="1"/>
  <c r="HR100" i="1"/>
  <c r="HS100" i="1"/>
  <c r="HT100" i="1"/>
  <c r="HU100" i="1"/>
  <c r="HV100" i="1"/>
  <c r="HW100" i="1"/>
  <c r="HX100" i="1"/>
  <c r="IB100" i="1"/>
  <c r="IC100" i="1"/>
  <c r="ID100" i="1"/>
  <c r="IE100" i="1"/>
  <c r="IF100" i="1"/>
  <c r="IG100" i="1"/>
  <c r="IH100" i="1"/>
  <c r="II100" i="1"/>
  <c r="IJ100" i="1"/>
  <c r="IK100" i="1"/>
  <c r="IL100" i="1"/>
  <c r="IM100" i="1"/>
  <c r="IN100" i="1"/>
  <c r="FR101" i="1"/>
  <c r="FS101" i="1"/>
  <c r="FT101" i="1"/>
  <c r="FU101" i="1"/>
  <c r="FV101" i="1"/>
  <c r="FW101" i="1"/>
  <c r="FX101" i="1"/>
  <c r="FY101" i="1"/>
  <c r="FZ101" i="1"/>
  <c r="GA101" i="1"/>
  <c r="GB101" i="1"/>
  <c r="GC101" i="1"/>
  <c r="GD101" i="1"/>
  <c r="GE101" i="1"/>
  <c r="GF101" i="1"/>
  <c r="GG101" i="1"/>
  <c r="GH101" i="1"/>
  <c r="GI101" i="1"/>
  <c r="GJ101" i="1"/>
  <c r="GK101" i="1"/>
  <c r="GL101" i="1"/>
  <c r="GM101" i="1"/>
  <c r="GN101" i="1"/>
  <c r="GO101" i="1"/>
  <c r="GP101" i="1"/>
  <c r="GQ101" i="1"/>
  <c r="GR101" i="1"/>
  <c r="GS101" i="1"/>
  <c r="GT101" i="1"/>
  <c r="GU101" i="1"/>
  <c r="GV101" i="1"/>
  <c r="GW101" i="1"/>
  <c r="GX101" i="1"/>
  <c r="GY101" i="1"/>
  <c r="GZ101" i="1"/>
  <c r="HA101" i="1"/>
  <c r="HB101" i="1"/>
  <c r="HC101" i="1"/>
  <c r="HD101" i="1"/>
  <c r="HE101" i="1"/>
  <c r="HF101" i="1"/>
  <c r="HG101" i="1"/>
  <c r="HH101" i="1"/>
  <c r="HI101" i="1"/>
  <c r="HJ101" i="1"/>
  <c r="HK101" i="1"/>
  <c r="HL101" i="1"/>
  <c r="HM101" i="1"/>
  <c r="HN101" i="1"/>
  <c r="HO101" i="1"/>
  <c r="HP101" i="1"/>
  <c r="HQ101" i="1"/>
  <c r="HR101" i="1"/>
  <c r="HS101" i="1"/>
  <c r="HT101" i="1"/>
  <c r="HU101" i="1"/>
  <c r="HV101" i="1"/>
  <c r="HW101" i="1"/>
  <c r="HX101" i="1"/>
  <c r="IB101" i="1"/>
  <c r="IC101" i="1"/>
  <c r="ID101" i="1"/>
  <c r="IE101" i="1"/>
  <c r="IF101" i="1"/>
  <c r="IG101" i="1"/>
  <c r="IH101" i="1"/>
  <c r="II101" i="1"/>
  <c r="IJ101" i="1"/>
  <c r="IK101" i="1"/>
  <c r="IL101" i="1"/>
  <c r="IM101" i="1"/>
  <c r="IN101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X102" i="1"/>
  <c r="GY102" i="1"/>
  <c r="GZ102" i="1"/>
  <c r="HA102" i="1"/>
  <c r="HB102" i="1"/>
  <c r="HC102" i="1"/>
  <c r="HD102" i="1"/>
  <c r="HE102" i="1"/>
  <c r="HF102" i="1"/>
  <c r="HG102" i="1"/>
  <c r="HH102" i="1"/>
  <c r="HI102" i="1"/>
  <c r="HJ102" i="1"/>
  <c r="HK102" i="1"/>
  <c r="HL102" i="1"/>
  <c r="HM102" i="1"/>
  <c r="HN102" i="1"/>
  <c r="HO102" i="1"/>
  <c r="HP102" i="1"/>
  <c r="HQ102" i="1"/>
  <c r="HR102" i="1"/>
  <c r="HS102" i="1"/>
  <c r="HT102" i="1"/>
  <c r="HU102" i="1"/>
  <c r="HV102" i="1"/>
  <c r="HW102" i="1"/>
  <c r="HX102" i="1"/>
  <c r="IB102" i="1"/>
  <c r="IC102" i="1"/>
  <c r="ID102" i="1"/>
  <c r="IE102" i="1"/>
  <c r="IF102" i="1"/>
  <c r="IG102" i="1"/>
  <c r="IH102" i="1"/>
  <c r="II102" i="1"/>
  <c r="IJ102" i="1"/>
  <c r="IK102" i="1"/>
  <c r="IL102" i="1"/>
  <c r="IM102" i="1"/>
  <c r="IN102" i="1"/>
  <c r="FR103" i="1"/>
  <c r="FS103" i="1"/>
  <c r="FT103" i="1"/>
  <c r="FU103" i="1"/>
  <c r="FV103" i="1"/>
  <c r="FW103" i="1"/>
  <c r="FX103" i="1"/>
  <c r="FY103" i="1"/>
  <c r="FZ103" i="1"/>
  <c r="GA103" i="1"/>
  <c r="GB103" i="1"/>
  <c r="GC103" i="1"/>
  <c r="GD103" i="1"/>
  <c r="GE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X103" i="1"/>
  <c r="GY103" i="1"/>
  <c r="GZ103" i="1"/>
  <c r="HA103" i="1"/>
  <c r="HB103" i="1"/>
  <c r="HC103" i="1"/>
  <c r="HD103" i="1"/>
  <c r="HE103" i="1"/>
  <c r="HF103" i="1"/>
  <c r="HG103" i="1"/>
  <c r="HH103" i="1"/>
  <c r="HI103" i="1"/>
  <c r="HJ103" i="1"/>
  <c r="HK103" i="1"/>
  <c r="HL103" i="1"/>
  <c r="HM103" i="1"/>
  <c r="HN103" i="1"/>
  <c r="HO103" i="1"/>
  <c r="HP103" i="1"/>
  <c r="HQ103" i="1"/>
  <c r="HR103" i="1"/>
  <c r="HS103" i="1"/>
  <c r="HT103" i="1"/>
  <c r="HU103" i="1"/>
  <c r="HV103" i="1"/>
  <c r="HW103" i="1"/>
  <c r="HX103" i="1"/>
  <c r="IB103" i="1"/>
  <c r="IC103" i="1"/>
  <c r="ID103" i="1"/>
  <c r="IE103" i="1"/>
  <c r="IF103" i="1"/>
  <c r="IG103" i="1"/>
  <c r="IH103" i="1"/>
  <c r="II103" i="1"/>
  <c r="IJ103" i="1"/>
  <c r="IK103" i="1"/>
  <c r="IL103" i="1"/>
  <c r="IM103" i="1"/>
  <c r="IN103" i="1"/>
  <c r="FR104" i="1"/>
  <c r="FS104" i="1"/>
  <c r="FT104" i="1"/>
  <c r="FU104" i="1"/>
  <c r="FV104" i="1"/>
  <c r="FW104" i="1"/>
  <c r="FX104" i="1"/>
  <c r="FY104" i="1"/>
  <c r="FZ104" i="1"/>
  <c r="GA104" i="1"/>
  <c r="GB104" i="1"/>
  <c r="GC104" i="1"/>
  <c r="GD104" i="1"/>
  <c r="GE104" i="1"/>
  <c r="GF104" i="1"/>
  <c r="GG104" i="1"/>
  <c r="GH104" i="1"/>
  <c r="GI104" i="1"/>
  <c r="GJ104" i="1"/>
  <c r="GK104" i="1"/>
  <c r="GL104" i="1"/>
  <c r="GM104" i="1"/>
  <c r="GN104" i="1"/>
  <c r="GO104" i="1"/>
  <c r="GP104" i="1"/>
  <c r="GQ104" i="1"/>
  <c r="GR104" i="1"/>
  <c r="GS104" i="1"/>
  <c r="GT104" i="1"/>
  <c r="GU104" i="1"/>
  <c r="GV104" i="1"/>
  <c r="GW104" i="1"/>
  <c r="GX104" i="1"/>
  <c r="GY104" i="1"/>
  <c r="GZ104" i="1"/>
  <c r="HA104" i="1"/>
  <c r="HB104" i="1"/>
  <c r="HC104" i="1"/>
  <c r="HD104" i="1"/>
  <c r="HE104" i="1"/>
  <c r="HF104" i="1"/>
  <c r="HG104" i="1"/>
  <c r="HH104" i="1"/>
  <c r="HI104" i="1"/>
  <c r="HJ104" i="1"/>
  <c r="HK104" i="1"/>
  <c r="HL104" i="1"/>
  <c r="HM104" i="1"/>
  <c r="HN104" i="1"/>
  <c r="HO104" i="1"/>
  <c r="HP104" i="1"/>
  <c r="HQ104" i="1"/>
  <c r="HR104" i="1"/>
  <c r="HS104" i="1"/>
  <c r="HT104" i="1"/>
  <c r="HU104" i="1"/>
  <c r="HV104" i="1"/>
  <c r="HW104" i="1"/>
  <c r="HX104" i="1"/>
  <c r="IB104" i="1"/>
  <c r="IC104" i="1"/>
  <c r="ID104" i="1"/>
  <c r="IE104" i="1"/>
  <c r="IF104" i="1"/>
  <c r="IG104" i="1"/>
  <c r="IH104" i="1"/>
  <c r="II104" i="1"/>
  <c r="IJ104" i="1"/>
  <c r="IK104" i="1"/>
  <c r="IL104" i="1"/>
  <c r="IM104" i="1"/>
  <c r="IN104" i="1"/>
  <c r="FR105" i="1"/>
  <c r="FS105" i="1"/>
  <c r="FT105" i="1"/>
  <c r="FU105" i="1"/>
  <c r="FV105" i="1"/>
  <c r="FW105" i="1"/>
  <c r="FX105" i="1"/>
  <c r="FY105" i="1"/>
  <c r="FZ105" i="1"/>
  <c r="GA105" i="1"/>
  <c r="GB105" i="1"/>
  <c r="GC105" i="1"/>
  <c r="GD105" i="1"/>
  <c r="GE105" i="1"/>
  <c r="GF105" i="1"/>
  <c r="GG105" i="1"/>
  <c r="GH105" i="1"/>
  <c r="GI105" i="1"/>
  <c r="GJ105" i="1"/>
  <c r="GK105" i="1"/>
  <c r="GL105" i="1"/>
  <c r="GM105" i="1"/>
  <c r="GN105" i="1"/>
  <c r="GO105" i="1"/>
  <c r="GP105" i="1"/>
  <c r="GQ105" i="1"/>
  <c r="GR105" i="1"/>
  <c r="GS105" i="1"/>
  <c r="GT105" i="1"/>
  <c r="GU105" i="1"/>
  <c r="GV105" i="1"/>
  <c r="GW105" i="1"/>
  <c r="GX105" i="1"/>
  <c r="GY105" i="1"/>
  <c r="GZ105" i="1"/>
  <c r="HA105" i="1"/>
  <c r="HB105" i="1"/>
  <c r="HC105" i="1"/>
  <c r="HD105" i="1"/>
  <c r="HE105" i="1"/>
  <c r="HF105" i="1"/>
  <c r="HG105" i="1"/>
  <c r="HH105" i="1"/>
  <c r="HI105" i="1"/>
  <c r="HJ105" i="1"/>
  <c r="HK105" i="1"/>
  <c r="HL105" i="1"/>
  <c r="HM105" i="1"/>
  <c r="HN105" i="1"/>
  <c r="HO105" i="1"/>
  <c r="HP105" i="1"/>
  <c r="HQ105" i="1"/>
  <c r="HR105" i="1"/>
  <c r="HS105" i="1"/>
  <c r="HT105" i="1"/>
  <c r="HU105" i="1"/>
  <c r="HV105" i="1"/>
  <c r="HW105" i="1"/>
  <c r="HX105" i="1"/>
  <c r="IB105" i="1"/>
  <c r="IC105" i="1"/>
  <c r="ID105" i="1"/>
  <c r="IE105" i="1"/>
  <c r="IF105" i="1"/>
  <c r="IG105" i="1"/>
  <c r="IH105" i="1"/>
  <c r="II105" i="1"/>
  <c r="IJ105" i="1"/>
  <c r="IK105" i="1"/>
  <c r="IL105" i="1"/>
  <c r="IM105" i="1"/>
  <c r="IN105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GJ106" i="1"/>
  <c r="GK106" i="1"/>
  <c r="GL106" i="1"/>
  <c r="GM106" i="1"/>
  <c r="GN106" i="1"/>
  <c r="GO106" i="1"/>
  <c r="GP106" i="1"/>
  <c r="GQ106" i="1"/>
  <c r="GR106" i="1"/>
  <c r="GS106" i="1"/>
  <c r="GT106" i="1"/>
  <c r="GU106" i="1"/>
  <c r="GV106" i="1"/>
  <c r="GW106" i="1"/>
  <c r="GX106" i="1"/>
  <c r="GY106" i="1"/>
  <c r="GZ106" i="1"/>
  <c r="HA106" i="1"/>
  <c r="HB106" i="1"/>
  <c r="HC106" i="1"/>
  <c r="HD106" i="1"/>
  <c r="HE106" i="1"/>
  <c r="HF106" i="1"/>
  <c r="HG106" i="1"/>
  <c r="HH106" i="1"/>
  <c r="HI106" i="1"/>
  <c r="HJ106" i="1"/>
  <c r="HK106" i="1"/>
  <c r="HL106" i="1"/>
  <c r="HM106" i="1"/>
  <c r="HN106" i="1"/>
  <c r="HO106" i="1"/>
  <c r="HP106" i="1"/>
  <c r="HQ106" i="1"/>
  <c r="HR106" i="1"/>
  <c r="HS106" i="1"/>
  <c r="HT106" i="1"/>
  <c r="HU106" i="1"/>
  <c r="HV106" i="1"/>
  <c r="HW106" i="1"/>
  <c r="HX106" i="1"/>
  <c r="IB106" i="1"/>
  <c r="IC106" i="1"/>
  <c r="ID106" i="1"/>
  <c r="IE106" i="1"/>
  <c r="IF106" i="1"/>
  <c r="IG106" i="1"/>
  <c r="IH106" i="1"/>
  <c r="II106" i="1"/>
  <c r="IJ106" i="1"/>
  <c r="IK106" i="1"/>
  <c r="IL106" i="1"/>
  <c r="IM106" i="1"/>
  <c r="IN106" i="1"/>
  <c r="FR107" i="1"/>
  <c r="FS107" i="1"/>
  <c r="FT107" i="1"/>
  <c r="FU107" i="1"/>
  <c r="FV107" i="1"/>
  <c r="FW107" i="1"/>
  <c r="FX107" i="1"/>
  <c r="FY107" i="1"/>
  <c r="FZ107" i="1"/>
  <c r="GA107" i="1"/>
  <c r="GB107" i="1"/>
  <c r="GC107" i="1"/>
  <c r="GD107" i="1"/>
  <c r="GE107" i="1"/>
  <c r="GF107" i="1"/>
  <c r="GG107" i="1"/>
  <c r="GH107" i="1"/>
  <c r="GI107" i="1"/>
  <c r="GJ107" i="1"/>
  <c r="GK107" i="1"/>
  <c r="GL107" i="1"/>
  <c r="GM107" i="1"/>
  <c r="GN107" i="1"/>
  <c r="GO107" i="1"/>
  <c r="GP107" i="1"/>
  <c r="GQ107" i="1"/>
  <c r="GR107" i="1"/>
  <c r="GS107" i="1"/>
  <c r="GT107" i="1"/>
  <c r="GU107" i="1"/>
  <c r="GV107" i="1"/>
  <c r="GW107" i="1"/>
  <c r="GX107" i="1"/>
  <c r="GY107" i="1"/>
  <c r="GZ107" i="1"/>
  <c r="HA107" i="1"/>
  <c r="HB107" i="1"/>
  <c r="HC107" i="1"/>
  <c r="HD107" i="1"/>
  <c r="HE107" i="1"/>
  <c r="HF107" i="1"/>
  <c r="HG107" i="1"/>
  <c r="HH107" i="1"/>
  <c r="HI107" i="1"/>
  <c r="HJ107" i="1"/>
  <c r="HK107" i="1"/>
  <c r="HL107" i="1"/>
  <c r="HM107" i="1"/>
  <c r="HN107" i="1"/>
  <c r="HO107" i="1"/>
  <c r="HP107" i="1"/>
  <c r="HQ107" i="1"/>
  <c r="HR107" i="1"/>
  <c r="HS107" i="1"/>
  <c r="HT107" i="1"/>
  <c r="HU107" i="1"/>
  <c r="HV107" i="1"/>
  <c r="HW107" i="1"/>
  <c r="HX107" i="1"/>
  <c r="IB107" i="1"/>
  <c r="IC107" i="1"/>
  <c r="ID107" i="1"/>
  <c r="IE107" i="1"/>
  <c r="IF107" i="1"/>
  <c r="IG107" i="1"/>
  <c r="IH107" i="1"/>
  <c r="II107" i="1"/>
  <c r="IJ107" i="1"/>
  <c r="IK107" i="1"/>
  <c r="IL107" i="1"/>
  <c r="IM107" i="1"/>
  <c r="IN107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FR109" i="1"/>
  <c r="FS109" i="1"/>
  <c r="FT109" i="1"/>
  <c r="FU109" i="1"/>
  <c r="FV109" i="1"/>
  <c r="FW109" i="1"/>
  <c r="FX109" i="1"/>
  <c r="FY109" i="1"/>
  <c r="FZ109" i="1"/>
  <c r="GA109" i="1"/>
  <c r="GB109" i="1"/>
  <c r="GC109" i="1"/>
  <c r="GD109" i="1"/>
  <c r="GE109" i="1"/>
  <c r="GF109" i="1"/>
  <c r="GG109" i="1"/>
  <c r="GH109" i="1"/>
  <c r="GI109" i="1"/>
  <c r="GJ109" i="1"/>
  <c r="GK109" i="1"/>
  <c r="GL109" i="1"/>
  <c r="GM109" i="1"/>
  <c r="GN109" i="1"/>
  <c r="GO109" i="1"/>
  <c r="GP109" i="1"/>
  <c r="GQ109" i="1"/>
  <c r="GR109" i="1"/>
  <c r="GS109" i="1"/>
  <c r="GT109" i="1"/>
  <c r="GU109" i="1"/>
  <c r="GV109" i="1"/>
  <c r="GW109" i="1"/>
  <c r="GX109" i="1"/>
  <c r="GY109" i="1"/>
  <c r="GZ109" i="1"/>
  <c r="HA109" i="1"/>
  <c r="HB109" i="1"/>
  <c r="HC109" i="1"/>
  <c r="HD109" i="1"/>
  <c r="HE109" i="1"/>
  <c r="HF109" i="1"/>
  <c r="HG109" i="1"/>
  <c r="HH109" i="1"/>
  <c r="HI109" i="1"/>
  <c r="HJ109" i="1"/>
  <c r="HK109" i="1"/>
  <c r="HL109" i="1"/>
  <c r="HM109" i="1"/>
  <c r="HN109" i="1"/>
  <c r="HO109" i="1"/>
  <c r="HP109" i="1"/>
  <c r="HQ109" i="1"/>
  <c r="HR109" i="1"/>
  <c r="HS109" i="1"/>
  <c r="HT109" i="1"/>
  <c r="HU109" i="1"/>
  <c r="HV109" i="1"/>
  <c r="HW109" i="1"/>
  <c r="HX109" i="1"/>
  <c r="IB109" i="1"/>
  <c r="IC109" i="1"/>
  <c r="ID109" i="1"/>
  <c r="IE109" i="1"/>
  <c r="IF109" i="1"/>
  <c r="IG109" i="1"/>
  <c r="IH109" i="1"/>
  <c r="II109" i="1"/>
  <c r="IJ109" i="1"/>
  <c r="IK109" i="1"/>
  <c r="IL109" i="1"/>
  <c r="IM109" i="1"/>
  <c r="IN109" i="1"/>
  <c r="FR110" i="1"/>
  <c r="FS110" i="1"/>
  <c r="FT110" i="1"/>
  <c r="FU110" i="1"/>
  <c r="FV110" i="1"/>
  <c r="FW110" i="1"/>
  <c r="FX110" i="1"/>
  <c r="FY110" i="1"/>
  <c r="FZ110" i="1"/>
  <c r="GA110" i="1"/>
  <c r="GB110" i="1"/>
  <c r="GC110" i="1"/>
  <c r="GD110" i="1"/>
  <c r="GE110" i="1"/>
  <c r="GF110" i="1"/>
  <c r="GG110" i="1"/>
  <c r="GH110" i="1"/>
  <c r="GI110" i="1"/>
  <c r="GJ110" i="1"/>
  <c r="GK110" i="1"/>
  <c r="GL110" i="1"/>
  <c r="GM110" i="1"/>
  <c r="GN110" i="1"/>
  <c r="GO110" i="1"/>
  <c r="GP110" i="1"/>
  <c r="GQ110" i="1"/>
  <c r="GR110" i="1"/>
  <c r="GS110" i="1"/>
  <c r="GT110" i="1"/>
  <c r="GU110" i="1"/>
  <c r="GV110" i="1"/>
  <c r="GW110" i="1"/>
  <c r="GX110" i="1"/>
  <c r="GY110" i="1"/>
  <c r="GZ110" i="1"/>
  <c r="HA110" i="1"/>
  <c r="HB110" i="1"/>
  <c r="HC110" i="1"/>
  <c r="HD110" i="1"/>
  <c r="HE110" i="1"/>
  <c r="HF110" i="1"/>
  <c r="HG110" i="1"/>
  <c r="HH110" i="1"/>
  <c r="HI110" i="1"/>
  <c r="HJ110" i="1"/>
  <c r="HK110" i="1"/>
  <c r="HL110" i="1"/>
  <c r="HM110" i="1"/>
  <c r="HN110" i="1"/>
  <c r="HO110" i="1"/>
  <c r="HP110" i="1"/>
  <c r="HQ110" i="1"/>
  <c r="HR110" i="1"/>
  <c r="HS110" i="1"/>
  <c r="HT110" i="1"/>
  <c r="HU110" i="1"/>
  <c r="HV110" i="1"/>
  <c r="HW110" i="1"/>
  <c r="HX110" i="1"/>
  <c r="IB110" i="1"/>
  <c r="IC110" i="1"/>
  <c r="ID110" i="1"/>
  <c r="IE110" i="1"/>
  <c r="IF110" i="1"/>
  <c r="IG110" i="1"/>
  <c r="IH110" i="1"/>
  <c r="II110" i="1"/>
  <c r="IJ110" i="1"/>
  <c r="IK110" i="1"/>
  <c r="IL110" i="1"/>
  <c r="IM110" i="1"/>
  <c r="IN110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GY111" i="1"/>
  <c r="GZ111" i="1"/>
  <c r="HA111" i="1"/>
  <c r="HB111" i="1"/>
  <c r="HC111" i="1"/>
  <c r="HD111" i="1"/>
  <c r="HE111" i="1"/>
  <c r="HF111" i="1"/>
  <c r="HG111" i="1"/>
  <c r="HH111" i="1"/>
  <c r="HI111" i="1"/>
  <c r="HJ111" i="1"/>
  <c r="HK111" i="1"/>
  <c r="HL111" i="1"/>
  <c r="HM111" i="1"/>
  <c r="HN111" i="1"/>
  <c r="HO111" i="1"/>
  <c r="HP111" i="1"/>
  <c r="HQ111" i="1"/>
  <c r="HR111" i="1"/>
  <c r="HS111" i="1"/>
  <c r="HT111" i="1"/>
  <c r="HU111" i="1"/>
  <c r="HV111" i="1"/>
  <c r="HW111" i="1"/>
  <c r="HX111" i="1"/>
  <c r="IB111" i="1"/>
  <c r="IC111" i="1"/>
  <c r="ID111" i="1"/>
  <c r="IE111" i="1"/>
  <c r="IF111" i="1"/>
  <c r="IG111" i="1"/>
  <c r="IH111" i="1"/>
  <c r="II111" i="1"/>
  <c r="IJ111" i="1"/>
  <c r="IK111" i="1"/>
  <c r="IL111" i="1"/>
  <c r="IM111" i="1"/>
  <c r="IN111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GY112" i="1"/>
  <c r="GZ112" i="1"/>
  <c r="HA112" i="1"/>
  <c r="HB112" i="1"/>
  <c r="HC112" i="1"/>
  <c r="HD112" i="1"/>
  <c r="HE112" i="1"/>
  <c r="HF112" i="1"/>
  <c r="HG112" i="1"/>
  <c r="HH112" i="1"/>
  <c r="HI112" i="1"/>
  <c r="HJ112" i="1"/>
  <c r="HK112" i="1"/>
  <c r="HL112" i="1"/>
  <c r="HM112" i="1"/>
  <c r="HN112" i="1"/>
  <c r="HO112" i="1"/>
  <c r="HP112" i="1"/>
  <c r="HQ112" i="1"/>
  <c r="HR112" i="1"/>
  <c r="HS112" i="1"/>
  <c r="HT112" i="1"/>
  <c r="HU112" i="1"/>
  <c r="HV112" i="1"/>
  <c r="HW112" i="1"/>
  <c r="HX112" i="1"/>
  <c r="IB112" i="1"/>
  <c r="IC112" i="1"/>
  <c r="ID112" i="1"/>
  <c r="IE112" i="1"/>
  <c r="IF112" i="1"/>
  <c r="IG112" i="1"/>
  <c r="IH112" i="1"/>
  <c r="II112" i="1"/>
  <c r="IJ112" i="1"/>
  <c r="IK112" i="1"/>
  <c r="IL112" i="1"/>
  <c r="IM112" i="1"/>
  <c r="IN112" i="1"/>
  <c r="FR113" i="1"/>
  <c r="FS113" i="1"/>
  <c r="FT113" i="1"/>
  <c r="FU113" i="1"/>
  <c r="FV113" i="1"/>
  <c r="FW113" i="1"/>
  <c r="FX113" i="1"/>
  <c r="FY113" i="1"/>
  <c r="FZ113" i="1"/>
  <c r="GA113" i="1"/>
  <c r="GB113" i="1"/>
  <c r="GC113" i="1"/>
  <c r="GD113" i="1"/>
  <c r="GE113" i="1"/>
  <c r="GF113" i="1"/>
  <c r="GG113" i="1"/>
  <c r="GH113" i="1"/>
  <c r="GI113" i="1"/>
  <c r="GJ113" i="1"/>
  <c r="GK113" i="1"/>
  <c r="GL113" i="1"/>
  <c r="GM113" i="1"/>
  <c r="GN113" i="1"/>
  <c r="GO113" i="1"/>
  <c r="GP113" i="1"/>
  <c r="GQ113" i="1"/>
  <c r="GR113" i="1"/>
  <c r="GS113" i="1"/>
  <c r="GT113" i="1"/>
  <c r="GU113" i="1"/>
  <c r="GV113" i="1"/>
  <c r="GW113" i="1"/>
  <c r="GX113" i="1"/>
  <c r="GY113" i="1"/>
  <c r="GZ113" i="1"/>
  <c r="HA113" i="1"/>
  <c r="HB113" i="1"/>
  <c r="HC113" i="1"/>
  <c r="HD113" i="1"/>
  <c r="HE113" i="1"/>
  <c r="HF113" i="1"/>
  <c r="HG113" i="1"/>
  <c r="HH113" i="1"/>
  <c r="HI113" i="1"/>
  <c r="HJ113" i="1"/>
  <c r="HK113" i="1"/>
  <c r="HL113" i="1"/>
  <c r="HM113" i="1"/>
  <c r="HN113" i="1"/>
  <c r="HO113" i="1"/>
  <c r="HP113" i="1"/>
  <c r="HQ113" i="1"/>
  <c r="HR113" i="1"/>
  <c r="HS113" i="1"/>
  <c r="HT113" i="1"/>
  <c r="HU113" i="1"/>
  <c r="HV113" i="1"/>
  <c r="HW113" i="1"/>
  <c r="HX113" i="1"/>
  <c r="IB113" i="1"/>
  <c r="IC113" i="1"/>
  <c r="ID113" i="1"/>
  <c r="IE113" i="1"/>
  <c r="IF113" i="1"/>
  <c r="IG113" i="1"/>
  <c r="IH113" i="1"/>
  <c r="II113" i="1"/>
  <c r="IJ113" i="1"/>
  <c r="IK113" i="1"/>
  <c r="IL113" i="1"/>
  <c r="IM113" i="1"/>
  <c r="IN113" i="1"/>
  <c r="FR114" i="1"/>
  <c r="FS114" i="1"/>
  <c r="FT114" i="1"/>
  <c r="FU114" i="1"/>
  <c r="FV114" i="1"/>
  <c r="FW114" i="1"/>
  <c r="FX114" i="1"/>
  <c r="FY114" i="1"/>
  <c r="FZ114" i="1"/>
  <c r="GA114" i="1"/>
  <c r="GB114" i="1"/>
  <c r="GC114" i="1"/>
  <c r="GD114" i="1"/>
  <c r="GE114" i="1"/>
  <c r="GF114" i="1"/>
  <c r="GG114" i="1"/>
  <c r="GH114" i="1"/>
  <c r="GI114" i="1"/>
  <c r="GJ114" i="1"/>
  <c r="GK114" i="1"/>
  <c r="GL114" i="1"/>
  <c r="GM114" i="1"/>
  <c r="GN114" i="1"/>
  <c r="GO114" i="1"/>
  <c r="GP114" i="1"/>
  <c r="GQ114" i="1"/>
  <c r="GR114" i="1"/>
  <c r="GS114" i="1"/>
  <c r="GT114" i="1"/>
  <c r="GU114" i="1"/>
  <c r="GV114" i="1"/>
  <c r="GW114" i="1"/>
  <c r="GX114" i="1"/>
  <c r="GY114" i="1"/>
  <c r="GZ114" i="1"/>
  <c r="HA114" i="1"/>
  <c r="HB114" i="1"/>
  <c r="HC114" i="1"/>
  <c r="HD114" i="1"/>
  <c r="HE114" i="1"/>
  <c r="HF114" i="1"/>
  <c r="HG114" i="1"/>
  <c r="HH114" i="1"/>
  <c r="HI114" i="1"/>
  <c r="HJ114" i="1"/>
  <c r="HK114" i="1"/>
  <c r="HL114" i="1"/>
  <c r="HM114" i="1"/>
  <c r="HN114" i="1"/>
  <c r="HO114" i="1"/>
  <c r="HP114" i="1"/>
  <c r="HQ114" i="1"/>
  <c r="HR114" i="1"/>
  <c r="HS114" i="1"/>
  <c r="HT114" i="1"/>
  <c r="HU114" i="1"/>
  <c r="HV114" i="1"/>
  <c r="HW114" i="1"/>
  <c r="HX114" i="1"/>
  <c r="IB114" i="1"/>
  <c r="IC114" i="1"/>
  <c r="ID114" i="1"/>
  <c r="IE114" i="1"/>
  <c r="IF114" i="1"/>
  <c r="IG114" i="1"/>
  <c r="IH114" i="1"/>
  <c r="II114" i="1"/>
  <c r="IJ114" i="1"/>
  <c r="IK114" i="1"/>
  <c r="IL114" i="1"/>
  <c r="IM114" i="1"/>
  <c r="IN114" i="1"/>
  <c r="FR115" i="1"/>
  <c r="FS115" i="1"/>
  <c r="FT115" i="1"/>
  <c r="FU115" i="1"/>
  <c r="FV115" i="1"/>
  <c r="FW115" i="1"/>
  <c r="FX115" i="1"/>
  <c r="FY115" i="1"/>
  <c r="FZ115" i="1"/>
  <c r="GA115" i="1"/>
  <c r="GB115" i="1"/>
  <c r="GC115" i="1"/>
  <c r="GD115" i="1"/>
  <c r="GE115" i="1"/>
  <c r="GF115" i="1"/>
  <c r="GG115" i="1"/>
  <c r="GH115" i="1"/>
  <c r="GI115" i="1"/>
  <c r="GJ115" i="1"/>
  <c r="GK115" i="1"/>
  <c r="GL115" i="1"/>
  <c r="GM115" i="1"/>
  <c r="GN115" i="1"/>
  <c r="GO115" i="1"/>
  <c r="GP115" i="1"/>
  <c r="GQ115" i="1"/>
  <c r="GR115" i="1"/>
  <c r="GS115" i="1"/>
  <c r="GT115" i="1"/>
  <c r="GU115" i="1"/>
  <c r="GV115" i="1"/>
  <c r="GW115" i="1"/>
  <c r="GX115" i="1"/>
  <c r="GY115" i="1"/>
  <c r="GZ115" i="1"/>
  <c r="HA115" i="1"/>
  <c r="HB115" i="1"/>
  <c r="HC115" i="1"/>
  <c r="HD115" i="1"/>
  <c r="HE115" i="1"/>
  <c r="HF115" i="1"/>
  <c r="HG115" i="1"/>
  <c r="HH115" i="1"/>
  <c r="HI115" i="1"/>
  <c r="HJ115" i="1"/>
  <c r="HK115" i="1"/>
  <c r="HL115" i="1"/>
  <c r="HM115" i="1"/>
  <c r="HN115" i="1"/>
  <c r="HO115" i="1"/>
  <c r="HP115" i="1"/>
  <c r="HQ115" i="1"/>
  <c r="HR115" i="1"/>
  <c r="HS115" i="1"/>
  <c r="HT115" i="1"/>
  <c r="HU115" i="1"/>
  <c r="HV115" i="1"/>
  <c r="HW115" i="1"/>
  <c r="HX115" i="1"/>
  <c r="IB115" i="1"/>
  <c r="IC115" i="1"/>
  <c r="ID115" i="1"/>
  <c r="IE115" i="1"/>
  <c r="IF115" i="1"/>
  <c r="IG115" i="1"/>
  <c r="IH115" i="1"/>
  <c r="II115" i="1"/>
  <c r="IJ115" i="1"/>
  <c r="IK115" i="1"/>
  <c r="IL115" i="1"/>
  <c r="IM115" i="1"/>
  <c r="IN115" i="1"/>
  <c r="FR116" i="1"/>
  <c r="FS116" i="1"/>
  <c r="FT116" i="1"/>
  <c r="FU116" i="1"/>
  <c r="FV116" i="1"/>
  <c r="FW116" i="1"/>
  <c r="FX116" i="1"/>
  <c r="FY116" i="1"/>
  <c r="FZ116" i="1"/>
  <c r="GA116" i="1"/>
  <c r="GB116" i="1"/>
  <c r="GC116" i="1"/>
  <c r="GD116" i="1"/>
  <c r="GE116" i="1"/>
  <c r="GF116" i="1"/>
  <c r="GG116" i="1"/>
  <c r="GH116" i="1"/>
  <c r="GI116" i="1"/>
  <c r="GJ116" i="1"/>
  <c r="GK116" i="1"/>
  <c r="GL116" i="1"/>
  <c r="GM116" i="1"/>
  <c r="GN116" i="1"/>
  <c r="GO116" i="1"/>
  <c r="GP116" i="1"/>
  <c r="GQ116" i="1"/>
  <c r="GR116" i="1"/>
  <c r="GS116" i="1"/>
  <c r="GT116" i="1"/>
  <c r="GU116" i="1"/>
  <c r="GV116" i="1"/>
  <c r="GW116" i="1"/>
  <c r="GX116" i="1"/>
  <c r="GY116" i="1"/>
  <c r="GZ116" i="1"/>
  <c r="HA116" i="1"/>
  <c r="HB116" i="1"/>
  <c r="HC116" i="1"/>
  <c r="HD116" i="1"/>
  <c r="HE116" i="1"/>
  <c r="HF116" i="1"/>
  <c r="HG116" i="1"/>
  <c r="HH116" i="1"/>
  <c r="HI116" i="1"/>
  <c r="HJ116" i="1"/>
  <c r="HK116" i="1"/>
  <c r="HL116" i="1"/>
  <c r="HM116" i="1"/>
  <c r="HN116" i="1"/>
  <c r="HO116" i="1"/>
  <c r="HP116" i="1"/>
  <c r="HQ116" i="1"/>
  <c r="HR116" i="1"/>
  <c r="HS116" i="1"/>
  <c r="HT116" i="1"/>
  <c r="HU116" i="1"/>
  <c r="HV116" i="1"/>
  <c r="HW116" i="1"/>
  <c r="HX116" i="1"/>
  <c r="IB116" i="1"/>
  <c r="IC116" i="1"/>
  <c r="ID116" i="1"/>
  <c r="IE116" i="1"/>
  <c r="IF116" i="1"/>
  <c r="IG116" i="1"/>
  <c r="IH116" i="1"/>
  <c r="II116" i="1"/>
  <c r="IJ116" i="1"/>
  <c r="IK116" i="1"/>
  <c r="IL116" i="1"/>
  <c r="IM116" i="1"/>
  <c r="IN116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GF117" i="1"/>
  <c r="GG117" i="1"/>
  <c r="GH117" i="1"/>
  <c r="GI117" i="1"/>
  <c r="GJ117" i="1"/>
  <c r="GK117" i="1"/>
  <c r="GL117" i="1"/>
  <c r="GM117" i="1"/>
  <c r="GN117" i="1"/>
  <c r="GO117" i="1"/>
  <c r="GP117" i="1"/>
  <c r="GQ117" i="1"/>
  <c r="GR117" i="1"/>
  <c r="GS117" i="1"/>
  <c r="GT117" i="1"/>
  <c r="GU117" i="1"/>
  <c r="GV117" i="1"/>
  <c r="GW117" i="1"/>
  <c r="GX117" i="1"/>
  <c r="GY117" i="1"/>
  <c r="GZ117" i="1"/>
  <c r="HA117" i="1"/>
  <c r="HB117" i="1"/>
  <c r="HC117" i="1"/>
  <c r="HD117" i="1"/>
  <c r="HE117" i="1"/>
  <c r="HF117" i="1"/>
  <c r="HG117" i="1"/>
  <c r="HH117" i="1"/>
  <c r="HI117" i="1"/>
  <c r="HJ117" i="1"/>
  <c r="HK117" i="1"/>
  <c r="HL117" i="1"/>
  <c r="HM117" i="1"/>
  <c r="HN117" i="1"/>
  <c r="HO117" i="1"/>
  <c r="HP117" i="1"/>
  <c r="HQ117" i="1"/>
  <c r="HR117" i="1"/>
  <c r="HS117" i="1"/>
  <c r="HT117" i="1"/>
  <c r="HU117" i="1"/>
  <c r="HV117" i="1"/>
  <c r="HW117" i="1"/>
  <c r="HX117" i="1"/>
  <c r="IB117" i="1"/>
  <c r="IC117" i="1"/>
  <c r="ID117" i="1"/>
  <c r="IE117" i="1"/>
  <c r="IF117" i="1"/>
  <c r="IG117" i="1"/>
  <c r="IH117" i="1"/>
  <c r="II117" i="1"/>
  <c r="IJ117" i="1"/>
  <c r="IK117" i="1"/>
  <c r="IL117" i="1"/>
  <c r="IM117" i="1"/>
  <c r="IN117" i="1"/>
  <c r="FR118" i="1"/>
  <c r="FS118" i="1"/>
  <c r="FT118" i="1"/>
  <c r="FU118" i="1"/>
  <c r="FV118" i="1"/>
  <c r="FW118" i="1"/>
  <c r="FX118" i="1"/>
  <c r="FY118" i="1"/>
  <c r="FZ118" i="1"/>
  <c r="GA118" i="1"/>
  <c r="GB118" i="1"/>
  <c r="GC118" i="1"/>
  <c r="GD118" i="1"/>
  <c r="GE118" i="1"/>
  <c r="GF118" i="1"/>
  <c r="GG118" i="1"/>
  <c r="GH118" i="1"/>
  <c r="GI118" i="1"/>
  <c r="GJ118" i="1"/>
  <c r="GK118" i="1"/>
  <c r="GL118" i="1"/>
  <c r="GM118" i="1"/>
  <c r="GN118" i="1"/>
  <c r="GO118" i="1"/>
  <c r="GP118" i="1"/>
  <c r="GQ118" i="1"/>
  <c r="GR118" i="1"/>
  <c r="GS118" i="1"/>
  <c r="GT118" i="1"/>
  <c r="GU118" i="1"/>
  <c r="GV118" i="1"/>
  <c r="GW118" i="1"/>
  <c r="GX118" i="1"/>
  <c r="GY118" i="1"/>
  <c r="GZ118" i="1"/>
  <c r="HA118" i="1"/>
  <c r="HB118" i="1"/>
  <c r="HC118" i="1"/>
  <c r="HD118" i="1"/>
  <c r="HE118" i="1"/>
  <c r="HF118" i="1"/>
  <c r="HG118" i="1"/>
  <c r="HH118" i="1"/>
  <c r="HI118" i="1"/>
  <c r="HJ118" i="1"/>
  <c r="HK118" i="1"/>
  <c r="HL118" i="1"/>
  <c r="HM118" i="1"/>
  <c r="HN118" i="1"/>
  <c r="HO118" i="1"/>
  <c r="HP118" i="1"/>
  <c r="HQ118" i="1"/>
  <c r="HR118" i="1"/>
  <c r="HS118" i="1"/>
  <c r="HT118" i="1"/>
  <c r="HU118" i="1"/>
  <c r="HV118" i="1"/>
  <c r="HW118" i="1"/>
  <c r="HX118" i="1"/>
  <c r="IB118" i="1"/>
  <c r="IC118" i="1"/>
  <c r="ID118" i="1"/>
  <c r="IE118" i="1"/>
  <c r="IF118" i="1"/>
  <c r="IG118" i="1"/>
  <c r="IH118" i="1"/>
  <c r="II118" i="1"/>
  <c r="IJ118" i="1"/>
  <c r="IK118" i="1"/>
  <c r="IL118" i="1"/>
  <c r="IM118" i="1"/>
  <c r="IN118" i="1"/>
  <c r="FR119" i="1"/>
  <c r="FS119" i="1"/>
  <c r="FT119" i="1"/>
  <c r="FU119" i="1"/>
  <c r="FV119" i="1"/>
  <c r="FW119" i="1"/>
  <c r="FX119" i="1"/>
  <c r="FY119" i="1"/>
  <c r="FZ119" i="1"/>
  <c r="GA119" i="1"/>
  <c r="GB119" i="1"/>
  <c r="GC119" i="1"/>
  <c r="GD119" i="1"/>
  <c r="GE119" i="1"/>
  <c r="GF119" i="1"/>
  <c r="GG119" i="1"/>
  <c r="GH119" i="1"/>
  <c r="GI119" i="1"/>
  <c r="GJ119" i="1"/>
  <c r="GK119" i="1"/>
  <c r="GL119" i="1"/>
  <c r="GM119" i="1"/>
  <c r="GN119" i="1"/>
  <c r="GO119" i="1"/>
  <c r="GP119" i="1"/>
  <c r="GQ119" i="1"/>
  <c r="GR119" i="1"/>
  <c r="GS119" i="1"/>
  <c r="GT119" i="1"/>
  <c r="GU119" i="1"/>
  <c r="GV119" i="1"/>
  <c r="GW119" i="1"/>
  <c r="GX119" i="1"/>
  <c r="GY119" i="1"/>
  <c r="GZ119" i="1"/>
  <c r="HA119" i="1"/>
  <c r="HB119" i="1"/>
  <c r="HC119" i="1"/>
  <c r="HD119" i="1"/>
  <c r="HE119" i="1"/>
  <c r="HF119" i="1"/>
  <c r="HG119" i="1"/>
  <c r="HH119" i="1"/>
  <c r="HI119" i="1"/>
  <c r="HJ119" i="1"/>
  <c r="HK119" i="1"/>
  <c r="HL119" i="1"/>
  <c r="HM119" i="1"/>
  <c r="HN119" i="1"/>
  <c r="HO119" i="1"/>
  <c r="HP119" i="1"/>
  <c r="HQ119" i="1"/>
  <c r="HR119" i="1"/>
  <c r="HS119" i="1"/>
  <c r="HT119" i="1"/>
  <c r="HU119" i="1"/>
  <c r="HV119" i="1"/>
  <c r="HW119" i="1"/>
  <c r="HX119" i="1"/>
  <c r="IB119" i="1"/>
  <c r="IC119" i="1"/>
  <c r="ID119" i="1"/>
  <c r="IE119" i="1"/>
  <c r="IF119" i="1"/>
  <c r="IG119" i="1"/>
  <c r="IH119" i="1"/>
  <c r="II119" i="1"/>
  <c r="IJ119" i="1"/>
  <c r="IK119" i="1"/>
  <c r="IL119" i="1"/>
  <c r="IM119" i="1"/>
  <c r="IN119" i="1"/>
  <c r="FR120" i="1"/>
  <c r="FS120" i="1"/>
  <c r="FT120" i="1"/>
  <c r="FU120" i="1"/>
  <c r="FV120" i="1"/>
  <c r="FW120" i="1"/>
  <c r="FX120" i="1"/>
  <c r="FY120" i="1"/>
  <c r="FZ120" i="1"/>
  <c r="GA120" i="1"/>
  <c r="GB120" i="1"/>
  <c r="GC120" i="1"/>
  <c r="GD120" i="1"/>
  <c r="GE120" i="1"/>
  <c r="GF120" i="1"/>
  <c r="GG120" i="1"/>
  <c r="GH120" i="1"/>
  <c r="GI120" i="1"/>
  <c r="GJ120" i="1"/>
  <c r="GK120" i="1"/>
  <c r="GL120" i="1"/>
  <c r="GM120" i="1"/>
  <c r="GN120" i="1"/>
  <c r="GO120" i="1"/>
  <c r="GP120" i="1"/>
  <c r="GQ120" i="1"/>
  <c r="GR120" i="1"/>
  <c r="GS120" i="1"/>
  <c r="GT120" i="1"/>
  <c r="GU120" i="1"/>
  <c r="GV120" i="1"/>
  <c r="GW120" i="1"/>
  <c r="GX120" i="1"/>
  <c r="GY120" i="1"/>
  <c r="GZ120" i="1"/>
  <c r="HA120" i="1"/>
  <c r="HB120" i="1"/>
  <c r="HC120" i="1"/>
  <c r="HD120" i="1"/>
  <c r="HE120" i="1"/>
  <c r="HF120" i="1"/>
  <c r="HG120" i="1"/>
  <c r="HH120" i="1"/>
  <c r="HI120" i="1"/>
  <c r="HJ120" i="1"/>
  <c r="HK120" i="1"/>
  <c r="HL120" i="1"/>
  <c r="HM120" i="1"/>
  <c r="HN120" i="1"/>
  <c r="HO120" i="1"/>
  <c r="HP120" i="1"/>
  <c r="HQ120" i="1"/>
  <c r="HR120" i="1"/>
  <c r="HS120" i="1"/>
  <c r="HT120" i="1"/>
  <c r="HU120" i="1"/>
  <c r="HV120" i="1"/>
  <c r="HW120" i="1"/>
  <c r="HX120" i="1"/>
  <c r="IB120" i="1"/>
  <c r="IC120" i="1"/>
  <c r="ID120" i="1"/>
  <c r="IE120" i="1"/>
  <c r="IF120" i="1"/>
  <c r="IG120" i="1"/>
  <c r="IH120" i="1"/>
  <c r="II120" i="1"/>
  <c r="IJ120" i="1"/>
  <c r="IK120" i="1"/>
  <c r="IL120" i="1"/>
  <c r="IM120" i="1"/>
  <c r="IN120" i="1"/>
  <c r="FR121" i="1"/>
  <c r="FS121" i="1"/>
  <c r="FT121" i="1"/>
  <c r="FU121" i="1"/>
  <c r="FV121" i="1"/>
  <c r="FW121" i="1"/>
  <c r="FX121" i="1"/>
  <c r="FY121" i="1"/>
  <c r="FZ121" i="1"/>
  <c r="GA121" i="1"/>
  <c r="GB121" i="1"/>
  <c r="GC121" i="1"/>
  <c r="GD121" i="1"/>
  <c r="GE121" i="1"/>
  <c r="GF121" i="1"/>
  <c r="GG121" i="1"/>
  <c r="GH121" i="1"/>
  <c r="GI121" i="1"/>
  <c r="GJ121" i="1"/>
  <c r="GK121" i="1"/>
  <c r="GL121" i="1"/>
  <c r="GM121" i="1"/>
  <c r="GN121" i="1"/>
  <c r="GO121" i="1"/>
  <c r="GP121" i="1"/>
  <c r="GQ121" i="1"/>
  <c r="GR121" i="1"/>
  <c r="GS121" i="1"/>
  <c r="GT121" i="1"/>
  <c r="GU121" i="1"/>
  <c r="GV121" i="1"/>
  <c r="GW121" i="1"/>
  <c r="GX121" i="1"/>
  <c r="GY121" i="1"/>
  <c r="GZ121" i="1"/>
  <c r="HA121" i="1"/>
  <c r="HB121" i="1"/>
  <c r="HC121" i="1"/>
  <c r="HD121" i="1"/>
  <c r="HE121" i="1"/>
  <c r="HF121" i="1"/>
  <c r="HG121" i="1"/>
  <c r="HH121" i="1"/>
  <c r="HI121" i="1"/>
  <c r="HJ121" i="1"/>
  <c r="HK121" i="1"/>
  <c r="HL121" i="1"/>
  <c r="HM121" i="1"/>
  <c r="HN121" i="1"/>
  <c r="HO121" i="1"/>
  <c r="HP121" i="1"/>
  <c r="HQ121" i="1"/>
  <c r="HR121" i="1"/>
  <c r="HS121" i="1"/>
  <c r="HT121" i="1"/>
  <c r="HU121" i="1"/>
  <c r="HV121" i="1"/>
  <c r="HW121" i="1"/>
  <c r="HX121" i="1"/>
  <c r="IB121" i="1"/>
  <c r="IC121" i="1"/>
  <c r="ID121" i="1"/>
  <c r="IE121" i="1"/>
  <c r="IF121" i="1"/>
  <c r="IG121" i="1"/>
  <c r="IH121" i="1"/>
  <c r="II121" i="1"/>
  <c r="IJ121" i="1"/>
  <c r="IK121" i="1"/>
  <c r="IL121" i="1"/>
  <c r="IM121" i="1"/>
  <c r="IN121" i="1"/>
  <c r="FR122" i="1"/>
  <c r="FS122" i="1"/>
  <c r="FT122" i="1"/>
  <c r="FU122" i="1"/>
  <c r="FV122" i="1"/>
  <c r="FW122" i="1"/>
  <c r="FX122" i="1"/>
  <c r="FY122" i="1"/>
  <c r="FZ122" i="1"/>
  <c r="GA122" i="1"/>
  <c r="GB122" i="1"/>
  <c r="GC122" i="1"/>
  <c r="GD122" i="1"/>
  <c r="GE122" i="1"/>
  <c r="GF122" i="1"/>
  <c r="GG122" i="1"/>
  <c r="GH122" i="1"/>
  <c r="GI122" i="1"/>
  <c r="GJ122" i="1"/>
  <c r="GK122" i="1"/>
  <c r="GL122" i="1"/>
  <c r="GM122" i="1"/>
  <c r="GN122" i="1"/>
  <c r="GO122" i="1"/>
  <c r="GP122" i="1"/>
  <c r="GQ122" i="1"/>
  <c r="GR122" i="1"/>
  <c r="GS122" i="1"/>
  <c r="GT122" i="1"/>
  <c r="GU122" i="1"/>
  <c r="GV122" i="1"/>
  <c r="GW122" i="1"/>
  <c r="GX122" i="1"/>
  <c r="GY122" i="1"/>
  <c r="GZ122" i="1"/>
  <c r="HA122" i="1"/>
  <c r="HB122" i="1"/>
  <c r="HC122" i="1"/>
  <c r="HD122" i="1"/>
  <c r="HE122" i="1"/>
  <c r="HF122" i="1"/>
  <c r="HG122" i="1"/>
  <c r="HH122" i="1"/>
  <c r="HI122" i="1"/>
  <c r="HJ122" i="1"/>
  <c r="HK122" i="1"/>
  <c r="HL122" i="1"/>
  <c r="HM122" i="1"/>
  <c r="HN122" i="1"/>
  <c r="HO122" i="1"/>
  <c r="HP122" i="1"/>
  <c r="HQ122" i="1"/>
  <c r="HR122" i="1"/>
  <c r="HS122" i="1"/>
  <c r="HT122" i="1"/>
  <c r="HU122" i="1"/>
  <c r="HV122" i="1"/>
  <c r="HW122" i="1"/>
  <c r="HX122" i="1"/>
  <c r="IB122" i="1"/>
  <c r="IC122" i="1"/>
  <c r="ID122" i="1"/>
  <c r="IE122" i="1"/>
  <c r="IF122" i="1"/>
  <c r="IG122" i="1"/>
  <c r="IH122" i="1"/>
  <c r="II122" i="1"/>
  <c r="IJ122" i="1"/>
  <c r="IK122" i="1"/>
  <c r="IL122" i="1"/>
  <c r="IM122" i="1"/>
  <c r="IN122" i="1"/>
  <c r="FR123" i="1"/>
  <c r="FS123" i="1"/>
  <c r="FT123" i="1"/>
  <c r="FU123" i="1"/>
  <c r="FV123" i="1"/>
  <c r="FW123" i="1"/>
  <c r="FX123" i="1"/>
  <c r="FY123" i="1"/>
  <c r="FZ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GS123" i="1"/>
  <c r="GT123" i="1"/>
  <c r="GU123" i="1"/>
  <c r="GV123" i="1"/>
  <c r="GW123" i="1"/>
  <c r="GX123" i="1"/>
  <c r="GY123" i="1"/>
  <c r="GZ123" i="1"/>
  <c r="HA123" i="1"/>
  <c r="HB123" i="1"/>
  <c r="HC123" i="1"/>
  <c r="HD123" i="1"/>
  <c r="HE123" i="1"/>
  <c r="HF123" i="1"/>
  <c r="HG123" i="1"/>
  <c r="HH123" i="1"/>
  <c r="HI123" i="1"/>
  <c r="HJ123" i="1"/>
  <c r="HK123" i="1"/>
  <c r="HL123" i="1"/>
  <c r="HM123" i="1"/>
  <c r="HN123" i="1"/>
  <c r="HO123" i="1"/>
  <c r="HP123" i="1"/>
  <c r="HQ123" i="1"/>
  <c r="HR123" i="1"/>
  <c r="HS123" i="1"/>
  <c r="HT123" i="1"/>
  <c r="HU123" i="1"/>
  <c r="HV123" i="1"/>
  <c r="HW123" i="1"/>
  <c r="HX123" i="1"/>
  <c r="IB123" i="1"/>
  <c r="IC123" i="1"/>
  <c r="ID123" i="1"/>
  <c r="IE123" i="1"/>
  <c r="IF123" i="1"/>
  <c r="IG123" i="1"/>
  <c r="IH123" i="1"/>
  <c r="II123" i="1"/>
  <c r="IJ123" i="1"/>
  <c r="IK123" i="1"/>
  <c r="IL123" i="1"/>
  <c r="IM123" i="1"/>
  <c r="IN123" i="1"/>
  <c r="FR124" i="1"/>
  <c r="FS124" i="1"/>
  <c r="FT124" i="1"/>
  <c r="FU124" i="1"/>
  <c r="FV124" i="1"/>
  <c r="FW124" i="1"/>
  <c r="FX124" i="1"/>
  <c r="FY124" i="1"/>
  <c r="FZ124" i="1"/>
  <c r="GA124" i="1"/>
  <c r="GB124" i="1"/>
  <c r="GC124" i="1"/>
  <c r="GD124" i="1"/>
  <c r="GE124" i="1"/>
  <c r="GF124" i="1"/>
  <c r="GG124" i="1"/>
  <c r="GH124" i="1"/>
  <c r="GI124" i="1"/>
  <c r="GJ124" i="1"/>
  <c r="GK124" i="1"/>
  <c r="GL124" i="1"/>
  <c r="GM124" i="1"/>
  <c r="GN124" i="1"/>
  <c r="GO124" i="1"/>
  <c r="GP124" i="1"/>
  <c r="GQ124" i="1"/>
  <c r="GR124" i="1"/>
  <c r="GS124" i="1"/>
  <c r="GT124" i="1"/>
  <c r="GU124" i="1"/>
  <c r="GV124" i="1"/>
  <c r="GW124" i="1"/>
  <c r="GX124" i="1"/>
  <c r="GY124" i="1"/>
  <c r="GZ124" i="1"/>
  <c r="HA124" i="1"/>
  <c r="HB124" i="1"/>
  <c r="HC124" i="1"/>
  <c r="HD124" i="1"/>
  <c r="HE124" i="1"/>
  <c r="HF124" i="1"/>
  <c r="HG124" i="1"/>
  <c r="HH124" i="1"/>
  <c r="HI124" i="1"/>
  <c r="HJ124" i="1"/>
  <c r="HK124" i="1"/>
  <c r="HL124" i="1"/>
  <c r="HM124" i="1"/>
  <c r="HN124" i="1"/>
  <c r="HO124" i="1"/>
  <c r="HP124" i="1"/>
  <c r="HQ124" i="1"/>
  <c r="HR124" i="1"/>
  <c r="HS124" i="1"/>
  <c r="HT124" i="1"/>
  <c r="HU124" i="1"/>
  <c r="HV124" i="1"/>
  <c r="HW124" i="1"/>
  <c r="HX124" i="1"/>
  <c r="IB124" i="1"/>
  <c r="IC124" i="1"/>
  <c r="ID124" i="1"/>
  <c r="IE124" i="1"/>
  <c r="IF124" i="1"/>
  <c r="IG124" i="1"/>
  <c r="IH124" i="1"/>
  <c r="II124" i="1"/>
  <c r="IJ124" i="1"/>
  <c r="IK124" i="1"/>
  <c r="IL124" i="1"/>
  <c r="IM124" i="1"/>
  <c r="IN124" i="1"/>
  <c r="FR125" i="1"/>
  <c r="FS125" i="1"/>
  <c r="FT125" i="1"/>
  <c r="FU125" i="1"/>
  <c r="FV125" i="1"/>
  <c r="FW125" i="1"/>
  <c r="FX125" i="1"/>
  <c r="FY125" i="1"/>
  <c r="FZ125" i="1"/>
  <c r="GA125" i="1"/>
  <c r="GB125" i="1"/>
  <c r="GC125" i="1"/>
  <c r="GD125" i="1"/>
  <c r="GE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GY125" i="1"/>
  <c r="GZ125" i="1"/>
  <c r="HA125" i="1"/>
  <c r="HB125" i="1"/>
  <c r="HC125" i="1"/>
  <c r="HD125" i="1"/>
  <c r="HE125" i="1"/>
  <c r="HF125" i="1"/>
  <c r="HG125" i="1"/>
  <c r="HH125" i="1"/>
  <c r="HI125" i="1"/>
  <c r="HJ125" i="1"/>
  <c r="HK125" i="1"/>
  <c r="HL125" i="1"/>
  <c r="HM125" i="1"/>
  <c r="HN125" i="1"/>
  <c r="HO125" i="1"/>
  <c r="HP125" i="1"/>
  <c r="HQ125" i="1"/>
  <c r="HR125" i="1"/>
  <c r="HS125" i="1"/>
  <c r="HT125" i="1"/>
  <c r="HU125" i="1"/>
  <c r="HV125" i="1"/>
  <c r="HW125" i="1"/>
  <c r="HX125" i="1"/>
  <c r="IB125" i="1"/>
  <c r="IC125" i="1"/>
  <c r="ID125" i="1"/>
  <c r="IE125" i="1"/>
  <c r="IF125" i="1"/>
  <c r="IG125" i="1"/>
  <c r="IH125" i="1"/>
  <c r="II125" i="1"/>
  <c r="IJ125" i="1"/>
  <c r="IK125" i="1"/>
  <c r="IL125" i="1"/>
  <c r="IM125" i="1"/>
  <c r="IN125" i="1"/>
  <c r="FR126" i="1"/>
  <c r="FS126" i="1"/>
  <c r="FT126" i="1"/>
  <c r="FU126" i="1"/>
  <c r="FV126" i="1"/>
  <c r="FW126" i="1"/>
  <c r="FX126" i="1"/>
  <c r="FY126" i="1"/>
  <c r="FZ126" i="1"/>
  <c r="GA126" i="1"/>
  <c r="GB126" i="1"/>
  <c r="GC126" i="1"/>
  <c r="GD126" i="1"/>
  <c r="GE126" i="1"/>
  <c r="GF126" i="1"/>
  <c r="GG126" i="1"/>
  <c r="GH126" i="1"/>
  <c r="GI126" i="1"/>
  <c r="GJ126" i="1"/>
  <c r="GK126" i="1"/>
  <c r="GL126" i="1"/>
  <c r="GM126" i="1"/>
  <c r="GN126" i="1"/>
  <c r="GO126" i="1"/>
  <c r="GP126" i="1"/>
  <c r="GQ126" i="1"/>
  <c r="GR126" i="1"/>
  <c r="GS126" i="1"/>
  <c r="GT126" i="1"/>
  <c r="GU126" i="1"/>
  <c r="GV126" i="1"/>
  <c r="GW126" i="1"/>
  <c r="GX126" i="1"/>
  <c r="GY126" i="1"/>
  <c r="GZ126" i="1"/>
  <c r="HA126" i="1"/>
  <c r="HB126" i="1"/>
  <c r="HC126" i="1"/>
  <c r="HD126" i="1"/>
  <c r="HE126" i="1"/>
  <c r="HF126" i="1"/>
  <c r="HG126" i="1"/>
  <c r="HH126" i="1"/>
  <c r="HI126" i="1"/>
  <c r="HJ126" i="1"/>
  <c r="HK126" i="1"/>
  <c r="HL126" i="1"/>
  <c r="HM126" i="1"/>
  <c r="HN126" i="1"/>
  <c r="HO126" i="1"/>
  <c r="HP126" i="1"/>
  <c r="HQ126" i="1"/>
  <c r="HR126" i="1"/>
  <c r="HS126" i="1"/>
  <c r="HT126" i="1"/>
  <c r="HU126" i="1"/>
  <c r="HV126" i="1"/>
  <c r="HW126" i="1"/>
  <c r="HX126" i="1"/>
  <c r="IB126" i="1"/>
  <c r="IC126" i="1"/>
  <c r="ID126" i="1"/>
  <c r="IE126" i="1"/>
  <c r="IF126" i="1"/>
  <c r="IG126" i="1"/>
  <c r="IH126" i="1"/>
  <c r="II126" i="1"/>
  <c r="IJ126" i="1"/>
  <c r="IK126" i="1"/>
  <c r="IL126" i="1"/>
  <c r="IM126" i="1"/>
  <c r="IN126" i="1"/>
  <c r="HM128" i="1"/>
  <c r="HN128" i="1"/>
  <c r="HO128" i="1"/>
  <c r="HP128" i="1"/>
  <c r="HQ128" i="1"/>
  <c r="HR128" i="1"/>
  <c r="HS128" i="1"/>
  <c r="HT128" i="1"/>
  <c r="HU128" i="1"/>
  <c r="HV128" i="1"/>
  <c r="HW128" i="1"/>
  <c r="HX128" i="1"/>
  <c r="HM129" i="1"/>
  <c r="HN129" i="1"/>
  <c r="HO129" i="1"/>
  <c r="HP129" i="1"/>
  <c r="HQ129" i="1"/>
  <c r="HR129" i="1"/>
  <c r="HS129" i="1"/>
  <c r="HT129" i="1"/>
  <c r="HU129" i="1"/>
  <c r="HV129" i="1"/>
  <c r="HW129" i="1"/>
  <c r="HX129" i="1"/>
  <c r="FR130" i="1"/>
  <c r="FS130" i="1"/>
  <c r="FT130" i="1"/>
  <c r="FU130" i="1"/>
  <c r="FV130" i="1"/>
  <c r="FW130" i="1"/>
  <c r="FX130" i="1"/>
  <c r="FY130" i="1"/>
  <c r="FZ130" i="1"/>
  <c r="GA130" i="1"/>
  <c r="GB130" i="1"/>
  <c r="GC130" i="1"/>
  <c r="GD130" i="1"/>
  <c r="GE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GS130" i="1"/>
  <c r="GT130" i="1"/>
  <c r="GU130" i="1"/>
  <c r="GV130" i="1"/>
  <c r="GW130" i="1"/>
  <c r="GX130" i="1"/>
  <c r="GY130" i="1"/>
  <c r="GZ130" i="1"/>
  <c r="HA130" i="1"/>
  <c r="HB130" i="1"/>
  <c r="HC130" i="1"/>
  <c r="HD130" i="1"/>
  <c r="HE130" i="1"/>
  <c r="HF130" i="1"/>
  <c r="HG130" i="1"/>
  <c r="HH130" i="1"/>
  <c r="HI130" i="1"/>
  <c r="HJ130" i="1"/>
  <c r="HK130" i="1"/>
  <c r="HL130" i="1"/>
  <c r="HM130" i="1"/>
  <c r="HN130" i="1"/>
  <c r="HO130" i="1"/>
  <c r="HP130" i="1"/>
  <c r="HQ130" i="1"/>
  <c r="HR130" i="1"/>
  <c r="HS130" i="1"/>
  <c r="HT130" i="1"/>
  <c r="HU130" i="1"/>
  <c r="HV130" i="1"/>
  <c r="HW130" i="1"/>
  <c r="HX130" i="1"/>
  <c r="IB130" i="1"/>
  <c r="IC130" i="1"/>
  <c r="ID130" i="1"/>
  <c r="IE130" i="1"/>
  <c r="IF130" i="1"/>
  <c r="IG130" i="1"/>
  <c r="IH130" i="1"/>
  <c r="II130" i="1"/>
  <c r="IJ130" i="1"/>
  <c r="IK130" i="1"/>
  <c r="IL130" i="1"/>
  <c r="IM130" i="1"/>
  <c r="IN130" i="1"/>
  <c r="FR131" i="1"/>
  <c r="FS131" i="1"/>
  <c r="FT131" i="1"/>
  <c r="FU131" i="1"/>
  <c r="FV131" i="1"/>
  <c r="FW131" i="1"/>
  <c r="FX131" i="1"/>
  <c r="FY131" i="1"/>
  <c r="FZ131" i="1"/>
  <c r="GA131" i="1"/>
  <c r="GB131" i="1"/>
  <c r="GC131" i="1"/>
  <c r="GD131" i="1"/>
  <c r="GE131" i="1"/>
  <c r="GF131" i="1"/>
  <c r="GG131" i="1"/>
  <c r="GH131" i="1"/>
  <c r="GI131" i="1"/>
  <c r="GJ131" i="1"/>
  <c r="GK131" i="1"/>
  <c r="GL131" i="1"/>
  <c r="GM131" i="1"/>
  <c r="GN131" i="1"/>
  <c r="GO131" i="1"/>
  <c r="GP131" i="1"/>
  <c r="GQ131" i="1"/>
  <c r="GR131" i="1"/>
  <c r="GS131" i="1"/>
  <c r="GT131" i="1"/>
  <c r="GU131" i="1"/>
  <c r="GV131" i="1"/>
  <c r="GW131" i="1"/>
  <c r="GX131" i="1"/>
  <c r="GY131" i="1"/>
  <c r="GZ131" i="1"/>
  <c r="HA131" i="1"/>
  <c r="HB131" i="1"/>
  <c r="HC131" i="1"/>
  <c r="HD131" i="1"/>
  <c r="HE131" i="1"/>
  <c r="HF131" i="1"/>
  <c r="HG131" i="1"/>
  <c r="HH131" i="1"/>
  <c r="HI131" i="1"/>
  <c r="HJ131" i="1"/>
  <c r="HK131" i="1"/>
  <c r="HL131" i="1"/>
  <c r="HM131" i="1"/>
  <c r="HN131" i="1"/>
  <c r="HO131" i="1"/>
  <c r="HP131" i="1"/>
  <c r="HQ131" i="1"/>
  <c r="HR131" i="1"/>
  <c r="HS131" i="1"/>
  <c r="HT131" i="1"/>
  <c r="HU131" i="1"/>
  <c r="HV131" i="1"/>
  <c r="HW131" i="1"/>
  <c r="HX131" i="1"/>
  <c r="IB131" i="1"/>
  <c r="IC131" i="1"/>
  <c r="ID131" i="1"/>
  <c r="IE131" i="1"/>
  <c r="IF131" i="1"/>
  <c r="IG131" i="1"/>
  <c r="IH131" i="1"/>
  <c r="II131" i="1"/>
  <c r="IJ131" i="1"/>
  <c r="IK131" i="1"/>
  <c r="IL131" i="1"/>
  <c r="IM131" i="1"/>
  <c r="IN131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GJ132" i="1"/>
  <c r="GK132" i="1"/>
  <c r="GL132" i="1"/>
  <c r="GM132" i="1"/>
  <c r="GN132" i="1"/>
  <c r="GO132" i="1"/>
  <c r="GP132" i="1"/>
  <c r="GQ132" i="1"/>
  <c r="GR132" i="1"/>
  <c r="GS132" i="1"/>
  <c r="GT132" i="1"/>
  <c r="GU132" i="1"/>
  <c r="GV132" i="1"/>
  <c r="GW132" i="1"/>
  <c r="GX132" i="1"/>
  <c r="GY132" i="1"/>
  <c r="GZ132" i="1"/>
  <c r="HA132" i="1"/>
  <c r="HB132" i="1"/>
  <c r="HC132" i="1"/>
  <c r="HD132" i="1"/>
  <c r="HE132" i="1"/>
  <c r="HF132" i="1"/>
  <c r="HG132" i="1"/>
  <c r="HH132" i="1"/>
  <c r="HI132" i="1"/>
  <c r="HJ132" i="1"/>
  <c r="HK132" i="1"/>
  <c r="HL132" i="1"/>
  <c r="HM132" i="1"/>
  <c r="HN132" i="1"/>
  <c r="HO132" i="1"/>
  <c r="HP132" i="1"/>
  <c r="HQ132" i="1"/>
  <c r="HR132" i="1"/>
  <c r="HS132" i="1"/>
  <c r="HT132" i="1"/>
  <c r="HU132" i="1"/>
  <c r="HV132" i="1"/>
  <c r="HW132" i="1"/>
  <c r="HX132" i="1"/>
  <c r="IB132" i="1"/>
  <c r="IC132" i="1"/>
  <c r="ID132" i="1"/>
  <c r="IE132" i="1"/>
  <c r="IF132" i="1"/>
  <c r="IG132" i="1"/>
  <c r="IH132" i="1"/>
  <c r="II132" i="1"/>
  <c r="IJ132" i="1"/>
  <c r="IK132" i="1"/>
  <c r="IL132" i="1"/>
  <c r="IM132" i="1"/>
  <c r="IN132" i="1"/>
  <c r="FR133" i="1"/>
  <c r="FS133" i="1"/>
  <c r="FT133" i="1"/>
  <c r="FU133" i="1"/>
  <c r="FV133" i="1"/>
  <c r="FW133" i="1"/>
  <c r="FX133" i="1"/>
  <c r="FY133" i="1"/>
  <c r="FZ133" i="1"/>
  <c r="GA133" i="1"/>
  <c r="GB133" i="1"/>
  <c r="GC133" i="1"/>
  <c r="GD133" i="1"/>
  <c r="GE133" i="1"/>
  <c r="GF133" i="1"/>
  <c r="GG133" i="1"/>
  <c r="GH133" i="1"/>
  <c r="GI133" i="1"/>
  <c r="GJ133" i="1"/>
  <c r="GK133" i="1"/>
  <c r="GL133" i="1"/>
  <c r="GM133" i="1"/>
  <c r="GN133" i="1"/>
  <c r="GO133" i="1"/>
  <c r="GP133" i="1"/>
  <c r="GQ133" i="1"/>
  <c r="GR133" i="1"/>
  <c r="GS133" i="1"/>
  <c r="GT133" i="1"/>
  <c r="GU133" i="1"/>
  <c r="GV133" i="1"/>
  <c r="GW133" i="1"/>
  <c r="GX133" i="1"/>
  <c r="GY133" i="1"/>
  <c r="GZ133" i="1"/>
  <c r="HA133" i="1"/>
  <c r="HB133" i="1"/>
  <c r="HC133" i="1"/>
  <c r="HD133" i="1"/>
  <c r="HE133" i="1"/>
  <c r="HF133" i="1"/>
  <c r="HG133" i="1"/>
  <c r="HH133" i="1"/>
  <c r="HI133" i="1"/>
  <c r="HJ133" i="1"/>
  <c r="HK133" i="1"/>
  <c r="HL133" i="1"/>
  <c r="HM133" i="1"/>
  <c r="HN133" i="1"/>
  <c r="HO133" i="1"/>
  <c r="HP133" i="1"/>
  <c r="HQ133" i="1"/>
  <c r="HR133" i="1"/>
  <c r="HS133" i="1"/>
  <c r="HT133" i="1"/>
  <c r="HU133" i="1"/>
  <c r="HV133" i="1"/>
  <c r="HW133" i="1"/>
  <c r="HX133" i="1"/>
  <c r="IB133" i="1"/>
  <c r="IC133" i="1"/>
  <c r="ID133" i="1"/>
  <c r="IE133" i="1"/>
  <c r="IF133" i="1"/>
  <c r="IG133" i="1"/>
  <c r="IH133" i="1"/>
  <c r="II133" i="1"/>
  <c r="IJ133" i="1"/>
  <c r="IK133" i="1"/>
  <c r="IL133" i="1"/>
  <c r="IM133" i="1"/>
  <c r="IN133" i="1"/>
  <c r="FR134" i="1"/>
  <c r="FS134" i="1"/>
  <c r="FT134" i="1"/>
  <c r="FU134" i="1"/>
  <c r="FV134" i="1"/>
  <c r="FW134" i="1"/>
  <c r="FX134" i="1"/>
  <c r="FY134" i="1"/>
  <c r="FZ134" i="1"/>
  <c r="GA134" i="1"/>
  <c r="GB134" i="1"/>
  <c r="GC134" i="1"/>
  <c r="GD134" i="1"/>
  <c r="GE134" i="1"/>
  <c r="GF134" i="1"/>
  <c r="GG134" i="1"/>
  <c r="GH134" i="1"/>
  <c r="GI134" i="1"/>
  <c r="GJ134" i="1"/>
  <c r="GK134" i="1"/>
  <c r="GL134" i="1"/>
  <c r="GM134" i="1"/>
  <c r="GN134" i="1"/>
  <c r="GO134" i="1"/>
  <c r="GP134" i="1"/>
  <c r="GQ134" i="1"/>
  <c r="GR134" i="1"/>
  <c r="GS134" i="1"/>
  <c r="GT134" i="1"/>
  <c r="GU134" i="1"/>
  <c r="GV134" i="1"/>
  <c r="GW134" i="1"/>
  <c r="GX134" i="1"/>
  <c r="GY134" i="1"/>
  <c r="GZ134" i="1"/>
  <c r="HA134" i="1"/>
  <c r="HB134" i="1"/>
  <c r="HC134" i="1"/>
  <c r="HD134" i="1"/>
  <c r="HE134" i="1"/>
  <c r="HF134" i="1"/>
  <c r="HG134" i="1"/>
  <c r="HH134" i="1"/>
  <c r="HI134" i="1"/>
  <c r="HJ134" i="1"/>
  <c r="HK134" i="1"/>
  <c r="HL134" i="1"/>
  <c r="HM134" i="1"/>
  <c r="HN134" i="1"/>
  <c r="HO134" i="1"/>
  <c r="HP134" i="1"/>
  <c r="HQ134" i="1"/>
  <c r="HR134" i="1"/>
  <c r="HS134" i="1"/>
  <c r="HT134" i="1"/>
  <c r="HU134" i="1"/>
  <c r="HV134" i="1"/>
  <c r="HW134" i="1"/>
  <c r="HX134" i="1"/>
  <c r="IB134" i="1"/>
  <c r="IC134" i="1"/>
  <c r="ID134" i="1"/>
  <c r="IE134" i="1"/>
  <c r="IF134" i="1"/>
  <c r="IG134" i="1"/>
  <c r="IH134" i="1"/>
  <c r="II134" i="1"/>
  <c r="IJ134" i="1"/>
  <c r="IK134" i="1"/>
  <c r="IL134" i="1"/>
  <c r="IM134" i="1"/>
  <c r="IN134" i="1"/>
  <c r="FR135" i="1"/>
  <c r="FS135" i="1"/>
  <c r="FT135" i="1"/>
  <c r="FU135" i="1"/>
  <c r="FV135" i="1"/>
  <c r="FW135" i="1"/>
  <c r="FX135" i="1"/>
  <c r="FY135" i="1"/>
  <c r="FZ135" i="1"/>
  <c r="GA135" i="1"/>
  <c r="GB135" i="1"/>
  <c r="GC135" i="1"/>
  <c r="GD135" i="1"/>
  <c r="GE135" i="1"/>
  <c r="GF135" i="1"/>
  <c r="GG135" i="1"/>
  <c r="GH135" i="1"/>
  <c r="GI135" i="1"/>
  <c r="GJ135" i="1"/>
  <c r="GK135" i="1"/>
  <c r="GL135" i="1"/>
  <c r="GM135" i="1"/>
  <c r="GN135" i="1"/>
  <c r="GO135" i="1"/>
  <c r="GP135" i="1"/>
  <c r="GQ135" i="1"/>
  <c r="GR135" i="1"/>
  <c r="GS135" i="1"/>
  <c r="GT135" i="1"/>
  <c r="GU135" i="1"/>
  <c r="GV135" i="1"/>
  <c r="GW135" i="1"/>
  <c r="GX135" i="1"/>
  <c r="GY135" i="1"/>
  <c r="GZ135" i="1"/>
  <c r="HA135" i="1"/>
  <c r="HB135" i="1"/>
  <c r="HC135" i="1"/>
  <c r="HD135" i="1"/>
  <c r="HE135" i="1"/>
  <c r="HF135" i="1"/>
  <c r="HG135" i="1"/>
  <c r="HH135" i="1"/>
  <c r="HI135" i="1"/>
  <c r="HJ135" i="1"/>
  <c r="HK135" i="1"/>
  <c r="HL135" i="1"/>
  <c r="HM135" i="1"/>
  <c r="HN135" i="1"/>
  <c r="HO135" i="1"/>
  <c r="HP135" i="1"/>
  <c r="HQ135" i="1"/>
  <c r="HR135" i="1"/>
  <c r="HS135" i="1"/>
  <c r="HT135" i="1"/>
  <c r="HU135" i="1"/>
  <c r="HV135" i="1"/>
  <c r="HW135" i="1"/>
  <c r="HX135" i="1"/>
  <c r="IB135" i="1"/>
  <c r="IC135" i="1"/>
  <c r="ID135" i="1"/>
  <c r="IE135" i="1"/>
  <c r="IF135" i="1"/>
  <c r="IG135" i="1"/>
  <c r="IH135" i="1"/>
  <c r="II135" i="1"/>
  <c r="IJ135" i="1"/>
  <c r="IK135" i="1"/>
  <c r="IL135" i="1"/>
  <c r="IM135" i="1"/>
  <c r="IN135" i="1"/>
  <c r="FR136" i="1"/>
  <c r="FS136" i="1"/>
  <c r="FT136" i="1"/>
  <c r="FU136" i="1"/>
  <c r="FV136" i="1"/>
  <c r="FW136" i="1"/>
  <c r="FX136" i="1"/>
  <c r="FY136" i="1"/>
  <c r="FZ136" i="1"/>
  <c r="GA136" i="1"/>
  <c r="GB136" i="1"/>
  <c r="GC136" i="1"/>
  <c r="GD136" i="1"/>
  <c r="GE136" i="1"/>
  <c r="GF136" i="1"/>
  <c r="GG136" i="1"/>
  <c r="GH136" i="1"/>
  <c r="GI136" i="1"/>
  <c r="GJ136" i="1"/>
  <c r="GK136" i="1"/>
  <c r="GL136" i="1"/>
  <c r="GM136" i="1"/>
  <c r="GN136" i="1"/>
  <c r="GO136" i="1"/>
  <c r="GP136" i="1"/>
  <c r="GQ136" i="1"/>
  <c r="GR136" i="1"/>
  <c r="GS136" i="1"/>
  <c r="GT136" i="1"/>
  <c r="GU136" i="1"/>
  <c r="GV136" i="1"/>
  <c r="GW136" i="1"/>
  <c r="GX136" i="1"/>
  <c r="GY136" i="1"/>
  <c r="GZ136" i="1"/>
  <c r="HA136" i="1"/>
  <c r="HB136" i="1"/>
  <c r="HC136" i="1"/>
  <c r="HD136" i="1"/>
  <c r="HE136" i="1"/>
  <c r="HF136" i="1"/>
  <c r="HG136" i="1"/>
  <c r="HH136" i="1"/>
  <c r="HI136" i="1"/>
  <c r="HJ136" i="1"/>
  <c r="HK136" i="1"/>
  <c r="HL136" i="1"/>
  <c r="HM136" i="1"/>
  <c r="HN136" i="1"/>
  <c r="HO136" i="1"/>
  <c r="HP136" i="1"/>
  <c r="HQ136" i="1"/>
  <c r="HR136" i="1"/>
  <c r="HS136" i="1"/>
  <c r="HT136" i="1"/>
  <c r="HU136" i="1"/>
  <c r="HV136" i="1"/>
  <c r="HW136" i="1"/>
  <c r="HX136" i="1"/>
  <c r="IB136" i="1"/>
  <c r="IC136" i="1"/>
  <c r="ID136" i="1"/>
  <c r="IE136" i="1"/>
  <c r="IF136" i="1"/>
  <c r="IG136" i="1"/>
  <c r="IH136" i="1"/>
  <c r="II136" i="1"/>
  <c r="IJ136" i="1"/>
  <c r="IK136" i="1"/>
  <c r="IL136" i="1"/>
  <c r="IM136" i="1"/>
  <c r="IN136" i="1"/>
  <c r="FR137" i="1"/>
  <c r="FS137" i="1"/>
  <c r="FT137" i="1"/>
  <c r="FU137" i="1"/>
  <c r="FV137" i="1"/>
  <c r="FW137" i="1"/>
  <c r="FX137" i="1"/>
  <c r="FY137" i="1"/>
  <c r="FZ137" i="1"/>
  <c r="GA137" i="1"/>
  <c r="GB137" i="1"/>
  <c r="GC137" i="1"/>
  <c r="GD137" i="1"/>
  <c r="GE137" i="1"/>
  <c r="GF137" i="1"/>
  <c r="GG137" i="1"/>
  <c r="GH137" i="1"/>
  <c r="GI137" i="1"/>
  <c r="GJ137" i="1"/>
  <c r="GK137" i="1"/>
  <c r="GL137" i="1"/>
  <c r="GM137" i="1"/>
  <c r="GN137" i="1"/>
  <c r="GO137" i="1"/>
  <c r="GP137" i="1"/>
  <c r="GQ137" i="1"/>
  <c r="GR137" i="1"/>
  <c r="GS137" i="1"/>
  <c r="GT137" i="1"/>
  <c r="GU137" i="1"/>
  <c r="GV137" i="1"/>
  <c r="GW137" i="1"/>
  <c r="GX137" i="1"/>
  <c r="GY137" i="1"/>
  <c r="GZ137" i="1"/>
  <c r="HA137" i="1"/>
  <c r="HB137" i="1"/>
  <c r="HC137" i="1"/>
  <c r="HD137" i="1"/>
  <c r="HE137" i="1"/>
  <c r="HF137" i="1"/>
  <c r="HG137" i="1"/>
  <c r="HH137" i="1"/>
  <c r="HI137" i="1"/>
  <c r="HJ137" i="1"/>
  <c r="HK137" i="1"/>
  <c r="HL137" i="1"/>
  <c r="HM137" i="1"/>
  <c r="HN137" i="1"/>
  <c r="HO137" i="1"/>
  <c r="HP137" i="1"/>
  <c r="HQ137" i="1"/>
  <c r="HR137" i="1"/>
  <c r="HS137" i="1"/>
  <c r="HT137" i="1"/>
  <c r="HU137" i="1"/>
  <c r="HV137" i="1"/>
  <c r="HW137" i="1"/>
  <c r="HX137" i="1"/>
  <c r="IB137" i="1"/>
  <c r="IC137" i="1"/>
  <c r="ID137" i="1"/>
  <c r="IE137" i="1"/>
  <c r="IF137" i="1"/>
  <c r="IG137" i="1"/>
  <c r="IH137" i="1"/>
  <c r="II137" i="1"/>
  <c r="IJ137" i="1"/>
  <c r="IK137" i="1"/>
  <c r="IL137" i="1"/>
  <c r="IM137" i="1"/>
  <c r="IN137" i="1"/>
  <c r="FR138" i="1"/>
  <c r="FS138" i="1"/>
  <c r="FT138" i="1"/>
  <c r="FU138" i="1"/>
  <c r="FV138" i="1"/>
  <c r="FW138" i="1"/>
  <c r="FX138" i="1"/>
  <c r="FY138" i="1"/>
  <c r="FZ138" i="1"/>
  <c r="GA138" i="1"/>
  <c r="GB138" i="1"/>
  <c r="GC138" i="1"/>
  <c r="GD138" i="1"/>
  <c r="GE138" i="1"/>
  <c r="GF138" i="1"/>
  <c r="GG138" i="1"/>
  <c r="GH138" i="1"/>
  <c r="GI138" i="1"/>
  <c r="GJ138" i="1"/>
  <c r="GK138" i="1"/>
  <c r="GL138" i="1"/>
  <c r="GM138" i="1"/>
  <c r="GN138" i="1"/>
  <c r="GO138" i="1"/>
  <c r="GP138" i="1"/>
  <c r="GQ138" i="1"/>
  <c r="GR138" i="1"/>
  <c r="GS138" i="1"/>
  <c r="GT138" i="1"/>
  <c r="GU138" i="1"/>
  <c r="GV138" i="1"/>
  <c r="GW138" i="1"/>
  <c r="GX138" i="1"/>
  <c r="GY138" i="1"/>
  <c r="GZ138" i="1"/>
  <c r="HA138" i="1"/>
  <c r="HB138" i="1"/>
  <c r="HC138" i="1"/>
  <c r="HD138" i="1"/>
  <c r="HE138" i="1"/>
  <c r="HF138" i="1"/>
  <c r="HG138" i="1"/>
  <c r="HH138" i="1"/>
  <c r="HI138" i="1"/>
  <c r="HJ138" i="1"/>
  <c r="HK138" i="1"/>
  <c r="HL138" i="1"/>
  <c r="HM138" i="1"/>
  <c r="HN138" i="1"/>
  <c r="HO138" i="1"/>
  <c r="HP138" i="1"/>
  <c r="HQ138" i="1"/>
  <c r="HR138" i="1"/>
  <c r="HS138" i="1"/>
  <c r="HT138" i="1"/>
  <c r="HU138" i="1"/>
  <c r="HV138" i="1"/>
  <c r="HW138" i="1"/>
  <c r="HX138" i="1"/>
  <c r="IB138" i="1"/>
  <c r="IC138" i="1"/>
  <c r="ID138" i="1"/>
  <c r="IE138" i="1"/>
  <c r="IF138" i="1"/>
  <c r="IG138" i="1"/>
  <c r="IH138" i="1"/>
  <c r="II138" i="1"/>
  <c r="IJ138" i="1"/>
  <c r="IK138" i="1"/>
  <c r="IL138" i="1"/>
  <c r="IM138" i="1"/>
  <c r="IN138" i="1"/>
  <c r="FR139" i="1"/>
  <c r="FS139" i="1"/>
  <c r="FT139" i="1"/>
  <c r="FU139" i="1"/>
  <c r="FV139" i="1"/>
  <c r="FW139" i="1"/>
  <c r="FX139" i="1"/>
  <c r="FY139" i="1"/>
  <c r="FZ139" i="1"/>
  <c r="GA139" i="1"/>
  <c r="GB139" i="1"/>
  <c r="GC139" i="1"/>
  <c r="GD139" i="1"/>
  <c r="GE139" i="1"/>
  <c r="GF139" i="1"/>
  <c r="GG139" i="1"/>
  <c r="GH139" i="1"/>
  <c r="GI139" i="1"/>
  <c r="GJ139" i="1"/>
  <c r="GK139" i="1"/>
  <c r="GL139" i="1"/>
  <c r="GM139" i="1"/>
  <c r="GN139" i="1"/>
  <c r="GO139" i="1"/>
  <c r="GP139" i="1"/>
  <c r="GQ139" i="1"/>
  <c r="GR139" i="1"/>
  <c r="GS139" i="1"/>
  <c r="GT139" i="1"/>
  <c r="GU139" i="1"/>
  <c r="GV139" i="1"/>
  <c r="GW139" i="1"/>
  <c r="GX139" i="1"/>
  <c r="GY139" i="1"/>
  <c r="GZ139" i="1"/>
  <c r="HA139" i="1"/>
  <c r="HB139" i="1"/>
  <c r="HC139" i="1"/>
  <c r="HD139" i="1"/>
  <c r="HE139" i="1"/>
  <c r="HF139" i="1"/>
  <c r="HG139" i="1"/>
  <c r="HH139" i="1"/>
  <c r="HI139" i="1"/>
  <c r="HJ139" i="1"/>
  <c r="HK139" i="1"/>
  <c r="HL139" i="1"/>
  <c r="HM139" i="1"/>
  <c r="HN139" i="1"/>
  <c r="HO139" i="1"/>
  <c r="HP139" i="1"/>
  <c r="HQ139" i="1"/>
  <c r="HR139" i="1"/>
  <c r="HS139" i="1"/>
  <c r="HT139" i="1"/>
  <c r="HU139" i="1"/>
  <c r="HV139" i="1"/>
  <c r="HW139" i="1"/>
  <c r="HX139" i="1"/>
  <c r="IB139" i="1"/>
  <c r="IC139" i="1"/>
  <c r="ID139" i="1"/>
  <c r="IE139" i="1"/>
  <c r="IF139" i="1"/>
  <c r="IG139" i="1"/>
  <c r="IH139" i="1"/>
  <c r="II139" i="1"/>
  <c r="IJ139" i="1"/>
  <c r="IK139" i="1"/>
  <c r="IL139" i="1"/>
  <c r="IM139" i="1"/>
  <c r="IN139" i="1"/>
  <c r="FR140" i="1"/>
  <c r="FS140" i="1"/>
  <c r="FT140" i="1"/>
  <c r="FU140" i="1"/>
  <c r="FV140" i="1"/>
  <c r="FW140" i="1"/>
  <c r="FX140" i="1"/>
  <c r="FY140" i="1"/>
  <c r="FZ140" i="1"/>
  <c r="GA140" i="1"/>
  <c r="GB140" i="1"/>
  <c r="GC140" i="1"/>
  <c r="GD140" i="1"/>
  <c r="GE140" i="1"/>
  <c r="GF140" i="1"/>
  <c r="GG140" i="1"/>
  <c r="GH140" i="1"/>
  <c r="GI140" i="1"/>
  <c r="GJ140" i="1"/>
  <c r="GK140" i="1"/>
  <c r="GL140" i="1"/>
  <c r="GM140" i="1"/>
  <c r="GN140" i="1"/>
  <c r="GO140" i="1"/>
  <c r="GP140" i="1"/>
  <c r="GQ140" i="1"/>
  <c r="GR140" i="1"/>
  <c r="GS140" i="1"/>
  <c r="GT140" i="1"/>
  <c r="GU140" i="1"/>
  <c r="GV140" i="1"/>
  <c r="GW140" i="1"/>
  <c r="GX140" i="1"/>
  <c r="GY140" i="1"/>
  <c r="GZ140" i="1"/>
  <c r="HA140" i="1"/>
  <c r="HB140" i="1"/>
  <c r="HC140" i="1"/>
  <c r="HD140" i="1"/>
  <c r="HE140" i="1"/>
  <c r="HF140" i="1"/>
  <c r="HG140" i="1"/>
  <c r="HH140" i="1"/>
  <c r="HI140" i="1"/>
  <c r="HJ140" i="1"/>
  <c r="HK140" i="1"/>
  <c r="HL140" i="1"/>
  <c r="HM140" i="1"/>
  <c r="HN140" i="1"/>
  <c r="HO140" i="1"/>
  <c r="HP140" i="1"/>
  <c r="HQ140" i="1"/>
  <c r="HR140" i="1"/>
  <c r="HS140" i="1"/>
  <c r="HT140" i="1"/>
  <c r="HU140" i="1"/>
  <c r="HV140" i="1"/>
  <c r="HW140" i="1"/>
  <c r="HX140" i="1"/>
  <c r="IB140" i="1"/>
  <c r="IC140" i="1"/>
  <c r="ID140" i="1"/>
  <c r="IE140" i="1"/>
  <c r="IF140" i="1"/>
  <c r="IG140" i="1"/>
  <c r="IH140" i="1"/>
  <c r="II140" i="1"/>
  <c r="IJ140" i="1"/>
  <c r="IK140" i="1"/>
  <c r="IL140" i="1"/>
  <c r="IM140" i="1"/>
  <c r="IN140" i="1"/>
  <c r="FR141" i="1"/>
  <c r="FS141" i="1"/>
  <c r="FT141" i="1"/>
  <c r="FU141" i="1"/>
  <c r="FV141" i="1"/>
  <c r="FW141" i="1"/>
  <c r="FX141" i="1"/>
  <c r="FY141" i="1"/>
  <c r="FZ141" i="1"/>
  <c r="GA141" i="1"/>
  <c r="GB141" i="1"/>
  <c r="GC141" i="1"/>
  <c r="GD141" i="1"/>
  <c r="GE141" i="1"/>
  <c r="GF141" i="1"/>
  <c r="GG141" i="1"/>
  <c r="GH141" i="1"/>
  <c r="GI141" i="1"/>
  <c r="GJ141" i="1"/>
  <c r="GK141" i="1"/>
  <c r="GL141" i="1"/>
  <c r="GM141" i="1"/>
  <c r="GN141" i="1"/>
  <c r="GO141" i="1"/>
  <c r="GP141" i="1"/>
  <c r="GQ141" i="1"/>
  <c r="GR141" i="1"/>
  <c r="GS141" i="1"/>
  <c r="GT141" i="1"/>
  <c r="GU141" i="1"/>
  <c r="GV141" i="1"/>
  <c r="GW141" i="1"/>
  <c r="GX141" i="1"/>
  <c r="GY141" i="1"/>
  <c r="GZ141" i="1"/>
  <c r="HA141" i="1"/>
  <c r="HB141" i="1"/>
  <c r="HC141" i="1"/>
  <c r="HD141" i="1"/>
  <c r="HE141" i="1"/>
  <c r="HF141" i="1"/>
  <c r="HG141" i="1"/>
  <c r="HH141" i="1"/>
  <c r="HI141" i="1"/>
  <c r="HJ141" i="1"/>
  <c r="HK141" i="1"/>
  <c r="HL141" i="1"/>
  <c r="HM141" i="1"/>
  <c r="HN141" i="1"/>
  <c r="HO141" i="1"/>
  <c r="HP141" i="1"/>
  <c r="HQ141" i="1"/>
  <c r="HR141" i="1"/>
  <c r="HS141" i="1"/>
  <c r="HT141" i="1"/>
  <c r="HU141" i="1"/>
  <c r="HV141" i="1"/>
  <c r="HW141" i="1"/>
  <c r="HX141" i="1"/>
  <c r="IB141" i="1"/>
  <c r="IC141" i="1"/>
  <c r="ID141" i="1"/>
  <c r="IE141" i="1"/>
  <c r="IF141" i="1"/>
  <c r="IG141" i="1"/>
  <c r="IH141" i="1"/>
  <c r="II141" i="1"/>
  <c r="IJ141" i="1"/>
  <c r="IK141" i="1"/>
  <c r="IL141" i="1"/>
  <c r="IM141" i="1"/>
  <c r="IN141" i="1"/>
  <c r="FR142" i="1"/>
  <c r="FS142" i="1"/>
  <c r="FT142" i="1"/>
  <c r="FU142" i="1"/>
  <c r="FV142" i="1"/>
  <c r="FW142" i="1"/>
  <c r="FX142" i="1"/>
  <c r="FY142" i="1"/>
  <c r="FZ142" i="1"/>
  <c r="GA142" i="1"/>
  <c r="GB142" i="1"/>
  <c r="GC142" i="1"/>
  <c r="GD142" i="1"/>
  <c r="GE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GS142" i="1"/>
  <c r="GT142" i="1"/>
  <c r="GU142" i="1"/>
  <c r="GV142" i="1"/>
  <c r="GW142" i="1"/>
  <c r="GX142" i="1"/>
  <c r="GY142" i="1"/>
  <c r="GZ142" i="1"/>
  <c r="HA142" i="1"/>
  <c r="HB142" i="1"/>
  <c r="HC142" i="1"/>
  <c r="HD142" i="1"/>
  <c r="HE142" i="1"/>
  <c r="HF142" i="1"/>
  <c r="HG142" i="1"/>
  <c r="HH142" i="1"/>
  <c r="HI142" i="1"/>
  <c r="HJ142" i="1"/>
  <c r="HK142" i="1"/>
  <c r="HL142" i="1"/>
  <c r="HM142" i="1"/>
  <c r="HN142" i="1"/>
  <c r="HO142" i="1"/>
  <c r="HP142" i="1"/>
  <c r="HQ142" i="1"/>
  <c r="HR142" i="1"/>
  <c r="HS142" i="1"/>
  <c r="HT142" i="1"/>
  <c r="HU142" i="1"/>
  <c r="HV142" i="1"/>
  <c r="HW142" i="1"/>
  <c r="HX142" i="1"/>
  <c r="IB142" i="1"/>
  <c r="IC142" i="1"/>
  <c r="ID142" i="1"/>
  <c r="IE142" i="1"/>
  <c r="IF142" i="1"/>
  <c r="IG142" i="1"/>
  <c r="IH142" i="1"/>
  <c r="II142" i="1"/>
  <c r="IJ142" i="1"/>
  <c r="IK142" i="1"/>
  <c r="IL142" i="1"/>
  <c r="IM142" i="1"/>
  <c r="IN142" i="1"/>
  <c r="FR143" i="1"/>
  <c r="FS143" i="1"/>
  <c r="FT143" i="1"/>
  <c r="FU143" i="1"/>
  <c r="FV143" i="1"/>
  <c r="FW143" i="1"/>
  <c r="FX143" i="1"/>
  <c r="FY143" i="1"/>
  <c r="FZ143" i="1"/>
  <c r="GA143" i="1"/>
  <c r="GB143" i="1"/>
  <c r="GC143" i="1"/>
  <c r="GD143" i="1"/>
  <c r="GE143" i="1"/>
  <c r="GF143" i="1"/>
  <c r="GG143" i="1"/>
  <c r="GH143" i="1"/>
  <c r="GI143" i="1"/>
  <c r="GJ143" i="1"/>
  <c r="GK143" i="1"/>
  <c r="GL143" i="1"/>
  <c r="GM143" i="1"/>
  <c r="GN143" i="1"/>
  <c r="GO143" i="1"/>
  <c r="GP143" i="1"/>
  <c r="GQ143" i="1"/>
  <c r="GR143" i="1"/>
  <c r="GS143" i="1"/>
  <c r="GT143" i="1"/>
  <c r="GU143" i="1"/>
  <c r="GV143" i="1"/>
  <c r="GW143" i="1"/>
  <c r="GX143" i="1"/>
  <c r="GY143" i="1"/>
  <c r="GZ143" i="1"/>
  <c r="HA143" i="1"/>
  <c r="HB143" i="1"/>
  <c r="HC143" i="1"/>
  <c r="HD143" i="1"/>
  <c r="HE143" i="1"/>
  <c r="HF143" i="1"/>
  <c r="HG143" i="1"/>
  <c r="HH143" i="1"/>
  <c r="HI143" i="1"/>
  <c r="HJ143" i="1"/>
  <c r="HK143" i="1"/>
  <c r="HL143" i="1"/>
  <c r="HM143" i="1"/>
  <c r="HN143" i="1"/>
  <c r="HO143" i="1"/>
  <c r="HP143" i="1"/>
  <c r="HQ143" i="1"/>
  <c r="HR143" i="1"/>
  <c r="HS143" i="1"/>
  <c r="HT143" i="1"/>
  <c r="HU143" i="1"/>
  <c r="HV143" i="1"/>
  <c r="HW143" i="1"/>
  <c r="HX143" i="1"/>
  <c r="IB143" i="1"/>
  <c r="IC143" i="1"/>
  <c r="ID143" i="1"/>
  <c r="IE143" i="1"/>
  <c r="IF143" i="1"/>
  <c r="IG143" i="1"/>
  <c r="IH143" i="1"/>
  <c r="II143" i="1"/>
  <c r="IJ143" i="1"/>
  <c r="IK143" i="1"/>
  <c r="IL143" i="1"/>
  <c r="IM143" i="1"/>
  <c r="IN143" i="1"/>
  <c r="FR144" i="1"/>
  <c r="FS144" i="1"/>
  <c r="FT144" i="1"/>
  <c r="FU144" i="1"/>
  <c r="FV144" i="1"/>
  <c r="FW144" i="1"/>
  <c r="FX144" i="1"/>
  <c r="FY144" i="1"/>
  <c r="FZ144" i="1"/>
  <c r="GA144" i="1"/>
  <c r="GB144" i="1"/>
  <c r="GC144" i="1"/>
  <c r="GD144" i="1"/>
  <c r="GE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GS144" i="1"/>
  <c r="GT144" i="1"/>
  <c r="GU144" i="1"/>
  <c r="GV144" i="1"/>
  <c r="GW144" i="1"/>
  <c r="GX144" i="1"/>
  <c r="GY144" i="1"/>
  <c r="GZ144" i="1"/>
  <c r="HA144" i="1"/>
  <c r="HB144" i="1"/>
  <c r="HC144" i="1"/>
  <c r="HD144" i="1"/>
  <c r="HE144" i="1"/>
  <c r="HF144" i="1"/>
  <c r="HG144" i="1"/>
  <c r="HH144" i="1"/>
  <c r="HI144" i="1"/>
  <c r="HJ144" i="1"/>
  <c r="HK144" i="1"/>
  <c r="HL144" i="1"/>
  <c r="HM144" i="1"/>
  <c r="HN144" i="1"/>
  <c r="HO144" i="1"/>
  <c r="HP144" i="1"/>
  <c r="HQ144" i="1"/>
  <c r="HR144" i="1"/>
  <c r="HS144" i="1"/>
  <c r="HT144" i="1"/>
  <c r="HU144" i="1"/>
  <c r="HV144" i="1"/>
  <c r="HW144" i="1"/>
  <c r="HX144" i="1"/>
  <c r="IB144" i="1"/>
  <c r="IC144" i="1"/>
  <c r="ID144" i="1"/>
  <c r="IE144" i="1"/>
  <c r="IF144" i="1"/>
  <c r="IG144" i="1"/>
  <c r="IH144" i="1"/>
  <c r="II144" i="1"/>
  <c r="IJ144" i="1"/>
  <c r="IK144" i="1"/>
  <c r="IL144" i="1"/>
  <c r="IM144" i="1"/>
  <c r="IN144" i="1"/>
  <c r="FR145" i="1"/>
  <c r="FS145" i="1"/>
  <c r="FT145" i="1"/>
  <c r="FU145" i="1"/>
  <c r="FV145" i="1"/>
  <c r="FW145" i="1"/>
  <c r="FX145" i="1"/>
  <c r="FY145" i="1"/>
  <c r="FZ145" i="1"/>
  <c r="GA145" i="1"/>
  <c r="GB145" i="1"/>
  <c r="GC145" i="1"/>
  <c r="GD145" i="1"/>
  <c r="GE145" i="1"/>
  <c r="GF145" i="1"/>
  <c r="GG145" i="1"/>
  <c r="GH145" i="1"/>
  <c r="GI145" i="1"/>
  <c r="GJ145" i="1"/>
  <c r="GK145" i="1"/>
  <c r="GL145" i="1"/>
  <c r="GM145" i="1"/>
  <c r="GN145" i="1"/>
  <c r="GO145" i="1"/>
  <c r="GP145" i="1"/>
  <c r="GQ145" i="1"/>
  <c r="GR145" i="1"/>
  <c r="GS145" i="1"/>
  <c r="GT145" i="1"/>
  <c r="GU145" i="1"/>
  <c r="GV145" i="1"/>
  <c r="GW145" i="1"/>
  <c r="GX145" i="1"/>
  <c r="GY145" i="1"/>
  <c r="GZ145" i="1"/>
  <c r="HA145" i="1"/>
  <c r="HB145" i="1"/>
  <c r="HC145" i="1"/>
  <c r="HD145" i="1"/>
  <c r="HE145" i="1"/>
  <c r="HF145" i="1"/>
  <c r="HG145" i="1"/>
  <c r="HH145" i="1"/>
  <c r="HI145" i="1"/>
  <c r="HJ145" i="1"/>
  <c r="HK145" i="1"/>
  <c r="HL145" i="1"/>
  <c r="HM145" i="1"/>
  <c r="HN145" i="1"/>
  <c r="HO145" i="1"/>
  <c r="HP145" i="1"/>
  <c r="HQ145" i="1"/>
  <c r="HR145" i="1"/>
  <c r="HS145" i="1"/>
  <c r="HT145" i="1"/>
  <c r="HU145" i="1"/>
  <c r="HV145" i="1"/>
  <c r="HW145" i="1"/>
  <c r="HX145" i="1"/>
  <c r="IB145" i="1"/>
  <c r="IC145" i="1"/>
  <c r="ID145" i="1"/>
  <c r="IE145" i="1"/>
  <c r="IF145" i="1"/>
  <c r="IG145" i="1"/>
  <c r="IH145" i="1"/>
  <c r="II145" i="1"/>
  <c r="IJ145" i="1"/>
  <c r="IK145" i="1"/>
  <c r="IL145" i="1"/>
  <c r="IM145" i="1"/>
  <c r="IN145" i="1"/>
  <c r="FR146" i="1"/>
  <c r="FS146" i="1"/>
  <c r="FT146" i="1"/>
  <c r="FU146" i="1"/>
  <c r="FV146" i="1"/>
  <c r="FW146" i="1"/>
  <c r="FX146" i="1"/>
  <c r="FY146" i="1"/>
  <c r="FZ146" i="1"/>
  <c r="GA146" i="1"/>
  <c r="GB146" i="1"/>
  <c r="GC146" i="1"/>
  <c r="GD146" i="1"/>
  <c r="GE146" i="1"/>
  <c r="GF146" i="1"/>
  <c r="GG146" i="1"/>
  <c r="GH146" i="1"/>
  <c r="GI146" i="1"/>
  <c r="GJ146" i="1"/>
  <c r="GK146" i="1"/>
  <c r="GL146" i="1"/>
  <c r="GM146" i="1"/>
  <c r="GN146" i="1"/>
  <c r="GO146" i="1"/>
  <c r="GP146" i="1"/>
  <c r="GQ146" i="1"/>
  <c r="GR146" i="1"/>
  <c r="GS146" i="1"/>
  <c r="GT146" i="1"/>
  <c r="GU146" i="1"/>
  <c r="GV146" i="1"/>
  <c r="GW146" i="1"/>
  <c r="GX146" i="1"/>
  <c r="GY146" i="1"/>
  <c r="GZ146" i="1"/>
  <c r="HA146" i="1"/>
  <c r="HB146" i="1"/>
  <c r="HC146" i="1"/>
  <c r="HD146" i="1"/>
  <c r="HE146" i="1"/>
  <c r="HF146" i="1"/>
  <c r="HG146" i="1"/>
  <c r="HH146" i="1"/>
  <c r="HI146" i="1"/>
  <c r="HJ146" i="1"/>
  <c r="HK146" i="1"/>
  <c r="HL146" i="1"/>
  <c r="HM146" i="1"/>
  <c r="HN146" i="1"/>
  <c r="HO146" i="1"/>
  <c r="HP146" i="1"/>
  <c r="HQ146" i="1"/>
  <c r="HR146" i="1"/>
  <c r="HS146" i="1"/>
  <c r="HT146" i="1"/>
  <c r="HU146" i="1"/>
  <c r="HV146" i="1"/>
  <c r="HW146" i="1"/>
  <c r="HX146" i="1"/>
  <c r="IB146" i="1"/>
  <c r="IC146" i="1"/>
  <c r="ID146" i="1"/>
  <c r="IE146" i="1"/>
  <c r="IF146" i="1"/>
  <c r="IG146" i="1"/>
  <c r="IH146" i="1"/>
  <c r="II146" i="1"/>
  <c r="IJ146" i="1"/>
  <c r="IK146" i="1"/>
  <c r="IL146" i="1"/>
  <c r="IM146" i="1"/>
  <c r="IN146" i="1"/>
  <c r="FR147" i="1"/>
  <c r="FS147" i="1"/>
  <c r="FT147" i="1"/>
  <c r="FU147" i="1"/>
  <c r="FV147" i="1"/>
  <c r="FW147" i="1"/>
  <c r="FX147" i="1"/>
  <c r="FY147" i="1"/>
  <c r="FZ147" i="1"/>
  <c r="GA147" i="1"/>
  <c r="GB147" i="1"/>
  <c r="GC147" i="1"/>
  <c r="GD147" i="1"/>
  <c r="GE147" i="1"/>
  <c r="GF147" i="1"/>
  <c r="GG147" i="1"/>
  <c r="GH147" i="1"/>
  <c r="GI147" i="1"/>
  <c r="GJ147" i="1"/>
  <c r="GK147" i="1"/>
  <c r="GL147" i="1"/>
  <c r="GM147" i="1"/>
  <c r="GN147" i="1"/>
  <c r="GO147" i="1"/>
  <c r="GP147" i="1"/>
  <c r="GQ147" i="1"/>
  <c r="GR147" i="1"/>
  <c r="GS147" i="1"/>
  <c r="GT147" i="1"/>
  <c r="GU147" i="1"/>
  <c r="GV147" i="1"/>
  <c r="GW147" i="1"/>
  <c r="GX147" i="1"/>
  <c r="GY147" i="1"/>
  <c r="GZ147" i="1"/>
  <c r="HA147" i="1"/>
  <c r="HB147" i="1"/>
  <c r="HC147" i="1"/>
  <c r="HD147" i="1"/>
  <c r="HE147" i="1"/>
  <c r="HF147" i="1"/>
  <c r="HG147" i="1"/>
  <c r="HH147" i="1"/>
  <c r="HI147" i="1"/>
  <c r="HJ147" i="1"/>
  <c r="HK147" i="1"/>
  <c r="HL147" i="1"/>
  <c r="HM147" i="1"/>
  <c r="HN147" i="1"/>
  <c r="HO147" i="1"/>
  <c r="HP147" i="1"/>
  <c r="HQ147" i="1"/>
  <c r="HR147" i="1"/>
  <c r="HS147" i="1"/>
  <c r="HT147" i="1"/>
  <c r="HU147" i="1"/>
  <c r="HV147" i="1"/>
  <c r="HW147" i="1"/>
  <c r="HX147" i="1"/>
  <c r="IB147" i="1"/>
  <c r="IC147" i="1"/>
  <c r="ID147" i="1"/>
  <c r="IE147" i="1"/>
  <c r="IF147" i="1"/>
  <c r="IG147" i="1"/>
  <c r="IH147" i="1"/>
  <c r="II147" i="1"/>
  <c r="IJ147" i="1"/>
  <c r="IK147" i="1"/>
  <c r="IL147" i="1"/>
  <c r="IM147" i="1"/>
  <c r="IN147" i="1"/>
  <c r="FR148" i="1"/>
  <c r="FS148" i="1"/>
  <c r="FT148" i="1"/>
  <c r="FU148" i="1"/>
  <c r="FV148" i="1"/>
  <c r="FW148" i="1"/>
  <c r="FX148" i="1"/>
  <c r="FY148" i="1"/>
  <c r="FZ148" i="1"/>
  <c r="GA148" i="1"/>
  <c r="GB148" i="1"/>
  <c r="GC148" i="1"/>
  <c r="GD148" i="1"/>
  <c r="GE148" i="1"/>
  <c r="GF148" i="1"/>
  <c r="GG148" i="1"/>
  <c r="GH148" i="1"/>
  <c r="GI148" i="1"/>
  <c r="GJ148" i="1"/>
  <c r="GK148" i="1"/>
  <c r="GL148" i="1"/>
  <c r="GM148" i="1"/>
  <c r="GN148" i="1"/>
  <c r="GO148" i="1"/>
  <c r="GP148" i="1"/>
  <c r="GQ148" i="1"/>
  <c r="GR148" i="1"/>
  <c r="GS148" i="1"/>
  <c r="GT148" i="1"/>
  <c r="GU148" i="1"/>
  <c r="GV148" i="1"/>
  <c r="GW148" i="1"/>
  <c r="GX148" i="1"/>
  <c r="GY148" i="1"/>
  <c r="GZ148" i="1"/>
  <c r="HA148" i="1"/>
  <c r="HB148" i="1"/>
  <c r="HC148" i="1"/>
  <c r="HD148" i="1"/>
  <c r="HE148" i="1"/>
  <c r="HF148" i="1"/>
  <c r="HG148" i="1"/>
  <c r="HH148" i="1"/>
  <c r="HI148" i="1"/>
  <c r="HJ148" i="1"/>
  <c r="HK148" i="1"/>
  <c r="HL148" i="1"/>
  <c r="HM148" i="1"/>
  <c r="HN148" i="1"/>
  <c r="HO148" i="1"/>
  <c r="HP148" i="1"/>
  <c r="HQ148" i="1"/>
  <c r="HR148" i="1"/>
  <c r="HS148" i="1"/>
  <c r="HT148" i="1"/>
  <c r="HU148" i="1"/>
  <c r="HV148" i="1"/>
  <c r="HW148" i="1"/>
  <c r="HX148" i="1"/>
  <c r="IB148" i="1"/>
  <c r="IC148" i="1"/>
  <c r="ID148" i="1"/>
  <c r="IE148" i="1"/>
  <c r="IF148" i="1"/>
  <c r="IG148" i="1"/>
  <c r="IH148" i="1"/>
  <c r="II148" i="1"/>
  <c r="IJ148" i="1"/>
  <c r="IK148" i="1"/>
  <c r="IL148" i="1"/>
  <c r="IM148" i="1"/>
  <c r="IN148" i="1"/>
  <c r="FR149" i="1"/>
  <c r="FS149" i="1"/>
  <c r="FT149" i="1"/>
  <c r="FU149" i="1"/>
  <c r="FV149" i="1"/>
  <c r="FW149" i="1"/>
  <c r="FX149" i="1"/>
  <c r="FY149" i="1"/>
  <c r="FZ149" i="1"/>
  <c r="GA149" i="1"/>
  <c r="GB149" i="1"/>
  <c r="GC149" i="1"/>
  <c r="GD149" i="1"/>
  <c r="GE149" i="1"/>
  <c r="GF149" i="1"/>
  <c r="GG149" i="1"/>
  <c r="GH149" i="1"/>
  <c r="GI149" i="1"/>
  <c r="GJ149" i="1"/>
  <c r="GK149" i="1"/>
  <c r="GL149" i="1"/>
  <c r="GM149" i="1"/>
  <c r="GN149" i="1"/>
  <c r="GO149" i="1"/>
  <c r="GP149" i="1"/>
  <c r="GQ149" i="1"/>
  <c r="GR149" i="1"/>
  <c r="GS149" i="1"/>
  <c r="GT149" i="1"/>
  <c r="GU149" i="1"/>
  <c r="GV149" i="1"/>
  <c r="GW149" i="1"/>
  <c r="GX149" i="1"/>
  <c r="GY149" i="1"/>
  <c r="GZ149" i="1"/>
  <c r="HA149" i="1"/>
  <c r="HB149" i="1"/>
  <c r="HC149" i="1"/>
  <c r="HD149" i="1"/>
  <c r="HE149" i="1"/>
  <c r="HF149" i="1"/>
  <c r="HG149" i="1"/>
  <c r="HH149" i="1"/>
  <c r="HI149" i="1"/>
  <c r="HJ149" i="1"/>
  <c r="HK149" i="1"/>
  <c r="HL149" i="1"/>
  <c r="HM149" i="1"/>
  <c r="HN149" i="1"/>
  <c r="HO149" i="1"/>
  <c r="HP149" i="1"/>
  <c r="HQ149" i="1"/>
  <c r="HR149" i="1"/>
  <c r="HS149" i="1"/>
  <c r="HT149" i="1"/>
  <c r="HU149" i="1"/>
  <c r="HV149" i="1"/>
  <c r="HW149" i="1"/>
  <c r="HX149" i="1"/>
  <c r="IB149" i="1"/>
  <c r="IC149" i="1"/>
  <c r="ID149" i="1"/>
  <c r="IE149" i="1"/>
  <c r="IF149" i="1"/>
  <c r="IG149" i="1"/>
  <c r="IH149" i="1"/>
  <c r="II149" i="1"/>
  <c r="IJ149" i="1"/>
  <c r="IK149" i="1"/>
  <c r="IL149" i="1"/>
  <c r="IM149" i="1"/>
  <c r="IN149" i="1"/>
  <c r="FR150" i="1"/>
  <c r="FS150" i="1"/>
  <c r="FT150" i="1"/>
  <c r="FU150" i="1"/>
  <c r="FV150" i="1"/>
  <c r="FW150" i="1"/>
  <c r="FX150" i="1"/>
  <c r="FY150" i="1"/>
  <c r="FZ150" i="1"/>
  <c r="GA150" i="1"/>
  <c r="GB150" i="1"/>
  <c r="GC150" i="1"/>
  <c r="GD150" i="1"/>
  <c r="GE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GY150" i="1"/>
  <c r="GZ150" i="1"/>
  <c r="HA150" i="1"/>
  <c r="HB150" i="1"/>
  <c r="HC150" i="1"/>
  <c r="HD150" i="1"/>
  <c r="HE150" i="1"/>
  <c r="HF150" i="1"/>
  <c r="HG150" i="1"/>
  <c r="HH150" i="1"/>
  <c r="HI150" i="1"/>
  <c r="HJ150" i="1"/>
  <c r="HK150" i="1"/>
  <c r="HL150" i="1"/>
  <c r="HM150" i="1"/>
  <c r="HN150" i="1"/>
  <c r="HO150" i="1"/>
  <c r="HP150" i="1"/>
  <c r="HQ150" i="1"/>
  <c r="HR150" i="1"/>
  <c r="HS150" i="1"/>
  <c r="HT150" i="1"/>
  <c r="HU150" i="1"/>
  <c r="HV150" i="1"/>
  <c r="HW150" i="1"/>
  <c r="HX150" i="1"/>
  <c r="IB150" i="1"/>
  <c r="IC150" i="1"/>
  <c r="ID150" i="1"/>
  <c r="IE150" i="1"/>
  <c r="IF150" i="1"/>
  <c r="IG150" i="1"/>
  <c r="IH150" i="1"/>
  <c r="II150" i="1"/>
  <c r="IJ150" i="1"/>
  <c r="IK150" i="1"/>
  <c r="IL150" i="1"/>
  <c r="IM150" i="1"/>
  <c r="IN150" i="1"/>
  <c r="FR151" i="1"/>
  <c r="FS151" i="1"/>
  <c r="FT151" i="1"/>
  <c r="FU151" i="1"/>
  <c r="FV151" i="1"/>
  <c r="FW151" i="1"/>
  <c r="FX151" i="1"/>
  <c r="FY151" i="1"/>
  <c r="FZ151" i="1"/>
  <c r="GA151" i="1"/>
  <c r="GB151" i="1"/>
  <c r="GC151" i="1"/>
  <c r="GD151" i="1"/>
  <c r="GE151" i="1"/>
  <c r="GF151" i="1"/>
  <c r="GG151" i="1"/>
  <c r="GH151" i="1"/>
  <c r="GI151" i="1"/>
  <c r="GJ151" i="1"/>
  <c r="GK151" i="1"/>
  <c r="GL151" i="1"/>
  <c r="GM151" i="1"/>
  <c r="GN151" i="1"/>
  <c r="GO151" i="1"/>
  <c r="GP151" i="1"/>
  <c r="GQ151" i="1"/>
  <c r="GR151" i="1"/>
  <c r="GS151" i="1"/>
  <c r="GT151" i="1"/>
  <c r="GU151" i="1"/>
  <c r="GV151" i="1"/>
  <c r="GW151" i="1"/>
  <c r="GX151" i="1"/>
  <c r="GY151" i="1"/>
  <c r="GZ151" i="1"/>
  <c r="HA151" i="1"/>
  <c r="HB151" i="1"/>
  <c r="HC151" i="1"/>
  <c r="HD151" i="1"/>
  <c r="HE151" i="1"/>
  <c r="HF151" i="1"/>
  <c r="HG151" i="1"/>
  <c r="HH151" i="1"/>
  <c r="HI151" i="1"/>
  <c r="HJ151" i="1"/>
  <c r="HK151" i="1"/>
  <c r="HL151" i="1"/>
  <c r="HM151" i="1"/>
  <c r="HN151" i="1"/>
  <c r="HO151" i="1"/>
  <c r="HP151" i="1"/>
  <c r="HQ151" i="1"/>
  <c r="HR151" i="1"/>
  <c r="HS151" i="1"/>
  <c r="HT151" i="1"/>
  <c r="HU151" i="1"/>
  <c r="HV151" i="1"/>
  <c r="HW151" i="1"/>
  <c r="HX151" i="1"/>
  <c r="IB151" i="1"/>
  <c r="IC151" i="1"/>
  <c r="ID151" i="1"/>
  <c r="IE151" i="1"/>
  <c r="IF151" i="1"/>
  <c r="IG151" i="1"/>
  <c r="IH151" i="1"/>
  <c r="II151" i="1"/>
  <c r="IJ151" i="1"/>
  <c r="IK151" i="1"/>
  <c r="IL151" i="1"/>
  <c r="IM151" i="1"/>
  <c r="IN151" i="1"/>
  <c r="C152" i="1"/>
  <c r="D152" i="1"/>
  <c r="E152" i="1"/>
  <c r="F152" i="1"/>
  <c r="G152" i="1"/>
  <c r="H152" i="1"/>
  <c r="I152" i="1"/>
  <c r="J152" i="1"/>
  <c r="IB152" i="1" s="1"/>
  <c r="IB153" i="1" s="1"/>
  <c r="K152" i="1"/>
  <c r="L152" i="1"/>
  <c r="FU152" i="1" s="1"/>
  <c r="M152" i="1"/>
  <c r="N152" i="1"/>
  <c r="O152" i="1"/>
  <c r="FV152" i="1" s="1"/>
  <c r="P152" i="1"/>
  <c r="Q152" i="1"/>
  <c r="R152" i="1"/>
  <c r="S152" i="1"/>
  <c r="T152" i="1"/>
  <c r="U152" i="1"/>
  <c r="V152" i="1"/>
  <c r="W152" i="1"/>
  <c r="X152" i="1"/>
  <c r="FY152" i="1" s="1"/>
  <c r="Y152" i="1"/>
  <c r="Z152" i="1"/>
  <c r="AA152" i="1"/>
  <c r="FZ152" i="1" s="1"/>
  <c r="AB152" i="1"/>
  <c r="AC152" i="1"/>
  <c r="AD152" i="1"/>
  <c r="AE152" i="1"/>
  <c r="AF152" i="1"/>
  <c r="AG152" i="1"/>
  <c r="GB152" i="1" s="1"/>
  <c r="AH152" i="1"/>
  <c r="AI152" i="1"/>
  <c r="AJ152" i="1"/>
  <c r="AK152" i="1"/>
  <c r="AL152" i="1"/>
  <c r="GC152" i="1" s="1"/>
  <c r="AM152" i="1"/>
  <c r="AN152" i="1"/>
  <c r="AO152" i="1"/>
  <c r="AP152" i="1"/>
  <c r="AQ152" i="1"/>
  <c r="GE152" i="1" s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IG152" i="1" s="1"/>
  <c r="BL152" i="1"/>
  <c r="BM152" i="1"/>
  <c r="BN152" i="1"/>
  <c r="BO152" i="1"/>
  <c r="BP152" i="1"/>
  <c r="BQ152" i="1"/>
  <c r="GN152" i="1" s="1"/>
  <c r="BR152" i="1"/>
  <c r="BS152" i="1"/>
  <c r="BT152" i="1"/>
  <c r="BU152" i="1"/>
  <c r="BV152" i="1"/>
  <c r="BW152" i="1"/>
  <c r="GP152" i="1" s="1"/>
  <c r="BX152" i="1"/>
  <c r="BY152" i="1"/>
  <c r="BZ152" i="1"/>
  <c r="CA152" i="1"/>
  <c r="CB152" i="1"/>
  <c r="GQ152" i="1" s="1"/>
  <c r="CC152" i="1"/>
  <c r="IH152" i="1" s="1"/>
  <c r="IH153" i="1" s="1"/>
  <c r="CD152" i="1"/>
  <c r="CE152" i="1"/>
  <c r="CF152" i="1"/>
  <c r="CG152" i="1"/>
  <c r="CH152" i="1"/>
  <c r="CI152" i="1"/>
  <c r="CJ152" i="1"/>
  <c r="CK152" i="1"/>
  <c r="GT152" i="1" s="1"/>
  <c r="CL152" i="1"/>
  <c r="CM152" i="1"/>
  <c r="CN152" i="1"/>
  <c r="CO152" i="1"/>
  <c r="CP152" i="1"/>
  <c r="GV152" i="1" s="1"/>
  <c r="CQ152" i="1"/>
  <c r="CR152" i="1"/>
  <c r="GW152" i="1" s="1"/>
  <c r="CS152" i="1"/>
  <c r="CT152" i="1"/>
  <c r="CU152" i="1"/>
  <c r="CV152" i="1"/>
  <c r="CW152" i="1"/>
  <c r="CX152" i="1"/>
  <c r="CY152" i="1"/>
  <c r="CZ152" i="1"/>
  <c r="DA152" i="1"/>
  <c r="DB152" i="1"/>
  <c r="DC152" i="1"/>
  <c r="FR152" i="1"/>
  <c r="FS152" i="1"/>
  <c r="FT152" i="1"/>
  <c r="FW152" i="1"/>
  <c r="FX152" i="1"/>
  <c r="GA152" i="1"/>
  <c r="GF152" i="1"/>
  <c r="GG152" i="1"/>
  <c r="GH152" i="1"/>
  <c r="GI152" i="1"/>
  <c r="GJ152" i="1"/>
  <c r="GK152" i="1"/>
  <c r="GL152" i="1"/>
  <c r="GM152" i="1"/>
  <c r="GO152" i="1"/>
  <c r="GU152" i="1"/>
  <c r="GX152" i="1"/>
  <c r="GY152" i="1"/>
  <c r="GZ152" i="1"/>
  <c r="HA152" i="1"/>
  <c r="HB152" i="1"/>
  <c r="HC152" i="1"/>
  <c r="HD152" i="1"/>
  <c r="HE152" i="1"/>
  <c r="HF152" i="1"/>
  <c r="HG152" i="1"/>
  <c r="HH152" i="1"/>
  <c r="HI152" i="1"/>
  <c r="HJ152" i="1"/>
  <c r="HK152" i="1"/>
  <c r="HL152" i="1"/>
  <c r="HM152" i="1"/>
  <c r="HN152" i="1"/>
  <c r="HO152" i="1"/>
  <c r="HP152" i="1"/>
  <c r="HQ152" i="1"/>
  <c r="HR152" i="1"/>
  <c r="HS152" i="1"/>
  <c r="HT152" i="1"/>
  <c r="HU152" i="1"/>
  <c r="HV152" i="1"/>
  <c r="HW152" i="1"/>
  <c r="HX152" i="1"/>
  <c r="IC152" i="1"/>
  <c r="IC153" i="1" s="1"/>
  <c r="ID152" i="1"/>
  <c r="ID153" i="1" s="1"/>
  <c r="IE152" i="1"/>
  <c r="IE153" i="1" s="1"/>
  <c r="IF152" i="1"/>
  <c r="IF153" i="1" s="1"/>
  <c r="IJ152" i="1"/>
  <c r="IJ153" i="1" s="1"/>
  <c r="IK152" i="1"/>
  <c r="IL152" i="1"/>
  <c r="IM152" i="1"/>
  <c r="IN152" i="1"/>
  <c r="IG153" i="1"/>
  <c r="IK153" i="1"/>
  <c r="IL153" i="1"/>
  <c r="IM153" i="1"/>
  <c r="IN153" i="1"/>
  <c r="IB157" i="1"/>
  <c r="IC156" i="1" s="1"/>
  <c r="IC157" i="1" s="1"/>
  <c r="ID156" i="1" s="1"/>
  <c r="BW2" i="2"/>
  <c r="BW48" i="2" s="1"/>
  <c r="BX2" i="2"/>
  <c r="BX48" i="2" s="1"/>
  <c r="CU2" i="2"/>
  <c r="CV2" i="2" s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4" i="2"/>
  <c r="CH31" i="2"/>
  <c r="CH16" i="2"/>
  <c r="CH35" i="2" s="1"/>
  <c r="CH78" i="2"/>
  <c r="CH75" i="2"/>
  <c r="IB75" i="2" s="1"/>
  <c r="CI34" i="2"/>
  <c r="CI35" i="2" s="1"/>
  <c r="CI31" i="2"/>
  <c r="CI16" i="2"/>
  <c r="CI78" i="2"/>
  <c r="CI85" i="2" s="1"/>
  <c r="CI75" i="2"/>
  <c r="CJ34" i="2"/>
  <c r="CJ31" i="2"/>
  <c r="GP31" i="2" s="1"/>
  <c r="CJ16" i="2"/>
  <c r="CJ78" i="2"/>
  <c r="CJ85" i="2" s="1"/>
  <c r="CJ75" i="2"/>
  <c r="CK34" i="2"/>
  <c r="CK35" i="2" s="1"/>
  <c r="CK31" i="2"/>
  <c r="CK16" i="2"/>
  <c r="GQ16" i="2" s="1"/>
  <c r="CK78" i="2"/>
  <c r="CK85" i="2" s="1"/>
  <c r="GQ85" i="2" s="1"/>
  <c r="CK75" i="2"/>
  <c r="CL34" i="2"/>
  <c r="CL31" i="2"/>
  <c r="GQ31" i="2" s="1"/>
  <c r="CL16" i="2"/>
  <c r="CL78" i="2"/>
  <c r="CL75" i="2"/>
  <c r="CL85" i="2"/>
  <c r="CM35" i="2"/>
  <c r="CM3" i="2" s="1"/>
  <c r="CM85" i="2"/>
  <c r="CN35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5" i="2"/>
  <c r="DB3" i="2"/>
  <c r="DC35" i="2"/>
  <c r="DC3" i="2"/>
  <c r="DD3" i="2"/>
  <c r="DE3" i="2"/>
  <c r="DF3" i="2"/>
  <c r="DG3" i="2"/>
  <c r="DH3" i="2"/>
  <c r="DI3" i="2"/>
  <c r="DJ3" i="2"/>
  <c r="DK35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N35" i="2"/>
  <c r="FN3" i="2" s="1"/>
  <c r="FN85" i="2"/>
  <c r="FO35" i="2"/>
  <c r="FO3" i="2" s="1"/>
  <c r="FO85" i="2"/>
  <c r="FP35" i="2"/>
  <c r="FP85" i="2"/>
  <c r="FP3" i="2"/>
  <c r="FQ35" i="2"/>
  <c r="FQ85" i="2"/>
  <c r="FQ3" i="2"/>
  <c r="FR35" i="2"/>
  <c r="FR3" i="2" s="1"/>
  <c r="FR85" i="2"/>
  <c r="FS35" i="2"/>
  <c r="FS3" i="2" s="1"/>
  <c r="FS85" i="2"/>
  <c r="FT35" i="2"/>
  <c r="FT3" i="2" s="1"/>
  <c r="FT85" i="2"/>
  <c r="FU35" i="2"/>
  <c r="FU85" i="2"/>
  <c r="FU3" i="2"/>
  <c r="FV35" i="2"/>
  <c r="FV85" i="2"/>
  <c r="FV3" i="2"/>
  <c r="FW35" i="2"/>
  <c r="FW85" i="2"/>
  <c r="FW3" i="2"/>
  <c r="FX35" i="2"/>
  <c r="FX3" i="2" s="1"/>
  <c r="FX85" i="2"/>
  <c r="FY35" i="2"/>
  <c r="FY85" i="2"/>
  <c r="FY3" i="2"/>
  <c r="FZ35" i="2"/>
  <c r="FZ85" i="2"/>
  <c r="FZ3" i="2" s="1"/>
  <c r="GA35" i="2"/>
  <c r="GA85" i="2"/>
  <c r="GB35" i="2"/>
  <c r="GB3" i="2" s="1"/>
  <c r="GB85" i="2"/>
  <c r="GC35" i="2"/>
  <c r="GC85" i="2"/>
  <c r="GD35" i="2"/>
  <c r="GD85" i="2"/>
  <c r="GD3" i="2"/>
  <c r="GE35" i="2"/>
  <c r="GE85" i="2"/>
  <c r="GE3" i="2" s="1"/>
  <c r="GF35" i="2"/>
  <c r="GF3" i="2" s="1"/>
  <c r="GF85" i="2"/>
  <c r="GG35" i="2"/>
  <c r="GG3" i="2" s="1"/>
  <c r="GG85" i="2"/>
  <c r="GH35" i="2"/>
  <c r="GH3" i="2" s="1"/>
  <c r="GH85" i="2"/>
  <c r="GI35" i="2"/>
  <c r="GI85" i="2"/>
  <c r="GI3" i="2"/>
  <c r="GJ35" i="2"/>
  <c r="GJ85" i="2"/>
  <c r="GJ3" i="2"/>
  <c r="GK35" i="2"/>
  <c r="GK3" i="2" s="1"/>
  <c r="GK85" i="2"/>
  <c r="GL35" i="2"/>
  <c r="GL3" i="2" s="1"/>
  <c r="GL85" i="2"/>
  <c r="GM35" i="2"/>
  <c r="GM85" i="2"/>
  <c r="GM3" i="2" s="1"/>
  <c r="GN35" i="2"/>
  <c r="GN85" i="2"/>
  <c r="GN3" i="2"/>
  <c r="GO35" i="2"/>
  <c r="GO85" i="2"/>
  <c r="GR35" i="2"/>
  <c r="GR3" i="2" s="1"/>
  <c r="GR85" i="2"/>
  <c r="GS35" i="2"/>
  <c r="GS85" i="2"/>
  <c r="GS3" i="2"/>
  <c r="GT35" i="2"/>
  <c r="GT85" i="2"/>
  <c r="GT3" i="2"/>
  <c r="GU35" i="2"/>
  <c r="GU85" i="2"/>
  <c r="GU3" i="2"/>
  <c r="GV35" i="2"/>
  <c r="GV3" i="2" s="1"/>
  <c r="GV85" i="2"/>
  <c r="GW85" i="2"/>
  <c r="GX35" i="2"/>
  <c r="GX85" i="2"/>
  <c r="GX3" i="2" s="1"/>
  <c r="GY35" i="2"/>
  <c r="GY85" i="2"/>
  <c r="GZ35" i="2"/>
  <c r="GZ3" i="2" s="1"/>
  <c r="GZ85" i="2"/>
  <c r="HA35" i="2"/>
  <c r="HA85" i="2"/>
  <c r="HA3" i="2" s="1"/>
  <c r="HB35" i="2"/>
  <c r="HB85" i="2"/>
  <c r="HB3" i="2"/>
  <c r="HC35" i="2"/>
  <c r="HC3" i="2" s="1"/>
  <c r="HC85" i="2"/>
  <c r="HD35" i="2"/>
  <c r="HD3" i="2" s="1"/>
  <c r="HD85" i="2"/>
  <c r="HE35" i="2"/>
  <c r="HE3" i="2" s="1"/>
  <c r="HE85" i="2"/>
  <c r="HF35" i="2"/>
  <c r="HF3" i="2" s="1"/>
  <c r="HF85" i="2"/>
  <c r="HG35" i="2"/>
  <c r="HG85" i="2"/>
  <c r="HG3" i="2"/>
  <c r="HH35" i="2"/>
  <c r="HH3" i="2" s="1"/>
  <c r="HH85" i="2"/>
  <c r="HI35" i="2"/>
  <c r="HI3" i="2" s="1"/>
  <c r="HI85" i="2"/>
  <c r="HJ35" i="2"/>
  <c r="HJ3" i="2" s="1"/>
  <c r="HJ85" i="2"/>
  <c r="HK35" i="2"/>
  <c r="HK3" i="2" s="1"/>
  <c r="HK85" i="2"/>
  <c r="HL35" i="2"/>
  <c r="HL85" i="2"/>
  <c r="HL3" i="2"/>
  <c r="HM35" i="2"/>
  <c r="HM85" i="2"/>
  <c r="HM3" i="2"/>
  <c r="HN35" i="2"/>
  <c r="HN85" i="2"/>
  <c r="HN3" i="2"/>
  <c r="HO35" i="2"/>
  <c r="HO85" i="2"/>
  <c r="HO3" i="2"/>
  <c r="HP35" i="2"/>
  <c r="HP3" i="2" s="1"/>
  <c r="HP85" i="2"/>
  <c r="HU35" i="2"/>
  <c r="HU85" i="2"/>
  <c r="HV35" i="2"/>
  <c r="HV85" i="2"/>
  <c r="HW35" i="2"/>
  <c r="HW85" i="2"/>
  <c r="HX35" i="2"/>
  <c r="HX3" i="2" s="1"/>
  <c r="HX85" i="2"/>
  <c r="HY35" i="2"/>
  <c r="HY3" i="2" s="1"/>
  <c r="HY85" i="2"/>
  <c r="HZ35" i="2"/>
  <c r="HZ85" i="2"/>
  <c r="HZ3" i="2"/>
  <c r="HZ4" i="2" s="1"/>
  <c r="IA35" i="2"/>
  <c r="IA3" i="2" s="1"/>
  <c r="IA85" i="2"/>
  <c r="IC85" i="2"/>
  <c r="CU44" i="2"/>
  <c r="CV44" i="2"/>
  <c r="CW44" i="2"/>
  <c r="CX44" i="2"/>
  <c r="CY44" i="2"/>
  <c r="CZ44" i="2"/>
  <c r="DA44" i="2"/>
  <c r="DB44" i="2"/>
  <c r="GV44" i="2" s="1"/>
  <c r="DC44" i="2"/>
  <c r="GW44" i="2" s="1"/>
  <c r="DD44" i="2"/>
  <c r="DE44" i="2"/>
  <c r="ID35" i="2"/>
  <c r="ID85" i="2"/>
  <c r="DF44" i="2"/>
  <c r="ID44" i="2" s="1"/>
  <c r="IE35" i="2"/>
  <c r="IE85" i="2"/>
  <c r="IE44" i="2"/>
  <c r="IE3" i="2" s="1"/>
  <c r="IF35" i="2"/>
  <c r="IF3" i="2" s="1"/>
  <c r="IF85" i="2"/>
  <c r="IF44" i="2"/>
  <c r="IG35" i="2"/>
  <c r="IG3" i="2" s="1"/>
  <c r="IG85" i="2"/>
  <c r="IG44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U6" i="2"/>
  <c r="HV6" i="2"/>
  <c r="HW6" i="2"/>
  <c r="HX6" i="2"/>
  <c r="HY6" i="2"/>
  <c r="HZ6" i="2"/>
  <c r="IA6" i="2"/>
  <c r="IB6" i="2"/>
  <c r="IC6" i="2"/>
  <c r="ID6" i="2"/>
  <c r="IE6" i="2"/>
  <c r="IF6" i="2"/>
  <c r="IG6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U8" i="2"/>
  <c r="HV8" i="2"/>
  <c r="HW8" i="2"/>
  <c r="HX8" i="2"/>
  <c r="HY8" i="2"/>
  <c r="HZ8" i="2"/>
  <c r="IA8" i="2"/>
  <c r="IB8" i="2"/>
  <c r="IC8" i="2"/>
  <c r="ID8" i="2"/>
  <c r="IE8" i="2"/>
  <c r="IF8" i="2"/>
  <c r="IG8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U11" i="2"/>
  <c r="HV11" i="2"/>
  <c r="HW11" i="2"/>
  <c r="HX11" i="2"/>
  <c r="HY11" i="2"/>
  <c r="HZ11" i="2"/>
  <c r="IA11" i="2"/>
  <c r="IB11" i="2"/>
  <c r="IC11" i="2"/>
  <c r="ID11" i="2"/>
  <c r="IE11" i="2"/>
  <c r="IF11" i="2"/>
  <c r="IG11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GZ14" i="2"/>
  <c r="HA14" i="2"/>
  <c r="HB14" i="2"/>
  <c r="HC14" i="2"/>
  <c r="HD14" i="2"/>
  <c r="HE14" i="2"/>
  <c r="HF14" i="2"/>
  <c r="HG14" i="2"/>
  <c r="HH14" i="2"/>
  <c r="HI14" i="2"/>
  <c r="HJ14" i="2"/>
  <c r="HK14" i="2"/>
  <c r="HL14" i="2"/>
  <c r="HM14" i="2"/>
  <c r="HN14" i="2"/>
  <c r="HO14" i="2"/>
  <c r="HP14" i="2"/>
  <c r="HU14" i="2"/>
  <c r="HV14" i="2"/>
  <c r="HW14" i="2"/>
  <c r="HX14" i="2"/>
  <c r="HY14" i="2"/>
  <c r="HZ14" i="2"/>
  <c r="IA14" i="2"/>
  <c r="IB14" i="2"/>
  <c r="IC14" i="2"/>
  <c r="ID14" i="2"/>
  <c r="IE14" i="2"/>
  <c r="IF14" i="2"/>
  <c r="IG14" i="2"/>
  <c r="DN15" i="2"/>
  <c r="DO15" i="2"/>
  <c r="DP15" i="2"/>
  <c r="DP16" i="2" s="1"/>
  <c r="ID16" i="2" s="1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CS16" i="2"/>
  <c r="DN16" i="2"/>
  <c r="GZ16" i="2" s="1"/>
  <c r="DO16" i="2"/>
  <c r="HA16" i="2" s="1"/>
  <c r="DQ16" i="2"/>
  <c r="DR16" i="2"/>
  <c r="HB16" i="2" s="1"/>
  <c r="DS16" i="2"/>
  <c r="DT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R16" i="2"/>
  <c r="GS16" i="2"/>
  <c r="GT16" i="2"/>
  <c r="GU16" i="2"/>
  <c r="GV16" i="2"/>
  <c r="GW16" i="2"/>
  <c r="GX16" i="2"/>
  <c r="GY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U16" i="2"/>
  <c r="HV16" i="2"/>
  <c r="HW16" i="2"/>
  <c r="HX16" i="2"/>
  <c r="HY16" i="2"/>
  <c r="HZ16" i="2"/>
  <c r="IA16" i="2"/>
  <c r="IC16" i="2"/>
  <c r="IE16" i="2"/>
  <c r="IF16" i="2"/>
  <c r="IG16" i="2"/>
  <c r="FN17" i="2"/>
  <c r="FO17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GY17" i="2"/>
  <c r="GZ17" i="2"/>
  <c r="HA17" i="2"/>
  <c r="HB17" i="2"/>
  <c r="HC17" i="2"/>
  <c r="HD17" i="2"/>
  <c r="HE17" i="2"/>
  <c r="HF17" i="2"/>
  <c r="HG17" i="2"/>
  <c r="HH17" i="2"/>
  <c r="HI17" i="2"/>
  <c r="HJ17" i="2"/>
  <c r="HK17" i="2"/>
  <c r="HL17" i="2"/>
  <c r="HM17" i="2"/>
  <c r="HN17" i="2"/>
  <c r="HO17" i="2"/>
  <c r="HP17" i="2"/>
  <c r="HU17" i="2"/>
  <c r="HV17" i="2"/>
  <c r="HW17" i="2"/>
  <c r="HX17" i="2"/>
  <c r="HY17" i="2"/>
  <c r="HZ17" i="2"/>
  <c r="IA17" i="2"/>
  <c r="IB17" i="2"/>
  <c r="IC17" i="2"/>
  <c r="ID17" i="2"/>
  <c r="IE17" i="2"/>
  <c r="IF17" i="2"/>
  <c r="IG17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0" i="2"/>
  <c r="GS20" i="2"/>
  <c r="GT20" i="2"/>
  <c r="GU20" i="2"/>
  <c r="GV20" i="2"/>
  <c r="GW20" i="2"/>
  <c r="GX20" i="2"/>
  <c r="GY20" i="2"/>
  <c r="GZ20" i="2"/>
  <c r="HA20" i="2"/>
  <c r="HB20" i="2"/>
  <c r="HC20" i="2"/>
  <c r="HD20" i="2"/>
  <c r="HE20" i="2"/>
  <c r="HF20" i="2"/>
  <c r="HG20" i="2"/>
  <c r="HH20" i="2"/>
  <c r="HI20" i="2"/>
  <c r="HJ20" i="2"/>
  <c r="HK20" i="2"/>
  <c r="HL20" i="2"/>
  <c r="HM20" i="2"/>
  <c r="HN20" i="2"/>
  <c r="HO20" i="2"/>
  <c r="HP20" i="2"/>
  <c r="HU20" i="2"/>
  <c r="HV20" i="2"/>
  <c r="HW20" i="2"/>
  <c r="HX20" i="2"/>
  <c r="HY20" i="2"/>
  <c r="HZ20" i="2"/>
  <c r="IA20" i="2"/>
  <c r="IB20" i="2"/>
  <c r="IC20" i="2"/>
  <c r="ID20" i="2"/>
  <c r="IE20" i="2"/>
  <c r="IF20" i="2"/>
  <c r="IG20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O23" i="2"/>
  <c r="HP23" i="2"/>
  <c r="HU23" i="2"/>
  <c r="HV23" i="2"/>
  <c r="HW23" i="2"/>
  <c r="HX23" i="2"/>
  <c r="HY23" i="2"/>
  <c r="HZ23" i="2"/>
  <c r="IA23" i="2"/>
  <c r="IB23" i="2"/>
  <c r="IC23" i="2"/>
  <c r="ID23" i="2"/>
  <c r="IE23" i="2"/>
  <c r="IF23" i="2"/>
  <c r="IG23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HF24" i="2"/>
  <c r="HG24" i="2"/>
  <c r="HH24" i="2"/>
  <c r="HI24" i="2"/>
  <c r="HJ24" i="2"/>
  <c r="HK24" i="2"/>
  <c r="HL24" i="2"/>
  <c r="HM24" i="2"/>
  <c r="HN24" i="2"/>
  <c r="HO24" i="2"/>
  <c r="HP24" i="2"/>
  <c r="HU24" i="2"/>
  <c r="HV24" i="2"/>
  <c r="HW24" i="2"/>
  <c r="HX24" i="2"/>
  <c r="HY24" i="2"/>
  <c r="HZ24" i="2"/>
  <c r="IA24" i="2"/>
  <c r="IB24" i="2"/>
  <c r="IC24" i="2"/>
  <c r="ID24" i="2"/>
  <c r="IE24" i="2"/>
  <c r="IF24" i="2"/>
  <c r="IG24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HF26" i="2"/>
  <c r="HG26" i="2"/>
  <c r="HH26" i="2"/>
  <c r="HI26" i="2"/>
  <c r="HJ26" i="2"/>
  <c r="HK26" i="2"/>
  <c r="HL26" i="2"/>
  <c r="HM26" i="2"/>
  <c r="HN26" i="2"/>
  <c r="HO26" i="2"/>
  <c r="HP26" i="2"/>
  <c r="HU26" i="2"/>
  <c r="HV26" i="2"/>
  <c r="HW26" i="2"/>
  <c r="HX26" i="2"/>
  <c r="HY26" i="2"/>
  <c r="HZ26" i="2"/>
  <c r="IA26" i="2"/>
  <c r="IB26" i="2"/>
  <c r="IC26" i="2"/>
  <c r="ID26" i="2"/>
  <c r="IE26" i="2"/>
  <c r="IF26" i="2"/>
  <c r="IG26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FN29" i="2"/>
  <c r="FO29" i="2"/>
  <c r="FP29" i="2"/>
  <c r="FQ29" i="2"/>
  <c r="FR29" i="2"/>
  <c r="FS29" i="2"/>
  <c r="FT29" i="2"/>
  <c r="FU29" i="2"/>
  <c r="FV29" i="2"/>
  <c r="FW29" i="2"/>
  <c r="FX29" i="2"/>
  <c r="FY29" i="2"/>
  <c r="FZ29" i="2"/>
  <c r="GA29" i="2"/>
  <c r="GB29" i="2"/>
  <c r="GC29" i="2"/>
  <c r="GD29" i="2"/>
  <c r="GE29" i="2"/>
  <c r="GF29" i="2"/>
  <c r="GG29" i="2"/>
  <c r="GH29" i="2"/>
  <c r="GI29" i="2"/>
  <c r="GJ29" i="2"/>
  <c r="GK29" i="2"/>
  <c r="GL29" i="2"/>
  <c r="GM29" i="2"/>
  <c r="GN29" i="2"/>
  <c r="GO29" i="2"/>
  <c r="GP29" i="2"/>
  <c r="GQ29" i="2"/>
  <c r="GR29" i="2"/>
  <c r="GS29" i="2"/>
  <c r="GT29" i="2"/>
  <c r="GU29" i="2"/>
  <c r="GV29" i="2"/>
  <c r="GW29" i="2"/>
  <c r="GX29" i="2"/>
  <c r="GY29" i="2"/>
  <c r="GZ29" i="2"/>
  <c r="HA29" i="2"/>
  <c r="HB29" i="2"/>
  <c r="HC29" i="2"/>
  <c r="HD29" i="2"/>
  <c r="HE29" i="2"/>
  <c r="HF29" i="2"/>
  <c r="HG29" i="2"/>
  <c r="HH29" i="2"/>
  <c r="HI29" i="2"/>
  <c r="HJ29" i="2"/>
  <c r="HK29" i="2"/>
  <c r="HL29" i="2"/>
  <c r="HM29" i="2"/>
  <c r="HN29" i="2"/>
  <c r="HO29" i="2"/>
  <c r="HP29" i="2"/>
  <c r="HU29" i="2"/>
  <c r="HV29" i="2"/>
  <c r="HW29" i="2"/>
  <c r="HX29" i="2"/>
  <c r="HY29" i="2"/>
  <c r="HZ29" i="2"/>
  <c r="IA29" i="2"/>
  <c r="IB29" i="2"/>
  <c r="IC29" i="2"/>
  <c r="ID29" i="2"/>
  <c r="IE29" i="2"/>
  <c r="IF29" i="2"/>
  <c r="IG29" i="2"/>
  <c r="FN30" i="2"/>
  <c r="FO30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GG30" i="2"/>
  <c r="GH30" i="2"/>
  <c r="GI30" i="2"/>
  <c r="GJ30" i="2"/>
  <c r="GK30" i="2"/>
  <c r="GL30" i="2"/>
  <c r="GM30" i="2"/>
  <c r="GN30" i="2"/>
  <c r="GO30" i="2"/>
  <c r="GP30" i="2"/>
  <c r="GQ30" i="2"/>
  <c r="GR30" i="2"/>
  <c r="GS30" i="2"/>
  <c r="GT30" i="2"/>
  <c r="GU30" i="2"/>
  <c r="GV30" i="2"/>
  <c r="GW30" i="2"/>
  <c r="GX30" i="2"/>
  <c r="GY30" i="2"/>
  <c r="GZ30" i="2"/>
  <c r="HA30" i="2"/>
  <c r="HB30" i="2"/>
  <c r="HC30" i="2"/>
  <c r="HD30" i="2"/>
  <c r="HE30" i="2"/>
  <c r="HF30" i="2"/>
  <c r="HG30" i="2"/>
  <c r="HH30" i="2"/>
  <c r="HI30" i="2"/>
  <c r="HJ30" i="2"/>
  <c r="HK30" i="2"/>
  <c r="HL30" i="2"/>
  <c r="HM30" i="2"/>
  <c r="HN30" i="2"/>
  <c r="HO30" i="2"/>
  <c r="HP30" i="2"/>
  <c r="HU30" i="2"/>
  <c r="HV30" i="2"/>
  <c r="HW30" i="2"/>
  <c r="HX30" i="2"/>
  <c r="HY30" i="2"/>
  <c r="HZ30" i="2"/>
  <c r="IA30" i="2"/>
  <c r="IB30" i="2"/>
  <c r="IC30" i="2"/>
  <c r="ID30" i="2"/>
  <c r="IE30" i="2"/>
  <c r="IF30" i="2"/>
  <c r="IG30" i="2"/>
  <c r="DN31" i="2"/>
  <c r="DO31" i="2"/>
  <c r="DP31" i="2"/>
  <c r="HA31" i="2" s="1"/>
  <c r="DQ31" i="2"/>
  <c r="DS31" i="2"/>
  <c r="IE31" i="2" s="1"/>
  <c r="DT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R31" i="2"/>
  <c r="GS31" i="2"/>
  <c r="GT31" i="2"/>
  <c r="GU31" i="2"/>
  <c r="GV31" i="2"/>
  <c r="GW31" i="2"/>
  <c r="GX31" i="2"/>
  <c r="GY31" i="2"/>
  <c r="GZ31" i="2"/>
  <c r="HC31" i="2"/>
  <c r="HD31" i="2"/>
  <c r="HE31" i="2"/>
  <c r="HF31" i="2"/>
  <c r="HG31" i="2"/>
  <c r="HH31" i="2"/>
  <c r="HI31" i="2"/>
  <c r="HJ31" i="2"/>
  <c r="HK31" i="2"/>
  <c r="HL31" i="2"/>
  <c r="HM31" i="2"/>
  <c r="HN31" i="2"/>
  <c r="HO31" i="2"/>
  <c r="HP31" i="2"/>
  <c r="HU31" i="2"/>
  <c r="HV31" i="2"/>
  <c r="HW31" i="2"/>
  <c r="HX31" i="2"/>
  <c r="HY31" i="2"/>
  <c r="HZ31" i="2"/>
  <c r="IA31" i="2"/>
  <c r="IC31" i="2"/>
  <c r="IF31" i="2"/>
  <c r="IG31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GY32" i="2"/>
  <c r="GZ32" i="2"/>
  <c r="HA32" i="2"/>
  <c r="HB32" i="2"/>
  <c r="HC32" i="2"/>
  <c r="HD32" i="2"/>
  <c r="HE32" i="2"/>
  <c r="HF32" i="2"/>
  <c r="HG32" i="2"/>
  <c r="HH32" i="2"/>
  <c r="HI32" i="2"/>
  <c r="HJ32" i="2"/>
  <c r="HK32" i="2"/>
  <c r="HL32" i="2"/>
  <c r="HM32" i="2"/>
  <c r="HN32" i="2"/>
  <c r="HO32" i="2"/>
  <c r="HP32" i="2"/>
  <c r="HU32" i="2"/>
  <c r="HV32" i="2"/>
  <c r="HW32" i="2"/>
  <c r="HX32" i="2"/>
  <c r="HY32" i="2"/>
  <c r="HZ32" i="2"/>
  <c r="IA32" i="2"/>
  <c r="IB32" i="2"/>
  <c r="IC32" i="2"/>
  <c r="ID32" i="2"/>
  <c r="IE32" i="2"/>
  <c r="IF32" i="2"/>
  <c r="IG32" i="2"/>
  <c r="FN33" i="2"/>
  <c r="FO33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GG33" i="2"/>
  <c r="GH33" i="2"/>
  <c r="GI33" i="2"/>
  <c r="GJ33" i="2"/>
  <c r="GK33" i="2"/>
  <c r="GL33" i="2"/>
  <c r="GM33" i="2"/>
  <c r="GN33" i="2"/>
  <c r="GO33" i="2"/>
  <c r="GP33" i="2"/>
  <c r="GQ33" i="2"/>
  <c r="GR33" i="2"/>
  <c r="GS33" i="2"/>
  <c r="GT33" i="2"/>
  <c r="GU33" i="2"/>
  <c r="GV33" i="2"/>
  <c r="GW33" i="2"/>
  <c r="GX33" i="2"/>
  <c r="GY33" i="2"/>
  <c r="GZ33" i="2"/>
  <c r="HA33" i="2"/>
  <c r="HB33" i="2"/>
  <c r="HC33" i="2"/>
  <c r="HD33" i="2"/>
  <c r="HE33" i="2"/>
  <c r="HF33" i="2"/>
  <c r="HG33" i="2"/>
  <c r="HH33" i="2"/>
  <c r="HI33" i="2"/>
  <c r="HJ33" i="2"/>
  <c r="HK33" i="2"/>
  <c r="HL33" i="2"/>
  <c r="HM33" i="2"/>
  <c r="HN33" i="2"/>
  <c r="HO33" i="2"/>
  <c r="HP33" i="2"/>
  <c r="HU33" i="2"/>
  <c r="HV33" i="2"/>
  <c r="HW33" i="2"/>
  <c r="HX33" i="2"/>
  <c r="HY33" i="2"/>
  <c r="HZ33" i="2"/>
  <c r="IA33" i="2"/>
  <c r="IB33" i="2"/>
  <c r="IC33" i="2"/>
  <c r="ID33" i="2"/>
  <c r="IE33" i="2"/>
  <c r="IF33" i="2"/>
  <c r="IG33" i="2"/>
  <c r="DS34" i="2"/>
  <c r="DT34" i="2"/>
  <c r="HB34" i="2" s="1"/>
  <c r="FN34" i="2"/>
  <c r="FO34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GG34" i="2"/>
  <c r="GH34" i="2"/>
  <c r="GI34" i="2"/>
  <c r="GJ34" i="2"/>
  <c r="GK34" i="2"/>
  <c r="GL34" i="2"/>
  <c r="GM34" i="2"/>
  <c r="GN34" i="2"/>
  <c r="GO34" i="2"/>
  <c r="GP34" i="2"/>
  <c r="GR34" i="2"/>
  <c r="GS34" i="2"/>
  <c r="GT34" i="2"/>
  <c r="GU34" i="2"/>
  <c r="GV34" i="2"/>
  <c r="GW34" i="2"/>
  <c r="GX34" i="2"/>
  <c r="GY34" i="2"/>
  <c r="GZ34" i="2"/>
  <c r="HA34" i="2"/>
  <c r="HC34" i="2"/>
  <c r="HD34" i="2"/>
  <c r="HE34" i="2"/>
  <c r="HF34" i="2"/>
  <c r="HG34" i="2"/>
  <c r="HH34" i="2"/>
  <c r="HI34" i="2"/>
  <c r="HJ34" i="2"/>
  <c r="HK34" i="2"/>
  <c r="HL34" i="2"/>
  <c r="HM34" i="2"/>
  <c r="HN34" i="2"/>
  <c r="HO34" i="2"/>
  <c r="HP34" i="2"/>
  <c r="HU34" i="2"/>
  <c r="HV34" i="2"/>
  <c r="HW34" i="2"/>
  <c r="HX34" i="2"/>
  <c r="HY34" i="2"/>
  <c r="HZ34" i="2"/>
  <c r="IA34" i="2"/>
  <c r="IC34" i="2"/>
  <c r="ID34" i="2"/>
  <c r="IE34" i="2"/>
  <c r="IF34" i="2"/>
  <c r="IG34" i="2"/>
  <c r="FN36" i="2"/>
  <c r="FO36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GG36" i="2"/>
  <c r="GH36" i="2"/>
  <c r="GI36" i="2"/>
  <c r="GJ36" i="2"/>
  <c r="GK36" i="2"/>
  <c r="GL36" i="2"/>
  <c r="GM36" i="2"/>
  <c r="GN36" i="2"/>
  <c r="GO36" i="2"/>
  <c r="GP36" i="2"/>
  <c r="GQ36" i="2"/>
  <c r="GR36" i="2"/>
  <c r="GS36" i="2"/>
  <c r="GT36" i="2"/>
  <c r="GU36" i="2"/>
  <c r="GV36" i="2"/>
  <c r="GW36" i="2"/>
  <c r="GX36" i="2"/>
  <c r="GY36" i="2"/>
  <c r="GZ36" i="2"/>
  <c r="HA36" i="2"/>
  <c r="HB36" i="2"/>
  <c r="HC36" i="2"/>
  <c r="HD36" i="2"/>
  <c r="HE36" i="2"/>
  <c r="HF36" i="2"/>
  <c r="HG36" i="2"/>
  <c r="HH36" i="2"/>
  <c r="HI36" i="2"/>
  <c r="HJ36" i="2"/>
  <c r="HK36" i="2"/>
  <c r="HL36" i="2"/>
  <c r="HM36" i="2"/>
  <c r="HN36" i="2"/>
  <c r="HO36" i="2"/>
  <c r="HP36" i="2"/>
  <c r="HU36" i="2"/>
  <c r="HV36" i="2"/>
  <c r="HW36" i="2"/>
  <c r="HX36" i="2"/>
  <c r="HY36" i="2"/>
  <c r="HZ36" i="2"/>
  <c r="IA36" i="2"/>
  <c r="IB36" i="2"/>
  <c r="IC36" i="2"/>
  <c r="ID36" i="2"/>
  <c r="IE36" i="2"/>
  <c r="IF36" i="2"/>
  <c r="IG36" i="2"/>
  <c r="FN37" i="2"/>
  <c r="FO37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GG37" i="2"/>
  <c r="GH37" i="2"/>
  <c r="GI37" i="2"/>
  <c r="GJ37" i="2"/>
  <c r="GK37" i="2"/>
  <c r="GL37" i="2"/>
  <c r="GM37" i="2"/>
  <c r="GN37" i="2"/>
  <c r="GO37" i="2"/>
  <c r="GP37" i="2"/>
  <c r="GQ37" i="2"/>
  <c r="GR37" i="2"/>
  <c r="GS37" i="2"/>
  <c r="GT37" i="2"/>
  <c r="GU37" i="2"/>
  <c r="GV37" i="2"/>
  <c r="GW37" i="2"/>
  <c r="GX37" i="2"/>
  <c r="GY37" i="2"/>
  <c r="GZ37" i="2"/>
  <c r="HA37" i="2"/>
  <c r="HB37" i="2"/>
  <c r="HC37" i="2"/>
  <c r="HD37" i="2"/>
  <c r="HE37" i="2"/>
  <c r="HF37" i="2"/>
  <c r="HG37" i="2"/>
  <c r="HH37" i="2"/>
  <c r="HI37" i="2"/>
  <c r="HJ37" i="2"/>
  <c r="HK37" i="2"/>
  <c r="HL37" i="2"/>
  <c r="HM37" i="2"/>
  <c r="HN37" i="2"/>
  <c r="HO37" i="2"/>
  <c r="HP37" i="2"/>
  <c r="HU37" i="2"/>
  <c r="HV37" i="2"/>
  <c r="HW37" i="2"/>
  <c r="HX37" i="2"/>
  <c r="HY37" i="2"/>
  <c r="HZ37" i="2"/>
  <c r="IA37" i="2"/>
  <c r="IB37" i="2"/>
  <c r="IC37" i="2"/>
  <c r="ID37" i="2"/>
  <c r="IE37" i="2"/>
  <c r="IF37" i="2"/>
  <c r="IG37" i="2"/>
  <c r="HU38" i="2"/>
  <c r="HV38" i="2"/>
  <c r="HW38" i="2"/>
  <c r="HX38" i="2"/>
  <c r="HY38" i="2"/>
  <c r="HZ38" i="2"/>
  <c r="IA38" i="2"/>
  <c r="IB38" i="2"/>
  <c r="IC38" i="2"/>
  <c r="ID38" i="2"/>
  <c r="IE38" i="2"/>
  <c r="IF38" i="2"/>
  <c r="IG38" i="2"/>
  <c r="HU39" i="2"/>
  <c r="HV39" i="2"/>
  <c r="HW39" i="2"/>
  <c r="HX39" i="2"/>
  <c r="HY39" i="2"/>
  <c r="HZ39" i="2"/>
  <c r="IA39" i="2"/>
  <c r="IB39" i="2"/>
  <c r="IC39" i="2"/>
  <c r="ID39" i="2"/>
  <c r="IE39" i="2"/>
  <c r="IF39" i="2"/>
  <c r="IG39" i="2"/>
  <c r="FN40" i="2"/>
  <c r="FO40" i="2"/>
  <c r="FP40" i="2"/>
  <c r="FQ40" i="2"/>
  <c r="FR40" i="2"/>
  <c r="FS40" i="2"/>
  <c r="FT40" i="2"/>
  <c r="FU40" i="2"/>
  <c r="FV40" i="2"/>
  <c r="FW40" i="2"/>
  <c r="FX40" i="2"/>
  <c r="FY40" i="2"/>
  <c r="FZ40" i="2"/>
  <c r="GA40" i="2"/>
  <c r="GB40" i="2"/>
  <c r="GC40" i="2"/>
  <c r="GD40" i="2"/>
  <c r="GE40" i="2"/>
  <c r="GF40" i="2"/>
  <c r="GG40" i="2"/>
  <c r="GH40" i="2"/>
  <c r="GI40" i="2"/>
  <c r="GJ40" i="2"/>
  <c r="GK40" i="2"/>
  <c r="GL40" i="2"/>
  <c r="GM40" i="2"/>
  <c r="GN40" i="2"/>
  <c r="GO40" i="2"/>
  <c r="GP40" i="2"/>
  <c r="GQ40" i="2"/>
  <c r="GR40" i="2"/>
  <c r="GS40" i="2"/>
  <c r="GT40" i="2"/>
  <c r="GU40" i="2"/>
  <c r="GV40" i="2"/>
  <c r="GW40" i="2"/>
  <c r="GX40" i="2"/>
  <c r="GY40" i="2"/>
  <c r="GZ40" i="2"/>
  <c r="HA40" i="2"/>
  <c r="HB40" i="2"/>
  <c r="HC40" i="2"/>
  <c r="HD40" i="2"/>
  <c r="HE40" i="2"/>
  <c r="HF40" i="2"/>
  <c r="HG40" i="2"/>
  <c r="HH40" i="2"/>
  <c r="HI40" i="2"/>
  <c r="HJ40" i="2"/>
  <c r="HK40" i="2"/>
  <c r="HL40" i="2"/>
  <c r="HM40" i="2"/>
  <c r="HN40" i="2"/>
  <c r="HO40" i="2"/>
  <c r="HP40" i="2"/>
  <c r="HU40" i="2"/>
  <c r="HV40" i="2"/>
  <c r="HW40" i="2"/>
  <c r="HX40" i="2"/>
  <c r="HY40" i="2"/>
  <c r="HZ40" i="2"/>
  <c r="IA40" i="2"/>
  <c r="IB40" i="2"/>
  <c r="IC40" i="2"/>
  <c r="ID40" i="2"/>
  <c r="IE40" i="2"/>
  <c r="IF40" i="2"/>
  <c r="IG40" i="2"/>
  <c r="FN41" i="2"/>
  <c r="FO41" i="2"/>
  <c r="FP41" i="2"/>
  <c r="FQ41" i="2"/>
  <c r="FR41" i="2"/>
  <c r="FS41" i="2"/>
  <c r="FT41" i="2"/>
  <c r="FU41" i="2"/>
  <c r="FV41" i="2"/>
  <c r="FW41" i="2"/>
  <c r="FX41" i="2"/>
  <c r="FY41" i="2"/>
  <c r="FZ41" i="2"/>
  <c r="GA41" i="2"/>
  <c r="GB41" i="2"/>
  <c r="GC41" i="2"/>
  <c r="GD41" i="2"/>
  <c r="GE41" i="2"/>
  <c r="GF41" i="2"/>
  <c r="GG41" i="2"/>
  <c r="GH41" i="2"/>
  <c r="GI41" i="2"/>
  <c r="GJ41" i="2"/>
  <c r="GK41" i="2"/>
  <c r="GL41" i="2"/>
  <c r="GM41" i="2"/>
  <c r="GN41" i="2"/>
  <c r="GO41" i="2"/>
  <c r="GP41" i="2"/>
  <c r="GQ41" i="2"/>
  <c r="GR41" i="2"/>
  <c r="GS41" i="2"/>
  <c r="GT41" i="2"/>
  <c r="GU41" i="2"/>
  <c r="GV41" i="2"/>
  <c r="GW41" i="2"/>
  <c r="GX41" i="2"/>
  <c r="GY41" i="2"/>
  <c r="GZ41" i="2"/>
  <c r="HA41" i="2"/>
  <c r="HB41" i="2"/>
  <c r="HC41" i="2"/>
  <c r="HD41" i="2"/>
  <c r="HE41" i="2"/>
  <c r="HF41" i="2"/>
  <c r="HG41" i="2"/>
  <c r="HH41" i="2"/>
  <c r="HI41" i="2"/>
  <c r="HJ41" i="2"/>
  <c r="HK41" i="2"/>
  <c r="HL41" i="2"/>
  <c r="HM41" i="2"/>
  <c r="HN41" i="2"/>
  <c r="HO41" i="2"/>
  <c r="HP41" i="2"/>
  <c r="HU41" i="2"/>
  <c r="HV41" i="2"/>
  <c r="HW41" i="2"/>
  <c r="HX41" i="2"/>
  <c r="HY41" i="2"/>
  <c r="HZ41" i="2"/>
  <c r="IA41" i="2"/>
  <c r="IB41" i="2"/>
  <c r="IC41" i="2"/>
  <c r="ID41" i="2"/>
  <c r="IE41" i="2"/>
  <c r="IF41" i="2"/>
  <c r="IG41" i="2"/>
  <c r="FN42" i="2"/>
  <c r="FO42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GG42" i="2"/>
  <c r="GH42" i="2"/>
  <c r="GI42" i="2"/>
  <c r="GJ42" i="2"/>
  <c r="GK42" i="2"/>
  <c r="GL42" i="2"/>
  <c r="GM42" i="2"/>
  <c r="GN42" i="2"/>
  <c r="GO42" i="2"/>
  <c r="GP42" i="2"/>
  <c r="GQ42" i="2"/>
  <c r="GR42" i="2"/>
  <c r="GS42" i="2"/>
  <c r="GT42" i="2"/>
  <c r="GU42" i="2"/>
  <c r="GV42" i="2"/>
  <c r="GW42" i="2"/>
  <c r="GX42" i="2"/>
  <c r="GY42" i="2"/>
  <c r="GZ42" i="2"/>
  <c r="HA42" i="2"/>
  <c r="HB42" i="2"/>
  <c r="HC42" i="2"/>
  <c r="HD42" i="2"/>
  <c r="HE42" i="2"/>
  <c r="HF42" i="2"/>
  <c r="HG42" i="2"/>
  <c r="HH42" i="2"/>
  <c r="HI42" i="2"/>
  <c r="HJ42" i="2"/>
  <c r="HK42" i="2"/>
  <c r="HL42" i="2"/>
  <c r="HM42" i="2"/>
  <c r="HN42" i="2"/>
  <c r="HO42" i="2"/>
  <c r="HP42" i="2"/>
  <c r="HU42" i="2"/>
  <c r="HV42" i="2"/>
  <c r="HW42" i="2"/>
  <c r="HX42" i="2"/>
  <c r="HY42" i="2"/>
  <c r="HZ42" i="2"/>
  <c r="IA42" i="2"/>
  <c r="IB42" i="2"/>
  <c r="IC42" i="2"/>
  <c r="ID42" i="2"/>
  <c r="IE42" i="2"/>
  <c r="IF42" i="2"/>
  <c r="IG42" i="2"/>
  <c r="HU43" i="2"/>
  <c r="HV43" i="2"/>
  <c r="HW43" i="2"/>
  <c r="HX43" i="2"/>
  <c r="HY43" i="2"/>
  <c r="HZ43" i="2"/>
  <c r="IA43" i="2"/>
  <c r="IB43" i="2"/>
  <c r="IC43" i="2"/>
  <c r="ID43" i="2"/>
  <c r="IE43" i="2"/>
  <c r="IF43" i="2"/>
  <c r="IG43" i="2"/>
  <c r="FH44" i="2"/>
  <c r="HP44" i="2" s="1"/>
  <c r="FN44" i="2"/>
  <c r="FO44" i="2"/>
  <c r="FP44" i="2"/>
  <c r="FQ44" i="2"/>
  <c r="FR44" i="2"/>
  <c r="FS44" i="2"/>
  <c r="FT44" i="2"/>
  <c r="FU44" i="2"/>
  <c r="FV44" i="2"/>
  <c r="FW44" i="2"/>
  <c r="FX44" i="2"/>
  <c r="FY44" i="2"/>
  <c r="FZ44" i="2"/>
  <c r="GA44" i="2"/>
  <c r="GB44" i="2"/>
  <c r="GC44" i="2"/>
  <c r="GD44" i="2"/>
  <c r="GE44" i="2"/>
  <c r="GF44" i="2"/>
  <c r="GG44" i="2"/>
  <c r="GH44" i="2"/>
  <c r="GI44" i="2"/>
  <c r="GJ44" i="2"/>
  <c r="GK44" i="2"/>
  <c r="GL44" i="2"/>
  <c r="GM44" i="2"/>
  <c r="GN44" i="2"/>
  <c r="GO44" i="2"/>
  <c r="GP44" i="2"/>
  <c r="GQ44" i="2"/>
  <c r="GR44" i="2"/>
  <c r="GS44" i="2"/>
  <c r="GT44" i="2"/>
  <c r="GU44" i="2"/>
  <c r="GX44" i="2"/>
  <c r="GY44" i="2"/>
  <c r="GZ44" i="2"/>
  <c r="HA44" i="2"/>
  <c r="HB44" i="2"/>
  <c r="HC44" i="2"/>
  <c r="HD44" i="2"/>
  <c r="HE44" i="2"/>
  <c r="HF44" i="2"/>
  <c r="HG44" i="2"/>
  <c r="HH44" i="2"/>
  <c r="HI44" i="2"/>
  <c r="HJ44" i="2"/>
  <c r="HK44" i="2"/>
  <c r="HL44" i="2"/>
  <c r="HM44" i="2"/>
  <c r="HN44" i="2"/>
  <c r="HO44" i="2"/>
  <c r="HU44" i="2"/>
  <c r="HV44" i="2"/>
  <c r="HW44" i="2"/>
  <c r="HX44" i="2"/>
  <c r="HY44" i="2"/>
  <c r="HZ44" i="2"/>
  <c r="IA44" i="2"/>
  <c r="IB44" i="2"/>
  <c r="FN45" i="2"/>
  <c r="FO45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GG45" i="2"/>
  <c r="GH45" i="2"/>
  <c r="GI45" i="2"/>
  <c r="GJ45" i="2"/>
  <c r="GK45" i="2"/>
  <c r="GL45" i="2"/>
  <c r="GM45" i="2"/>
  <c r="GN45" i="2"/>
  <c r="GO45" i="2"/>
  <c r="GP45" i="2"/>
  <c r="GQ45" i="2"/>
  <c r="GR45" i="2"/>
  <c r="GS45" i="2"/>
  <c r="GT45" i="2"/>
  <c r="GU45" i="2"/>
  <c r="GV45" i="2"/>
  <c r="GW45" i="2"/>
  <c r="GX45" i="2"/>
  <c r="GY45" i="2"/>
  <c r="GZ45" i="2"/>
  <c r="HA45" i="2"/>
  <c r="HB45" i="2"/>
  <c r="HC45" i="2"/>
  <c r="HD45" i="2"/>
  <c r="HE45" i="2"/>
  <c r="HF45" i="2"/>
  <c r="HG45" i="2"/>
  <c r="HH45" i="2"/>
  <c r="HI45" i="2"/>
  <c r="HJ45" i="2"/>
  <c r="HK45" i="2"/>
  <c r="HL45" i="2"/>
  <c r="HM45" i="2"/>
  <c r="HN45" i="2"/>
  <c r="HO45" i="2"/>
  <c r="HP45" i="2"/>
  <c r="HU45" i="2"/>
  <c r="HV45" i="2"/>
  <c r="HW45" i="2"/>
  <c r="HX45" i="2"/>
  <c r="HY45" i="2"/>
  <c r="HZ45" i="2"/>
  <c r="IA45" i="2"/>
  <c r="IB45" i="2"/>
  <c r="IC45" i="2"/>
  <c r="ID45" i="2"/>
  <c r="IE45" i="2"/>
  <c r="IF45" i="2"/>
  <c r="IG45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GY46" i="2"/>
  <c r="GZ46" i="2"/>
  <c r="HA46" i="2"/>
  <c r="HB46" i="2"/>
  <c r="HC46" i="2"/>
  <c r="HD46" i="2"/>
  <c r="HE46" i="2"/>
  <c r="HF46" i="2"/>
  <c r="HG46" i="2"/>
  <c r="HH46" i="2"/>
  <c r="HI46" i="2"/>
  <c r="HJ46" i="2"/>
  <c r="HK46" i="2"/>
  <c r="HL46" i="2"/>
  <c r="HM46" i="2"/>
  <c r="HN46" i="2"/>
  <c r="HO46" i="2"/>
  <c r="HP46" i="2"/>
  <c r="HU46" i="2"/>
  <c r="HV46" i="2"/>
  <c r="HW46" i="2"/>
  <c r="HX46" i="2"/>
  <c r="HY46" i="2"/>
  <c r="HZ46" i="2"/>
  <c r="IA46" i="2"/>
  <c r="IB46" i="2"/>
  <c r="IC46" i="2"/>
  <c r="ID46" i="2"/>
  <c r="IE46" i="2"/>
  <c r="IF46" i="2"/>
  <c r="IG46" i="2"/>
  <c r="FN47" i="2"/>
  <c r="FO47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GG47" i="2"/>
  <c r="GH47" i="2"/>
  <c r="GI47" i="2"/>
  <c r="GJ47" i="2"/>
  <c r="GK47" i="2"/>
  <c r="GL47" i="2"/>
  <c r="GM47" i="2"/>
  <c r="GN47" i="2"/>
  <c r="GO47" i="2"/>
  <c r="GP47" i="2"/>
  <c r="GQ47" i="2"/>
  <c r="GR47" i="2"/>
  <c r="GS47" i="2"/>
  <c r="GT47" i="2"/>
  <c r="GU47" i="2"/>
  <c r="GV47" i="2"/>
  <c r="GW47" i="2"/>
  <c r="GX47" i="2"/>
  <c r="GY47" i="2"/>
  <c r="GZ47" i="2"/>
  <c r="HA47" i="2"/>
  <c r="HB47" i="2"/>
  <c r="HC47" i="2"/>
  <c r="HD47" i="2"/>
  <c r="HE47" i="2"/>
  <c r="HF47" i="2"/>
  <c r="HG47" i="2"/>
  <c r="HH47" i="2"/>
  <c r="HI47" i="2"/>
  <c r="HJ47" i="2"/>
  <c r="HK47" i="2"/>
  <c r="HL47" i="2"/>
  <c r="HM47" i="2"/>
  <c r="HN47" i="2"/>
  <c r="HO47" i="2"/>
  <c r="HP47" i="2"/>
  <c r="HU47" i="2"/>
  <c r="HV47" i="2"/>
  <c r="HW47" i="2"/>
  <c r="HX47" i="2"/>
  <c r="HY47" i="2"/>
  <c r="HZ47" i="2"/>
  <c r="IA47" i="2"/>
  <c r="IB47" i="2"/>
  <c r="IC47" i="2"/>
  <c r="ID47" i="2"/>
  <c r="IE47" i="2"/>
  <c r="IF47" i="2"/>
  <c r="IG47" i="2"/>
  <c r="B48" i="2"/>
  <c r="C48" i="2"/>
  <c r="D48" i="2"/>
  <c r="E48" i="2"/>
  <c r="F48" i="2"/>
  <c r="G48" i="2"/>
  <c r="H48" i="2"/>
  <c r="FP48" i="2" s="1"/>
  <c r="I48" i="2"/>
  <c r="J48" i="2"/>
  <c r="K48" i="2"/>
  <c r="L48" i="2"/>
  <c r="M48" i="2"/>
  <c r="N48" i="2"/>
  <c r="O48" i="2"/>
  <c r="P48" i="2"/>
  <c r="Q48" i="2"/>
  <c r="FS48" i="2" s="1"/>
  <c r="R48" i="2"/>
  <c r="S48" i="2"/>
  <c r="T48" i="2"/>
  <c r="U48" i="2"/>
  <c r="FT48" i="2" s="1"/>
  <c r="V48" i="2"/>
  <c r="W48" i="2"/>
  <c r="X48" i="2"/>
  <c r="Y48" i="2"/>
  <c r="Z48" i="2"/>
  <c r="AA48" i="2"/>
  <c r="HW48" i="2" s="1"/>
  <c r="AB48" i="2"/>
  <c r="AC48" i="2"/>
  <c r="FW48" i="2" s="1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GA48" i="2" s="1"/>
  <c r="AQ48" i="2"/>
  <c r="AR48" i="2"/>
  <c r="AS48" i="2"/>
  <c r="AT48" i="2"/>
  <c r="AU48" i="2"/>
  <c r="AV48" i="2"/>
  <c r="AW48" i="2"/>
  <c r="AX48" i="2"/>
  <c r="GD48" i="2" s="1"/>
  <c r="AY48" i="2"/>
  <c r="AZ48" i="2"/>
  <c r="BA48" i="2"/>
  <c r="BB48" i="2"/>
  <c r="BC48" i="2"/>
  <c r="BD48" i="2"/>
  <c r="BE48" i="2"/>
  <c r="GF48" i="2" s="1"/>
  <c r="BF48" i="2"/>
  <c r="BG48" i="2"/>
  <c r="BH48" i="2"/>
  <c r="BI48" i="2"/>
  <c r="BJ48" i="2"/>
  <c r="BK48" i="2"/>
  <c r="GH48" i="2" s="1"/>
  <c r="BL48" i="2"/>
  <c r="BM48" i="2"/>
  <c r="BN48" i="2"/>
  <c r="BO48" i="2"/>
  <c r="BP48" i="2"/>
  <c r="BQ48" i="2"/>
  <c r="BR48" i="2"/>
  <c r="BS48" i="2"/>
  <c r="GK48" i="2" s="1"/>
  <c r="BT48" i="2"/>
  <c r="BU48" i="2"/>
  <c r="BV48" i="2"/>
  <c r="CT48" i="2"/>
  <c r="CU48" i="2"/>
  <c r="FQ48" i="2"/>
  <c r="FU48" i="2"/>
  <c r="FV48" i="2"/>
  <c r="FX48" i="2"/>
  <c r="FY48" i="2"/>
  <c r="FZ48" i="2"/>
  <c r="GE48" i="2"/>
  <c r="GG48" i="2"/>
  <c r="GI48" i="2"/>
  <c r="GJ48" i="2"/>
  <c r="GP48" i="2"/>
  <c r="GQ48" i="2"/>
  <c r="GR48" i="2"/>
  <c r="GS48" i="2"/>
  <c r="IB48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O49" i="2"/>
  <c r="GP49" i="2"/>
  <c r="GQ49" i="2"/>
  <c r="GR49" i="2"/>
  <c r="GS49" i="2"/>
  <c r="GT49" i="2"/>
  <c r="GU49" i="2"/>
  <c r="GV49" i="2"/>
  <c r="GW49" i="2"/>
  <c r="GX49" i="2"/>
  <c r="GY49" i="2"/>
  <c r="GZ49" i="2"/>
  <c r="HA49" i="2"/>
  <c r="HB49" i="2"/>
  <c r="HC49" i="2"/>
  <c r="HD49" i="2"/>
  <c r="HE49" i="2"/>
  <c r="HF49" i="2"/>
  <c r="HG49" i="2"/>
  <c r="HH49" i="2"/>
  <c r="HI49" i="2"/>
  <c r="HJ49" i="2"/>
  <c r="HK49" i="2"/>
  <c r="HL49" i="2"/>
  <c r="HM49" i="2"/>
  <c r="HN49" i="2"/>
  <c r="HO49" i="2"/>
  <c r="HP49" i="2"/>
  <c r="HU49" i="2"/>
  <c r="HV49" i="2"/>
  <c r="HW49" i="2"/>
  <c r="HX49" i="2"/>
  <c r="HY49" i="2"/>
  <c r="HZ49" i="2"/>
  <c r="IA49" i="2"/>
  <c r="IB49" i="2"/>
  <c r="IC49" i="2"/>
  <c r="ID49" i="2"/>
  <c r="IE49" i="2"/>
  <c r="IF49" i="2"/>
  <c r="IG49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GY50" i="2"/>
  <c r="GZ50" i="2"/>
  <c r="HA50" i="2"/>
  <c r="HB50" i="2"/>
  <c r="HC50" i="2"/>
  <c r="HD50" i="2"/>
  <c r="HE50" i="2"/>
  <c r="HF50" i="2"/>
  <c r="HG50" i="2"/>
  <c r="HH50" i="2"/>
  <c r="HI50" i="2"/>
  <c r="HJ50" i="2"/>
  <c r="HK50" i="2"/>
  <c r="HL50" i="2"/>
  <c r="HM50" i="2"/>
  <c r="HN50" i="2"/>
  <c r="HO50" i="2"/>
  <c r="HP50" i="2"/>
  <c r="HU50" i="2"/>
  <c r="HV50" i="2"/>
  <c r="HW50" i="2"/>
  <c r="HX50" i="2"/>
  <c r="HY50" i="2"/>
  <c r="HZ50" i="2"/>
  <c r="IA50" i="2"/>
  <c r="IB50" i="2"/>
  <c r="IC50" i="2"/>
  <c r="ID50" i="2"/>
  <c r="IE50" i="2"/>
  <c r="IF50" i="2"/>
  <c r="IG50" i="2"/>
  <c r="FN51" i="2"/>
  <c r="FO51" i="2"/>
  <c r="FP51" i="2"/>
  <c r="FQ51" i="2"/>
  <c r="FR51" i="2"/>
  <c r="FS51" i="2"/>
  <c r="FT51" i="2"/>
  <c r="FU51" i="2"/>
  <c r="FV51" i="2"/>
  <c r="FW51" i="2"/>
  <c r="FX51" i="2"/>
  <c r="FY51" i="2"/>
  <c r="FZ51" i="2"/>
  <c r="GA51" i="2"/>
  <c r="GB51" i="2"/>
  <c r="GC51" i="2"/>
  <c r="GD51" i="2"/>
  <c r="GE51" i="2"/>
  <c r="GF51" i="2"/>
  <c r="GG51" i="2"/>
  <c r="GH51" i="2"/>
  <c r="GI51" i="2"/>
  <c r="GJ51" i="2"/>
  <c r="GK51" i="2"/>
  <c r="GL51" i="2"/>
  <c r="GM51" i="2"/>
  <c r="GN51" i="2"/>
  <c r="GO51" i="2"/>
  <c r="GP51" i="2"/>
  <c r="GQ51" i="2"/>
  <c r="GR51" i="2"/>
  <c r="GS51" i="2"/>
  <c r="GT51" i="2"/>
  <c r="GU51" i="2"/>
  <c r="GV51" i="2"/>
  <c r="GW51" i="2"/>
  <c r="GX51" i="2"/>
  <c r="GY51" i="2"/>
  <c r="GZ51" i="2"/>
  <c r="HA51" i="2"/>
  <c r="HB51" i="2"/>
  <c r="HC51" i="2"/>
  <c r="HD51" i="2"/>
  <c r="HE51" i="2"/>
  <c r="HF51" i="2"/>
  <c r="HG51" i="2"/>
  <c r="HH51" i="2"/>
  <c r="HI51" i="2"/>
  <c r="HJ51" i="2"/>
  <c r="HK51" i="2"/>
  <c r="HL51" i="2"/>
  <c r="HM51" i="2"/>
  <c r="HN51" i="2"/>
  <c r="HO51" i="2"/>
  <c r="HP51" i="2"/>
  <c r="HU51" i="2"/>
  <c r="HV51" i="2"/>
  <c r="HW51" i="2"/>
  <c r="HX51" i="2"/>
  <c r="HY51" i="2"/>
  <c r="HZ51" i="2"/>
  <c r="IA51" i="2"/>
  <c r="IB51" i="2"/>
  <c r="IC51" i="2"/>
  <c r="ID51" i="2"/>
  <c r="IE51" i="2"/>
  <c r="IF51" i="2"/>
  <c r="IG51" i="2"/>
  <c r="FN52" i="2"/>
  <c r="FO52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GG52" i="2"/>
  <c r="GH52" i="2"/>
  <c r="GI52" i="2"/>
  <c r="GJ52" i="2"/>
  <c r="GK52" i="2"/>
  <c r="GL52" i="2"/>
  <c r="GM52" i="2"/>
  <c r="GN52" i="2"/>
  <c r="GO52" i="2"/>
  <c r="GP52" i="2"/>
  <c r="GQ52" i="2"/>
  <c r="GR52" i="2"/>
  <c r="GS52" i="2"/>
  <c r="GT52" i="2"/>
  <c r="GU52" i="2"/>
  <c r="GV52" i="2"/>
  <c r="GW52" i="2"/>
  <c r="GX52" i="2"/>
  <c r="GY52" i="2"/>
  <c r="GZ52" i="2"/>
  <c r="HA52" i="2"/>
  <c r="HB52" i="2"/>
  <c r="HC52" i="2"/>
  <c r="HD52" i="2"/>
  <c r="HE52" i="2"/>
  <c r="HF52" i="2"/>
  <c r="HG52" i="2"/>
  <c r="HH52" i="2"/>
  <c r="HI52" i="2"/>
  <c r="HJ52" i="2"/>
  <c r="HK52" i="2"/>
  <c r="HL52" i="2"/>
  <c r="HM52" i="2"/>
  <c r="HN52" i="2"/>
  <c r="HO52" i="2"/>
  <c r="HP52" i="2"/>
  <c r="HU52" i="2"/>
  <c r="HV52" i="2"/>
  <c r="HW52" i="2"/>
  <c r="HX52" i="2"/>
  <c r="HY52" i="2"/>
  <c r="HZ52" i="2"/>
  <c r="IA52" i="2"/>
  <c r="IB52" i="2"/>
  <c r="IC52" i="2"/>
  <c r="ID52" i="2"/>
  <c r="IE52" i="2"/>
  <c r="IF52" i="2"/>
  <c r="IG52" i="2"/>
  <c r="EZ53" i="2"/>
  <c r="IG53" i="2" s="1"/>
  <c r="FN53" i="2"/>
  <c r="FO53" i="2"/>
  <c r="FP53" i="2"/>
  <c r="FQ53" i="2"/>
  <c r="FR53" i="2"/>
  <c r="FS53" i="2"/>
  <c r="FT53" i="2"/>
  <c r="FU53" i="2"/>
  <c r="FV53" i="2"/>
  <c r="FW53" i="2"/>
  <c r="FX53" i="2"/>
  <c r="FY53" i="2"/>
  <c r="FZ53" i="2"/>
  <c r="GA53" i="2"/>
  <c r="GB53" i="2"/>
  <c r="GC53" i="2"/>
  <c r="GD53" i="2"/>
  <c r="GE53" i="2"/>
  <c r="GF53" i="2"/>
  <c r="GG53" i="2"/>
  <c r="GH53" i="2"/>
  <c r="GI53" i="2"/>
  <c r="GJ53" i="2"/>
  <c r="GK53" i="2"/>
  <c r="GL53" i="2"/>
  <c r="GM53" i="2"/>
  <c r="GN53" i="2"/>
  <c r="GO53" i="2"/>
  <c r="GP53" i="2"/>
  <c r="GQ53" i="2"/>
  <c r="GR53" i="2"/>
  <c r="GS53" i="2"/>
  <c r="GT53" i="2"/>
  <c r="GU53" i="2"/>
  <c r="GV53" i="2"/>
  <c r="GW53" i="2"/>
  <c r="GX53" i="2"/>
  <c r="GY53" i="2"/>
  <c r="GZ53" i="2"/>
  <c r="HA53" i="2"/>
  <c r="HB53" i="2"/>
  <c r="HC53" i="2"/>
  <c r="HD53" i="2"/>
  <c r="HE53" i="2"/>
  <c r="HF53" i="2"/>
  <c r="HG53" i="2"/>
  <c r="HH53" i="2"/>
  <c r="HI53" i="2"/>
  <c r="HJ53" i="2"/>
  <c r="HK53" i="2"/>
  <c r="HL53" i="2"/>
  <c r="HM53" i="2"/>
  <c r="HN53" i="2"/>
  <c r="HO53" i="2"/>
  <c r="HP53" i="2"/>
  <c r="HU53" i="2"/>
  <c r="HV53" i="2"/>
  <c r="HW53" i="2"/>
  <c r="HX53" i="2"/>
  <c r="HY53" i="2"/>
  <c r="HZ53" i="2"/>
  <c r="IA53" i="2"/>
  <c r="IB53" i="2"/>
  <c r="IC53" i="2"/>
  <c r="ID53" i="2"/>
  <c r="IE53" i="2"/>
  <c r="IF53" i="2"/>
  <c r="FN54" i="2"/>
  <c r="FO54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GG54" i="2"/>
  <c r="GH54" i="2"/>
  <c r="GI54" i="2"/>
  <c r="GJ54" i="2"/>
  <c r="GK54" i="2"/>
  <c r="GL54" i="2"/>
  <c r="GM54" i="2"/>
  <c r="GN54" i="2"/>
  <c r="GO54" i="2"/>
  <c r="GP54" i="2"/>
  <c r="GQ54" i="2"/>
  <c r="GR54" i="2"/>
  <c r="GS54" i="2"/>
  <c r="GT54" i="2"/>
  <c r="GU54" i="2"/>
  <c r="GV54" i="2"/>
  <c r="GW54" i="2"/>
  <c r="GX54" i="2"/>
  <c r="GY54" i="2"/>
  <c r="GZ54" i="2"/>
  <c r="HA54" i="2"/>
  <c r="HB54" i="2"/>
  <c r="HC54" i="2"/>
  <c r="HD54" i="2"/>
  <c r="HE54" i="2"/>
  <c r="HF54" i="2"/>
  <c r="HG54" i="2"/>
  <c r="HH54" i="2"/>
  <c r="HI54" i="2"/>
  <c r="HJ54" i="2"/>
  <c r="HK54" i="2"/>
  <c r="HL54" i="2"/>
  <c r="HM54" i="2"/>
  <c r="HN54" i="2"/>
  <c r="HO54" i="2"/>
  <c r="HP54" i="2"/>
  <c r="HU54" i="2"/>
  <c r="HV54" i="2"/>
  <c r="HW54" i="2"/>
  <c r="HX54" i="2"/>
  <c r="HY54" i="2"/>
  <c r="HZ54" i="2"/>
  <c r="IA54" i="2"/>
  <c r="IB54" i="2"/>
  <c r="IC54" i="2"/>
  <c r="ID54" i="2"/>
  <c r="IE54" i="2"/>
  <c r="IF54" i="2"/>
  <c r="IG54" i="2"/>
  <c r="FN55" i="2"/>
  <c r="FO55" i="2"/>
  <c r="FP55" i="2"/>
  <c r="FQ55" i="2"/>
  <c r="FR55" i="2"/>
  <c r="FS55" i="2"/>
  <c r="FT55" i="2"/>
  <c r="FU55" i="2"/>
  <c r="FV55" i="2"/>
  <c r="FW55" i="2"/>
  <c r="FX55" i="2"/>
  <c r="FY55" i="2"/>
  <c r="FZ55" i="2"/>
  <c r="GA55" i="2"/>
  <c r="GB55" i="2"/>
  <c r="GC55" i="2"/>
  <c r="GD55" i="2"/>
  <c r="GE55" i="2"/>
  <c r="GF55" i="2"/>
  <c r="GG55" i="2"/>
  <c r="GH55" i="2"/>
  <c r="GI55" i="2"/>
  <c r="GJ55" i="2"/>
  <c r="GK55" i="2"/>
  <c r="GL55" i="2"/>
  <c r="GM55" i="2"/>
  <c r="GN55" i="2"/>
  <c r="GO55" i="2"/>
  <c r="GP55" i="2"/>
  <c r="GQ55" i="2"/>
  <c r="GR55" i="2"/>
  <c r="GS55" i="2"/>
  <c r="GT55" i="2"/>
  <c r="GU55" i="2"/>
  <c r="GV55" i="2"/>
  <c r="GW55" i="2"/>
  <c r="GX55" i="2"/>
  <c r="GY55" i="2"/>
  <c r="GZ55" i="2"/>
  <c r="HA55" i="2"/>
  <c r="HB55" i="2"/>
  <c r="HC55" i="2"/>
  <c r="HD55" i="2"/>
  <c r="HE55" i="2"/>
  <c r="HF55" i="2"/>
  <c r="HG55" i="2"/>
  <c r="HH55" i="2"/>
  <c r="HI55" i="2"/>
  <c r="HJ55" i="2"/>
  <c r="HK55" i="2"/>
  <c r="HL55" i="2"/>
  <c r="HM55" i="2"/>
  <c r="HN55" i="2"/>
  <c r="HO55" i="2"/>
  <c r="HP55" i="2"/>
  <c r="HU55" i="2"/>
  <c r="HV55" i="2"/>
  <c r="HW55" i="2"/>
  <c r="HX55" i="2"/>
  <c r="HY55" i="2"/>
  <c r="HZ55" i="2"/>
  <c r="IA55" i="2"/>
  <c r="IB55" i="2"/>
  <c r="IC55" i="2"/>
  <c r="ID55" i="2"/>
  <c r="IE55" i="2"/>
  <c r="IF55" i="2"/>
  <c r="IG55" i="2"/>
  <c r="HB56" i="2"/>
  <c r="HC56" i="2"/>
  <c r="HD56" i="2"/>
  <c r="HE56" i="2"/>
  <c r="HF56" i="2"/>
  <c r="HG56" i="2"/>
  <c r="HH56" i="2"/>
  <c r="HI56" i="2"/>
  <c r="HJ56" i="2"/>
  <c r="HK56" i="2"/>
  <c r="HL56" i="2"/>
  <c r="HM56" i="2"/>
  <c r="HN56" i="2"/>
  <c r="HO56" i="2"/>
  <c r="HP56" i="2"/>
  <c r="IE56" i="2"/>
  <c r="IF56" i="2"/>
  <c r="IG56" i="2"/>
  <c r="FN57" i="2"/>
  <c r="FO57" i="2"/>
  <c r="FP57" i="2"/>
  <c r="FQ57" i="2"/>
  <c r="FR57" i="2"/>
  <c r="FS57" i="2"/>
  <c r="FT57" i="2"/>
  <c r="FU57" i="2"/>
  <c r="FV57" i="2"/>
  <c r="FW57" i="2"/>
  <c r="FX57" i="2"/>
  <c r="FY57" i="2"/>
  <c r="FZ57" i="2"/>
  <c r="GA57" i="2"/>
  <c r="GB57" i="2"/>
  <c r="GC57" i="2"/>
  <c r="GD57" i="2"/>
  <c r="GE57" i="2"/>
  <c r="GF57" i="2"/>
  <c r="GG57" i="2"/>
  <c r="GH57" i="2"/>
  <c r="GI57" i="2"/>
  <c r="GJ57" i="2"/>
  <c r="GK57" i="2"/>
  <c r="GL57" i="2"/>
  <c r="GM57" i="2"/>
  <c r="GN57" i="2"/>
  <c r="GO57" i="2"/>
  <c r="GP57" i="2"/>
  <c r="GQ57" i="2"/>
  <c r="GR57" i="2"/>
  <c r="GS57" i="2"/>
  <c r="GT57" i="2"/>
  <c r="GU57" i="2"/>
  <c r="GV57" i="2"/>
  <c r="GW57" i="2"/>
  <c r="GX57" i="2"/>
  <c r="GY57" i="2"/>
  <c r="GZ57" i="2"/>
  <c r="HA57" i="2"/>
  <c r="HB57" i="2"/>
  <c r="HC57" i="2"/>
  <c r="HD57" i="2"/>
  <c r="HE57" i="2"/>
  <c r="HF57" i="2"/>
  <c r="HG57" i="2"/>
  <c r="HH57" i="2"/>
  <c r="HI57" i="2"/>
  <c r="HJ57" i="2"/>
  <c r="HK57" i="2"/>
  <c r="HL57" i="2"/>
  <c r="HM57" i="2"/>
  <c r="HN57" i="2"/>
  <c r="HO57" i="2"/>
  <c r="HP57" i="2"/>
  <c r="HU57" i="2"/>
  <c r="HV57" i="2"/>
  <c r="HW57" i="2"/>
  <c r="HX57" i="2"/>
  <c r="HY57" i="2"/>
  <c r="HZ57" i="2"/>
  <c r="IA57" i="2"/>
  <c r="IB57" i="2"/>
  <c r="IC57" i="2"/>
  <c r="ID57" i="2"/>
  <c r="IE57" i="2"/>
  <c r="IF57" i="2"/>
  <c r="IG57" i="2"/>
  <c r="FN58" i="2"/>
  <c r="FO58" i="2"/>
  <c r="FP58" i="2"/>
  <c r="FQ58" i="2"/>
  <c r="FR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GG58" i="2"/>
  <c r="GH58" i="2"/>
  <c r="GI58" i="2"/>
  <c r="GJ58" i="2"/>
  <c r="GK58" i="2"/>
  <c r="GL58" i="2"/>
  <c r="GM58" i="2"/>
  <c r="GN58" i="2"/>
  <c r="GO58" i="2"/>
  <c r="GP58" i="2"/>
  <c r="GQ58" i="2"/>
  <c r="GR58" i="2"/>
  <c r="GS58" i="2"/>
  <c r="GT58" i="2"/>
  <c r="GU58" i="2"/>
  <c r="GV58" i="2"/>
  <c r="GW58" i="2"/>
  <c r="GX58" i="2"/>
  <c r="GY58" i="2"/>
  <c r="GZ58" i="2"/>
  <c r="HA58" i="2"/>
  <c r="HB58" i="2"/>
  <c r="HC58" i="2"/>
  <c r="HD58" i="2"/>
  <c r="HE58" i="2"/>
  <c r="HF58" i="2"/>
  <c r="HG58" i="2"/>
  <c r="HH58" i="2"/>
  <c r="HI58" i="2"/>
  <c r="HJ58" i="2"/>
  <c r="HK58" i="2"/>
  <c r="HL58" i="2"/>
  <c r="HM58" i="2"/>
  <c r="HN58" i="2"/>
  <c r="HO58" i="2"/>
  <c r="HP58" i="2"/>
  <c r="HU58" i="2"/>
  <c r="HV58" i="2"/>
  <c r="HW58" i="2"/>
  <c r="HX58" i="2"/>
  <c r="HY58" i="2"/>
  <c r="HZ58" i="2"/>
  <c r="IA58" i="2"/>
  <c r="IB58" i="2"/>
  <c r="IC58" i="2"/>
  <c r="ID58" i="2"/>
  <c r="IE58" i="2"/>
  <c r="IF58" i="2"/>
  <c r="IG58" i="2"/>
  <c r="FF59" i="2"/>
  <c r="FN59" i="2"/>
  <c r="FO59" i="2"/>
  <c r="FP59" i="2"/>
  <c r="FQ59" i="2"/>
  <c r="FR59" i="2"/>
  <c r="FS59" i="2"/>
  <c r="FT59" i="2"/>
  <c r="FU59" i="2"/>
  <c r="FV59" i="2"/>
  <c r="FW59" i="2"/>
  <c r="FX59" i="2"/>
  <c r="FY59" i="2"/>
  <c r="FZ59" i="2"/>
  <c r="GA59" i="2"/>
  <c r="GB59" i="2"/>
  <c r="GC59" i="2"/>
  <c r="GD59" i="2"/>
  <c r="GE59" i="2"/>
  <c r="GF59" i="2"/>
  <c r="GG59" i="2"/>
  <c r="GH59" i="2"/>
  <c r="GI59" i="2"/>
  <c r="GJ59" i="2"/>
  <c r="GK59" i="2"/>
  <c r="GL59" i="2"/>
  <c r="GM59" i="2"/>
  <c r="GN59" i="2"/>
  <c r="GO59" i="2"/>
  <c r="GP59" i="2"/>
  <c r="GQ59" i="2"/>
  <c r="GR59" i="2"/>
  <c r="GS59" i="2"/>
  <c r="GT59" i="2"/>
  <c r="GU59" i="2"/>
  <c r="GV59" i="2"/>
  <c r="GW59" i="2"/>
  <c r="GX59" i="2"/>
  <c r="GY59" i="2"/>
  <c r="GZ59" i="2"/>
  <c r="HA59" i="2"/>
  <c r="HB59" i="2"/>
  <c r="HC59" i="2"/>
  <c r="HD59" i="2"/>
  <c r="HE59" i="2"/>
  <c r="HF59" i="2"/>
  <c r="HG59" i="2"/>
  <c r="HH59" i="2"/>
  <c r="HI59" i="2"/>
  <c r="HJ59" i="2"/>
  <c r="HK59" i="2"/>
  <c r="HL59" i="2"/>
  <c r="HM59" i="2"/>
  <c r="HN59" i="2"/>
  <c r="HO59" i="2"/>
  <c r="HP59" i="2"/>
  <c r="HU59" i="2"/>
  <c r="HV59" i="2"/>
  <c r="HW59" i="2"/>
  <c r="HX59" i="2"/>
  <c r="HY59" i="2"/>
  <c r="HZ59" i="2"/>
  <c r="IA59" i="2"/>
  <c r="IB59" i="2"/>
  <c r="IC59" i="2"/>
  <c r="ID59" i="2"/>
  <c r="IE59" i="2"/>
  <c r="IF59" i="2"/>
  <c r="IG59" i="2"/>
  <c r="FN60" i="2"/>
  <c r="FO60" i="2"/>
  <c r="FP60" i="2"/>
  <c r="FQ60" i="2"/>
  <c r="FR60" i="2"/>
  <c r="FS60" i="2"/>
  <c r="FT60" i="2"/>
  <c r="FU60" i="2"/>
  <c r="FV60" i="2"/>
  <c r="FW60" i="2"/>
  <c r="FX60" i="2"/>
  <c r="FY60" i="2"/>
  <c r="FZ60" i="2"/>
  <c r="GA60" i="2"/>
  <c r="GB60" i="2"/>
  <c r="GC60" i="2"/>
  <c r="GD60" i="2"/>
  <c r="GE60" i="2"/>
  <c r="GF60" i="2"/>
  <c r="GG60" i="2"/>
  <c r="GH60" i="2"/>
  <c r="GI60" i="2"/>
  <c r="GJ60" i="2"/>
  <c r="GK60" i="2"/>
  <c r="GL60" i="2"/>
  <c r="GM60" i="2"/>
  <c r="GN60" i="2"/>
  <c r="GO60" i="2"/>
  <c r="GP60" i="2"/>
  <c r="GQ60" i="2"/>
  <c r="GR60" i="2"/>
  <c r="GS60" i="2"/>
  <c r="GT60" i="2"/>
  <c r="GU60" i="2"/>
  <c r="GV60" i="2"/>
  <c r="GW60" i="2"/>
  <c r="GX60" i="2"/>
  <c r="GY60" i="2"/>
  <c r="GZ60" i="2"/>
  <c r="HA60" i="2"/>
  <c r="HB60" i="2"/>
  <c r="HC60" i="2"/>
  <c r="HD60" i="2"/>
  <c r="HE60" i="2"/>
  <c r="HF60" i="2"/>
  <c r="HG60" i="2"/>
  <c r="HH60" i="2"/>
  <c r="HI60" i="2"/>
  <c r="HJ60" i="2"/>
  <c r="HK60" i="2"/>
  <c r="HL60" i="2"/>
  <c r="HM60" i="2"/>
  <c r="HN60" i="2"/>
  <c r="HO60" i="2"/>
  <c r="HP60" i="2"/>
  <c r="HU60" i="2"/>
  <c r="HV60" i="2"/>
  <c r="HW60" i="2"/>
  <c r="HX60" i="2"/>
  <c r="HY60" i="2"/>
  <c r="HZ60" i="2"/>
  <c r="IA60" i="2"/>
  <c r="IB60" i="2"/>
  <c r="IC60" i="2"/>
  <c r="ID60" i="2"/>
  <c r="IE60" i="2"/>
  <c r="IF60" i="2"/>
  <c r="IG60" i="2"/>
  <c r="FN61" i="2"/>
  <c r="FO61" i="2"/>
  <c r="FP61" i="2"/>
  <c r="FQ61" i="2"/>
  <c r="FR61" i="2"/>
  <c r="FS61" i="2"/>
  <c r="FT61" i="2"/>
  <c r="FU61" i="2"/>
  <c r="FV61" i="2"/>
  <c r="FW61" i="2"/>
  <c r="FX61" i="2"/>
  <c r="FY61" i="2"/>
  <c r="FZ61" i="2"/>
  <c r="GA61" i="2"/>
  <c r="GB61" i="2"/>
  <c r="GC61" i="2"/>
  <c r="GD61" i="2"/>
  <c r="GE61" i="2"/>
  <c r="GF61" i="2"/>
  <c r="GG61" i="2"/>
  <c r="GH61" i="2"/>
  <c r="GI61" i="2"/>
  <c r="GJ61" i="2"/>
  <c r="GK61" i="2"/>
  <c r="GL61" i="2"/>
  <c r="GM61" i="2"/>
  <c r="GN61" i="2"/>
  <c r="GO61" i="2"/>
  <c r="GP61" i="2"/>
  <c r="GQ61" i="2"/>
  <c r="GR61" i="2"/>
  <c r="GS61" i="2"/>
  <c r="GT61" i="2"/>
  <c r="GU61" i="2"/>
  <c r="GV61" i="2"/>
  <c r="GW61" i="2"/>
  <c r="GX61" i="2"/>
  <c r="GY61" i="2"/>
  <c r="GZ61" i="2"/>
  <c r="HA61" i="2"/>
  <c r="HB61" i="2"/>
  <c r="HC61" i="2"/>
  <c r="HD61" i="2"/>
  <c r="HE61" i="2"/>
  <c r="HF61" i="2"/>
  <c r="HG61" i="2"/>
  <c r="HH61" i="2"/>
  <c r="HI61" i="2"/>
  <c r="HJ61" i="2"/>
  <c r="HK61" i="2"/>
  <c r="HL61" i="2"/>
  <c r="HM61" i="2"/>
  <c r="HN61" i="2"/>
  <c r="HO61" i="2"/>
  <c r="HP61" i="2"/>
  <c r="HU61" i="2"/>
  <c r="HV61" i="2"/>
  <c r="HW61" i="2"/>
  <c r="HX61" i="2"/>
  <c r="HY61" i="2"/>
  <c r="HZ61" i="2"/>
  <c r="IA61" i="2"/>
  <c r="IB61" i="2"/>
  <c r="IC61" i="2"/>
  <c r="ID61" i="2"/>
  <c r="IE61" i="2"/>
  <c r="IF61" i="2"/>
  <c r="IG61" i="2"/>
  <c r="FN62" i="2"/>
  <c r="FO62" i="2"/>
  <c r="FP62" i="2"/>
  <c r="FQ62" i="2"/>
  <c r="FR62" i="2"/>
  <c r="FS62" i="2"/>
  <c r="FT62" i="2"/>
  <c r="FU62" i="2"/>
  <c r="FV62" i="2"/>
  <c r="FW62" i="2"/>
  <c r="FX62" i="2"/>
  <c r="FY62" i="2"/>
  <c r="FZ62" i="2"/>
  <c r="GA62" i="2"/>
  <c r="GB62" i="2"/>
  <c r="GC62" i="2"/>
  <c r="GD62" i="2"/>
  <c r="GE62" i="2"/>
  <c r="GF62" i="2"/>
  <c r="GG62" i="2"/>
  <c r="GH62" i="2"/>
  <c r="GI62" i="2"/>
  <c r="GJ62" i="2"/>
  <c r="GK62" i="2"/>
  <c r="GL62" i="2"/>
  <c r="GM62" i="2"/>
  <c r="GN62" i="2"/>
  <c r="GO62" i="2"/>
  <c r="GP62" i="2"/>
  <c r="GQ62" i="2"/>
  <c r="GR62" i="2"/>
  <c r="GS62" i="2"/>
  <c r="GT62" i="2"/>
  <c r="GU62" i="2"/>
  <c r="GV62" i="2"/>
  <c r="GW62" i="2"/>
  <c r="GX62" i="2"/>
  <c r="GY62" i="2"/>
  <c r="GZ62" i="2"/>
  <c r="HA62" i="2"/>
  <c r="HB62" i="2"/>
  <c r="HC62" i="2"/>
  <c r="HD62" i="2"/>
  <c r="HE62" i="2"/>
  <c r="HF62" i="2"/>
  <c r="HG62" i="2"/>
  <c r="HH62" i="2"/>
  <c r="HI62" i="2"/>
  <c r="HJ62" i="2"/>
  <c r="HK62" i="2"/>
  <c r="HL62" i="2"/>
  <c r="HM62" i="2"/>
  <c r="HN62" i="2"/>
  <c r="HO62" i="2"/>
  <c r="HP62" i="2"/>
  <c r="HU62" i="2"/>
  <c r="HV62" i="2"/>
  <c r="HW62" i="2"/>
  <c r="HX62" i="2"/>
  <c r="HY62" i="2"/>
  <c r="HZ62" i="2"/>
  <c r="IA62" i="2"/>
  <c r="IB62" i="2"/>
  <c r="IC62" i="2"/>
  <c r="ID62" i="2"/>
  <c r="IE62" i="2"/>
  <c r="IF62" i="2"/>
  <c r="IG62" i="2"/>
  <c r="FN63" i="2"/>
  <c r="FO63" i="2"/>
  <c r="FP63" i="2"/>
  <c r="FQ63" i="2"/>
  <c r="FR63" i="2"/>
  <c r="FS63" i="2"/>
  <c r="FT63" i="2"/>
  <c r="FU63" i="2"/>
  <c r="FV63" i="2"/>
  <c r="FW63" i="2"/>
  <c r="FX63" i="2"/>
  <c r="FY63" i="2"/>
  <c r="FZ63" i="2"/>
  <c r="GA63" i="2"/>
  <c r="GB63" i="2"/>
  <c r="GC63" i="2"/>
  <c r="GD63" i="2"/>
  <c r="GE63" i="2"/>
  <c r="GF63" i="2"/>
  <c r="GG63" i="2"/>
  <c r="GH63" i="2"/>
  <c r="GI63" i="2"/>
  <c r="GJ63" i="2"/>
  <c r="GK63" i="2"/>
  <c r="GL63" i="2"/>
  <c r="GM63" i="2"/>
  <c r="GN63" i="2"/>
  <c r="GO63" i="2"/>
  <c r="GP63" i="2"/>
  <c r="GQ63" i="2"/>
  <c r="GR63" i="2"/>
  <c r="GS63" i="2"/>
  <c r="GT63" i="2"/>
  <c r="GU63" i="2"/>
  <c r="GV63" i="2"/>
  <c r="GW63" i="2"/>
  <c r="GX63" i="2"/>
  <c r="GY63" i="2"/>
  <c r="GZ63" i="2"/>
  <c r="HA63" i="2"/>
  <c r="HB63" i="2"/>
  <c r="HC63" i="2"/>
  <c r="HD63" i="2"/>
  <c r="HE63" i="2"/>
  <c r="HF63" i="2"/>
  <c r="HG63" i="2"/>
  <c r="HH63" i="2"/>
  <c r="HI63" i="2"/>
  <c r="HJ63" i="2"/>
  <c r="HK63" i="2"/>
  <c r="HL63" i="2"/>
  <c r="HM63" i="2"/>
  <c r="HN63" i="2"/>
  <c r="HO63" i="2"/>
  <c r="HP63" i="2"/>
  <c r="HU63" i="2"/>
  <c r="HV63" i="2"/>
  <c r="HW63" i="2"/>
  <c r="HX63" i="2"/>
  <c r="HY63" i="2"/>
  <c r="HZ63" i="2"/>
  <c r="IA63" i="2"/>
  <c r="IB63" i="2"/>
  <c r="IC63" i="2"/>
  <c r="ID63" i="2"/>
  <c r="IE63" i="2"/>
  <c r="IF63" i="2"/>
  <c r="IG63" i="2"/>
  <c r="FN64" i="2"/>
  <c r="FO64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GG64" i="2"/>
  <c r="GH64" i="2"/>
  <c r="GI64" i="2"/>
  <c r="GJ64" i="2"/>
  <c r="GK64" i="2"/>
  <c r="GL64" i="2"/>
  <c r="GM64" i="2"/>
  <c r="GN64" i="2"/>
  <c r="GO64" i="2"/>
  <c r="GP64" i="2"/>
  <c r="GQ64" i="2"/>
  <c r="GR64" i="2"/>
  <c r="GS64" i="2"/>
  <c r="GT64" i="2"/>
  <c r="GU64" i="2"/>
  <c r="GV64" i="2"/>
  <c r="GW64" i="2"/>
  <c r="GX64" i="2"/>
  <c r="GY64" i="2"/>
  <c r="GZ64" i="2"/>
  <c r="HA64" i="2"/>
  <c r="HB64" i="2"/>
  <c r="HC64" i="2"/>
  <c r="HD64" i="2"/>
  <c r="HE64" i="2"/>
  <c r="HF64" i="2"/>
  <c r="HG64" i="2"/>
  <c r="HH64" i="2"/>
  <c r="HI64" i="2"/>
  <c r="HJ64" i="2"/>
  <c r="HK64" i="2"/>
  <c r="HL64" i="2"/>
  <c r="HM64" i="2"/>
  <c r="HN64" i="2"/>
  <c r="HO64" i="2"/>
  <c r="HP64" i="2"/>
  <c r="HU64" i="2"/>
  <c r="HV64" i="2"/>
  <c r="HW64" i="2"/>
  <c r="HX64" i="2"/>
  <c r="HY64" i="2"/>
  <c r="HZ64" i="2"/>
  <c r="IA64" i="2"/>
  <c r="IB64" i="2"/>
  <c r="IC64" i="2"/>
  <c r="ID64" i="2"/>
  <c r="IE64" i="2"/>
  <c r="IF64" i="2"/>
  <c r="IG64" i="2"/>
  <c r="FN65" i="2"/>
  <c r="FO65" i="2"/>
  <c r="FP65" i="2"/>
  <c r="FQ65" i="2"/>
  <c r="FR65" i="2"/>
  <c r="FS65" i="2"/>
  <c r="FT65" i="2"/>
  <c r="FU65" i="2"/>
  <c r="FV65" i="2"/>
  <c r="FW65" i="2"/>
  <c r="FX65" i="2"/>
  <c r="FY65" i="2"/>
  <c r="FZ65" i="2"/>
  <c r="GA65" i="2"/>
  <c r="GB65" i="2"/>
  <c r="GC65" i="2"/>
  <c r="GD65" i="2"/>
  <c r="GE65" i="2"/>
  <c r="GF65" i="2"/>
  <c r="GG65" i="2"/>
  <c r="GH65" i="2"/>
  <c r="GI65" i="2"/>
  <c r="GJ65" i="2"/>
  <c r="GK65" i="2"/>
  <c r="GL65" i="2"/>
  <c r="GM65" i="2"/>
  <c r="GN65" i="2"/>
  <c r="GO65" i="2"/>
  <c r="GP65" i="2"/>
  <c r="GQ65" i="2"/>
  <c r="GR65" i="2"/>
  <c r="GS65" i="2"/>
  <c r="GT65" i="2"/>
  <c r="GU65" i="2"/>
  <c r="GV65" i="2"/>
  <c r="GW65" i="2"/>
  <c r="GX65" i="2"/>
  <c r="GY65" i="2"/>
  <c r="GZ65" i="2"/>
  <c r="HA65" i="2"/>
  <c r="HB65" i="2"/>
  <c r="HC65" i="2"/>
  <c r="HD65" i="2"/>
  <c r="HE65" i="2"/>
  <c r="HF65" i="2"/>
  <c r="HG65" i="2"/>
  <c r="HH65" i="2"/>
  <c r="HI65" i="2"/>
  <c r="HJ65" i="2"/>
  <c r="HK65" i="2"/>
  <c r="HL65" i="2"/>
  <c r="HM65" i="2"/>
  <c r="HN65" i="2"/>
  <c r="HO65" i="2"/>
  <c r="HP65" i="2"/>
  <c r="HU65" i="2"/>
  <c r="HV65" i="2"/>
  <c r="HW65" i="2"/>
  <c r="HX65" i="2"/>
  <c r="HY65" i="2"/>
  <c r="HZ65" i="2"/>
  <c r="IA65" i="2"/>
  <c r="IB65" i="2"/>
  <c r="IC65" i="2"/>
  <c r="ID65" i="2"/>
  <c r="IE65" i="2"/>
  <c r="IF65" i="2"/>
  <c r="IG65" i="2"/>
  <c r="FN66" i="2"/>
  <c r="FO66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GG66" i="2"/>
  <c r="GH66" i="2"/>
  <c r="GI66" i="2"/>
  <c r="GJ66" i="2"/>
  <c r="GK66" i="2"/>
  <c r="GL66" i="2"/>
  <c r="GM66" i="2"/>
  <c r="GN66" i="2"/>
  <c r="GO66" i="2"/>
  <c r="GP66" i="2"/>
  <c r="GQ66" i="2"/>
  <c r="GR66" i="2"/>
  <c r="GS66" i="2"/>
  <c r="GT66" i="2"/>
  <c r="GU66" i="2"/>
  <c r="GV66" i="2"/>
  <c r="GW66" i="2"/>
  <c r="GX66" i="2"/>
  <c r="GY66" i="2"/>
  <c r="GZ66" i="2"/>
  <c r="HA66" i="2"/>
  <c r="HB66" i="2"/>
  <c r="HC66" i="2"/>
  <c r="HD66" i="2"/>
  <c r="HE66" i="2"/>
  <c r="HF66" i="2"/>
  <c r="HG66" i="2"/>
  <c r="HH66" i="2"/>
  <c r="HI66" i="2"/>
  <c r="HJ66" i="2"/>
  <c r="HK66" i="2"/>
  <c r="HL66" i="2"/>
  <c r="HM66" i="2"/>
  <c r="HN66" i="2"/>
  <c r="HO66" i="2"/>
  <c r="HP66" i="2"/>
  <c r="HU66" i="2"/>
  <c r="HV66" i="2"/>
  <c r="HW66" i="2"/>
  <c r="HX66" i="2"/>
  <c r="HY66" i="2"/>
  <c r="HZ66" i="2"/>
  <c r="IA66" i="2"/>
  <c r="IB66" i="2"/>
  <c r="IC66" i="2"/>
  <c r="ID66" i="2"/>
  <c r="IE66" i="2"/>
  <c r="IF66" i="2"/>
  <c r="IG66" i="2"/>
  <c r="FN67" i="2"/>
  <c r="FO67" i="2"/>
  <c r="FP67" i="2"/>
  <c r="FQ67" i="2"/>
  <c r="FR67" i="2"/>
  <c r="FS67" i="2"/>
  <c r="FT67" i="2"/>
  <c r="FU67" i="2"/>
  <c r="FV67" i="2"/>
  <c r="FW67" i="2"/>
  <c r="FX67" i="2"/>
  <c r="FY67" i="2"/>
  <c r="FZ67" i="2"/>
  <c r="GA67" i="2"/>
  <c r="GB67" i="2"/>
  <c r="GC67" i="2"/>
  <c r="GD67" i="2"/>
  <c r="GE67" i="2"/>
  <c r="GF67" i="2"/>
  <c r="GG67" i="2"/>
  <c r="GH67" i="2"/>
  <c r="GI67" i="2"/>
  <c r="GJ67" i="2"/>
  <c r="GK67" i="2"/>
  <c r="GL67" i="2"/>
  <c r="GM67" i="2"/>
  <c r="GN67" i="2"/>
  <c r="GO67" i="2"/>
  <c r="GP67" i="2"/>
  <c r="GQ67" i="2"/>
  <c r="GR67" i="2"/>
  <c r="GS67" i="2"/>
  <c r="GT67" i="2"/>
  <c r="GU67" i="2"/>
  <c r="GV67" i="2"/>
  <c r="GW67" i="2"/>
  <c r="GX67" i="2"/>
  <c r="GY67" i="2"/>
  <c r="GZ67" i="2"/>
  <c r="HA67" i="2"/>
  <c r="HB67" i="2"/>
  <c r="HC67" i="2"/>
  <c r="HD67" i="2"/>
  <c r="HE67" i="2"/>
  <c r="HF67" i="2"/>
  <c r="HG67" i="2"/>
  <c r="HH67" i="2"/>
  <c r="HI67" i="2"/>
  <c r="HJ67" i="2"/>
  <c r="HK67" i="2"/>
  <c r="HL67" i="2"/>
  <c r="HM67" i="2"/>
  <c r="HN67" i="2"/>
  <c r="HO67" i="2"/>
  <c r="HP67" i="2"/>
  <c r="HU67" i="2"/>
  <c r="HV67" i="2"/>
  <c r="HW67" i="2"/>
  <c r="HX67" i="2"/>
  <c r="HY67" i="2"/>
  <c r="HZ67" i="2"/>
  <c r="IA67" i="2"/>
  <c r="IB67" i="2"/>
  <c r="IC67" i="2"/>
  <c r="ID67" i="2"/>
  <c r="IE67" i="2"/>
  <c r="IF67" i="2"/>
  <c r="IG67" i="2"/>
  <c r="FN68" i="2"/>
  <c r="FO68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GG68" i="2"/>
  <c r="GH68" i="2"/>
  <c r="GI68" i="2"/>
  <c r="GJ68" i="2"/>
  <c r="GK68" i="2"/>
  <c r="GL68" i="2"/>
  <c r="GM68" i="2"/>
  <c r="GN68" i="2"/>
  <c r="GO68" i="2"/>
  <c r="GP68" i="2"/>
  <c r="GQ68" i="2"/>
  <c r="GR68" i="2"/>
  <c r="GS68" i="2"/>
  <c r="GT68" i="2"/>
  <c r="GU68" i="2"/>
  <c r="GV68" i="2"/>
  <c r="GW68" i="2"/>
  <c r="GX68" i="2"/>
  <c r="GY68" i="2"/>
  <c r="GZ68" i="2"/>
  <c r="HA68" i="2"/>
  <c r="HB68" i="2"/>
  <c r="HC68" i="2"/>
  <c r="HD68" i="2"/>
  <c r="HE68" i="2"/>
  <c r="HF68" i="2"/>
  <c r="HG68" i="2"/>
  <c r="HH68" i="2"/>
  <c r="HI68" i="2"/>
  <c r="HJ68" i="2"/>
  <c r="HK68" i="2"/>
  <c r="HL68" i="2"/>
  <c r="HM68" i="2"/>
  <c r="HN68" i="2"/>
  <c r="HO68" i="2"/>
  <c r="HP68" i="2"/>
  <c r="HU68" i="2"/>
  <c r="HV68" i="2"/>
  <c r="HW68" i="2"/>
  <c r="HX68" i="2"/>
  <c r="HY68" i="2"/>
  <c r="HZ68" i="2"/>
  <c r="IA68" i="2"/>
  <c r="IB68" i="2"/>
  <c r="IC68" i="2"/>
  <c r="ID68" i="2"/>
  <c r="IE68" i="2"/>
  <c r="IF68" i="2"/>
  <c r="IG68" i="2"/>
  <c r="FN69" i="2"/>
  <c r="FO69" i="2"/>
  <c r="FP69" i="2"/>
  <c r="FQ69" i="2"/>
  <c r="FR69" i="2"/>
  <c r="FS69" i="2"/>
  <c r="FT69" i="2"/>
  <c r="FU69" i="2"/>
  <c r="FV69" i="2"/>
  <c r="FW69" i="2"/>
  <c r="FX69" i="2"/>
  <c r="FY69" i="2"/>
  <c r="FZ69" i="2"/>
  <c r="GA69" i="2"/>
  <c r="GB69" i="2"/>
  <c r="GC69" i="2"/>
  <c r="GD69" i="2"/>
  <c r="GE69" i="2"/>
  <c r="GF69" i="2"/>
  <c r="GG69" i="2"/>
  <c r="GH69" i="2"/>
  <c r="GI69" i="2"/>
  <c r="GJ69" i="2"/>
  <c r="GK69" i="2"/>
  <c r="GL69" i="2"/>
  <c r="GM69" i="2"/>
  <c r="GN69" i="2"/>
  <c r="GO69" i="2"/>
  <c r="GP69" i="2"/>
  <c r="GQ69" i="2"/>
  <c r="GR69" i="2"/>
  <c r="GS69" i="2"/>
  <c r="GT69" i="2"/>
  <c r="GU69" i="2"/>
  <c r="GV69" i="2"/>
  <c r="GW69" i="2"/>
  <c r="GX69" i="2"/>
  <c r="GY69" i="2"/>
  <c r="GZ69" i="2"/>
  <c r="HA69" i="2"/>
  <c r="HB69" i="2"/>
  <c r="HC69" i="2"/>
  <c r="HD69" i="2"/>
  <c r="HE69" i="2"/>
  <c r="HF69" i="2"/>
  <c r="HG69" i="2"/>
  <c r="HH69" i="2"/>
  <c r="HI69" i="2"/>
  <c r="HJ69" i="2"/>
  <c r="HK69" i="2"/>
  <c r="HL69" i="2"/>
  <c r="HM69" i="2"/>
  <c r="HN69" i="2"/>
  <c r="HO69" i="2"/>
  <c r="HP69" i="2"/>
  <c r="HU69" i="2"/>
  <c r="HV69" i="2"/>
  <c r="HW69" i="2"/>
  <c r="HX69" i="2"/>
  <c r="HY69" i="2"/>
  <c r="HZ69" i="2"/>
  <c r="IA69" i="2"/>
  <c r="IB69" i="2"/>
  <c r="IC69" i="2"/>
  <c r="ID69" i="2"/>
  <c r="IE69" i="2"/>
  <c r="IF69" i="2"/>
  <c r="IG69" i="2"/>
  <c r="FN70" i="2"/>
  <c r="FO70" i="2"/>
  <c r="FP70" i="2"/>
  <c r="FQ70" i="2"/>
  <c r="FR70" i="2"/>
  <c r="FS70" i="2"/>
  <c r="FT70" i="2"/>
  <c r="FU70" i="2"/>
  <c r="FV70" i="2"/>
  <c r="FW70" i="2"/>
  <c r="FX70" i="2"/>
  <c r="FY70" i="2"/>
  <c r="FZ70" i="2"/>
  <c r="GA70" i="2"/>
  <c r="GB70" i="2"/>
  <c r="GC70" i="2"/>
  <c r="GD70" i="2"/>
  <c r="GE70" i="2"/>
  <c r="GF70" i="2"/>
  <c r="GG70" i="2"/>
  <c r="GH70" i="2"/>
  <c r="GI70" i="2"/>
  <c r="GJ70" i="2"/>
  <c r="GK70" i="2"/>
  <c r="GL70" i="2"/>
  <c r="GM70" i="2"/>
  <c r="GN70" i="2"/>
  <c r="GO70" i="2"/>
  <c r="GP70" i="2"/>
  <c r="GQ70" i="2"/>
  <c r="GR70" i="2"/>
  <c r="GS70" i="2"/>
  <c r="GT70" i="2"/>
  <c r="GU70" i="2"/>
  <c r="GV70" i="2"/>
  <c r="GW70" i="2"/>
  <c r="GX70" i="2"/>
  <c r="GY70" i="2"/>
  <c r="GZ70" i="2"/>
  <c r="HA70" i="2"/>
  <c r="HB70" i="2"/>
  <c r="HC70" i="2"/>
  <c r="HD70" i="2"/>
  <c r="HE70" i="2"/>
  <c r="HF70" i="2"/>
  <c r="HG70" i="2"/>
  <c r="HH70" i="2"/>
  <c r="HI70" i="2"/>
  <c r="HJ70" i="2"/>
  <c r="HK70" i="2"/>
  <c r="HL70" i="2"/>
  <c r="HM70" i="2"/>
  <c r="HN70" i="2"/>
  <c r="HO70" i="2"/>
  <c r="HP70" i="2"/>
  <c r="HU70" i="2"/>
  <c r="HV70" i="2"/>
  <c r="HW70" i="2"/>
  <c r="HX70" i="2"/>
  <c r="HY70" i="2"/>
  <c r="HZ70" i="2"/>
  <c r="IA70" i="2"/>
  <c r="IB70" i="2"/>
  <c r="IC70" i="2"/>
  <c r="ID70" i="2"/>
  <c r="IE70" i="2"/>
  <c r="IF70" i="2"/>
  <c r="IG70" i="2"/>
  <c r="FN71" i="2"/>
  <c r="FO71" i="2"/>
  <c r="FP71" i="2"/>
  <c r="FQ71" i="2"/>
  <c r="FR71" i="2"/>
  <c r="FS71" i="2"/>
  <c r="FT71" i="2"/>
  <c r="FU71" i="2"/>
  <c r="FV71" i="2"/>
  <c r="FW71" i="2"/>
  <c r="FX71" i="2"/>
  <c r="FY71" i="2"/>
  <c r="FZ71" i="2"/>
  <c r="GA71" i="2"/>
  <c r="GB71" i="2"/>
  <c r="GC71" i="2"/>
  <c r="GD71" i="2"/>
  <c r="GE71" i="2"/>
  <c r="GF71" i="2"/>
  <c r="GG71" i="2"/>
  <c r="GH71" i="2"/>
  <c r="GI71" i="2"/>
  <c r="GJ71" i="2"/>
  <c r="GK71" i="2"/>
  <c r="GL71" i="2"/>
  <c r="GM71" i="2"/>
  <c r="GN71" i="2"/>
  <c r="GO71" i="2"/>
  <c r="GP71" i="2"/>
  <c r="GQ71" i="2"/>
  <c r="GR71" i="2"/>
  <c r="GS71" i="2"/>
  <c r="GT71" i="2"/>
  <c r="GU71" i="2"/>
  <c r="GV71" i="2"/>
  <c r="GW71" i="2"/>
  <c r="GX71" i="2"/>
  <c r="GY71" i="2"/>
  <c r="GZ71" i="2"/>
  <c r="HA71" i="2"/>
  <c r="HB71" i="2"/>
  <c r="HC71" i="2"/>
  <c r="HD71" i="2"/>
  <c r="HE71" i="2"/>
  <c r="HF71" i="2"/>
  <c r="HG71" i="2"/>
  <c r="HH71" i="2"/>
  <c r="HI71" i="2"/>
  <c r="HJ71" i="2"/>
  <c r="HK71" i="2"/>
  <c r="HL71" i="2"/>
  <c r="HM71" i="2"/>
  <c r="HN71" i="2"/>
  <c r="HO71" i="2"/>
  <c r="HP71" i="2"/>
  <c r="HU71" i="2"/>
  <c r="HV71" i="2"/>
  <c r="HW71" i="2"/>
  <c r="HX71" i="2"/>
  <c r="HY71" i="2"/>
  <c r="HZ71" i="2"/>
  <c r="IA71" i="2"/>
  <c r="IB71" i="2"/>
  <c r="IC71" i="2"/>
  <c r="ID71" i="2"/>
  <c r="IE71" i="2"/>
  <c r="IF71" i="2"/>
  <c r="IG71" i="2"/>
  <c r="FN72" i="2"/>
  <c r="FO72" i="2"/>
  <c r="FP72" i="2"/>
  <c r="FQ72" i="2"/>
  <c r="FR72" i="2"/>
  <c r="FS72" i="2"/>
  <c r="FT72" i="2"/>
  <c r="FU72" i="2"/>
  <c r="FV72" i="2"/>
  <c r="FW72" i="2"/>
  <c r="FX72" i="2"/>
  <c r="FY72" i="2"/>
  <c r="FZ72" i="2"/>
  <c r="GA72" i="2"/>
  <c r="GB72" i="2"/>
  <c r="GC72" i="2"/>
  <c r="GD72" i="2"/>
  <c r="GE72" i="2"/>
  <c r="GF72" i="2"/>
  <c r="GG72" i="2"/>
  <c r="GH72" i="2"/>
  <c r="GI72" i="2"/>
  <c r="GJ72" i="2"/>
  <c r="GK72" i="2"/>
  <c r="GL72" i="2"/>
  <c r="GM72" i="2"/>
  <c r="GN72" i="2"/>
  <c r="GO72" i="2"/>
  <c r="GP72" i="2"/>
  <c r="GQ72" i="2"/>
  <c r="GR72" i="2"/>
  <c r="GS72" i="2"/>
  <c r="GT72" i="2"/>
  <c r="GU72" i="2"/>
  <c r="GV72" i="2"/>
  <c r="GW72" i="2"/>
  <c r="GX72" i="2"/>
  <c r="GY72" i="2"/>
  <c r="GZ72" i="2"/>
  <c r="HA72" i="2"/>
  <c r="HB72" i="2"/>
  <c r="HC72" i="2"/>
  <c r="HD72" i="2"/>
  <c r="HE72" i="2"/>
  <c r="HF72" i="2"/>
  <c r="HG72" i="2"/>
  <c r="HH72" i="2"/>
  <c r="HI72" i="2"/>
  <c r="HJ72" i="2"/>
  <c r="HK72" i="2"/>
  <c r="HL72" i="2"/>
  <c r="HM72" i="2"/>
  <c r="HN72" i="2"/>
  <c r="HO72" i="2"/>
  <c r="HP72" i="2"/>
  <c r="HU72" i="2"/>
  <c r="HV72" i="2"/>
  <c r="HW72" i="2"/>
  <c r="HX72" i="2"/>
  <c r="HY72" i="2"/>
  <c r="HZ72" i="2"/>
  <c r="IA72" i="2"/>
  <c r="IB72" i="2"/>
  <c r="IC72" i="2"/>
  <c r="ID72" i="2"/>
  <c r="IE72" i="2"/>
  <c r="IF72" i="2"/>
  <c r="IG72" i="2"/>
  <c r="FN73" i="2"/>
  <c r="FO73" i="2"/>
  <c r="FP73" i="2"/>
  <c r="FQ73" i="2"/>
  <c r="FR73" i="2"/>
  <c r="FS73" i="2"/>
  <c r="FT73" i="2"/>
  <c r="FU73" i="2"/>
  <c r="FV73" i="2"/>
  <c r="FW73" i="2"/>
  <c r="FX73" i="2"/>
  <c r="FY73" i="2"/>
  <c r="FZ73" i="2"/>
  <c r="GA73" i="2"/>
  <c r="GB73" i="2"/>
  <c r="GC73" i="2"/>
  <c r="GD73" i="2"/>
  <c r="GE73" i="2"/>
  <c r="GF73" i="2"/>
  <c r="GG73" i="2"/>
  <c r="GH73" i="2"/>
  <c r="GI73" i="2"/>
  <c r="GJ73" i="2"/>
  <c r="GK73" i="2"/>
  <c r="GL73" i="2"/>
  <c r="GM73" i="2"/>
  <c r="GN73" i="2"/>
  <c r="GO73" i="2"/>
  <c r="GP73" i="2"/>
  <c r="GQ73" i="2"/>
  <c r="GR73" i="2"/>
  <c r="GS73" i="2"/>
  <c r="GT73" i="2"/>
  <c r="GU73" i="2"/>
  <c r="GV73" i="2"/>
  <c r="GW73" i="2"/>
  <c r="GX73" i="2"/>
  <c r="GY73" i="2"/>
  <c r="GZ73" i="2"/>
  <c r="HA73" i="2"/>
  <c r="HB73" i="2"/>
  <c r="HC73" i="2"/>
  <c r="HD73" i="2"/>
  <c r="HE73" i="2"/>
  <c r="HF73" i="2"/>
  <c r="HG73" i="2"/>
  <c r="HH73" i="2"/>
  <c r="HI73" i="2"/>
  <c r="HJ73" i="2"/>
  <c r="HK73" i="2"/>
  <c r="HL73" i="2"/>
  <c r="HM73" i="2"/>
  <c r="HN73" i="2"/>
  <c r="HO73" i="2"/>
  <c r="HP73" i="2"/>
  <c r="HU73" i="2"/>
  <c r="HV73" i="2"/>
  <c r="HW73" i="2"/>
  <c r="HX73" i="2"/>
  <c r="HY73" i="2"/>
  <c r="HZ73" i="2"/>
  <c r="IA73" i="2"/>
  <c r="IB73" i="2"/>
  <c r="IC73" i="2"/>
  <c r="ID73" i="2"/>
  <c r="IE73" i="2"/>
  <c r="IF73" i="2"/>
  <c r="IG73" i="2"/>
  <c r="FN74" i="2"/>
  <c r="FO74" i="2"/>
  <c r="FP74" i="2"/>
  <c r="FQ74" i="2"/>
  <c r="FR74" i="2"/>
  <c r="FS74" i="2"/>
  <c r="FT74" i="2"/>
  <c r="FU74" i="2"/>
  <c r="FV74" i="2"/>
  <c r="FW74" i="2"/>
  <c r="FX74" i="2"/>
  <c r="FY74" i="2"/>
  <c r="FZ74" i="2"/>
  <c r="GA74" i="2"/>
  <c r="GB74" i="2"/>
  <c r="GC74" i="2"/>
  <c r="GD74" i="2"/>
  <c r="GE74" i="2"/>
  <c r="GF74" i="2"/>
  <c r="GG74" i="2"/>
  <c r="GH74" i="2"/>
  <c r="GI74" i="2"/>
  <c r="GJ74" i="2"/>
  <c r="GK74" i="2"/>
  <c r="GL74" i="2"/>
  <c r="GM74" i="2"/>
  <c r="GN74" i="2"/>
  <c r="GO74" i="2"/>
  <c r="GP74" i="2"/>
  <c r="GQ74" i="2"/>
  <c r="GR74" i="2"/>
  <c r="GS74" i="2"/>
  <c r="GT74" i="2"/>
  <c r="GU74" i="2"/>
  <c r="GV74" i="2"/>
  <c r="GW74" i="2"/>
  <c r="GX74" i="2"/>
  <c r="GY74" i="2"/>
  <c r="GZ74" i="2"/>
  <c r="HA74" i="2"/>
  <c r="HB74" i="2"/>
  <c r="HC74" i="2"/>
  <c r="HD74" i="2"/>
  <c r="HE74" i="2"/>
  <c r="HF74" i="2"/>
  <c r="HG74" i="2"/>
  <c r="HH74" i="2"/>
  <c r="HI74" i="2"/>
  <c r="HJ74" i="2"/>
  <c r="HK74" i="2"/>
  <c r="HL74" i="2"/>
  <c r="HM74" i="2"/>
  <c r="HN74" i="2"/>
  <c r="HO74" i="2"/>
  <c r="HP74" i="2"/>
  <c r="HU74" i="2"/>
  <c r="HV74" i="2"/>
  <c r="HW74" i="2"/>
  <c r="HX74" i="2"/>
  <c r="HY74" i="2"/>
  <c r="HZ74" i="2"/>
  <c r="IA74" i="2"/>
  <c r="IB74" i="2"/>
  <c r="IC74" i="2"/>
  <c r="ID74" i="2"/>
  <c r="IE74" i="2"/>
  <c r="IF74" i="2"/>
  <c r="IG74" i="2"/>
  <c r="EU75" i="2"/>
  <c r="FN75" i="2"/>
  <c r="FO75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GG75" i="2"/>
  <c r="GH75" i="2"/>
  <c r="GI75" i="2"/>
  <c r="GJ75" i="2"/>
  <c r="GK75" i="2"/>
  <c r="GL75" i="2"/>
  <c r="GM75" i="2"/>
  <c r="GN75" i="2"/>
  <c r="GO75" i="2"/>
  <c r="GP75" i="2"/>
  <c r="GQ75" i="2"/>
  <c r="GR75" i="2"/>
  <c r="GS75" i="2"/>
  <c r="GT75" i="2"/>
  <c r="GU75" i="2"/>
  <c r="GV75" i="2"/>
  <c r="GW75" i="2"/>
  <c r="GX75" i="2"/>
  <c r="GY75" i="2"/>
  <c r="GZ75" i="2"/>
  <c r="HA75" i="2"/>
  <c r="HB75" i="2"/>
  <c r="HC75" i="2"/>
  <c r="HD75" i="2"/>
  <c r="HE75" i="2"/>
  <c r="HF75" i="2"/>
  <c r="HG75" i="2"/>
  <c r="HH75" i="2"/>
  <c r="HI75" i="2"/>
  <c r="HJ75" i="2"/>
  <c r="HL75" i="2"/>
  <c r="HM75" i="2"/>
  <c r="HN75" i="2"/>
  <c r="HO75" i="2"/>
  <c r="HP75" i="2"/>
  <c r="HU75" i="2"/>
  <c r="HV75" i="2"/>
  <c r="HW75" i="2"/>
  <c r="HX75" i="2"/>
  <c r="HY75" i="2"/>
  <c r="HZ75" i="2"/>
  <c r="IA75" i="2"/>
  <c r="IC75" i="2"/>
  <c r="ID75" i="2"/>
  <c r="IE75" i="2"/>
  <c r="IF75" i="2"/>
  <c r="FN76" i="2"/>
  <c r="FO76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GG76" i="2"/>
  <c r="GH76" i="2"/>
  <c r="GI76" i="2"/>
  <c r="GJ76" i="2"/>
  <c r="GK76" i="2"/>
  <c r="GL76" i="2"/>
  <c r="GM76" i="2"/>
  <c r="GN76" i="2"/>
  <c r="GO76" i="2"/>
  <c r="GP76" i="2"/>
  <c r="GQ76" i="2"/>
  <c r="GR76" i="2"/>
  <c r="GS76" i="2"/>
  <c r="GT76" i="2"/>
  <c r="GU76" i="2"/>
  <c r="GV76" i="2"/>
  <c r="GW76" i="2"/>
  <c r="GX76" i="2"/>
  <c r="GY76" i="2"/>
  <c r="GZ76" i="2"/>
  <c r="HA76" i="2"/>
  <c r="HB76" i="2"/>
  <c r="HC76" i="2"/>
  <c r="HD76" i="2"/>
  <c r="HE76" i="2"/>
  <c r="HF76" i="2"/>
  <c r="HG76" i="2"/>
  <c r="HH76" i="2"/>
  <c r="HI76" i="2"/>
  <c r="HJ76" i="2"/>
  <c r="HK76" i="2"/>
  <c r="HL76" i="2"/>
  <c r="HM76" i="2"/>
  <c r="HN76" i="2"/>
  <c r="HO76" i="2"/>
  <c r="HP76" i="2"/>
  <c r="HU76" i="2"/>
  <c r="HV76" i="2"/>
  <c r="HW76" i="2"/>
  <c r="HX76" i="2"/>
  <c r="HY76" i="2"/>
  <c r="HZ76" i="2"/>
  <c r="IA76" i="2"/>
  <c r="IB76" i="2"/>
  <c r="IC76" i="2"/>
  <c r="ID76" i="2"/>
  <c r="IE76" i="2"/>
  <c r="IF76" i="2"/>
  <c r="IG76" i="2"/>
  <c r="FN77" i="2"/>
  <c r="FO77" i="2"/>
  <c r="FP77" i="2"/>
  <c r="FQ77" i="2"/>
  <c r="FR77" i="2"/>
  <c r="FS77" i="2"/>
  <c r="FT77" i="2"/>
  <c r="FU77" i="2"/>
  <c r="FV77" i="2"/>
  <c r="FW77" i="2"/>
  <c r="FX77" i="2"/>
  <c r="FY77" i="2"/>
  <c r="FZ77" i="2"/>
  <c r="GA77" i="2"/>
  <c r="GB77" i="2"/>
  <c r="GC77" i="2"/>
  <c r="GD77" i="2"/>
  <c r="GE77" i="2"/>
  <c r="GF77" i="2"/>
  <c r="GG77" i="2"/>
  <c r="GH77" i="2"/>
  <c r="GI77" i="2"/>
  <c r="GJ77" i="2"/>
  <c r="GK77" i="2"/>
  <c r="GL77" i="2"/>
  <c r="GM77" i="2"/>
  <c r="GN77" i="2"/>
  <c r="GO77" i="2"/>
  <c r="GP77" i="2"/>
  <c r="GQ77" i="2"/>
  <c r="GR77" i="2"/>
  <c r="GS77" i="2"/>
  <c r="GT77" i="2"/>
  <c r="GU77" i="2"/>
  <c r="GV77" i="2"/>
  <c r="GW77" i="2"/>
  <c r="GX77" i="2"/>
  <c r="GY77" i="2"/>
  <c r="GZ77" i="2"/>
  <c r="HA77" i="2"/>
  <c r="HB77" i="2"/>
  <c r="HC77" i="2"/>
  <c r="HD77" i="2"/>
  <c r="HE77" i="2"/>
  <c r="HF77" i="2"/>
  <c r="HG77" i="2"/>
  <c r="HH77" i="2"/>
  <c r="HI77" i="2"/>
  <c r="HJ77" i="2"/>
  <c r="HK77" i="2"/>
  <c r="HL77" i="2"/>
  <c r="HM77" i="2"/>
  <c r="HN77" i="2"/>
  <c r="HO77" i="2"/>
  <c r="HP77" i="2"/>
  <c r="HU77" i="2"/>
  <c r="HV77" i="2"/>
  <c r="HW77" i="2"/>
  <c r="HX77" i="2"/>
  <c r="HY77" i="2"/>
  <c r="HZ77" i="2"/>
  <c r="IA77" i="2"/>
  <c r="IB77" i="2"/>
  <c r="IC77" i="2"/>
  <c r="ID77" i="2"/>
  <c r="IE77" i="2"/>
  <c r="IF77" i="2"/>
  <c r="IG77" i="2"/>
  <c r="EX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GY78" i="2"/>
  <c r="GZ78" i="2"/>
  <c r="HA78" i="2"/>
  <c r="HB78" i="2"/>
  <c r="HC78" i="2"/>
  <c r="HD78" i="2"/>
  <c r="HE78" i="2"/>
  <c r="HF78" i="2"/>
  <c r="HG78" i="2"/>
  <c r="HH78" i="2"/>
  <c r="HI78" i="2"/>
  <c r="HJ78" i="2"/>
  <c r="HK78" i="2"/>
  <c r="HM78" i="2"/>
  <c r="HN78" i="2"/>
  <c r="HO78" i="2"/>
  <c r="HP78" i="2"/>
  <c r="HU78" i="2"/>
  <c r="HV78" i="2"/>
  <c r="HW78" i="2"/>
  <c r="HX78" i="2"/>
  <c r="HY78" i="2"/>
  <c r="HZ78" i="2"/>
  <c r="IA78" i="2"/>
  <c r="IB78" i="2"/>
  <c r="IC78" i="2"/>
  <c r="ID78" i="2"/>
  <c r="IE78" i="2"/>
  <c r="IF78" i="2"/>
  <c r="FN79" i="2"/>
  <c r="FO79" i="2"/>
  <c r="FP79" i="2"/>
  <c r="FQ79" i="2"/>
  <c r="FR79" i="2"/>
  <c r="FS79" i="2"/>
  <c r="FT79" i="2"/>
  <c r="FU79" i="2"/>
  <c r="FV79" i="2"/>
  <c r="FW79" i="2"/>
  <c r="FX79" i="2"/>
  <c r="FY79" i="2"/>
  <c r="FZ79" i="2"/>
  <c r="GA79" i="2"/>
  <c r="GB79" i="2"/>
  <c r="GC79" i="2"/>
  <c r="GD79" i="2"/>
  <c r="GE79" i="2"/>
  <c r="GF79" i="2"/>
  <c r="GG79" i="2"/>
  <c r="GH79" i="2"/>
  <c r="GI79" i="2"/>
  <c r="GJ79" i="2"/>
  <c r="GK79" i="2"/>
  <c r="GL79" i="2"/>
  <c r="GM79" i="2"/>
  <c r="GN79" i="2"/>
  <c r="GO79" i="2"/>
  <c r="GP79" i="2"/>
  <c r="GQ79" i="2"/>
  <c r="GR79" i="2"/>
  <c r="GS79" i="2"/>
  <c r="GT79" i="2"/>
  <c r="GU79" i="2"/>
  <c r="GV79" i="2"/>
  <c r="GW79" i="2"/>
  <c r="GX79" i="2"/>
  <c r="GY79" i="2"/>
  <c r="GZ79" i="2"/>
  <c r="HA79" i="2"/>
  <c r="HB79" i="2"/>
  <c r="HC79" i="2"/>
  <c r="HD79" i="2"/>
  <c r="HE79" i="2"/>
  <c r="HF79" i="2"/>
  <c r="HG79" i="2"/>
  <c r="HH79" i="2"/>
  <c r="HI79" i="2"/>
  <c r="HJ79" i="2"/>
  <c r="HK79" i="2"/>
  <c r="HL79" i="2"/>
  <c r="HM79" i="2"/>
  <c r="HN79" i="2"/>
  <c r="HO79" i="2"/>
  <c r="HP79" i="2"/>
  <c r="HU79" i="2"/>
  <c r="HV79" i="2"/>
  <c r="HW79" i="2"/>
  <c r="HX79" i="2"/>
  <c r="HY79" i="2"/>
  <c r="HZ79" i="2"/>
  <c r="IA79" i="2"/>
  <c r="IB79" i="2"/>
  <c r="IC79" i="2"/>
  <c r="ID79" i="2"/>
  <c r="IE79" i="2"/>
  <c r="IF79" i="2"/>
  <c r="IG79" i="2"/>
  <c r="FN80" i="2"/>
  <c r="FO80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GG80" i="2"/>
  <c r="GH80" i="2"/>
  <c r="GI80" i="2"/>
  <c r="GJ80" i="2"/>
  <c r="GK80" i="2"/>
  <c r="GL80" i="2"/>
  <c r="GM80" i="2"/>
  <c r="GN80" i="2"/>
  <c r="GO80" i="2"/>
  <c r="GP80" i="2"/>
  <c r="GQ80" i="2"/>
  <c r="GR80" i="2"/>
  <c r="GS80" i="2"/>
  <c r="GT80" i="2"/>
  <c r="GU80" i="2"/>
  <c r="GV80" i="2"/>
  <c r="GW80" i="2"/>
  <c r="GX80" i="2"/>
  <c r="GY80" i="2"/>
  <c r="GZ80" i="2"/>
  <c r="HA80" i="2"/>
  <c r="HB80" i="2"/>
  <c r="HC80" i="2"/>
  <c r="HD80" i="2"/>
  <c r="HE80" i="2"/>
  <c r="HF80" i="2"/>
  <c r="HG80" i="2"/>
  <c r="HH80" i="2"/>
  <c r="HI80" i="2"/>
  <c r="HJ80" i="2"/>
  <c r="HK80" i="2"/>
  <c r="HL80" i="2"/>
  <c r="HM80" i="2"/>
  <c r="HN80" i="2"/>
  <c r="HO80" i="2"/>
  <c r="HP80" i="2"/>
  <c r="HU80" i="2"/>
  <c r="HV80" i="2"/>
  <c r="HW80" i="2"/>
  <c r="HX80" i="2"/>
  <c r="HY80" i="2"/>
  <c r="HZ80" i="2"/>
  <c r="IA80" i="2"/>
  <c r="IB80" i="2"/>
  <c r="IC80" i="2"/>
  <c r="ID80" i="2"/>
  <c r="IE80" i="2"/>
  <c r="IF80" i="2"/>
  <c r="IG80" i="2"/>
  <c r="FN81" i="2"/>
  <c r="FO81" i="2"/>
  <c r="FP81" i="2"/>
  <c r="FQ81" i="2"/>
  <c r="FR81" i="2"/>
  <c r="FS81" i="2"/>
  <c r="FT81" i="2"/>
  <c r="FU81" i="2"/>
  <c r="FV81" i="2"/>
  <c r="FW81" i="2"/>
  <c r="FX81" i="2"/>
  <c r="FY81" i="2"/>
  <c r="FZ81" i="2"/>
  <c r="GA81" i="2"/>
  <c r="GB81" i="2"/>
  <c r="GC81" i="2"/>
  <c r="GD81" i="2"/>
  <c r="GE81" i="2"/>
  <c r="GF81" i="2"/>
  <c r="GG81" i="2"/>
  <c r="GH81" i="2"/>
  <c r="GI81" i="2"/>
  <c r="GJ81" i="2"/>
  <c r="GK81" i="2"/>
  <c r="GL81" i="2"/>
  <c r="GM81" i="2"/>
  <c r="GN81" i="2"/>
  <c r="GO81" i="2"/>
  <c r="GP81" i="2"/>
  <c r="GQ81" i="2"/>
  <c r="GR81" i="2"/>
  <c r="GS81" i="2"/>
  <c r="GT81" i="2"/>
  <c r="GU81" i="2"/>
  <c r="GV81" i="2"/>
  <c r="GW81" i="2"/>
  <c r="GX81" i="2"/>
  <c r="GY81" i="2"/>
  <c r="GZ81" i="2"/>
  <c r="HA81" i="2"/>
  <c r="HB81" i="2"/>
  <c r="HC81" i="2"/>
  <c r="HD81" i="2"/>
  <c r="HE81" i="2"/>
  <c r="HF81" i="2"/>
  <c r="HG81" i="2"/>
  <c r="HH81" i="2"/>
  <c r="HI81" i="2"/>
  <c r="HJ81" i="2"/>
  <c r="HK81" i="2"/>
  <c r="HL81" i="2"/>
  <c r="HM81" i="2"/>
  <c r="HN81" i="2"/>
  <c r="HO81" i="2"/>
  <c r="HP81" i="2"/>
  <c r="HU81" i="2"/>
  <c r="HV81" i="2"/>
  <c r="HW81" i="2"/>
  <c r="HX81" i="2"/>
  <c r="HY81" i="2"/>
  <c r="HZ81" i="2"/>
  <c r="IA81" i="2"/>
  <c r="IB81" i="2"/>
  <c r="IC81" i="2"/>
  <c r="ID81" i="2"/>
  <c r="IE81" i="2"/>
  <c r="IF81" i="2"/>
  <c r="IG81" i="2"/>
  <c r="FN82" i="2"/>
  <c r="FO82" i="2"/>
  <c r="FP82" i="2"/>
  <c r="FQ82" i="2"/>
  <c r="FR82" i="2"/>
  <c r="FS82" i="2"/>
  <c r="FT82" i="2"/>
  <c r="FU82" i="2"/>
  <c r="FV82" i="2"/>
  <c r="FW82" i="2"/>
  <c r="FX82" i="2"/>
  <c r="FY82" i="2"/>
  <c r="FZ82" i="2"/>
  <c r="GA82" i="2"/>
  <c r="GB82" i="2"/>
  <c r="GC82" i="2"/>
  <c r="GD82" i="2"/>
  <c r="GE82" i="2"/>
  <c r="GF82" i="2"/>
  <c r="GG82" i="2"/>
  <c r="GH82" i="2"/>
  <c r="GI82" i="2"/>
  <c r="GJ82" i="2"/>
  <c r="GK82" i="2"/>
  <c r="GL82" i="2"/>
  <c r="GM82" i="2"/>
  <c r="GN82" i="2"/>
  <c r="GO82" i="2"/>
  <c r="GP82" i="2"/>
  <c r="GQ82" i="2"/>
  <c r="GR82" i="2"/>
  <c r="GS82" i="2"/>
  <c r="GT82" i="2"/>
  <c r="GU82" i="2"/>
  <c r="GV82" i="2"/>
  <c r="GW82" i="2"/>
  <c r="GX82" i="2"/>
  <c r="GY82" i="2"/>
  <c r="GZ82" i="2"/>
  <c r="HA82" i="2"/>
  <c r="HB82" i="2"/>
  <c r="HC82" i="2"/>
  <c r="HD82" i="2"/>
  <c r="HE82" i="2"/>
  <c r="HF82" i="2"/>
  <c r="HG82" i="2"/>
  <c r="HH82" i="2"/>
  <c r="HI82" i="2"/>
  <c r="HJ82" i="2"/>
  <c r="HK82" i="2"/>
  <c r="HL82" i="2"/>
  <c r="HM82" i="2"/>
  <c r="HN82" i="2"/>
  <c r="HO82" i="2"/>
  <c r="HP82" i="2"/>
  <c r="HU82" i="2"/>
  <c r="HV82" i="2"/>
  <c r="HW82" i="2"/>
  <c r="HX82" i="2"/>
  <c r="HY82" i="2"/>
  <c r="HZ82" i="2"/>
  <c r="IA82" i="2"/>
  <c r="IB82" i="2"/>
  <c r="IC82" i="2"/>
  <c r="ID82" i="2"/>
  <c r="IE82" i="2"/>
  <c r="IF82" i="2"/>
  <c r="IG82" i="2"/>
  <c r="FN83" i="2"/>
  <c r="FO83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GG83" i="2"/>
  <c r="GH83" i="2"/>
  <c r="GI83" i="2"/>
  <c r="GJ83" i="2"/>
  <c r="GK83" i="2"/>
  <c r="GL83" i="2"/>
  <c r="GM83" i="2"/>
  <c r="GN83" i="2"/>
  <c r="GO83" i="2"/>
  <c r="GP83" i="2"/>
  <c r="GQ83" i="2"/>
  <c r="GR83" i="2"/>
  <c r="GS83" i="2"/>
  <c r="GT83" i="2"/>
  <c r="GU83" i="2"/>
  <c r="GV83" i="2"/>
  <c r="GW83" i="2"/>
  <c r="GX83" i="2"/>
  <c r="GY83" i="2"/>
  <c r="GZ83" i="2"/>
  <c r="HA83" i="2"/>
  <c r="HB83" i="2"/>
  <c r="HC83" i="2"/>
  <c r="HD83" i="2"/>
  <c r="HE83" i="2"/>
  <c r="HF83" i="2"/>
  <c r="HG83" i="2"/>
  <c r="HH83" i="2"/>
  <c r="HI83" i="2"/>
  <c r="HJ83" i="2"/>
  <c r="HK83" i="2"/>
  <c r="HL83" i="2"/>
  <c r="HM83" i="2"/>
  <c r="HN83" i="2"/>
  <c r="HO83" i="2"/>
  <c r="HP83" i="2"/>
  <c r="HU83" i="2"/>
  <c r="HV83" i="2"/>
  <c r="HW83" i="2"/>
  <c r="HX83" i="2"/>
  <c r="HY83" i="2"/>
  <c r="HZ83" i="2"/>
  <c r="IA83" i="2"/>
  <c r="IB83" i="2"/>
  <c r="IC83" i="2"/>
  <c r="ID83" i="2"/>
  <c r="IE83" i="2"/>
  <c r="IF83" i="2"/>
  <c r="IG83" i="2"/>
  <c r="HU86" i="2"/>
  <c r="HV86" i="2"/>
  <c r="HW86" i="2"/>
  <c r="HX86" i="2"/>
  <c r="HY86" i="2"/>
  <c r="HZ86" i="2"/>
  <c r="IA86" i="2"/>
  <c r="IB86" i="2"/>
  <c r="IC86" i="2"/>
  <c r="ID86" i="2"/>
  <c r="IE86" i="2"/>
  <c r="IF86" i="2"/>
  <c r="IG86" i="2"/>
  <c r="HU87" i="2"/>
  <c r="HV87" i="2"/>
  <c r="HW87" i="2"/>
  <c r="HX87" i="2"/>
  <c r="HY87" i="2"/>
  <c r="HZ87" i="2"/>
  <c r="IA87" i="2"/>
  <c r="IB87" i="2"/>
  <c r="IC87" i="2"/>
  <c r="ID87" i="2"/>
  <c r="IE87" i="2"/>
  <c r="IF87" i="2"/>
  <c r="IG87" i="2"/>
  <c r="HU88" i="2"/>
  <c r="HV88" i="2"/>
  <c r="HW88" i="2"/>
  <c r="HX88" i="2"/>
  <c r="HY88" i="2"/>
  <c r="HZ88" i="2"/>
  <c r="IA88" i="2"/>
  <c r="IB88" i="2"/>
  <c r="IC88" i="2"/>
  <c r="ID88" i="2"/>
  <c r="IE88" i="2"/>
  <c r="IF88" i="2"/>
  <c r="IG88" i="2"/>
  <c r="HU89" i="2"/>
  <c r="HY89" i="2"/>
  <c r="HZ89" i="2"/>
  <c r="IA89" i="2"/>
  <c r="B111" i="2"/>
  <c r="B136" i="2"/>
  <c r="B144" i="2"/>
  <c r="B90" i="2" s="1"/>
  <c r="B165" i="2"/>
  <c r="FN165" i="2" s="1"/>
  <c r="B190" i="2"/>
  <c r="B199" i="2"/>
  <c r="C111" i="2"/>
  <c r="C136" i="2"/>
  <c r="C144" i="2"/>
  <c r="C165" i="2"/>
  <c r="C190" i="2"/>
  <c r="C199" i="2"/>
  <c r="D111" i="2"/>
  <c r="D136" i="2"/>
  <c r="D144" i="2"/>
  <c r="D165" i="2"/>
  <c r="D190" i="2"/>
  <c r="D199" i="2"/>
  <c r="E111" i="2"/>
  <c r="E136" i="2"/>
  <c r="E144" i="2"/>
  <c r="E165" i="2"/>
  <c r="E190" i="2"/>
  <c r="E199" i="2"/>
  <c r="F111" i="2"/>
  <c r="F136" i="2"/>
  <c r="F144" i="2"/>
  <c r="F165" i="2"/>
  <c r="F190" i="2"/>
  <c r="FO190" i="2" s="1"/>
  <c r="FO200" i="2" s="1"/>
  <c r="F199" i="2"/>
  <c r="G111" i="2"/>
  <c r="G136" i="2"/>
  <c r="G144" i="2"/>
  <c r="G165" i="2"/>
  <c r="G190" i="2"/>
  <c r="G199" i="2"/>
  <c r="H111" i="2"/>
  <c r="H136" i="2"/>
  <c r="H144" i="2"/>
  <c r="FP144" i="2" s="1"/>
  <c r="H165" i="2"/>
  <c r="H190" i="2"/>
  <c r="H199" i="2"/>
  <c r="FP199" i="2" s="1"/>
  <c r="I111" i="2"/>
  <c r="I90" i="2" s="1"/>
  <c r="I136" i="2"/>
  <c r="I144" i="2"/>
  <c r="I165" i="2"/>
  <c r="I190" i="2"/>
  <c r="I199" i="2"/>
  <c r="J111" i="2"/>
  <c r="J136" i="2"/>
  <c r="J144" i="2"/>
  <c r="J165" i="2"/>
  <c r="J190" i="2"/>
  <c r="J199" i="2"/>
  <c r="K111" i="2"/>
  <c r="K136" i="2"/>
  <c r="K144" i="2"/>
  <c r="K165" i="2"/>
  <c r="K190" i="2"/>
  <c r="K199" i="2"/>
  <c r="L111" i="2"/>
  <c r="L136" i="2"/>
  <c r="L144" i="2"/>
  <c r="L147" i="2" s="1"/>
  <c r="L165" i="2"/>
  <c r="L190" i="2"/>
  <c r="L199" i="2"/>
  <c r="M111" i="2"/>
  <c r="M136" i="2"/>
  <c r="M144" i="2"/>
  <c r="M165" i="2"/>
  <c r="M190" i="2"/>
  <c r="M199" i="2"/>
  <c r="N111" i="2"/>
  <c r="N136" i="2"/>
  <c r="N144" i="2"/>
  <c r="FR144" i="2" s="1"/>
  <c r="N165" i="2"/>
  <c r="FR165" i="2" s="1"/>
  <c r="N190" i="2"/>
  <c r="N90" i="2" s="1"/>
  <c r="N199" i="2"/>
  <c r="O111" i="2"/>
  <c r="O136" i="2"/>
  <c r="FR136" i="2" s="1"/>
  <c r="O144" i="2"/>
  <c r="O165" i="2"/>
  <c r="O190" i="2"/>
  <c r="O199" i="2"/>
  <c r="P111" i="2"/>
  <c r="P136" i="2"/>
  <c r="P144" i="2"/>
  <c r="P165" i="2"/>
  <c r="P190" i="2"/>
  <c r="P199" i="2"/>
  <c r="P90" i="2" s="1"/>
  <c r="Q111" i="2"/>
  <c r="Q136" i="2"/>
  <c r="Q144" i="2"/>
  <c r="Q165" i="2"/>
  <c r="FS165" i="2" s="1"/>
  <c r="FS200" i="2" s="1"/>
  <c r="Q190" i="2"/>
  <c r="Q199" i="2"/>
  <c r="R111" i="2"/>
  <c r="R136" i="2"/>
  <c r="R144" i="2"/>
  <c r="FS144" i="2" s="1"/>
  <c r="R165" i="2"/>
  <c r="R190" i="2"/>
  <c r="FS190" i="2" s="1"/>
  <c r="R199" i="2"/>
  <c r="FS199" i="2" s="1"/>
  <c r="R90" i="2"/>
  <c r="S111" i="2"/>
  <c r="S136" i="2"/>
  <c r="S144" i="2"/>
  <c r="S165" i="2"/>
  <c r="S190" i="2"/>
  <c r="S199" i="2"/>
  <c r="T111" i="2"/>
  <c r="T136" i="2"/>
  <c r="T144" i="2"/>
  <c r="T165" i="2"/>
  <c r="T190" i="2"/>
  <c r="T199" i="2"/>
  <c r="FT199" i="2" s="1"/>
  <c r="T90" i="2"/>
  <c r="U111" i="2"/>
  <c r="U136" i="2"/>
  <c r="U144" i="2"/>
  <c r="U165" i="2"/>
  <c r="U190" i="2"/>
  <c r="U199" i="2"/>
  <c r="V111" i="2"/>
  <c r="V136" i="2"/>
  <c r="V144" i="2"/>
  <c r="V165" i="2"/>
  <c r="V190" i="2"/>
  <c r="V199" i="2"/>
  <c r="V90" i="2"/>
  <c r="W111" i="2"/>
  <c r="W136" i="2"/>
  <c r="FU136" i="2" s="1"/>
  <c r="W144" i="2"/>
  <c r="W165" i="2"/>
  <c r="W190" i="2"/>
  <c r="W199" i="2"/>
  <c r="X111" i="2"/>
  <c r="X136" i="2"/>
  <c r="X144" i="2"/>
  <c r="X165" i="2"/>
  <c r="X90" i="2" s="1"/>
  <c r="X190" i="2"/>
  <c r="X199" i="2"/>
  <c r="Y111" i="2"/>
  <c r="Y136" i="2"/>
  <c r="Y144" i="2"/>
  <c r="Y165" i="2"/>
  <c r="Y200" i="2" s="1"/>
  <c r="Y190" i="2"/>
  <c r="Y199" i="2"/>
  <c r="Z111" i="2"/>
  <c r="Z136" i="2"/>
  <c r="Z90" i="2" s="1"/>
  <c r="Z144" i="2"/>
  <c r="Z165" i="2"/>
  <c r="Z190" i="2"/>
  <c r="Z199" i="2"/>
  <c r="AA111" i="2"/>
  <c r="AA136" i="2"/>
  <c r="AA144" i="2"/>
  <c r="AA165" i="2"/>
  <c r="AA200" i="2" s="1"/>
  <c r="AA190" i="2"/>
  <c r="AA199" i="2"/>
  <c r="AB111" i="2"/>
  <c r="AB136" i="2"/>
  <c r="AB90" i="2" s="1"/>
  <c r="AB144" i="2"/>
  <c r="FV144" i="2" s="1"/>
  <c r="AB165" i="2"/>
  <c r="AB190" i="2"/>
  <c r="AB199" i="2"/>
  <c r="AC111" i="2"/>
  <c r="AC136" i="2"/>
  <c r="AC144" i="2"/>
  <c r="AC165" i="2"/>
  <c r="AC200" i="2" s="1"/>
  <c r="AC190" i="2"/>
  <c r="AC199" i="2"/>
  <c r="AD111" i="2"/>
  <c r="AD136" i="2"/>
  <c r="AD144" i="2"/>
  <c r="AD90" i="2" s="1"/>
  <c r="AD165" i="2"/>
  <c r="AD190" i="2"/>
  <c r="AD199" i="2"/>
  <c r="AE111" i="2"/>
  <c r="AE136" i="2"/>
  <c r="AE144" i="2"/>
  <c r="AE165" i="2"/>
  <c r="AE190" i="2"/>
  <c r="AE199" i="2"/>
  <c r="AF111" i="2"/>
  <c r="AF118" i="2"/>
  <c r="AF144" i="2"/>
  <c r="FX144" i="2" s="1"/>
  <c r="AF165" i="2"/>
  <c r="FX165" i="2" s="1"/>
  <c r="AF190" i="2"/>
  <c r="AF199" i="2"/>
  <c r="AG111" i="2"/>
  <c r="AG136" i="2"/>
  <c r="AG144" i="2"/>
  <c r="AG165" i="2"/>
  <c r="AG190" i="2"/>
  <c r="AG199" i="2"/>
  <c r="AH111" i="2"/>
  <c r="AH136" i="2"/>
  <c r="AH144" i="2"/>
  <c r="AH165" i="2"/>
  <c r="AH190" i="2"/>
  <c r="FX190" i="2" s="1"/>
  <c r="AH199" i="2"/>
  <c r="AI111" i="2"/>
  <c r="AI136" i="2"/>
  <c r="AI144" i="2"/>
  <c r="AI165" i="2"/>
  <c r="AI190" i="2"/>
  <c r="AI199" i="2"/>
  <c r="AJ111" i="2"/>
  <c r="AJ136" i="2"/>
  <c r="AJ144" i="2"/>
  <c r="FY144" i="2" s="1"/>
  <c r="AJ165" i="2"/>
  <c r="FY165" i="2" s="1"/>
  <c r="AJ190" i="2"/>
  <c r="FY190" i="2" s="1"/>
  <c r="AJ199" i="2"/>
  <c r="FY199" i="2" s="1"/>
  <c r="AK111" i="2"/>
  <c r="AK90" i="2" s="1"/>
  <c r="AK136" i="2"/>
  <c r="AK144" i="2"/>
  <c r="AK165" i="2"/>
  <c r="AK190" i="2"/>
  <c r="AK199" i="2"/>
  <c r="AL111" i="2"/>
  <c r="AL90" i="2" s="1"/>
  <c r="AL136" i="2"/>
  <c r="HX136" i="2" s="1"/>
  <c r="AL144" i="2"/>
  <c r="FZ144" i="2" s="1"/>
  <c r="AL165" i="2"/>
  <c r="AL190" i="2"/>
  <c r="AL199" i="2"/>
  <c r="AM111" i="2"/>
  <c r="AM136" i="2"/>
  <c r="AM144" i="2"/>
  <c r="AM165" i="2"/>
  <c r="AM190" i="2"/>
  <c r="AM199" i="2"/>
  <c r="AN111" i="2"/>
  <c r="AN136" i="2"/>
  <c r="AN147" i="2" s="1"/>
  <c r="AN144" i="2"/>
  <c r="AN165" i="2"/>
  <c r="AN190" i="2"/>
  <c r="AN199" i="2"/>
  <c r="AO111" i="2"/>
  <c r="AO136" i="2"/>
  <c r="AO144" i="2"/>
  <c r="AO165" i="2"/>
  <c r="AO190" i="2"/>
  <c r="AO199" i="2"/>
  <c r="AP111" i="2"/>
  <c r="AP136" i="2"/>
  <c r="AP144" i="2"/>
  <c r="GA144" i="2" s="1"/>
  <c r="AP165" i="2"/>
  <c r="AP190" i="2"/>
  <c r="GA190" i="2" s="1"/>
  <c r="AP199" i="2"/>
  <c r="GA199" i="2" s="1"/>
  <c r="AQ111" i="2"/>
  <c r="AQ90" i="2" s="1"/>
  <c r="AQ136" i="2"/>
  <c r="AQ144" i="2"/>
  <c r="AQ165" i="2"/>
  <c r="AQ190" i="2"/>
  <c r="AQ199" i="2"/>
  <c r="AR111" i="2"/>
  <c r="AR136" i="2"/>
  <c r="GB136" i="2" s="1"/>
  <c r="AR144" i="2"/>
  <c r="GB144" i="2" s="1"/>
  <c r="AR165" i="2"/>
  <c r="GB165" i="2" s="1"/>
  <c r="AR190" i="2"/>
  <c r="GB190" i="2" s="1"/>
  <c r="AR199" i="2"/>
  <c r="GB199" i="2" s="1"/>
  <c r="AS111" i="2"/>
  <c r="AS136" i="2"/>
  <c r="AS144" i="2"/>
  <c r="AS165" i="2"/>
  <c r="AS190" i="2"/>
  <c r="AS199" i="2"/>
  <c r="AT111" i="2"/>
  <c r="AT136" i="2"/>
  <c r="AT144" i="2"/>
  <c r="AT165" i="2"/>
  <c r="AT190" i="2"/>
  <c r="AT199" i="2"/>
  <c r="AT200" i="2" s="1"/>
  <c r="AT90" i="2"/>
  <c r="AU111" i="2"/>
  <c r="AU136" i="2"/>
  <c r="GC136" i="2" s="1"/>
  <c r="AU144" i="2"/>
  <c r="AU165" i="2"/>
  <c r="AU190" i="2"/>
  <c r="AU199" i="2"/>
  <c r="AV111" i="2"/>
  <c r="AV136" i="2"/>
  <c r="AV144" i="2"/>
  <c r="AV165" i="2"/>
  <c r="AV190" i="2"/>
  <c r="AV199" i="2"/>
  <c r="GC199" i="2" s="1"/>
  <c r="AV90" i="2"/>
  <c r="AW111" i="2"/>
  <c r="AW136" i="2"/>
  <c r="AW144" i="2"/>
  <c r="AW165" i="2"/>
  <c r="AW190" i="2"/>
  <c r="AW199" i="2"/>
  <c r="AX111" i="2"/>
  <c r="AX136" i="2"/>
  <c r="AX144" i="2"/>
  <c r="AX165" i="2"/>
  <c r="GD165" i="2" s="1"/>
  <c r="AX190" i="2"/>
  <c r="AX199" i="2"/>
  <c r="GD199" i="2" s="1"/>
  <c r="AX90" i="2"/>
  <c r="AY111" i="2"/>
  <c r="AY136" i="2"/>
  <c r="AY144" i="2"/>
  <c r="AY165" i="2"/>
  <c r="AY190" i="2"/>
  <c r="AY199" i="2"/>
  <c r="AZ111" i="2"/>
  <c r="AZ136" i="2"/>
  <c r="AZ144" i="2"/>
  <c r="AZ165" i="2"/>
  <c r="AZ190" i="2"/>
  <c r="AZ199" i="2"/>
  <c r="AZ90" i="2"/>
  <c r="BA111" i="2"/>
  <c r="BA136" i="2"/>
  <c r="GE136" i="2" s="1"/>
  <c r="BA144" i="2"/>
  <c r="GE144" i="2" s="1"/>
  <c r="BA165" i="2"/>
  <c r="BA190" i="2"/>
  <c r="BA199" i="2"/>
  <c r="BB111" i="2"/>
  <c r="BB90" i="2" s="1"/>
  <c r="BB136" i="2"/>
  <c r="BB144" i="2"/>
  <c r="BB165" i="2"/>
  <c r="BB190" i="2"/>
  <c r="BB199" i="2"/>
  <c r="BC111" i="2"/>
  <c r="BC136" i="2"/>
  <c r="BC144" i="2"/>
  <c r="BC147" i="2" s="1"/>
  <c r="BC165" i="2"/>
  <c r="BC190" i="2"/>
  <c r="BC199" i="2"/>
  <c r="BD111" i="2"/>
  <c r="BD90" i="2" s="1"/>
  <c r="BD136" i="2"/>
  <c r="HY136" i="2" s="1"/>
  <c r="BD144" i="2"/>
  <c r="BD165" i="2"/>
  <c r="BD190" i="2"/>
  <c r="BD199" i="2"/>
  <c r="BE111" i="2"/>
  <c r="BE136" i="2"/>
  <c r="BE144" i="2"/>
  <c r="BE147" i="2" s="1"/>
  <c r="GF147" i="2" s="1"/>
  <c r="BE165" i="2"/>
  <c r="BE190" i="2"/>
  <c r="BE199" i="2"/>
  <c r="BF111" i="2"/>
  <c r="BF90" i="2" s="1"/>
  <c r="BF136" i="2"/>
  <c r="BF144" i="2"/>
  <c r="BF165" i="2"/>
  <c r="BF190" i="2"/>
  <c r="BF199" i="2"/>
  <c r="BG111" i="2"/>
  <c r="BG136" i="2"/>
  <c r="BG144" i="2"/>
  <c r="BG165" i="2"/>
  <c r="BG190" i="2"/>
  <c r="BG199" i="2"/>
  <c r="BH111" i="2"/>
  <c r="BH136" i="2"/>
  <c r="BH144" i="2"/>
  <c r="BH165" i="2"/>
  <c r="GG165" i="2" s="1"/>
  <c r="GG200" i="2" s="1"/>
  <c r="BH190" i="2"/>
  <c r="BH199" i="2"/>
  <c r="BI111" i="2"/>
  <c r="BI136" i="2"/>
  <c r="BI144" i="2"/>
  <c r="BI165" i="2"/>
  <c r="BI190" i="2"/>
  <c r="BI199" i="2"/>
  <c r="BJ111" i="2"/>
  <c r="BJ136" i="2"/>
  <c r="BJ144" i="2"/>
  <c r="BJ165" i="2"/>
  <c r="GH165" i="2" s="1"/>
  <c r="BJ190" i="2"/>
  <c r="GH190" i="2" s="1"/>
  <c r="BJ199" i="2"/>
  <c r="BK111" i="2"/>
  <c r="BK90" i="2" s="1"/>
  <c r="BK136" i="2"/>
  <c r="BK144" i="2"/>
  <c r="BK165" i="2"/>
  <c r="BK190" i="2"/>
  <c r="BK199" i="2"/>
  <c r="BL111" i="2"/>
  <c r="BL136" i="2"/>
  <c r="BL144" i="2"/>
  <c r="HZ144" i="2" s="1"/>
  <c r="BL165" i="2"/>
  <c r="BL190" i="2"/>
  <c r="BL199" i="2"/>
  <c r="BM111" i="2"/>
  <c r="BM136" i="2"/>
  <c r="BM144" i="2"/>
  <c r="BM155" i="2"/>
  <c r="BM165" i="2" s="1"/>
  <c r="BM177" i="2"/>
  <c r="BM190" i="2" s="1"/>
  <c r="BM199" i="2"/>
  <c r="BM90" i="2"/>
  <c r="BN111" i="2"/>
  <c r="BN90" i="2" s="1"/>
  <c r="BN136" i="2"/>
  <c r="BN144" i="2"/>
  <c r="GI144" i="2" s="1"/>
  <c r="BN165" i="2"/>
  <c r="BN190" i="2"/>
  <c r="BN199" i="2"/>
  <c r="BO111" i="2"/>
  <c r="BO136" i="2"/>
  <c r="BO144" i="2"/>
  <c r="BO165" i="2"/>
  <c r="BO190" i="2"/>
  <c r="BO199" i="2"/>
  <c r="BO90" i="2"/>
  <c r="BP111" i="2"/>
  <c r="BP136" i="2"/>
  <c r="GJ136" i="2" s="1"/>
  <c r="BP144" i="2"/>
  <c r="BP165" i="2"/>
  <c r="BP190" i="2"/>
  <c r="BP199" i="2"/>
  <c r="GJ199" i="2" s="1"/>
  <c r="BQ111" i="2"/>
  <c r="BQ90" i="2" s="1"/>
  <c r="BQ136" i="2"/>
  <c r="BQ144" i="2"/>
  <c r="BQ165" i="2"/>
  <c r="BQ190" i="2"/>
  <c r="BQ199" i="2"/>
  <c r="BR111" i="2"/>
  <c r="BR136" i="2"/>
  <c r="BR144" i="2"/>
  <c r="BR165" i="2"/>
  <c r="BR200" i="2" s="1"/>
  <c r="BR190" i="2"/>
  <c r="GJ190" i="2" s="1"/>
  <c r="BR199" i="2"/>
  <c r="BS111" i="2"/>
  <c r="GK111" i="2" s="1"/>
  <c r="BS136" i="2"/>
  <c r="BS144" i="2"/>
  <c r="BS165" i="2"/>
  <c r="BS190" i="2"/>
  <c r="BS199" i="2"/>
  <c r="BT111" i="2"/>
  <c r="BT136" i="2"/>
  <c r="GK136" i="2" s="1"/>
  <c r="BT144" i="2"/>
  <c r="GK144" i="2" s="1"/>
  <c r="BT165" i="2"/>
  <c r="BT190" i="2"/>
  <c r="GK190" i="2" s="1"/>
  <c r="BT199" i="2"/>
  <c r="GK199" i="2" s="1"/>
  <c r="BU111" i="2"/>
  <c r="BU90" i="2" s="1"/>
  <c r="BU136" i="2"/>
  <c r="BU144" i="2"/>
  <c r="BU165" i="2"/>
  <c r="BU190" i="2"/>
  <c r="BU199" i="2"/>
  <c r="BV111" i="2"/>
  <c r="BV136" i="2"/>
  <c r="BV144" i="2"/>
  <c r="BV165" i="2"/>
  <c r="GL165" i="2" s="1"/>
  <c r="BV190" i="2"/>
  <c r="BV199" i="2"/>
  <c r="BW111" i="2"/>
  <c r="BW136" i="2"/>
  <c r="BW144" i="2"/>
  <c r="BW165" i="2"/>
  <c r="BW190" i="2"/>
  <c r="BW199" i="2"/>
  <c r="BX111" i="2"/>
  <c r="BX136" i="2"/>
  <c r="BX144" i="2"/>
  <c r="BX165" i="2"/>
  <c r="BX190" i="2"/>
  <c r="BX199" i="2"/>
  <c r="BY111" i="2"/>
  <c r="BY136" i="2"/>
  <c r="BY144" i="2"/>
  <c r="BY165" i="2"/>
  <c r="BY190" i="2"/>
  <c r="BY199" i="2"/>
  <c r="BZ111" i="2"/>
  <c r="BZ136" i="2"/>
  <c r="GM136" i="2" s="1"/>
  <c r="BZ144" i="2"/>
  <c r="BZ165" i="2"/>
  <c r="BZ190" i="2"/>
  <c r="GM190" i="2" s="1"/>
  <c r="BZ199" i="2"/>
  <c r="CA111" i="2"/>
  <c r="CA90" i="2" s="1"/>
  <c r="CA136" i="2"/>
  <c r="CA144" i="2"/>
  <c r="CA165" i="2"/>
  <c r="CA190" i="2"/>
  <c r="CA199" i="2"/>
  <c r="CB111" i="2"/>
  <c r="CB136" i="2"/>
  <c r="GN136" i="2" s="1"/>
  <c r="CB144" i="2"/>
  <c r="CB165" i="2"/>
  <c r="GN165" i="2" s="1"/>
  <c r="CB190" i="2"/>
  <c r="GN190" i="2" s="1"/>
  <c r="GN200" i="2" s="1"/>
  <c r="CB199" i="2"/>
  <c r="GN199" i="2" s="1"/>
  <c r="CC111" i="2"/>
  <c r="CC90" i="2" s="1"/>
  <c r="CC136" i="2"/>
  <c r="CC144" i="2"/>
  <c r="CC165" i="2"/>
  <c r="CC190" i="2"/>
  <c r="CC199" i="2"/>
  <c r="CD111" i="2"/>
  <c r="CD136" i="2"/>
  <c r="CD144" i="2"/>
  <c r="CD165" i="2"/>
  <c r="CD190" i="2"/>
  <c r="CD199" i="2"/>
  <c r="CE111" i="2"/>
  <c r="CE136" i="2"/>
  <c r="CE144" i="2"/>
  <c r="CE165" i="2"/>
  <c r="CF111" i="2"/>
  <c r="CF136" i="2"/>
  <c r="GO136" i="2" s="1"/>
  <c r="CF144" i="2"/>
  <c r="GO144" i="2" s="1"/>
  <c r="CF165" i="2"/>
  <c r="GO165" i="2" s="1"/>
  <c r="GO200" i="2" s="1"/>
  <c r="CF190" i="2"/>
  <c r="CF199" i="2"/>
  <c r="CG111" i="2"/>
  <c r="CG136" i="2"/>
  <c r="CG144" i="2"/>
  <c r="CH111" i="2"/>
  <c r="CH136" i="2"/>
  <c r="CH144" i="2"/>
  <c r="CH165" i="2"/>
  <c r="IB165" i="2" s="1"/>
  <c r="CH190" i="2"/>
  <c r="CH199" i="2"/>
  <c r="CI111" i="2"/>
  <c r="CI90" i="2" s="1"/>
  <c r="CI136" i="2"/>
  <c r="CI144" i="2"/>
  <c r="CI165" i="2"/>
  <c r="CI190" i="2"/>
  <c r="CI199" i="2"/>
  <c r="CJ111" i="2"/>
  <c r="CJ136" i="2"/>
  <c r="CJ144" i="2"/>
  <c r="CJ165" i="2"/>
  <c r="CJ190" i="2"/>
  <c r="CJ199" i="2"/>
  <c r="CK111" i="2"/>
  <c r="CK136" i="2"/>
  <c r="GQ136" i="2" s="1"/>
  <c r="CK144" i="2"/>
  <c r="CK165" i="2"/>
  <c r="CK190" i="2"/>
  <c r="CK199" i="2"/>
  <c r="CL111" i="2"/>
  <c r="CL136" i="2"/>
  <c r="CL144" i="2"/>
  <c r="CL190" i="2"/>
  <c r="GQ190" i="2" s="1"/>
  <c r="GQ200" i="2" s="1"/>
  <c r="CL199" i="2"/>
  <c r="GQ199" i="2" s="1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144" i="2"/>
  <c r="GV144" i="2" s="1"/>
  <c r="DB165" i="2"/>
  <c r="IC165" i="2" s="1"/>
  <c r="DB190" i="2"/>
  <c r="IC190" i="2" s="1"/>
  <c r="DB199" i="2"/>
  <c r="GV199" i="2" s="1"/>
  <c r="DC144" i="2"/>
  <c r="DC90" i="2" s="1"/>
  <c r="DC165" i="2"/>
  <c r="DC199" i="2"/>
  <c r="DD199" i="2"/>
  <c r="DD90" i="2"/>
  <c r="DE199" i="2"/>
  <c r="DE90" i="2"/>
  <c r="DF90" i="2"/>
  <c r="DG90" i="2"/>
  <c r="DH90" i="2"/>
  <c r="DI90" i="2"/>
  <c r="DJ90" i="2"/>
  <c r="DK90" i="2"/>
  <c r="DL90" i="2"/>
  <c r="DM90" i="2"/>
  <c r="DN90" i="2"/>
  <c r="DO90" i="2"/>
  <c r="DP90" i="2"/>
  <c r="DQ90" i="2"/>
  <c r="DR90" i="2"/>
  <c r="DS90" i="2"/>
  <c r="DT90" i="2"/>
  <c r="DU90" i="2"/>
  <c r="DV90" i="2"/>
  <c r="DW90" i="2"/>
  <c r="DX90" i="2"/>
  <c r="DY90" i="2"/>
  <c r="DZ90" i="2"/>
  <c r="EA90" i="2"/>
  <c r="EB90" i="2"/>
  <c r="EC90" i="2"/>
  <c r="ED90" i="2"/>
  <c r="EE90" i="2"/>
  <c r="EF90" i="2"/>
  <c r="EG90" i="2"/>
  <c r="EH90" i="2"/>
  <c r="EI90" i="2"/>
  <c r="EJ90" i="2"/>
  <c r="EK90" i="2"/>
  <c r="EL90" i="2"/>
  <c r="EM90" i="2"/>
  <c r="EN90" i="2"/>
  <c r="EO90" i="2"/>
  <c r="EP90" i="2"/>
  <c r="EQ90" i="2"/>
  <c r="ER90" i="2"/>
  <c r="ES90" i="2"/>
  <c r="ET90" i="2"/>
  <c r="EU90" i="2"/>
  <c r="EV90" i="2"/>
  <c r="EW90" i="2"/>
  <c r="EX90" i="2"/>
  <c r="EY90" i="2"/>
  <c r="EZ90" i="2"/>
  <c r="FA90" i="2"/>
  <c r="FB190" i="2"/>
  <c r="FB90" i="2" s="1"/>
  <c r="FC90" i="2"/>
  <c r="FD90" i="2"/>
  <c r="FE90" i="2"/>
  <c r="FF90" i="2"/>
  <c r="FG90" i="2"/>
  <c r="FH90" i="2"/>
  <c r="FI90" i="2"/>
  <c r="FJ90" i="2"/>
  <c r="FN111" i="2"/>
  <c r="FN136" i="2"/>
  <c r="FN144" i="2"/>
  <c r="FN190" i="2"/>
  <c r="FO165" i="2"/>
  <c r="FO199" i="2"/>
  <c r="FP111" i="2"/>
  <c r="FQ144" i="2"/>
  <c r="FQ165" i="2"/>
  <c r="FQ190" i="2"/>
  <c r="FR111" i="2"/>
  <c r="FT136" i="2"/>
  <c r="FT144" i="2"/>
  <c r="FT190" i="2"/>
  <c r="FU144" i="2"/>
  <c r="FU190" i="2"/>
  <c r="FU199" i="2"/>
  <c r="FV190" i="2"/>
  <c r="FW144" i="2"/>
  <c r="FW165" i="2"/>
  <c r="FW190" i="2"/>
  <c r="FW199" i="2"/>
  <c r="FZ111" i="2"/>
  <c r="FZ190" i="2"/>
  <c r="GB111" i="2"/>
  <c r="GC144" i="2"/>
  <c r="GC165" i="2"/>
  <c r="GC190" i="2"/>
  <c r="GD136" i="2"/>
  <c r="GD190" i="2"/>
  <c r="GE165" i="2"/>
  <c r="GE190" i="2"/>
  <c r="GE199" i="2"/>
  <c r="GF111" i="2"/>
  <c r="GF136" i="2"/>
  <c r="GF144" i="2"/>
  <c r="GF190" i="2"/>
  <c r="GG144" i="2"/>
  <c r="GG190" i="2"/>
  <c r="GG199" i="2"/>
  <c r="GI165" i="2"/>
  <c r="GI190" i="2"/>
  <c r="GI199" i="2"/>
  <c r="GI200" i="2" s="1"/>
  <c r="GJ111" i="2"/>
  <c r="GL136" i="2"/>
  <c r="GL144" i="2"/>
  <c r="GL190" i="2"/>
  <c r="GM144" i="2"/>
  <c r="GM165" i="2"/>
  <c r="GN144" i="2"/>
  <c r="GO190" i="2"/>
  <c r="GO199" i="2"/>
  <c r="GP111" i="2"/>
  <c r="GP136" i="2"/>
  <c r="GP144" i="2"/>
  <c r="GQ144" i="2"/>
  <c r="GQ165" i="2"/>
  <c r="GR111" i="2"/>
  <c r="GR136" i="2"/>
  <c r="GR144" i="2"/>
  <c r="GR165" i="2"/>
  <c r="GR190" i="2"/>
  <c r="GR200" i="2" s="1"/>
  <c r="GR199" i="2"/>
  <c r="GS111" i="2"/>
  <c r="GS136" i="2"/>
  <c r="GS144" i="2"/>
  <c r="GS90" i="2" s="1"/>
  <c r="GS165" i="2"/>
  <c r="GS190" i="2"/>
  <c r="GS199" i="2"/>
  <c r="GT111" i="2"/>
  <c r="GT136" i="2"/>
  <c r="GT144" i="2"/>
  <c r="GT165" i="2"/>
  <c r="GT190" i="2"/>
  <c r="GT200" i="2" s="1"/>
  <c r="GT199" i="2"/>
  <c r="GU111" i="2"/>
  <c r="GU136" i="2"/>
  <c r="GU144" i="2"/>
  <c r="GU90" i="2" s="1"/>
  <c r="GU165" i="2"/>
  <c r="GU190" i="2"/>
  <c r="GU199" i="2"/>
  <c r="GV111" i="2"/>
  <c r="GV136" i="2"/>
  <c r="GV190" i="2"/>
  <c r="GW111" i="2"/>
  <c r="GW136" i="2"/>
  <c r="GW144" i="2"/>
  <c r="GW90" i="2" s="1"/>
  <c r="GW165" i="2"/>
  <c r="GW200" i="2" s="1"/>
  <c r="GW190" i="2"/>
  <c r="GW199" i="2"/>
  <c r="GX111" i="2"/>
  <c r="GX136" i="2"/>
  <c r="GX144" i="2"/>
  <c r="GX165" i="2"/>
  <c r="GX190" i="2"/>
  <c r="GX199" i="2"/>
  <c r="GY111" i="2"/>
  <c r="GY136" i="2"/>
  <c r="GY144" i="2"/>
  <c r="GY165" i="2"/>
  <c r="GY190" i="2"/>
  <c r="GY200" i="2" s="1"/>
  <c r="GY199" i="2"/>
  <c r="GZ111" i="2"/>
  <c r="GZ90" i="2" s="1"/>
  <c r="GZ136" i="2"/>
  <c r="GZ144" i="2"/>
  <c r="GZ165" i="2"/>
  <c r="GZ190" i="2"/>
  <c r="GZ199" i="2"/>
  <c r="HA111" i="2"/>
  <c r="HA136" i="2"/>
  <c r="HA144" i="2"/>
  <c r="HA165" i="2"/>
  <c r="HA190" i="2"/>
  <c r="HA199" i="2"/>
  <c r="HB111" i="2"/>
  <c r="HB136" i="2"/>
  <c r="HB144" i="2"/>
  <c r="HB165" i="2"/>
  <c r="HB190" i="2"/>
  <c r="HB199" i="2"/>
  <c r="HC111" i="2"/>
  <c r="HC136" i="2"/>
  <c r="HC144" i="2"/>
  <c r="HC165" i="2"/>
  <c r="HC200" i="2" s="1"/>
  <c r="HC190" i="2"/>
  <c r="HC90" i="2" s="1"/>
  <c r="HC199" i="2"/>
  <c r="HD111" i="2"/>
  <c r="HD136" i="2"/>
  <c r="HD144" i="2"/>
  <c r="HD165" i="2"/>
  <c r="HD190" i="2"/>
  <c r="HD199" i="2"/>
  <c r="HE111" i="2"/>
  <c r="HE136" i="2"/>
  <c r="HE144" i="2"/>
  <c r="HE165" i="2"/>
  <c r="HE190" i="2"/>
  <c r="HE200" i="2" s="1"/>
  <c r="HE199" i="2"/>
  <c r="HE90" i="2" s="1"/>
  <c r="HF111" i="2"/>
  <c r="HF90" i="2" s="1"/>
  <c r="HF136" i="2"/>
  <c r="HF144" i="2"/>
  <c r="HF165" i="2"/>
  <c r="HF190" i="2"/>
  <c r="HF199" i="2"/>
  <c r="HG111" i="2"/>
  <c r="HG136" i="2"/>
  <c r="HG144" i="2"/>
  <c r="HG165" i="2"/>
  <c r="HG190" i="2"/>
  <c r="HG199" i="2"/>
  <c r="HG200" i="2" s="1"/>
  <c r="HG90" i="2"/>
  <c r="HH111" i="2"/>
  <c r="HH136" i="2"/>
  <c r="HH144" i="2"/>
  <c r="HH165" i="2"/>
  <c r="HH190" i="2"/>
  <c r="HH199" i="2"/>
  <c r="HI111" i="2"/>
  <c r="HI136" i="2"/>
  <c r="HI144" i="2"/>
  <c r="HI165" i="2"/>
  <c r="HI190" i="2"/>
  <c r="HI199" i="2"/>
  <c r="HI90" i="2"/>
  <c r="HJ111" i="2"/>
  <c r="HJ90" i="2" s="1"/>
  <c r="HJ136" i="2"/>
  <c r="HJ144" i="2"/>
  <c r="HJ165" i="2"/>
  <c r="HJ190" i="2"/>
  <c r="HJ199" i="2"/>
  <c r="HK111" i="2"/>
  <c r="HK136" i="2"/>
  <c r="HK144" i="2"/>
  <c r="HK165" i="2"/>
  <c r="HK190" i="2"/>
  <c r="HK199" i="2"/>
  <c r="HK90" i="2"/>
  <c r="HL111" i="2"/>
  <c r="HL136" i="2"/>
  <c r="HL144" i="2"/>
  <c r="HL165" i="2"/>
  <c r="HL190" i="2"/>
  <c r="HL199" i="2"/>
  <c r="HM111" i="2"/>
  <c r="HM136" i="2"/>
  <c r="HM144" i="2"/>
  <c r="HM165" i="2"/>
  <c r="HM90" i="2" s="1"/>
  <c r="HM190" i="2"/>
  <c r="HM199" i="2"/>
  <c r="HN111" i="2"/>
  <c r="HN136" i="2"/>
  <c r="HN144" i="2"/>
  <c r="HN165" i="2"/>
  <c r="HN190" i="2"/>
  <c r="HN199" i="2"/>
  <c r="HO111" i="2"/>
  <c r="HO136" i="2"/>
  <c r="HO144" i="2"/>
  <c r="HO90" i="2" s="1"/>
  <c r="HO165" i="2"/>
  <c r="HO190" i="2"/>
  <c r="HO199" i="2"/>
  <c r="HP111" i="2"/>
  <c r="HP136" i="2"/>
  <c r="HP144" i="2"/>
  <c r="HP165" i="2"/>
  <c r="HP190" i="2"/>
  <c r="HP199" i="2"/>
  <c r="HQ90" i="2"/>
  <c r="HV144" i="2"/>
  <c r="HW144" i="2"/>
  <c r="HW165" i="2"/>
  <c r="HW190" i="2"/>
  <c r="HW199" i="2"/>
  <c r="HY165" i="2"/>
  <c r="HY190" i="2"/>
  <c r="HY199" i="2"/>
  <c r="IA144" i="2"/>
  <c r="IB111" i="2"/>
  <c r="IB136" i="2"/>
  <c r="IB144" i="2"/>
  <c r="IC111" i="2"/>
  <c r="IC136" i="2"/>
  <c r="IC144" i="2"/>
  <c r="ID111" i="2"/>
  <c r="ID136" i="2"/>
  <c r="ID144" i="2"/>
  <c r="ID165" i="2"/>
  <c r="ID190" i="2"/>
  <c r="ID199" i="2"/>
  <c r="IE111" i="2"/>
  <c r="IE136" i="2"/>
  <c r="IE90" i="2" s="1"/>
  <c r="IE144" i="2"/>
  <c r="IE165" i="2"/>
  <c r="IE190" i="2"/>
  <c r="IE199" i="2"/>
  <c r="IF111" i="2"/>
  <c r="IF136" i="2"/>
  <c r="IF144" i="2"/>
  <c r="IF165" i="2"/>
  <c r="IF190" i="2"/>
  <c r="IF199" i="2"/>
  <c r="IG111" i="2"/>
  <c r="IG136" i="2"/>
  <c r="IG90" i="2" s="1"/>
  <c r="IG144" i="2"/>
  <c r="IG165" i="2"/>
  <c r="IG190" i="2"/>
  <c r="IG199" i="2"/>
  <c r="FN92" i="2"/>
  <c r="FO92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GG92" i="2"/>
  <c r="GH92" i="2"/>
  <c r="GI92" i="2"/>
  <c r="GJ92" i="2"/>
  <c r="GK92" i="2"/>
  <c r="GL92" i="2"/>
  <c r="GM92" i="2"/>
  <c r="GN92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HF92" i="2"/>
  <c r="HG92" i="2"/>
  <c r="HH92" i="2"/>
  <c r="HI92" i="2"/>
  <c r="HJ92" i="2"/>
  <c r="HK92" i="2"/>
  <c r="HL92" i="2"/>
  <c r="HM92" i="2"/>
  <c r="HN92" i="2"/>
  <c r="HO92" i="2"/>
  <c r="HP92" i="2"/>
  <c r="HU92" i="2"/>
  <c r="HV92" i="2"/>
  <c r="HW92" i="2"/>
  <c r="HX92" i="2"/>
  <c r="HY92" i="2"/>
  <c r="HZ92" i="2"/>
  <c r="IA92" i="2"/>
  <c r="IB92" i="2"/>
  <c r="IC92" i="2"/>
  <c r="ID92" i="2"/>
  <c r="IE92" i="2"/>
  <c r="IF92" i="2"/>
  <c r="IG92" i="2"/>
  <c r="FN93" i="2"/>
  <c r="FO93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GG93" i="2"/>
  <c r="GH93" i="2"/>
  <c r="GI93" i="2"/>
  <c r="GJ93" i="2"/>
  <c r="GK93" i="2"/>
  <c r="GL93" i="2"/>
  <c r="GM93" i="2"/>
  <c r="GN93" i="2"/>
  <c r="GO93" i="2"/>
  <c r="GP93" i="2"/>
  <c r="GQ93" i="2"/>
  <c r="GR93" i="2"/>
  <c r="GS93" i="2"/>
  <c r="GT93" i="2"/>
  <c r="GU93" i="2"/>
  <c r="GV93" i="2"/>
  <c r="GW93" i="2"/>
  <c r="GX93" i="2"/>
  <c r="GY93" i="2"/>
  <c r="GZ93" i="2"/>
  <c r="HA93" i="2"/>
  <c r="HB93" i="2"/>
  <c r="HC93" i="2"/>
  <c r="HD93" i="2"/>
  <c r="HE93" i="2"/>
  <c r="HF93" i="2"/>
  <c r="HG93" i="2"/>
  <c r="HH93" i="2"/>
  <c r="HI93" i="2"/>
  <c r="HJ93" i="2"/>
  <c r="HK93" i="2"/>
  <c r="HL93" i="2"/>
  <c r="HM93" i="2"/>
  <c r="HN93" i="2"/>
  <c r="HO93" i="2"/>
  <c r="HP93" i="2"/>
  <c r="HU93" i="2"/>
  <c r="HV93" i="2"/>
  <c r="HW93" i="2"/>
  <c r="HX93" i="2"/>
  <c r="HY93" i="2"/>
  <c r="HZ93" i="2"/>
  <c r="IA93" i="2"/>
  <c r="IB93" i="2"/>
  <c r="IC93" i="2"/>
  <c r="ID93" i="2"/>
  <c r="IE93" i="2"/>
  <c r="IF93" i="2"/>
  <c r="IG93" i="2"/>
  <c r="FN94" i="2"/>
  <c r="FO94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GG94" i="2"/>
  <c r="GH94" i="2"/>
  <c r="GI94" i="2"/>
  <c r="GJ94" i="2"/>
  <c r="GK94" i="2"/>
  <c r="GL94" i="2"/>
  <c r="GM94" i="2"/>
  <c r="GN94" i="2"/>
  <c r="GO94" i="2"/>
  <c r="GP94" i="2"/>
  <c r="GQ94" i="2"/>
  <c r="GR94" i="2"/>
  <c r="GS94" i="2"/>
  <c r="GT94" i="2"/>
  <c r="GU94" i="2"/>
  <c r="GV94" i="2"/>
  <c r="GW94" i="2"/>
  <c r="GX94" i="2"/>
  <c r="GY94" i="2"/>
  <c r="GZ94" i="2"/>
  <c r="HA94" i="2"/>
  <c r="HB94" i="2"/>
  <c r="HC94" i="2"/>
  <c r="HD94" i="2"/>
  <c r="HE94" i="2"/>
  <c r="HF94" i="2"/>
  <c r="HG94" i="2"/>
  <c r="HH94" i="2"/>
  <c r="HI94" i="2"/>
  <c r="HJ94" i="2"/>
  <c r="HK94" i="2"/>
  <c r="HL94" i="2"/>
  <c r="HM94" i="2"/>
  <c r="HN94" i="2"/>
  <c r="HO94" i="2"/>
  <c r="HP94" i="2"/>
  <c r="HU94" i="2"/>
  <c r="HV94" i="2"/>
  <c r="HW94" i="2"/>
  <c r="HX94" i="2"/>
  <c r="HY94" i="2"/>
  <c r="HZ94" i="2"/>
  <c r="IA94" i="2"/>
  <c r="IB94" i="2"/>
  <c r="IC94" i="2"/>
  <c r="ID94" i="2"/>
  <c r="IE94" i="2"/>
  <c r="IF94" i="2"/>
  <c r="IG94" i="2"/>
  <c r="FN95" i="2"/>
  <c r="FO95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GG95" i="2"/>
  <c r="GH95" i="2"/>
  <c r="GI95" i="2"/>
  <c r="GJ95" i="2"/>
  <c r="GK95" i="2"/>
  <c r="GL95" i="2"/>
  <c r="GM95" i="2"/>
  <c r="GN95" i="2"/>
  <c r="GO95" i="2"/>
  <c r="GP95" i="2"/>
  <c r="GQ95" i="2"/>
  <c r="GR95" i="2"/>
  <c r="GS95" i="2"/>
  <c r="GT95" i="2"/>
  <c r="GU95" i="2"/>
  <c r="GV95" i="2"/>
  <c r="GW95" i="2"/>
  <c r="GX95" i="2"/>
  <c r="GY95" i="2"/>
  <c r="GZ95" i="2"/>
  <c r="HA95" i="2"/>
  <c r="HB95" i="2"/>
  <c r="HC95" i="2"/>
  <c r="HD95" i="2"/>
  <c r="HE95" i="2"/>
  <c r="HF95" i="2"/>
  <c r="HG95" i="2"/>
  <c r="HH95" i="2"/>
  <c r="HI95" i="2"/>
  <c r="HJ95" i="2"/>
  <c r="HK95" i="2"/>
  <c r="HL95" i="2"/>
  <c r="HM95" i="2"/>
  <c r="HN95" i="2"/>
  <c r="HO95" i="2"/>
  <c r="HP95" i="2"/>
  <c r="HU95" i="2"/>
  <c r="HV95" i="2"/>
  <c r="HW95" i="2"/>
  <c r="HX95" i="2"/>
  <c r="HY95" i="2"/>
  <c r="HZ95" i="2"/>
  <c r="IA95" i="2"/>
  <c r="IB95" i="2"/>
  <c r="IC95" i="2"/>
  <c r="ID95" i="2"/>
  <c r="IE95" i="2"/>
  <c r="IF95" i="2"/>
  <c r="IG95" i="2"/>
  <c r="FN96" i="2"/>
  <c r="FO96" i="2"/>
  <c r="FP96" i="2"/>
  <c r="FQ96" i="2"/>
  <c r="FR96" i="2"/>
  <c r="FS96" i="2"/>
  <c r="FT96" i="2"/>
  <c r="FU96" i="2"/>
  <c r="FV96" i="2"/>
  <c r="FW96" i="2"/>
  <c r="FX96" i="2"/>
  <c r="FY96" i="2"/>
  <c r="FZ96" i="2"/>
  <c r="GA96" i="2"/>
  <c r="GB96" i="2"/>
  <c r="GC96" i="2"/>
  <c r="GD96" i="2"/>
  <c r="GE96" i="2"/>
  <c r="GF96" i="2"/>
  <c r="GG96" i="2"/>
  <c r="GH96" i="2"/>
  <c r="GI96" i="2"/>
  <c r="GJ96" i="2"/>
  <c r="GK96" i="2"/>
  <c r="GL96" i="2"/>
  <c r="GM96" i="2"/>
  <c r="GN96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HF96" i="2"/>
  <c r="HG96" i="2"/>
  <c r="HH96" i="2"/>
  <c r="HI96" i="2"/>
  <c r="HJ96" i="2"/>
  <c r="HK96" i="2"/>
  <c r="HL96" i="2"/>
  <c r="HM96" i="2"/>
  <c r="HN96" i="2"/>
  <c r="HO96" i="2"/>
  <c r="HP96" i="2"/>
  <c r="HU96" i="2"/>
  <c r="HV96" i="2"/>
  <c r="HW96" i="2"/>
  <c r="HX96" i="2"/>
  <c r="HY96" i="2"/>
  <c r="HZ96" i="2"/>
  <c r="IA96" i="2"/>
  <c r="IB96" i="2"/>
  <c r="IC96" i="2"/>
  <c r="ID96" i="2"/>
  <c r="IE96" i="2"/>
  <c r="IF96" i="2"/>
  <c r="IG96" i="2"/>
  <c r="FN97" i="2"/>
  <c r="FO97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GG97" i="2"/>
  <c r="GH97" i="2"/>
  <c r="GI97" i="2"/>
  <c r="GJ97" i="2"/>
  <c r="GK97" i="2"/>
  <c r="GL97" i="2"/>
  <c r="GM97" i="2"/>
  <c r="GN97" i="2"/>
  <c r="GO97" i="2"/>
  <c r="GP97" i="2"/>
  <c r="GQ97" i="2"/>
  <c r="GR97" i="2"/>
  <c r="GS97" i="2"/>
  <c r="GT97" i="2"/>
  <c r="GU97" i="2"/>
  <c r="GV97" i="2"/>
  <c r="GW97" i="2"/>
  <c r="GX97" i="2"/>
  <c r="GY97" i="2"/>
  <c r="GZ97" i="2"/>
  <c r="HA97" i="2"/>
  <c r="HB97" i="2"/>
  <c r="HC97" i="2"/>
  <c r="HD97" i="2"/>
  <c r="HE97" i="2"/>
  <c r="HF97" i="2"/>
  <c r="HG97" i="2"/>
  <c r="HH97" i="2"/>
  <c r="HI97" i="2"/>
  <c r="HJ97" i="2"/>
  <c r="HK97" i="2"/>
  <c r="HL97" i="2"/>
  <c r="HM97" i="2"/>
  <c r="HN97" i="2"/>
  <c r="HO97" i="2"/>
  <c r="HP97" i="2"/>
  <c r="HU97" i="2"/>
  <c r="HV97" i="2"/>
  <c r="HW97" i="2"/>
  <c r="HX97" i="2"/>
  <c r="HY97" i="2"/>
  <c r="HZ97" i="2"/>
  <c r="IA97" i="2"/>
  <c r="IB97" i="2"/>
  <c r="IC97" i="2"/>
  <c r="ID97" i="2"/>
  <c r="IE97" i="2"/>
  <c r="IF97" i="2"/>
  <c r="IG97" i="2"/>
  <c r="FN98" i="2"/>
  <c r="FO98" i="2"/>
  <c r="FP98" i="2"/>
  <c r="FQ98" i="2"/>
  <c r="FR98" i="2"/>
  <c r="FS98" i="2"/>
  <c r="FT98" i="2"/>
  <c r="FU98" i="2"/>
  <c r="FV98" i="2"/>
  <c r="FW98" i="2"/>
  <c r="FX98" i="2"/>
  <c r="FY98" i="2"/>
  <c r="FZ98" i="2"/>
  <c r="GA98" i="2"/>
  <c r="GB98" i="2"/>
  <c r="GC98" i="2"/>
  <c r="GD98" i="2"/>
  <c r="GE98" i="2"/>
  <c r="GF98" i="2"/>
  <c r="GG98" i="2"/>
  <c r="GH98" i="2"/>
  <c r="GI98" i="2"/>
  <c r="GJ98" i="2"/>
  <c r="GK98" i="2"/>
  <c r="GL98" i="2"/>
  <c r="GM98" i="2"/>
  <c r="GN98" i="2"/>
  <c r="GO98" i="2"/>
  <c r="GP98" i="2"/>
  <c r="GQ98" i="2"/>
  <c r="GR98" i="2"/>
  <c r="GS98" i="2"/>
  <c r="GT98" i="2"/>
  <c r="GU98" i="2"/>
  <c r="GV98" i="2"/>
  <c r="GW98" i="2"/>
  <c r="GX98" i="2"/>
  <c r="GY98" i="2"/>
  <c r="GZ98" i="2"/>
  <c r="HA98" i="2"/>
  <c r="HB98" i="2"/>
  <c r="HC98" i="2"/>
  <c r="HD98" i="2"/>
  <c r="HE98" i="2"/>
  <c r="HF98" i="2"/>
  <c r="HG98" i="2"/>
  <c r="HH98" i="2"/>
  <c r="HI98" i="2"/>
  <c r="HJ98" i="2"/>
  <c r="HK98" i="2"/>
  <c r="HL98" i="2"/>
  <c r="HM98" i="2"/>
  <c r="HN98" i="2"/>
  <c r="HO98" i="2"/>
  <c r="HP98" i="2"/>
  <c r="HU98" i="2"/>
  <c r="HV98" i="2"/>
  <c r="HW98" i="2"/>
  <c r="HX98" i="2"/>
  <c r="HY98" i="2"/>
  <c r="HZ98" i="2"/>
  <c r="IA98" i="2"/>
  <c r="IB98" i="2"/>
  <c r="IC98" i="2"/>
  <c r="ID98" i="2"/>
  <c r="IE98" i="2"/>
  <c r="IF98" i="2"/>
  <c r="IG98" i="2"/>
  <c r="FN99" i="2"/>
  <c r="FO99" i="2"/>
  <c r="FP99" i="2"/>
  <c r="FQ99" i="2"/>
  <c r="FR99" i="2"/>
  <c r="FS99" i="2"/>
  <c r="FT99" i="2"/>
  <c r="FU99" i="2"/>
  <c r="FV99" i="2"/>
  <c r="FW99" i="2"/>
  <c r="FX99" i="2"/>
  <c r="FY99" i="2"/>
  <c r="FZ99" i="2"/>
  <c r="GA99" i="2"/>
  <c r="GB99" i="2"/>
  <c r="GC99" i="2"/>
  <c r="GD99" i="2"/>
  <c r="GE99" i="2"/>
  <c r="GF99" i="2"/>
  <c r="GG99" i="2"/>
  <c r="GH99" i="2"/>
  <c r="GI99" i="2"/>
  <c r="GJ99" i="2"/>
  <c r="GK99" i="2"/>
  <c r="GL99" i="2"/>
  <c r="GM99" i="2"/>
  <c r="GN99" i="2"/>
  <c r="GO99" i="2"/>
  <c r="GP99" i="2"/>
  <c r="GQ99" i="2"/>
  <c r="GR99" i="2"/>
  <c r="GS99" i="2"/>
  <c r="GT99" i="2"/>
  <c r="GU99" i="2"/>
  <c r="GV99" i="2"/>
  <c r="GW99" i="2"/>
  <c r="GX99" i="2"/>
  <c r="GY99" i="2"/>
  <c r="GZ99" i="2"/>
  <c r="HA99" i="2"/>
  <c r="HB99" i="2"/>
  <c r="HC99" i="2"/>
  <c r="HD99" i="2"/>
  <c r="HE99" i="2"/>
  <c r="HF99" i="2"/>
  <c r="HG99" i="2"/>
  <c r="HH99" i="2"/>
  <c r="HI99" i="2"/>
  <c r="HJ99" i="2"/>
  <c r="HK99" i="2"/>
  <c r="HL99" i="2"/>
  <c r="HM99" i="2"/>
  <c r="HN99" i="2"/>
  <c r="HO99" i="2"/>
  <c r="HP99" i="2"/>
  <c r="HU99" i="2"/>
  <c r="HV99" i="2"/>
  <c r="HW99" i="2"/>
  <c r="HX99" i="2"/>
  <c r="HY99" i="2"/>
  <c r="HZ99" i="2"/>
  <c r="IA99" i="2"/>
  <c r="IB99" i="2"/>
  <c r="IC99" i="2"/>
  <c r="ID99" i="2"/>
  <c r="IE99" i="2"/>
  <c r="IF99" i="2"/>
  <c r="IG99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GY100" i="2"/>
  <c r="GZ100" i="2"/>
  <c r="HA100" i="2"/>
  <c r="HB100" i="2"/>
  <c r="HC100" i="2"/>
  <c r="HD100" i="2"/>
  <c r="HE100" i="2"/>
  <c r="HF100" i="2"/>
  <c r="HG100" i="2"/>
  <c r="HH100" i="2"/>
  <c r="HI100" i="2"/>
  <c r="HJ100" i="2"/>
  <c r="HK100" i="2"/>
  <c r="HL100" i="2"/>
  <c r="HM100" i="2"/>
  <c r="HN100" i="2"/>
  <c r="HO100" i="2"/>
  <c r="HP100" i="2"/>
  <c r="HU100" i="2"/>
  <c r="HV100" i="2"/>
  <c r="HW100" i="2"/>
  <c r="HX100" i="2"/>
  <c r="HY100" i="2"/>
  <c r="HZ100" i="2"/>
  <c r="IA100" i="2"/>
  <c r="IB100" i="2"/>
  <c r="IC100" i="2"/>
  <c r="ID100" i="2"/>
  <c r="IE100" i="2"/>
  <c r="IF100" i="2"/>
  <c r="IG100" i="2"/>
  <c r="FN101" i="2"/>
  <c r="FO101" i="2"/>
  <c r="FP101" i="2"/>
  <c r="FQ101" i="2"/>
  <c r="FR101" i="2"/>
  <c r="FS101" i="2"/>
  <c r="FT101" i="2"/>
  <c r="FU101" i="2"/>
  <c r="FV101" i="2"/>
  <c r="FW101" i="2"/>
  <c r="FX101" i="2"/>
  <c r="FY101" i="2"/>
  <c r="FZ101" i="2"/>
  <c r="GA101" i="2"/>
  <c r="GB101" i="2"/>
  <c r="GC101" i="2"/>
  <c r="GD101" i="2"/>
  <c r="GE101" i="2"/>
  <c r="GF101" i="2"/>
  <c r="GG101" i="2"/>
  <c r="GH101" i="2"/>
  <c r="GI101" i="2"/>
  <c r="GJ101" i="2"/>
  <c r="GK101" i="2"/>
  <c r="GL101" i="2"/>
  <c r="GM101" i="2"/>
  <c r="GN101" i="2"/>
  <c r="GO101" i="2"/>
  <c r="GP101" i="2"/>
  <c r="GQ101" i="2"/>
  <c r="GR101" i="2"/>
  <c r="GS101" i="2"/>
  <c r="GT101" i="2"/>
  <c r="GU101" i="2"/>
  <c r="GV101" i="2"/>
  <c r="GW101" i="2"/>
  <c r="GX101" i="2"/>
  <c r="GY101" i="2"/>
  <c r="GZ101" i="2"/>
  <c r="HA101" i="2"/>
  <c r="HB101" i="2"/>
  <c r="HC101" i="2"/>
  <c r="HD101" i="2"/>
  <c r="HE101" i="2"/>
  <c r="HF101" i="2"/>
  <c r="HG101" i="2"/>
  <c r="HH101" i="2"/>
  <c r="HI101" i="2"/>
  <c r="HJ101" i="2"/>
  <c r="HK101" i="2"/>
  <c r="HL101" i="2"/>
  <c r="HM101" i="2"/>
  <c r="HN101" i="2"/>
  <c r="HO101" i="2"/>
  <c r="HP101" i="2"/>
  <c r="HU101" i="2"/>
  <c r="HV101" i="2"/>
  <c r="HW101" i="2"/>
  <c r="HX101" i="2"/>
  <c r="HY101" i="2"/>
  <c r="HZ101" i="2"/>
  <c r="IA101" i="2"/>
  <c r="IB101" i="2"/>
  <c r="IC101" i="2"/>
  <c r="ID101" i="2"/>
  <c r="IE101" i="2"/>
  <c r="IF101" i="2"/>
  <c r="IG101" i="2"/>
  <c r="FN102" i="2"/>
  <c r="FO102" i="2"/>
  <c r="FP102" i="2"/>
  <c r="FQ102" i="2"/>
  <c r="FR102" i="2"/>
  <c r="FS102" i="2"/>
  <c r="FT102" i="2"/>
  <c r="FU102" i="2"/>
  <c r="FV102" i="2"/>
  <c r="FW102" i="2"/>
  <c r="FX102" i="2"/>
  <c r="FY102" i="2"/>
  <c r="FZ102" i="2"/>
  <c r="GA102" i="2"/>
  <c r="GB102" i="2"/>
  <c r="GC102" i="2"/>
  <c r="GD102" i="2"/>
  <c r="GE102" i="2"/>
  <c r="GF102" i="2"/>
  <c r="GG102" i="2"/>
  <c r="GH102" i="2"/>
  <c r="GI102" i="2"/>
  <c r="GJ102" i="2"/>
  <c r="GK102" i="2"/>
  <c r="GL102" i="2"/>
  <c r="GM102" i="2"/>
  <c r="GN102" i="2"/>
  <c r="GO102" i="2"/>
  <c r="GP102" i="2"/>
  <c r="GQ102" i="2"/>
  <c r="GR102" i="2"/>
  <c r="GS102" i="2"/>
  <c r="GT102" i="2"/>
  <c r="GU102" i="2"/>
  <c r="GV102" i="2"/>
  <c r="GW102" i="2"/>
  <c r="GX102" i="2"/>
  <c r="GY102" i="2"/>
  <c r="GZ102" i="2"/>
  <c r="HA102" i="2"/>
  <c r="HB102" i="2"/>
  <c r="HC102" i="2"/>
  <c r="HD102" i="2"/>
  <c r="HE102" i="2"/>
  <c r="HF102" i="2"/>
  <c r="HG102" i="2"/>
  <c r="HH102" i="2"/>
  <c r="HI102" i="2"/>
  <c r="HJ102" i="2"/>
  <c r="HK102" i="2"/>
  <c r="HL102" i="2"/>
  <c r="HM102" i="2"/>
  <c r="HN102" i="2"/>
  <c r="HO102" i="2"/>
  <c r="HP102" i="2"/>
  <c r="HU102" i="2"/>
  <c r="HV102" i="2"/>
  <c r="HW102" i="2"/>
  <c r="HX102" i="2"/>
  <c r="HY102" i="2"/>
  <c r="HZ102" i="2"/>
  <c r="IA102" i="2"/>
  <c r="IB102" i="2"/>
  <c r="IC102" i="2"/>
  <c r="ID102" i="2"/>
  <c r="IE102" i="2"/>
  <c r="IF102" i="2"/>
  <c r="IG102" i="2"/>
  <c r="FN103" i="2"/>
  <c r="FO103" i="2"/>
  <c r="FP103" i="2"/>
  <c r="FQ103" i="2"/>
  <c r="FR103" i="2"/>
  <c r="FS103" i="2"/>
  <c r="FT103" i="2"/>
  <c r="FU103" i="2"/>
  <c r="FV103" i="2"/>
  <c r="FW103" i="2"/>
  <c r="FX103" i="2"/>
  <c r="FY103" i="2"/>
  <c r="FZ103" i="2"/>
  <c r="GA103" i="2"/>
  <c r="GB103" i="2"/>
  <c r="GC103" i="2"/>
  <c r="GD103" i="2"/>
  <c r="GE103" i="2"/>
  <c r="GF103" i="2"/>
  <c r="GG103" i="2"/>
  <c r="GH103" i="2"/>
  <c r="GI103" i="2"/>
  <c r="GJ103" i="2"/>
  <c r="GK103" i="2"/>
  <c r="GL103" i="2"/>
  <c r="GM103" i="2"/>
  <c r="GN103" i="2"/>
  <c r="GO103" i="2"/>
  <c r="GP103" i="2"/>
  <c r="GQ103" i="2"/>
  <c r="GR103" i="2"/>
  <c r="GS103" i="2"/>
  <c r="GT103" i="2"/>
  <c r="GU103" i="2"/>
  <c r="GV103" i="2"/>
  <c r="GW103" i="2"/>
  <c r="GX103" i="2"/>
  <c r="GY103" i="2"/>
  <c r="GZ103" i="2"/>
  <c r="HA103" i="2"/>
  <c r="HB103" i="2"/>
  <c r="HC103" i="2"/>
  <c r="HD103" i="2"/>
  <c r="HE103" i="2"/>
  <c r="HF103" i="2"/>
  <c r="HG103" i="2"/>
  <c r="HH103" i="2"/>
  <c r="HI103" i="2"/>
  <c r="HJ103" i="2"/>
  <c r="HK103" i="2"/>
  <c r="HL103" i="2"/>
  <c r="HM103" i="2"/>
  <c r="HN103" i="2"/>
  <c r="HO103" i="2"/>
  <c r="HP103" i="2"/>
  <c r="HU103" i="2"/>
  <c r="HV103" i="2"/>
  <c r="HW103" i="2"/>
  <c r="HX103" i="2"/>
  <c r="HY103" i="2"/>
  <c r="HZ103" i="2"/>
  <c r="IA103" i="2"/>
  <c r="IB103" i="2"/>
  <c r="IC103" i="2"/>
  <c r="ID103" i="2"/>
  <c r="IE103" i="2"/>
  <c r="IF103" i="2"/>
  <c r="IG103" i="2"/>
  <c r="FN104" i="2"/>
  <c r="FO104" i="2"/>
  <c r="FP104" i="2"/>
  <c r="FQ104" i="2"/>
  <c r="FR104" i="2"/>
  <c r="FS104" i="2"/>
  <c r="FT104" i="2"/>
  <c r="FU104" i="2"/>
  <c r="FV104" i="2"/>
  <c r="FW104" i="2"/>
  <c r="FX104" i="2"/>
  <c r="FY104" i="2"/>
  <c r="FZ104" i="2"/>
  <c r="GA104" i="2"/>
  <c r="GB104" i="2"/>
  <c r="GC104" i="2"/>
  <c r="GD104" i="2"/>
  <c r="GE104" i="2"/>
  <c r="GF104" i="2"/>
  <c r="GG104" i="2"/>
  <c r="GH104" i="2"/>
  <c r="GI104" i="2"/>
  <c r="GJ104" i="2"/>
  <c r="GK104" i="2"/>
  <c r="GL104" i="2"/>
  <c r="GM104" i="2"/>
  <c r="GN104" i="2"/>
  <c r="GO104" i="2"/>
  <c r="GP104" i="2"/>
  <c r="GQ104" i="2"/>
  <c r="GR104" i="2"/>
  <c r="GS104" i="2"/>
  <c r="GT104" i="2"/>
  <c r="GU104" i="2"/>
  <c r="GV104" i="2"/>
  <c r="GW104" i="2"/>
  <c r="GX104" i="2"/>
  <c r="GY104" i="2"/>
  <c r="GZ104" i="2"/>
  <c r="HA104" i="2"/>
  <c r="HB104" i="2"/>
  <c r="HC104" i="2"/>
  <c r="HD104" i="2"/>
  <c r="HE104" i="2"/>
  <c r="HF104" i="2"/>
  <c r="HG104" i="2"/>
  <c r="HH104" i="2"/>
  <c r="HI104" i="2"/>
  <c r="HJ104" i="2"/>
  <c r="HK104" i="2"/>
  <c r="HL104" i="2"/>
  <c r="HM104" i="2"/>
  <c r="HN104" i="2"/>
  <c r="HO104" i="2"/>
  <c r="HP104" i="2"/>
  <c r="HU104" i="2"/>
  <c r="HV104" i="2"/>
  <c r="HW104" i="2"/>
  <c r="HX104" i="2"/>
  <c r="HY104" i="2"/>
  <c r="HZ104" i="2"/>
  <c r="IA104" i="2"/>
  <c r="IB104" i="2"/>
  <c r="IC104" i="2"/>
  <c r="ID104" i="2"/>
  <c r="IE104" i="2"/>
  <c r="IF104" i="2"/>
  <c r="IG104" i="2"/>
  <c r="FN105" i="2"/>
  <c r="FO105" i="2"/>
  <c r="FP105" i="2"/>
  <c r="FQ105" i="2"/>
  <c r="FR105" i="2"/>
  <c r="FS105" i="2"/>
  <c r="FT105" i="2"/>
  <c r="FU105" i="2"/>
  <c r="FV105" i="2"/>
  <c r="FW105" i="2"/>
  <c r="FX105" i="2"/>
  <c r="FY105" i="2"/>
  <c r="FZ105" i="2"/>
  <c r="GA105" i="2"/>
  <c r="GB105" i="2"/>
  <c r="GC105" i="2"/>
  <c r="GD105" i="2"/>
  <c r="GE105" i="2"/>
  <c r="GF105" i="2"/>
  <c r="GG105" i="2"/>
  <c r="GH105" i="2"/>
  <c r="GI105" i="2"/>
  <c r="GJ105" i="2"/>
  <c r="GK105" i="2"/>
  <c r="GL105" i="2"/>
  <c r="GM105" i="2"/>
  <c r="GN105" i="2"/>
  <c r="GO105" i="2"/>
  <c r="GP105" i="2"/>
  <c r="GQ105" i="2"/>
  <c r="GR105" i="2"/>
  <c r="GS105" i="2"/>
  <c r="GT105" i="2"/>
  <c r="GU105" i="2"/>
  <c r="GV105" i="2"/>
  <c r="GW105" i="2"/>
  <c r="GX105" i="2"/>
  <c r="GY105" i="2"/>
  <c r="GZ105" i="2"/>
  <c r="HA105" i="2"/>
  <c r="HB105" i="2"/>
  <c r="HC105" i="2"/>
  <c r="HD105" i="2"/>
  <c r="HE105" i="2"/>
  <c r="HF105" i="2"/>
  <c r="HG105" i="2"/>
  <c r="HH105" i="2"/>
  <c r="HI105" i="2"/>
  <c r="HJ105" i="2"/>
  <c r="HK105" i="2"/>
  <c r="HL105" i="2"/>
  <c r="HM105" i="2"/>
  <c r="HN105" i="2"/>
  <c r="HO105" i="2"/>
  <c r="HP105" i="2"/>
  <c r="HU105" i="2"/>
  <c r="HV105" i="2"/>
  <c r="HW105" i="2"/>
  <c r="HX105" i="2"/>
  <c r="HY105" i="2"/>
  <c r="HZ105" i="2"/>
  <c r="IA105" i="2"/>
  <c r="IB105" i="2"/>
  <c r="IC105" i="2"/>
  <c r="ID105" i="2"/>
  <c r="IE105" i="2"/>
  <c r="IF105" i="2"/>
  <c r="IG105" i="2"/>
  <c r="FN106" i="2"/>
  <c r="FO106" i="2"/>
  <c r="FP106" i="2"/>
  <c r="FQ106" i="2"/>
  <c r="FR106" i="2"/>
  <c r="FS106" i="2"/>
  <c r="FT106" i="2"/>
  <c r="FU106" i="2"/>
  <c r="FV106" i="2"/>
  <c r="FW106" i="2"/>
  <c r="FX106" i="2"/>
  <c r="FY106" i="2"/>
  <c r="FZ106" i="2"/>
  <c r="GA106" i="2"/>
  <c r="GB106" i="2"/>
  <c r="GC106" i="2"/>
  <c r="GD106" i="2"/>
  <c r="GE106" i="2"/>
  <c r="GF106" i="2"/>
  <c r="GG106" i="2"/>
  <c r="GH106" i="2"/>
  <c r="GI106" i="2"/>
  <c r="GJ106" i="2"/>
  <c r="GK106" i="2"/>
  <c r="GL106" i="2"/>
  <c r="GM106" i="2"/>
  <c r="GN106" i="2"/>
  <c r="GO106" i="2"/>
  <c r="GP106" i="2"/>
  <c r="GQ106" i="2"/>
  <c r="GR106" i="2"/>
  <c r="GS106" i="2"/>
  <c r="GT106" i="2"/>
  <c r="GU106" i="2"/>
  <c r="GV106" i="2"/>
  <c r="GW106" i="2"/>
  <c r="GX106" i="2"/>
  <c r="GY106" i="2"/>
  <c r="GZ106" i="2"/>
  <c r="HA106" i="2"/>
  <c r="HB106" i="2"/>
  <c r="HC106" i="2"/>
  <c r="HD106" i="2"/>
  <c r="HE106" i="2"/>
  <c r="HF106" i="2"/>
  <c r="HG106" i="2"/>
  <c r="HH106" i="2"/>
  <c r="HI106" i="2"/>
  <c r="HJ106" i="2"/>
  <c r="HK106" i="2"/>
  <c r="HL106" i="2"/>
  <c r="HM106" i="2"/>
  <c r="HN106" i="2"/>
  <c r="HO106" i="2"/>
  <c r="HP106" i="2"/>
  <c r="HU106" i="2"/>
  <c r="HV106" i="2"/>
  <c r="HW106" i="2"/>
  <c r="HX106" i="2"/>
  <c r="HY106" i="2"/>
  <c r="HZ106" i="2"/>
  <c r="IA106" i="2"/>
  <c r="IB106" i="2"/>
  <c r="IC106" i="2"/>
  <c r="ID106" i="2"/>
  <c r="IE106" i="2"/>
  <c r="IF106" i="2"/>
  <c r="IG106" i="2"/>
  <c r="FN107" i="2"/>
  <c r="FO107" i="2"/>
  <c r="FP107" i="2"/>
  <c r="FQ107" i="2"/>
  <c r="FR107" i="2"/>
  <c r="FS107" i="2"/>
  <c r="FT107" i="2"/>
  <c r="FU107" i="2"/>
  <c r="FV107" i="2"/>
  <c r="FW107" i="2"/>
  <c r="FX107" i="2"/>
  <c r="FY107" i="2"/>
  <c r="FZ107" i="2"/>
  <c r="GA107" i="2"/>
  <c r="GB107" i="2"/>
  <c r="GC107" i="2"/>
  <c r="GD107" i="2"/>
  <c r="GE107" i="2"/>
  <c r="GF107" i="2"/>
  <c r="GG107" i="2"/>
  <c r="GH107" i="2"/>
  <c r="GI107" i="2"/>
  <c r="GJ107" i="2"/>
  <c r="GK107" i="2"/>
  <c r="GL107" i="2"/>
  <c r="GM107" i="2"/>
  <c r="GN107" i="2"/>
  <c r="GO107" i="2"/>
  <c r="GP107" i="2"/>
  <c r="GQ107" i="2"/>
  <c r="GR107" i="2"/>
  <c r="GS107" i="2"/>
  <c r="GT107" i="2"/>
  <c r="GU107" i="2"/>
  <c r="GV107" i="2"/>
  <c r="GW107" i="2"/>
  <c r="GX107" i="2"/>
  <c r="GY107" i="2"/>
  <c r="GZ107" i="2"/>
  <c r="HA107" i="2"/>
  <c r="HB107" i="2"/>
  <c r="HC107" i="2"/>
  <c r="HD107" i="2"/>
  <c r="HE107" i="2"/>
  <c r="HF107" i="2"/>
  <c r="HG107" i="2"/>
  <c r="HH107" i="2"/>
  <c r="HI107" i="2"/>
  <c r="HJ107" i="2"/>
  <c r="HK107" i="2"/>
  <c r="HL107" i="2"/>
  <c r="HM107" i="2"/>
  <c r="HN107" i="2"/>
  <c r="HO107" i="2"/>
  <c r="HP107" i="2"/>
  <c r="HU107" i="2"/>
  <c r="HV107" i="2"/>
  <c r="HW107" i="2"/>
  <c r="HX107" i="2"/>
  <c r="HY107" i="2"/>
  <c r="HZ107" i="2"/>
  <c r="IA107" i="2"/>
  <c r="IB107" i="2"/>
  <c r="IC107" i="2"/>
  <c r="ID107" i="2"/>
  <c r="IE107" i="2"/>
  <c r="IF107" i="2"/>
  <c r="IG107" i="2"/>
  <c r="FN108" i="2"/>
  <c r="FO108" i="2"/>
  <c r="FP108" i="2"/>
  <c r="FQ108" i="2"/>
  <c r="FR108" i="2"/>
  <c r="FS108" i="2"/>
  <c r="FT108" i="2"/>
  <c r="FU108" i="2"/>
  <c r="FV108" i="2"/>
  <c r="FW108" i="2"/>
  <c r="FX108" i="2"/>
  <c r="FY108" i="2"/>
  <c r="FZ108" i="2"/>
  <c r="GA108" i="2"/>
  <c r="GB108" i="2"/>
  <c r="GC108" i="2"/>
  <c r="GD108" i="2"/>
  <c r="GE108" i="2"/>
  <c r="GF108" i="2"/>
  <c r="GG108" i="2"/>
  <c r="GH108" i="2"/>
  <c r="GI108" i="2"/>
  <c r="GJ108" i="2"/>
  <c r="GK108" i="2"/>
  <c r="GL108" i="2"/>
  <c r="GM108" i="2"/>
  <c r="GN108" i="2"/>
  <c r="GO108" i="2"/>
  <c r="GP108" i="2"/>
  <c r="GQ108" i="2"/>
  <c r="GR108" i="2"/>
  <c r="GS108" i="2"/>
  <c r="GT108" i="2"/>
  <c r="GU108" i="2"/>
  <c r="GV108" i="2"/>
  <c r="GW108" i="2"/>
  <c r="GX108" i="2"/>
  <c r="GY108" i="2"/>
  <c r="GZ108" i="2"/>
  <c r="HA108" i="2"/>
  <c r="HB108" i="2"/>
  <c r="HC108" i="2"/>
  <c r="HD108" i="2"/>
  <c r="HE108" i="2"/>
  <c r="HF108" i="2"/>
  <c r="HG108" i="2"/>
  <c r="HH108" i="2"/>
  <c r="HI108" i="2"/>
  <c r="HJ108" i="2"/>
  <c r="HK108" i="2"/>
  <c r="HL108" i="2"/>
  <c r="HM108" i="2"/>
  <c r="HN108" i="2"/>
  <c r="HO108" i="2"/>
  <c r="HP108" i="2"/>
  <c r="HU108" i="2"/>
  <c r="HV108" i="2"/>
  <c r="HW108" i="2"/>
  <c r="HX108" i="2"/>
  <c r="HY108" i="2"/>
  <c r="HZ108" i="2"/>
  <c r="IA108" i="2"/>
  <c r="IB108" i="2"/>
  <c r="IC108" i="2"/>
  <c r="ID108" i="2"/>
  <c r="IE108" i="2"/>
  <c r="IF108" i="2"/>
  <c r="IG108" i="2"/>
  <c r="FN109" i="2"/>
  <c r="FO109" i="2"/>
  <c r="FP109" i="2"/>
  <c r="FQ109" i="2"/>
  <c r="FR109" i="2"/>
  <c r="FS109" i="2"/>
  <c r="FT109" i="2"/>
  <c r="FU109" i="2"/>
  <c r="FV109" i="2"/>
  <c r="FW109" i="2"/>
  <c r="FX109" i="2"/>
  <c r="FY109" i="2"/>
  <c r="FZ109" i="2"/>
  <c r="GA109" i="2"/>
  <c r="GB109" i="2"/>
  <c r="GC109" i="2"/>
  <c r="GD109" i="2"/>
  <c r="GE109" i="2"/>
  <c r="GF109" i="2"/>
  <c r="GG109" i="2"/>
  <c r="GH109" i="2"/>
  <c r="GI109" i="2"/>
  <c r="GJ109" i="2"/>
  <c r="GK109" i="2"/>
  <c r="GL109" i="2"/>
  <c r="GM109" i="2"/>
  <c r="GN109" i="2"/>
  <c r="GO109" i="2"/>
  <c r="GP109" i="2"/>
  <c r="GQ109" i="2"/>
  <c r="GR109" i="2"/>
  <c r="GS109" i="2"/>
  <c r="GT109" i="2"/>
  <c r="GU109" i="2"/>
  <c r="GV109" i="2"/>
  <c r="GW109" i="2"/>
  <c r="GX109" i="2"/>
  <c r="GY109" i="2"/>
  <c r="GZ109" i="2"/>
  <c r="HA109" i="2"/>
  <c r="HB109" i="2"/>
  <c r="HC109" i="2"/>
  <c r="HD109" i="2"/>
  <c r="HE109" i="2"/>
  <c r="HF109" i="2"/>
  <c r="HG109" i="2"/>
  <c r="HH109" i="2"/>
  <c r="HI109" i="2"/>
  <c r="HJ109" i="2"/>
  <c r="HK109" i="2"/>
  <c r="HL109" i="2"/>
  <c r="HM109" i="2"/>
  <c r="HN109" i="2"/>
  <c r="HO109" i="2"/>
  <c r="HP109" i="2"/>
  <c r="HU109" i="2"/>
  <c r="HV109" i="2"/>
  <c r="HW109" i="2"/>
  <c r="HX109" i="2"/>
  <c r="HY109" i="2"/>
  <c r="HZ109" i="2"/>
  <c r="IA109" i="2"/>
  <c r="IB109" i="2"/>
  <c r="IC109" i="2"/>
  <c r="ID109" i="2"/>
  <c r="IE109" i="2"/>
  <c r="IF109" i="2"/>
  <c r="IG109" i="2"/>
  <c r="FN110" i="2"/>
  <c r="FO110" i="2"/>
  <c r="FP110" i="2"/>
  <c r="FQ110" i="2"/>
  <c r="FR110" i="2"/>
  <c r="FS110" i="2"/>
  <c r="FT110" i="2"/>
  <c r="FU110" i="2"/>
  <c r="FV110" i="2"/>
  <c r="FW110" i="2"/>
  <c r="FX110" i="2"/>
  <c r="FY110" i="2"/>
  <c r="FZ110" i="2"/>
  <c r="GA110" i="2"/>
  <c r="GB110" i="2"/>
  <c r="GC110" i="2"/>
  <c r="GD110" i="2"/>
  <c r="GE110" i="2"/>
  <c r="GF110" i="2"/>
  <c r="GG110" i="2"/>
  <c r="GH110" i="2"/>
  <c r="GI110" i="2"/>
  <c r="GJ110" i="2"/>
  <c r="GK110" i="2"/>
  <c r="GL110" i="2"/>
  <c r="GM110" i="2"/>
  <c r="GN110" i="2"/>
  <c r="GO110" i="2"/>
  <c r="GP110" i="2"/>
  <c r="GQ110" i="2"/>
  <c r="GR110" i="2"/>
  <c r="GS110" i="2"/>
  <c r="GT110" i="2"/>
  <c r="GU110" i="2"/>
  <c r="GV110" i="2"/>
  <c r="GW110" i="2"/>
  <c r="GX110" i="2"/>
  <c r="GY110" i="2"/>
  <c r="GZ110" i="2"/>
  <c r="HA110" i="2"/>
  <c r="HB110" i="2"/>
  <c r="HC110" i="2"/>
  <c r="HD110" i="2"/>
  <c r="HE110" i="2"/>
  <c r="HF110" i="2"/>
  <c r="HG110" i="2"/>
  <c r="HH110" i="2"/>
  <c r="HI110" i="2"/>
  <c r="HJ110" i="2"/>
  <c r="HK110" i="2"/>
  <c r="HL110" i="2"/>
  <c r="HM110" i="2"/>
  <c r="HN110" i="2"/>
  <c r="HO110" i="2"/>
  <c r="HP110" i="2"/>
  <c r="HU110" i="2"/>
  <c r="HV110" i="2"/>
  <c r="HW110" i="2"/>
  <c r="HX110" i="2"/>
  <c r="HY110" i="2"/>
  <c r="HZ110" i="2"/>
  <c r="IA110" i="2"/>
  <c r="IB110" i="2"/>
  <c r="IC110" i="2"/>
  <c r="ID110" i="2"/>
  <c r="IE110" i="2"/>
  <c r="IF110" i="2"/>
  <c r="IG110" i="2"/>
  <c r="HU112" i="2"/>
  <c r="HV112" i="2"/>
  <c r="HW112" i="2"/>
  <c r="HX112" i="2"/>
  <c r="HY112" i="2"/>
  <c r="HZ112" i="2"/>
  <c r="IA112" i="2"/>
  <c r="IB112" i="2"/>
  <c r="IC112" i="2"/>
  <c r="ID112" i="2"/>
  <c r="IE112" i="2"/>
  <c r="IF112" i="2"/>
  <c r="IG112" i="2"/>
  <c r="HU113" i="2"/>
  <c r="HV113" i="2"/>
  <c r="HW113" i="2"/>
  <c r="HX113" i="2"/>
  <c r="HY113" i="2"/>
  <c r="HZ113" i="2"/>
  <c r="IA113" i="2"/>
  <c r="IB113" i="2"/>
  <c r="IC113" i="2"/>
  <c r="ID113" i="2"/>
  <c r="IE113" i="2"/>
  <c r="IF113" i="2"/>
  <c r="IG113" i="2"/>
  <c r="HU114" i="2"/>
  <c r="HV114" i="2"/>
  <c r="HW114" i="2"/>
  <c r="HX114" i="2"/>
  <c r="HY114" i="2"/>
  <c r="HZ114" i="2"/>
  <c r="IA114" i="2"/>
  <c r="IB114" i="2"/>
  <c r="IC114" i="2"/>
  <c r="ID114" i="2"/>
  <c r="IE114" i="2"/>
  <c r="IF114" i="2"/>
  <c r="IG114" i="2"/>
  <c r="FN115" i="2"/>
  <c r="FO115" i="2"/>
  <c r="FP115" i="2"/>
  <c r="FQ115" i="2"/>
  <c r="FR115" i="2"/>
  <c r="FS115" i="2"/>
  <c r="FT115" i="2"/>
  <c r="FU115" i="2"/>
  <c r="FV115" i="2"/>
  <c r="FW115" i="2"/>
  <c r="FX115" i="2"/>
  <c r="FY115" i="2"/>
  <c r="FZ115" i="2"/>
  <c r="GA115" i="2"/>
  <c r="GB115" i="2"/>
  <c r="GC115" i="2"/>
  <c r="GD115" i="2"/>
  <c r="GE115" i="2"/>
  <c r="GF115" i="2"/>
  <c r="GG115" i="2"/>
  <c r="GH115" i="2"/>
  <c r="GI115" i="2"/>
  <c r="GJ115" i="2"/>
  <c r="GK115" i="2"/>
  <c r="GL115" i="2"/>
  <c r="GM115" i="2"/>
  <c r="GN115" i="2"/>
  <c r="GO115" i="2"/>
  <c r="GP115" i="2"/>
  <c r="GQ115" i="2"/>
  <c r="GR115" i="2"/>
  <c r="GS115" i="2"/>
  <c r="GT115" i="2"/>
  <c r="GU115" i="2"/>
  <c r="GV115" i="2"/>
  <c r="GW115" i="2"/>
  <c r="GX115" i="2"/>
  <c r="GY115" i="2"/>
  <c r="GZ115" i="2"/>
  <c r="HA115" i="2"/>
  <c r="HB115" i="2"/>
  <c r="HC115" i="2"/>
  <c r="HD115" i="2"/>
  <c r="HE115" i="2"/>
  <c r="HF115" i="2"/>
  <c r="HG115" i="2"/>
  <c r="HH115" i="2"/>
  <c r="HI115" i="2"/>
  <c r="HJ115" i="2"/>
  <c r="HK115" i="2"/>
  <c r="HL115" i="2"/>
  <c r="HM115" i="2"/>
  <c r="HN115" i="2"/>
  <c r="HO115" i="2"/>
  <c r="HP115" i="2"/>
  <c r="HU115" i="2"/>
  <c r="HV115" i="2"/>
  <c r="HW115" i="2"/>
  <c r="HX115" i="2"/>
  <c r="HY115" i="2"/>
  <c r="HZ115" i="2"/>
  <c r="IA115" i="2"/>
  <c r="IB115" i="2"/>
  <c r="IC115" i="2"/>
  <c r="ID115" i="2"/>
  <c r="IE115" i="2"/>
  <c r="IF115" i="2"/>
  <c r="IG115" i="2"/>
  <c r="FN116" i="2"/>
  <c r="FO116" i="2"/>
  <c r="FP116" i="2"/>
  <c r="FQ116" i="2"/>
  <c r="FR116" i="2"/>
  <c r="FS116" i="2"/>
  <c r="FT116" i="2"/>
  <c r="FU116" i="2"/>
  <c r="FV116" i="2"/>
  <c r="FW116" i="2"/>
  <c r="FX116" i="2"/>
  <c r="FY116" i="2"/>
  <c r="FZ116" i="2"/>
  <c r="GA116" i="2"/>
  <c r="GB116" i="2"/>
  <c r="GC116" i="2"/>
  <c r="GD116" i="2"/>
  <c r="GE116" i="2"/>
  <c r="GF116" i="2"/>
  <c r="GG116" i="2"/>
  <c r="GH116" i="2"/>
  <c r="GI116" i="2"/>
  <c r="GJ116" i="2"/>
  <c r="GK116" i="2"/>
  <c r="GL116" i="2"/>
  <c r="GM116" i="2"/>
  <c r="GN116" i="2"/>
  <c r="GO116" i="2"/>
  <c r="GP116" i="2"/>
  <c r="GQ116" i="2"/>
  <c r="GR116" i="2"/>
  <c r="GS116" i="2"/>
  <c r="GT116" i="2"/>
  <c r="GU116" i="2"/>
  <c r="GV116" i="2"/>
  <c r="GW116" i="2"/>
  <c r="GX116" i="2"/>
  <c r="GY116" i="2"/>
  <c r="GZ116" i="2"/>
  <c r="HA116" i="2"/>
  <c r="HB116" i="2"/>
  <c r="HC116" i="2"/>
  <c r="HD116" i="2"/>
  <c r="HE116" i="2"/>
  <c r="HF116" i="2"/>
  <c r="HG116" i="2"/>
  <c r="HH116" i="2"/>
  <c r="HI116" i="2"/>
  <c r="HJ116" i="2"/>
  <c r="HK116" i="2"/>
  <c r="HL116" i="2"/>
  <c r="HM116" i="2"/>
  <c r="HN116" i="2"/>
  <c r="HO116" i="2"/>
  <c r="HP116" i="2"/>
  <c r="HU116" i="2"/>
  <c r="HV116" i="2"/>
  <c r="HW116" i="2"/>
  <c r="HX116" i="2"/>
  <c r="HY116" i="2"/>
  <c r="HZ116" i="2"/>
  <c r="IA116" i="2"/>
  <c r="IB116" i="2"/>
  <c r="IC116" i="2"/>
  <c r="ID116" i="2"/>
  <c r="IE116" i="2"/>
  <c r="IF116" i="2"/>
  <c r="IG116" i="2"/>
  <c r="FN117" i="2"/>
  <c r="FO117" i="2"/>
  <c r="FP117" i="2"/>
  <c r="FQ117" i="2"/>
  <c r="FR117" i="2"/>
  <c r="FS117" i="2"/>
  <c r="FT117" i="2"/>
  <c r="FU117" i="2"/>
  <c r="FV117" i="2"/>
  <c r="FW117" i="2"/>
  <c r="FX117" i="2"/>
  <c r="FY117" i="2"/>
  <c r="FZ117" i="2"/>
  <c r="GA117" i="2"/>
  <c r="GB117" i="2"/>
  <c r="GC117" i="2"/>
  <c r="GD117" i="2"/>
  <c r="GE117" i="2"/>
  <c r="GF117" i="2"/>
  <c r="GG117" i="2"/>
  <c r="GH117" i="2"/>
  <c r="GI117" i="2"/>
  <c r="GJ117" i="2"/>
  <c r="GK117" i="2"/>
  <c r="GL117" i="2"/>
  <c r="GM117" i="2"/>
  <c r="GN117" i="2"/>
  <c r="GO117" i="2"/>
  <c r="GP117" i="2"/>
  <c r="GQ117" i="2"/>
  <c r="GR117" i="2"/>
  <c r="GS117" i="2"/>
  <c r="GT117" i="2"/>
  <c r="GU117" i="2"/>
  <c r="GV117" i="2"/>
  <c r="GW117" i="2"/>
  <c r="GX117" i="2"/>
  <c r="GY117" i="2"/>
  <c r="GZ117" i="2"/>
  <c r="HA117" i="2"/>
  <c r="HB117" i="2"/>
  <c r="HC117" i="2"/>
  <c r="HD117" i="2"/>
  <c r="HE117" i="2"/>
  <c r="HF117" i="2"/>
  <c r="HG117" i="2"/>
  <c r="HH117" i="2"/>
  <c r="HI117" i="2"/>
  <c r="HJ117" i="2"/>
  <c r="HK117" i="2"/>
  <c r="HL117" i="2"/>
  <c r="HM117" i="2"/>
  <c r="HN117" i="2"/>
  <c r="HO117" i="2"/>
  <c r="HP117" i="2"/>
  <c r="HU117" i="2"/>
  <c r="HV117" i="2"/>
  <c r="HW117" i="2"/>
  <c r="HX117" i="2"/>
  <c r="HY117" i="2"/>
  <c r="HZ117" i="2"/>
  <c r="IA117" i="2"/>
  <c r="IB117" i="2"/>
  <c r="IC117" i="2"/>
  <c r="ID117" i="2"/>
  <c r="IE117" i="2"/>
  <c r="IF117" i="2"/>
  <c r="IG117" i="2"/>
  <c r="FN118" i="2"/>
  <c r="FO118" i="2"/>
  <c r="FP118" i="2"/>
  <c r="FQ118" i="2"/>
  <c r="FR118" i="2"/>
  <c r="FS118" i="2"/>
  <c r="FT118" i="2"/>
  <c r="FU118" i="2"/>
  <c r="FV118" i="2"/>
  <c r="FW118" i="2"/>
  <c r="FY118" i="2"/>
  <c r="FZ118" i="2"/>
  <c r="GA118" i="2"/>
  <c r="GB118" i="2"/>
  <c r="GC118" i="2"/>
  <c r="GD118" i="2"/>
  <c r="GE118" i="2"/>
  <c r="GF118" i="2"/>
  <c r="GG118" i="2"/>
  <c r="GH118" i="2"/>
  <c r="GI118" i="2"/>
  <c r="GJ118" i="2"/>
  <c r="GK118" i="2"/>
  <c r="GL118" i="2"/>
  <c r="GM118" i="2"/>
  <c r="GN118" i="2"/>
  <c r="GO118" i="2"/>
  <c r="GP118" i="2"/>
  <c r="GQ118" i="2"/>
  <c r="GR118" i="2"/>
  <c r="GS118" i="2"/>
  <c r="GT118" i="2"/>
  <c r="GU118" i="2"/>
  <c r="GV118" i="2"/>
  <c r="GW118" i="2"/>
  <c r="GX118" i="2"/>
  <c r="GY118" i="2"/>
  <c r="GZ118" i="2"/>
  <c r="HA118" i="2"/>
  <c r="HB118" i="2"/>
  <c r="HC118" i="2"/>
  <c r="HD118" i="2"/>
  <c r="HE118" i="2"/>
  <c r="HF118" i="2"/>
  <c r="HG118" i="2"/>
  <c r="HH118" i="2"/>
  <c r="HI118" i="2"/>
  <c r="HJ118" i="2"/>
  <c r="HK118" i="2"/>
  <c r="HL118" i="2"/>
  <c r="HM118" i="2"/>
  <c r="HN118" i="2"/>
  <c r="HO118" i="2"/>
  <c r="HP118" i="2"/>
  <c r="HU118" i="2"/>
  <c r="HV118" i="2"/>
  <c r="HX118" i="2"/>
  <c r="HY118" i="2"/>
  <c r="HZ118" i="2"/>
  <c r="IA118" i="2"/>
  <c r="IB118" i="2"/>
  <c r="IC118" i="2"/>
  <c r="ID118" i="2"/>
  <c r="IE118" i="2"/>
  <c r="IF118" i="2"/>
  <c r="IG118" i="2"/>
  <c r="FN119" i="2"/>
  <c r="FO119" i="2"/>
  <c r="FP119" i="2"/>
  <c r="FQ119" i="2"/>
  <c r="FR119" i="2"/>
  <c r="FS119" i="2"/>
  <c r="FT119" i="2"/>
  <c r="FU119" i="2"/>
  <c r="FV119" i="2"/>
  <c r="FW119" i="2"/>
  <c r="FX119" i="2"/>
  <c r="FY119" i="2"/>
  <c r="FZ119" i="2"/>
  <c r="GA119" i="2"/>
  <c r="GB119" i="2"/>
  <c r="GC119" i="2"/>
  <c r="GD119" i="2"/>
  <c r="GE119" i="2"/>
  <c r="GF119" i="2"/>
  <c r="GG119" i="2"/>
  <c r="GH119" i="2"/>
  <c r="GI119" i="2"/>
  <c r="GJ119" i="2"/>
  <c r="GK119" i="2"/>
  <c r="GL119" i="2"/>
  <c r="GM119" i="2"/>
  <c r="GN119" i="2"/>
  <c r="GO119" i="2"/>
  <c r="GP119" i="2"/>
  <c r="GQ119" i="2"/>
  <c r="GR119" i="2"/>
  <c r="GS119" i="2"/>
  <c r="GT119" i="2"/>
  <c r="GU119" i="2"/>
  <c r="GV119" i="2"/>
  <c r="GW119" i="2"/>
  <c r="GX119" i="2"/>
  <c r="GY119" i="2"/>
  <c r="GZ119" i="2"/>
  <c r="HA119" i="2"/>
  <c r="HB119" i="2"/>
  <c r="HC119" i="2"/>
  <c r="HD119" i="2"/>
  <c r="HE119" i="2"/>
  <c r="HF119" i="2"/>
  <c r="HG119" i="2"/>
  <c r="HH119" i="2"/>
  <c r="HI119" i="2"/>
  <c r="HJ119" i="2"/>
  <c r="HK119" i="2"/>
  <c r="HL119" i="2"/>
  <c r="HM119" i="2"/>
  <c r="HN119" i="2"/>
  <c r="HO119" i="2"/>
  <c r="HP119" i="2"/>
  <c r="HU119" i="2"/>
  <c r="HV119" i="2"/>
  <c r="HW119" i="2"/>
  <c r="HX119" i="2"/>
  <c r="HY119" i="2"/>
  <c r="HZ119" i="2"/>
  <c r="IA119" i="2"/>
  <c r="IB119" i="2"/>
  <c r="IC119" i="2"/>
  <c r="ID119" i="2"/>
  <c r="IE119" i="2"/>
  <c r="IF119" i="2"/>
  <c r="IG119" i="2"/>
  <c r="FN120" i="2"/>
  <c r="FO120" i="2"/>
  <c r="FP120" i="2"/>
  <c r="FQ120" i="2"/>
  <c r="FR120" i="2"/>
  <c r="FS120" i="2"/>
  <c r="FT120" i="2"/>
  <c r="FU120" i="2"/>
  <c r="FV120" i="2"/>
  <c r="FW120" i="2"/>
  <c r="FX120" i="2"/>
  <c r="FY120" i="2"/>
  <c r="FZ120" i="2"/>
  <c r="GA120" i="2"/>
  <c r="GB120" i="2"/>
  <c r="GC120" i="2"/>
  <c r="GD120" i="2"/>
  <c r="GE120" i="2"/>
  <c r="GF120" i="2"/>
  <c r="GG120" i="2"/>
  <c r="GH120" i="2"/>
  <c r="GI120" i="2"/>
  <c r="GJ120" i="2"/>
  <c r="GK120" i="2"/>
  <c r="GL120" i="2"/>
  <c r="GM120" i="2"/>
  <c r="GN120" i="2"/>
  <c r="GO120" i="2"/>
  <c r="GP120" i="2"/>
  <c r="GQ120" i="2"/>
  <c r="GR120" i="2"/>
  <c r="GS120" i="2"/>
  <c r="GT120" i="2"/>
  <c r="GU120" i="2"/>
  <c r="GV120" i="2"/>
  <c r="GW120" i="2"/>
  <c r="GX120" i="2"/>
  <c r="GY120" i="2"/>
  <c r="GZ120" i="2"/>
  <c r="HA120" i="2"/>
  <c r="HB120" i="2"/>
  <c r="HC120" i="2"/>
  <c r="HD120" i="2"/>
  <c r="HE120" i="2"/>
  <c r="HF120" i="2"/>
  <c r="HG120" i="2"/>
  <c r="HH120" i="2"/>
  <c r="HI120" i="2"/>
  <c r="HJ120" i="2"/>
  <c r="HK120" i="2"/>
  <c r="HL120" i="2"/>
  <c r="HM120" i="2"/>
  <c r="HN120" i="2"/>
  <c r="HO120" i="2"/>
  <c r="HP120" i="2"/>
  <c r="HU120" i="2"/>
  <c r="HV120" i="2"/>
  <c r="HW120" i="2"/>
  <c r="HX120" i="2"/>
  <c r="HY120" i="2"/>
  <c r="HZ120" i="2"/>
  <c r="IA120" i="2"/>
  <c r="IB120" i="2"/>
  <c r="IC120" i="2"/>
  <c r="ID120" i="2"/>
  <c r="IE120" i="2"/>
  <c r="IF120" i="2"/>
  <c r="IG120" i="2"/>
  <c r="FN121" i="2"/>
  <c r="FO121" i="2"/>
  <c r="FP121" i="2"/>
  <c r="FQ121" i="2"/>
  <c r="FR121" i="2"/>
  <c r="FS121" i="2"/>
  <c r="FT121" i="2"/>
  <c r="FU121" i="2"/>
  <c r="FV121" i="2"/>
  <c r="FW121" i="2"/>
  <c r="FX121" i="2"/>
  <c r="FY121" i="2"/>
  <c r="FZ121" i="2"/>
  <c r="GA121" i="2"/>
  <c r="GB121" i="2"/>
  <c r="GC121" i="2"/>
  <c r="GD121" i="2"/>
  <c r="GE121" i="2"/>
  <c r="GF121" i="2"/>
  <c r="GG121" i="2"/>
  <c r="GH121" i="2"/>
  <c r="GI121" i="2"/>
  <c r="GJ121" i="2"/>
  <c r="GK121" i="2"/>
  <c r="GL121" i="2"/>
  <c r="GM121" i="2"/>
  <c r="GN121" i="2"/>
  <c r="GO121" i="2"/>
  <c r="GP121" i="2"/>
  <c r="GQ121" i="2"/>
  <c r="GR121" i="2"/>
  <c r="GS121" i="2"/>
  <c r="GT121" i="2"/>
  <c r="GU121" i="2"/>
  <c r="GV121" i="2"/>
  <c r="GW121" i="2"/>
  <c r="GX121" i="2"/>
  <c r="GY121" i="2"/>
  <c r="GZ121" i="2"/>
  <c r="HA121" i="2"/>
  <c r="HB121" i="2"/>
  <c r="HC121" i="2"/>
  <c r="HD121" i="2"/>
  <c r="HE121" i="2"/>
  <c r="HF121" i="2"/>
  <c r="HG121" i="2"/>
  <c r="HH121" i="2"/>
  <c r="HI121" i="2"/>
  <c r="HJ121" i="2"/>
  <c r="HK121" i="2"/>
  <c r="HL121" i="2"/>
  <c r="HM121" i="2"/>
  <c r="HN121" i="2"/>
  <c r="HO121" i="2"/>
  <c r="HP121" i="2"/>
  <c r="HU121" i="2"/>
  <c r="HV121" i="2"/>
  <c r="HW121" i="2"/>
  <c r="HX121" i="2"/>
  <c r="HY121" i="2"/>
  <c r="HZ121" i="2"/>
  <c r="IA121" i="2"/>
  <c r="IB121" i="2"/>
  <c r="IC121" i="2"/>
  <c r="ID121" i="2"/>
  <c r="IE121" i="2"/>
  <c r="IF121" i="2"/>
  <c r="IG121" i="2"/>
  <c r="FN122" i="2"/>
  <c r="FO122" i="2"/>
  <c r="FP122" i="2"/>
  <c r="FQ122" i="2"/>
  <c r="FR122" i="2"/>
  <c r="FS122" i="2"/>
  <c r="FT122" i="2"/>
  <c r="FU122" i="2"/>
  <c r="FV122" i="2"/>
  <c r="FW122" i="2"/>
  <c r="FX122" i="2"/>
  <c r="FY122" i="2"/>
  <c r="FZ122" i="2"/>
  <c r="GA122" i="2"/>
  <c r="GB122" i="2"/>
  <c r="GC122" i="2"/>
  <c r="GD122" i="2"/>
  <c r="GE122" i="2"/>
  <c r="GF122" i="2"/>
  <c r="GG122" i="2"/>
  <c r="GH122" i="2"/>
  <c r="GI122" i="2"/>
  <c r="GJ122" i="2"/>
  <c r="GK122" i="2"/>
  <c r="GL122" i="2"/>
  <c r="GM122" i="2"/>
  <c r="GN122" i="2"/>
  <c r="GO122" i="2"/>
  <c r="GP122" i="2"/>
  <c r="GQ122" i="2"/>
  <c r="GR122" i="2"/>
  <c r="GS122" i="2"/>
  <c r="GT122" i="2"/>
  <c r="GU122" i="2"/>
  <c r="GV122" i="2"/>
  <c r="GW122" i="2"/>
  <c r="GX122" i="2"/>
  <c r="GY122" i="2"/>
  <c r="GZ122" i="2"/>
  <c r="HA122" i="2"/>
  <c r="HB122" i="2"/>
  <c r="HC122" i="2"/>
  <c r="HD122" i="2"/>
  <c r="HE122" i="2"/>
  <c r="HF122" i="2"/>
  <c r="HG122" i="2"/>
  <c r="HH122" i="2"/>
  <c r="HI122" i="2"/>
  <c r="HJ122" i="2"/>
  <c r="HK122" i="2"/>
  <c r="HL122" i="2"/>
  <c r="HM122" i="2"/>
  <c r="HN122" i="2"/>
  <c r="HO122" i="2"/>
  <c r="HP122" i="2"/>
  <c r="HU122" i="2"/>
  <c r="HV122" i="2"/>
  <c r="HW122" i="2"/>
  <c r="HX122" i="2"/>
  <c r="HY122" i="2"/>
  <c r="HZ122" i="2"/>
  <c r="IA122" i="2"/>
  <c r="IB122" i="2"/>
  <c r="IC122" i="2"/>
  <c r="ID122" i="2"/>
  <c r="IE122" i="2"/>
  <c r="IF122" i="2"/>
  <c r="IG122" i="2"/>
  <c r="FN123" i="2"/>
  <c r="FO123" i="2"/>
  <c r="FP123" i="2"/>
  <c r="FQ123" i="2"/>
  <c r="FR123" i="2"/>
  <c r="FS123" i="2"/>
  <c r="FT123" i="2"/>
  <c r="FU123" i="2"/>
  <c r="FV123" i="2"/>
  <c r="FW123" i="2"/>
  <c r="FX123" i="2"/>
  <c r="FY123" i="2"/>
  <c r="FZ123" i="2"/>
  <c r="GA123" i="2"/>
  <c r="GB123" i="2"/>
  <c r="GC123" i="2"/>
  <c r="GD123" i="2"/>
  <c r="GE123" i="2"/>
  <c r="GF123" i="2"/>
  <c r="GG123" i="2"/>
  <c r="GH123" i="2"/>
  <c r="GI123" i="2"/>
  <c r="GJ123" i="2"/>
  <c r="GK123" i="2"/>
  <c r="GL123" i="2"/>
  <c r="GM123" i="2"/>
  <c r="GN123" i="2"/>
  <c r="GO123" i="2"/>
  <c r="GP123" i="2"/>
  <c r="GQ123" i="2"/>
  <c r="GR123" i="2"/>
  <c r="GS123" i="2"/>
  <c r="GT123" i="2"/>
  <c r="GU123" i="2"/>
  <c r="GV123" i="2"/>
  <c r="GW123" i="2"/>
  <c r="GX123" i="2"/>
  <c r="GY123" i="2"/>
  <c r="GZ123" i="2"/>
  <c r="HA123" i="2"/>
  <c r="HB123" i="2"/>
  <c r="HC123" i="2"/>
  <c r="HD123" i="2"/>
  <c r="HE123" i="2"/>
  <c r="HF123" i="2"/>
  <c r="HG123" i="2"/>
  <c r="HH123" i="2"/>
  <c r="HI123" i="2"/>
  <c r="HJ123" i="2"/>
  <c r="HK123" i="2"/>
  <c r="HL123" i="2"/>
  <c r="HM123" i="2"/>
  <c r="HN123" i="2"/>
  <c r="HO123" i="2"/>
  <c r="HP123" i="2"/>
  <c r="HU123" i="2"/>
  <c r="HV123" i="2"/>
  <c r="HW123" i="2"/>
  <c r="HX123" i="2"/>
  <c r="HY123" i="2"/>
  <c r="HZ123" i="2"/>
  <c r="IA123" i="2"/>
  <c r="IB123" i="2"/>
  <c r="IC123" i="2"/>
  <c r="ID123" i="2"/>
  <c r="IE123" i="2"/>
  <c r="IF123" i="2"/>
  <c r="IG123" i="2"/>
  <c r="FN124" i="2"/>
  <c r="FO124" i="2"/>
  <c r="FP124" i="2"/>
  <c r="FQ124" i="2"/>
  <c r="FR124" i="2"/>
  <c r="FS124" i="2"/>
  <c r="FT124" i="2"/>
  <c r="FU124" i="2"/>
  <c r="FV124" i="2"/>
  <c r="FW124" i="2"/>
  <c r="FX124" i="2"/>
  <c r="FY124" i="2"/>
  <c r="FZ124" i="2"/>
  <c r="GA124" i="2"/>
  <c r="GB124" i="2"/>
  <c r="GC124" i="2"/>
  <c r="GD124" i="2"/>
  <c r="GE124" i="2"/>
  <c r="GF124" i="2"/>
  <c r="GG124" i="2"/>
  <c r="GH124" i="2"/>
  <c r="GI124" i="2"/>
  <c r="GJ124" i="2"/>
  <c r="GK124" i="2"/>
  <c r="GL124" i="2"/>
  <c r="GM124" i="2"/>
  <c r="GN124" i="2"/>
  <c r="GO124" i="2"/>
  <c r="GP124" i="2"/>
  <c r="GQ124" i="2"/>
  <c r="GR124" i="2"/>
  <c r="GS124" i="2"/>
  <c r="GT124" i="2"/>
  <c r="GU124" i="2"/>
  <c r="GV124" i="2"/>
  <c r="GW124" i="2"/>
  <c r="GX124" i="2"/>
  <c r="GY124" i="2"/>
  <c r="GZ124" i="2"/>
  <c r="HA124" i="2"/>
  <c r="HB124" i="2"/>
  <c r="HC124" i="2"/>
  <c r="HD124" i="2"/>
  <c r="HE124" i="2"/>
  <c r="HF124" i="2"/>
  <c r="HG124" i="2"/>
  <c r="HH124" i="2"/>
  <c r="HI124" i="2"/>
  <c r="HJ124" i="2"/>
  <c r="HK124" i="2"/>
  <c r="HL124" i="2"/>
  <c r="HM124" i="2"/>
  <c r="HN124" i="2"/>
  <c r="HO124" i="2"/>
  <c r="HP124" i="2"/>
  <c r="HU124" i="2"/>
  <c r="HV124" i="2"/>
  <c r="HW124" i="2"/>
  <c r="HX124" i="2"/>
  <c r="HY124" i="2"/>
  <c r="HZ124" i="2"/>
  <c r="IA124" i="2"/>
  <c r="IB124" i="2"/>
  <c r="IC124" i="2"/>
  <c r="ID124" i="2"/>
  <c r="IE124" i="2"/>
  <c r="IF124" i="2"/>
  <c r="IG124" i="2"/>
  <c r="FN125" i="2"/>
  <c r="FO125" i="2"/>
  <c r="FP125" i="2"/>
  <c r="FQ125" i="2"/>
  <c r="FR125" i="2"/>
  <c r="FS125" i="2"/>
  <c r="FT125" i="2"/>
  <c r="FU125" i="2"/>
  <c r="FV125" i="2"/>
  <c r="FW125" i="2"/>
  <c r="FX125" i="2"/>
  <c r="FY125" i="2"/>
  <c r="FZ125" i="2"/>
  <c r="GA125" i="2"/>
  <c r="GB125" i="2"/>
  <c r="GC125" i="2"/>
  <c r="GD125" i="2"/>
  <c r="GE125" i="2"/>
  <c r="GF125" i="2"/>
  <c r="GG125" i="2"/>
  <c r="GH125" i="2"/>
  <c r="GI125" i="2"/>
  <c r="GJ125" i="2"/>
  <c r="GK125" i="2"/>
  <c r="GL125" i="2"/>
  <c r="GM125" i="2"/>
  <c r="GN125" i="2"/>
  <c r="GO125" i="2"/>
  <c r="GP125" i="2"/>
  <c r="GQ125" i="2"/>
  <c r="GR125" i="2"/>
  <c r="GS125" i="2"/>
  <c r="GT125" i="2"/>
  <c r="GU125" i="2"/>
  <c r="GV125" i="2"/>
  <c r="GW125" i="2"/>
  <c r="GX125" i="2"/>
  <c r="GY125" i="2"/>
  <c r="GZ125" i="2"/>
  <c r="HA125" i="2"/>
  <c r="HB125" i="2"/>
  <c r="HC125" i="2"/>
  <c r="HD125" i="2"/>
  <c r="HE125" i="2"/>
  <c r="HF125" i="2"/>
  <c r="HG125" i="2"/>
  <c r="HH125" i="2"/>
  <c r="HI125" i="2"/>
  <c r="HJ125" i="2"/>
  <c r="HK125" i="2"/>
  <c r="HL125" i="2"/>
  <c r="HM125" i="2"/>
  <c r="HN125" i="2"/>
  <c r="HO125" i="2"/>
  <c r="HP125" i="2"/>
  <c r="HU125" i="2"/>
  <c r="HV125" i="2"/>
  <c r="HW125" i="2"/>
  <c r="HX125" i="2"/>
  <c r="HY125" i="2"/>
  <c r="HZ125" i="2"/>
  <c r="IA125" i="2"/>
  <c r="IB125" i="2"/>
  <c r="IC125" i="2"/>
  <c r="ID125" i="2"/>
  <c r="IE125" i="2"/>
  <c r="IF125" i="2"/>
  <c r="IG125" i="2"/>
  <c r="FN126" i="2"/>
  <c r="FO126" i="2"/>
  <c r="FP126" i="2"/>
  <c r="FQ126" i="2"/>
  <c r="FR126" i="2"/>
  <c r="FS126" i="2"/>
  <c r="FT126" i="2"/>
  <c r="FU126" i="2"/>
  <c r="FV126" i="2"/>
  <c r="FW126" i="2"/>
  <c r="FX126" i="2"/>
  <c r="FY126" i="2"/>
  <c r="FZ126" i="2"/>
  <c r="GA126" i="2"/>
  <c r="GB126" i="2"/>
  <c r="GC126" i="2"/>
  <c r="GD126" i="2"/>
  <c r="GE126" i="2"/>
  <c r="GF126" i="2"/>
  <c r="GG126" i="2"/>
  <c r="GH126" i="2"/>
  <c r="GI126" i="2"/>
  <c r="GJ126" i="2"/>
  <c r="GK126" i="2"/>
  <c r="GL126" i="2"/>
  <c r="GM126" i="2"/>
  <c r="GN126" i="2"/>
  <c r="GO126" i="2"/>
  <c r="GP126" i="2"/>
  <c r="GQ126" i="2"/>
  <c r="GR126" i="2"/>
  <c r="GS126" i="2"/>
  <c r="GT126" i="2"/>
  <c r="GU126" i="2"/>
  <c r="GV126" i="2"/>
  <c r="GW126" i="2"/>
  <c r="GX126" i="2"/>
  <c r="GY126" i="2"/>
  <c r="GZ126" i="2"/>
  <c r="HA126" i="2"/>
  <c r="HB126" i="2"/>
  <c r="HC126" i="2"/>
  <c r="HD126" i="2"/>
  <c r="HE126" i="2"/>
  <c r="HF126" i="2"/>
  <c r="HG126" i="2"/>
  <c r="HH126" i="2"/>
  <c r="HI126" i="2"/>
  <c r="HJ126" i="2"/>
  <c r="HK126" i="2"/>
  <c r="HL126" i="2"/>
  <c r="HM126" i="2"/>
  <c r="HN126" i="2"/>
  <c r="HO126" i="2"/>
  <c r="HP126" i="2"/>
  <c r="HU126" i="2"/>
  <c r="HV126" i="2"/>
  <c r="HW126" i="2"/>
  <c r="HX126" i="2"/>
  <c r="HY126" i="2"/>
  <c r="HZ126" i="2"/>
  <c r="IA126" i="2"/>
  <c r="IB126" i="2"/>
  <c r="IC126" i="2"/>
  <c r="ID126" i="2"/>
  <c r="IE126" i="2"/>
  <c r="IF126" i="2"/>
  <c r="IG126" i="2"/>
  <c r="FN127" i="2"/>
  <c r="FO127" i="2"/>
  <c r="FP127" i="2"/>
  <c r="FQ127" i="2"/>
  <c r="FR127" i="2"/>
  <c r="FS127" i="2"/>
  <c r="FT127" i="2"/>
  <c r="FU127" i="2"/>
  <c r="FV127" i="2"/>
  <c r="FW127" i="2"/>
  <c r="FX127" i="2"/>
  <c r="FY127" i="2"/>
  <c r="FZ127" i="2"/>
  <c r="GA127" i="2"/>
  <c r="GB127" i="2"/>
  <c r="GC127" i="2"/>
  <c r="GD127" i="2"/>
  <c r="GE127" i="2"/>
  <c r="GF127" i="2"/>
  <c r="GG127" i="2"/>
  <c r="GH127" i="2"/>
  <c r="GI127" i="2"/>
  <c r="GJ127" i="2"/>
  <c r="GK127" i="2"/>
  <c r="GL127" i="2"/>
  <c r="GM127" i="2"/>
  <c r="GN127" i="2"/>
  <c r="GO127" i="2"/>
  <c r="GP127" i="2"/>
  <c r="GQ127" i="2"/>
  <c r="GR127" i="2"/>
  <c r="GS127" i="2"/>
  <c r="GT127" i="2"/>
  <c r="GU127" i="2"/>
  <c r="GV127" i="2"/>
  <c r="GW127" i="2"/>
  <c r="GX127" i="2"/>
  <c r="GY127" i="2"/>
  <c r="GZ127" i="2"/>
  <c r="HA127" i="2"/>
  <c r="HB127" i="2"/>
  <c r="HC127" i="2"/>
  <c r="HD127" i="2"/>
  <c r="HE127" i="2"/>
  <c r="HF127" i="2"/>
  <c r="HG127" i="2"/>
  <c r="HH127" i="2"/>
  <c r="HI127" i="2"/>
  <c r="HJ127" i="2"/>
  <c r="HK127" i="2"/>
  <c r="HL127" i="2"/>
  <c r="HM127" i="2"/>
  <c r="HN127" i="2"/>
  <c r="HO127" i="2"/>
  <c r="HP127" i="2"/>
  <c r="HU127" i="2"/>
  <c r="HV127" i="2"/>
  <c r="HW127" i="2"/>
  <c r="HX127" i="2"/>
  <c r="HY127" i="2"/>
  <c r="HZ127" i="2"/>
  <c r="IA127" i="2"/>
  <c r="IB127" i="2"/>
  <c r="IC127" i="2"/>
  <c r="ID127" i="2"/>
  <c r="IE127" i="2"/>
  <c r="IF127" i="2"/>
  <c r="IG127" i="2"/>
  <c r="FN128" i="2"/>
  <c r="FO128" i="2"/>
  <c r="FP128" i="2"/>
  <c r="FQ128" i="2"/>
  <c r="FR128" i="2"/>
  <c r="FS128" i="2"/>
  <c r="FT128" i="2"/>
  <c r="FU128" i="2"/>
  <c r="FV128" i="2"/>
  <c r="FW128" i="2"/>
  <c r="FX128" i="2"/>
  <c r="FY128" i="2"/>
  <c r="FZ128" i="2"/>
  <c r="GA128" i="2"/>
  <c r="GB128" i="2"/>
  <c r="GC128" i="2"/>
  <c r="GD128" i="2"/>
  <c r="GE128" i="2"/>
  <c r="GF128" i="2"/>
  <c r="GG128" i="2"/>
  <c r="GH128" i="2"/>
  <c r="GI128" i="2"/>
  <c r="GJ128" i="2"/>
  <c r="GK128" i="2"/>
  <c r="GL128" i="2"/>
  <c r="GM128" i="2"/>
  <c r="GN128" i="2"/>
  <c r="GO128" i="2"/>
  <c r="GP128" i="2"/>
  <c r="GQ128" i="2"/>
  <c r="GR128" i="2"/>
  <c r="GS128" i="2"/>
  <c r="GT128" i="2"/>
  <c r="GU128" i="2"/>
  <c r="GV128" i="2"/>
  <c r="GW128" i="2"/>
  <c r="GX128" i="2"/>
  <c r="GY128" i="2"/>
  <c r="GZ128" i="2"/>
  <c r="HA128" i="2"/>
  <c r="HB128" i="2"/>
  <c r="HC128" i="2"/>
  <c r="HD128" i="2"/>
  <c r="HE128" i="2"/>
  <c r="HF128" i="2"/>
  <c r="HG128" i="2"/>
  <c r="HH128" i="2"/>
  <c r="HI128" i="2"/>
  <c r="HJ128" i="2"/>
  <c r="HK128" i="2"/>
  <c r="HL128" i="2"/>
  <c r="HM128" i="2"/>
  <c r="HN128" i="2"/>
  <c r="HO128" i="2"/>
  <c r="HP128" i="2"/>
  <c r="HU128" i="2"/>
  <c r="HV128" i="2"/>
  <c r="HW128" i="2"/>
  <c r="HX128" i="2"/>
  <c r="HY128" i="2"/>
  <c r="HZ128" i="2"/>
  <c r="IA128" i="2"/>
  <c r="IB128" i="2"/>
  <c r="IC128" i="2"/>
  <c r="ID128" i="2"/>
  <c r="IE128" i="2"/>
  <c r="IF128" i="2"/>
  <c r="IG128" i="2"/>
  <c r="FN129" i="2"/>
  <c r="FO129" i="2"/>
  <c r="FP129" i="2"/>
  <c r="FQ129" i="2"/>
  <c r="FR129" i="2"/>
  <c r="FS129" i="2"/>
  <c r="FT129" i="2"/>
  <c r="FU129" i="2"/>
  <c r="FV129" i="2"/>
  <c r="FW129" i="2"/>
  <c r="FX129" i="2"/>
  <c r="FY129" i="2"/>
  <c r="FZ129" i="2"/>
  <c r="GA129" i="2"/>
  <c r="GB129" i="2"/>
  <c r="GC129" i="2"/>
  <c r="GD129" i="2"/>
  <c r="GE129" i="2"/>
  <c r="GF129" i="2"/>
  <c r="GG129" i="2"/>
  <c r="GH129" i="2"/>
  <c r="GI129" i="2"/>
  <c r="GJ129" i="2"/>
  <c r="GK129" i="2"/>
  <c r="GL129" i="2"/>
  <c r="GM129" i="2"/>
  <c r="GN129" i="2"/>
  <c r="GO129" i="2"/>
  <c r="GP129" i="2"/>
  <c r="GQ129" i="2"/>
  <c r="GR129" i="2"/>
  <c r="GS129" i="2"/>
  <c r="GT129" i="2"/>
  <c r="GU129" i="2"/>
  <c r="GV129" i="2"/>
  <c r="GW129" i="2"/>
  <c r="GX129" i="2"/>
  <c r="GY129" i="2"/>
  <c r="GZ129" i="2"/>
  <c r="HA129" i="2"/>
  <c r="HB129" i="2"/>
  <c r="HC129" i="2"/>
  <c r="HD129" i="2"/>
  <c r="HE129" i="2"/>
  <c r="HF129" i="2"/>
  <c r="HG129" i="2"/>
  <c r="HH129" i="2"/>
  <c r="HI129" i="2"/>
  <c r="HJ129" i="2"/>
  <c r="HK129" i="2"/>
  <c r="HL129" i="2"/>
  <c r="HM129" i="2"/>
  <c r="HN129" i="2"/>
  <c r="HO129" i="2"/>
  <c r="HP129" i="2"/>
  <c r="HU129" i="2"/>
  <c r="HV129" i="2"/>
  <c r="HW129" i="2"/>
  <c r="HX129" i="2"/>
  <c r="HY129" i="2"/>
  <c r="HZ129" i="2"/>
  <c r="IA129" i="2"/>
  <c r="IB129" i="2"/>
  <c r="IC129" i="2"/>
  <c r="ID129" i="2"/>
  <c r="IE129" i="2"/>
  <c r="IF129" i="2"/>
  <c r="IG129" i="2"/>
  <c r="GU130" i="2"/>
  <c r="GV130" i="2"/>
  <c r="GW130" i="2"/>
  <c r="GX130" i="2"/>
  <c r="GY130" i="2"/>
  <c r="GZ130" i="2"/>
  <c r="HA130" i="2"/>
  <c r="HB130" i="2"/>
  <c r="HC130" i="2"/>
  <c r="HD130" i="2"/>
  <c r="HE130" i="2"/>
  <c r="HF130" i="2"/>
  <c r="HG130" i="2"/>
  <c r="HH130" i="2"/>
  <c r="HI130" i="2"/>
  <c r="HJ130" i="2"/>
  <c r="HK130" i="2"/>
  <c r="HL130" i="2"/>
  <c r="HM130" i="2"/>
  <c r="HN130" i="2"/>
  <c r="HO130" i="2"/>
  <c r="HP130" i="2"/>
  <c r="IA130" i="2"/>
  <c r="IB130" i="2"/>
  <c r="IC130" i="2"/>
  <c r="ID130" i="2"/>
  <c r="IE130" i="2"/>
  <c r="IF130" i="2"/>
  <c r="IG130" i="2"/>
  <c r="FN131" i="2"/>
  <c r="FO131" i="2"/>
  <c r="FP131" i="2"/>
  <c r="FQ131" i="2"/>
  <c r="FR131" i="2"/>
  <c r="FS131" i="2"/>
  <c r="FT131" i="2"/>
  <c r="FU131" i="2"/>
  <c r="FV131" i="2"/>
  <c r="FW131" i="2"/>
  <c r="FX131" i="2"/>
  <c r="FY131" i="2"/>
  <c r="FZ131" i="2"/>
  <c r="GA131" i="2"/>
  <c r="GB131" i="2"/>
  <c r="GC131" i="2"/>
  <c r="GD131" i="2"/>
  <c r="GE131" i="2"/>
  <c r="GF131" i="2"/>
  <c r="GG131" i="2"/>
  <c r="GH131" i="2"/>
  <c r="GI131" i="2"/>
  <c r="GJ131" i="2"/>
  <c r="GK131" i="2"/>
  <c r="GL131" i="2"/>
  <c r="GM131" i="2"/>
  <c r="GN131" i="2"/>
  <c r="GO131" i="2"/>
  <c r="GP131" i="2"/>
  <c r="GQ131" i="2"/>
  <c r="GR131" i="2"/>
  <c r="GS131" i="2"/>
  <c r="GT131" i="2"/>
  <c r="GU131" i="2"/>
  <c r="GV131" i="2"/>
  <c r="GW131" i="2"/>
  <c r="GX131" i="2"/>
  <c r="GY131" i="2"/>
  <c r="GZ131" i="2"/>
  <c r="HA131" i="2"/>
  <c r="HB131" i="2"/>
  <c r="HC131" i="2"/>
  <c r="HD131" i="2"/>
  <c r="HE131" i="2"/>
  <c r="HF131" i="2"/>
  <c r="HG131" i="2"/>
  <c r="HH131" i="2"/>
  <c r="HI131" i="2"/>
  <c r="HJ131" i="2"/>
  <c r="HK131" i="2"/>
  <c r="HL131" i="2"/>
  <c r="HM131" i="2"/>
  <c r="HN131" i="2"/>
  <c r="HO131" i="2"/>
  <c r="HP131" i="2"/>
  <c r="HU131" i="2"/>
  <c r="HV131" i="2"/>
  <c r="HW131" i="2"/>
  <c r="HX131" i="2"/>
  <c r="HY131" i="2"/>
  <c r="HZ131" i="2"/>
  <c r="IA131" i="2"/>
  <c r="IB131" i="2"/>
  <c r="IC131" i="2"/>
  <c r="ID131" i="2"/>
  <c r="IE131" i="2"/>
  <c r="IF131" i="2"/>
  <c r="IG131" i="2"/>
  <c r="FN132" i="2"/>
  <c r="FO132" i="2"/>
  <c r="FP132" i="2"/>
  <c r="FQ132" i="2"/>
  <c r="FR132" i="2"/>
  <c r="FS132" i="2"/>
  <c r="FT132" i="2"/>
  <c r="FU132" i="2"/>
  <c r="FV132" i="2"/>
  <c r="FW132" i="2"/>
  <c r="FX132" i="2"/>
  <c r="FY132" i="2"/>
  <c r="FZ132" i="2"/>
  <c r="GA132" i="2"/>
  <c r="GB132" i="2"/>
  <c r="GC132" i="2"/>
  <c r="GD132" i="2"/>
  <c r="GE132" i="2"/>
  <c r="GF132" i="2"/>
  <c r="GG132" i="2"/>
  <c r="GH132" i="2"/>
  <c r="GI132" i="2"/>
  <c r="GJ132" i="2"/>
  <c r="GK132" i="2"/>
  <c r="GL132" i="2"/>
  <c r="GM132" i="2"/>
  <c r="GN132" i="2"/>
  <c r="GO132" i="2"/>
  <c r="GP132" i="2"/>
  <c r="GQ132" i="2"/>
  <c r="GR132" i="2"/>
  <c r="GS132" i="2"/>
  <c r="GT132" i="2"/>
  <c r="GU132" i="2"/>
  <c r="GV132" i="2"/>
  <c r="GW132" i="2"/>
  <c r="GX132" i="2"/>
  <c r="GY132" i="2"/>
  <c r="GZ132" i="2"/>
  <c r="HA132" i="2"/>
  <c r="HB132" i="2"/>
  <c r="HC132" i="2"/>
  <c r="HD132" i="2"/>
  <c r="HE132" i="2"/>
  <c r="HF132" i="2"/>
  <c r="HG132" i="2"/>
  <c r="HH132" i="2"/>
  <c r="HI132" i="2"/>
  <c r="HJ132" i="2"/>
  <c r="HK132" i="2"/>
  <c r="HL132" i="2"/>
  <c r="HM132" i="2"/>
  <c r="HN132" i="2"/>
  <c r="HO132" i="2"/>
  <c r="HP132" i="2"/>
  <c r="HU132" i="2"/>
  <c r="HV132" i="2"/>
  <c r="HW132" i="2"/>
  <c r="HX132" i="2"/>
  <c r="HY132" i="2"/>
  <c r="HZ132" i="2"/>
  <c r="IA132" i="2"/>
  <c r="IB132" i="2"/>
  <c r="IC132" i="2"/>
  <c r="ID132" i="2"/>
  <c r="IE132" i="2"/>
  <c r="IF132" i="2"/>
  <c r="IG132" i="2"/>
  <c r="FN133" i="2"/>
  <c r="FO133" i="2"/>
  <c r="FP133" i="2"/>
  <c r="FQ133" i="2"/>
  <c r="FR133" i="2"/>
  <c r="FS133" i="2"/>
  <c r="FT133" i="2"/>
  <c r="FU133" i="2"/>
  <c r="FV133" i="2"/>
  <c r="FW133" i="2"/>
  <c r="FX133" i="2"/>
  <c r="FY133" i="2"/>
  <c r="FZ133" i="2"/>
  <c r="GA133" i="2"/>
  <c r="GB133" i="2"/>
  <c r="GC133" i="2"/>
  <c r="GD133" i="2"/>
  <c r="GE133" i="2"/>
  <c r="GF133" i="2"/>
  <c r="GG133" i="2"/>
  <c r="GH133" i="2"/>
  <c r="GI133" i="2"/>
  <c r="GJ133" i="2"/>
  <c r="GK133" i="2"/>
  <c r="GL133" i="2"/>
  <c r="GM133" i="2"/>
  <c r="GN133" i="2"/>
  <c r="GO133" i="2"/>
  <c r="GP133" i="2"/>
  <c r="GQ133" i="2"/>
  <c r="GR133" i="2"/>
  <c r="GS133" i="2"/>
  <c r="GT133" i="2"/>
  <c r="GU133" i="2"/>
  <c r="GV133" i="2"/>
  <c r="GW133" i="2"/>
  <c r="GX133" i="2"/>
  <c r="GY133" i="2"/>
  <c r="GZ133" i="2"/>
  <c r="HA133" i="2"/>
  <c r="HB133" i="2"/>
  <c r="HC133" i="2"/>
  <c r="HD133" i="2"/>
  <c r="HE133" i="2"/>
  <c r="HF133" i="2"/>
  <c r="HG133" i="2"/>
  <c r="HH133" i="2"/>
  <c r="HI133" i="2"/>
  <c r="HJ133" i="2"/>
  <c r="HK133" i="2"/>
  <c r="HL133" i="2"/>
  <c r="HM133" i="2"/>
  <c r="HN133" i="2"/>
  <c r="HO133" i="2"/>
  <c r="HP133" i="2"/>
  <c r="HU133" i="2"/>
  <c r="HV133" i="2"/>
  <c r="HW133" i="2"/>
  <c r="HX133" i="2"/>
  <c r="HY133" i="2"/>
  <c r="HZ133" i="2"/>
  <c r="IA133" i="2"/>
  <c r="IB133" i="2"/>
  <c r="IC133" i="2"/>
  <c r="ID133" i="2"/>
  <c r="IE133" i="2"/>
  <c r="IF133" i="2"/>
  <c r="IG133" i="2"/>
  <c r="FN134" i="2"/>
  <c r="FO134" i="2"/>
  <c r="FP134" i="2"/>
  <c r="FQ134" i="2"/>
  <c r="FR134" i="2"/>
  <c r="FS134" i="2"/>
  <c r="FT134" i="2"/>
  <c r="FU134" i="2"/>
  <c r="FV134" i="2"/>
  <c r="FW134" i="2"/>
  <c r="FX134" i="2"/>
  <c r="FY134" i="2"/>
  <c r="FZ134" i="2"/>
  <c r="GA134" i="2"/>
  <c r="GB134" i="2"/>
  <c r="GC134" i="2"/>
  <c r="GD134" i="2"/>
  <c r="GE134" i="2"/>
  <c r="GF134" i="2"/>
  <c r="GG134" i="2"/>
  <c r="GH134" i="2"/>
  <c r="GI134" i="2"/>
  <c r="GJ134" i="2"/>
  <c r="GK134" i="2"/>
  <c r="GL134" i="2"/>
  <c r="GM134" i="2"/>
  <c r="GN134" i="2"/>
  <c r="GO134" i="2"/>
  <c r="GP134" i="2"/>
  <c r="GQ134" i="2"/>
  <c r="GR134" i="2"/>
  <c r="GS134" i="2"/>
  <c r="GT134" i="2"/>
  <c r="GU134" i="2"/>
  <c r="GV134" i="2"/>
  <c r="GW134" i="2"/>
  <c r="GX134" i="2"/>
  <c r="GY134" i="2"/>
  <c r="GZ134" i="2"/>
  <c r="HA134" i="2"/>
  <c r="HB134" i="2"/>
  <c r="HC134" i="2"/>
  <c r="HD134" i="2"/>
  <c r="HE134" i="2"/>
  <c r="HF134" i="2"/>
  <c r="HG134" i="2"/>
  <c r="HH134" i="2"/>
  <c r="HI134" i="2"/>
  <c r="HJ134" i="2"/>
  <c r="HK134" i="2"/>
  <c r="HL134" i="2"/>
  <c r="HM134" i="2"/>
  <c r="HN134" i="2"/>
  <c r="HO134" i="2"/>
  <c r="HP134" i="2"/>
  <c r="HU134" i="2"/>
  <c r="HV134" i="2"/>
  <c r="HW134" i="2"/>
  <c r="HX134" i="2"/>
  <c r="HY134" i="2"/>
  <c r="HZ134" i="2"/>
  <c r="IA134" i="2"/>
  <c r="IB134" i="2"/>
  <c r="IC134" i="2"/>
  <c r="ID134" i="2"/>
  <c r="IE134" i="2"/>
  <c r="IF134" i="2"/>
  <c r="IG134" i="2"/>
  <c r="FN135" i="2"/>
  <c r="FO135" i="2"/>
  <c r="FP135" i="2"/>
  <c r="FQ135" i="2"/>
  <c r="FR135" i="2"/>
  <c r="FS135" i="2"/>
  <c r="FT135" i="2"/>
  <c r="FU135" i="2"/>
  <c r="FV135" i="2"/>
  <c r="FW135" i="2"/>
  <c r="FX135" i="2"/>
  <c r="FY135" i="2"/>
  <c r="FZ135" i="2"/>
  <c r="GA135" i="2"/>
  <c r="GB135" i="2"/>
  <c r="GC135" i="2"/>
  <c r="GD135" i="2"/>
  <c r="GE135" i="2"/>
  <c r="GF135" i="2"/>
  <c r="GG135" i="2"/>
  <c r="GH135" i="2"/>
  <c r="GI135" i="2"/>
  <c r="GJ135" i="2"/>
  <c r="GK135" i="2"/>
  <c r="GL135" i="2"/>
  <c r="GM135" i="2"/>
  <c r="GN135" i="2"/>
  <c r="GO135" i="2"/>
  <c r="GP135" i="2"/>
  <c r="GQ135" i="2"/>
  <c r="GR135" i="2"/>
  <c r="GS135" i="2"/>
  <c r="GT135" i="2"/>
  <c r="GU135" i="2"/>
  <c r="GV135" i="2"/>
  <c r="GW135" i="2"/>
  <c r="GX135" i="2"/>
  <c r="GY135" i="2"/>
  <c r="GZ135" i="2"/>
  <c r="HA135" i="2"/>
  <c r="HB135" i="2"/>
  <c r="HC135" i="2"/>
  <c r="HD135" i="2"/>
  <c r="HE135" i="2"/>
  <c r="HF135" i="2"/>
  <c r="HG135" i="2"/>
  <c r="HH135" i="2"/>
  <c r="HI135" i="2"/>
  <c r="HJ135" i="2"/>
  <c r="HK135" i="2"/>
  <c r="HL135" i="2"/>
  <c r="HM135" i="2"/>
  <c r="HN135" i="2"/>
  <c r="HO135" i="2"/>
  <c r="HP135" i="2"/>
  <c r="HU135" i="2"/>
  <c r="HV135" i="2"/>
  <c r="HW135" i="2"/>
  <c r="HX135" i="2"/>
  <c r="HY135" i="2"/>
  <c r="HZ135" i="2"/>
  <c r="IA135" i="2"/>
  <c r="IB135" i="2"/>
  <c r="IC135" i="2"/>
  <c r="ID135" i="2"/>
  <c r="IE135" i="2"/>
  <c r="IF135" i="2"/>
  <c r="IG135" i="2"/>
  <c r="FN140" i="2"/>
  <c r="FO140" i="2"/>
  <c r="FP140" i="2"/>
  <c r="FQ140" i="2"/>
  <c r="FR140" i="2"/>
  <c r="FS140" i="2"/>
  <c r="FT140" i="2"/>
  <c r="FU140" i="2"/>
  <c r="FV140" i="2"/>
  <c r="FW140" i="2"/>
  <c r="FX140" i="2"/>
  <c r="FY140" i="2"/>
  <c r="FZ140" i="2"/>
  <c r="GA140" i="2"/>
  <c r="GB140" i="2"/>
  <c r="GC140" i="2"/>
  <c r="GD140" i="2"/>
  <c r="GE140" i="2"/>
  <c r="GF140" i="2"/>
  <c r="GG140" i="2"/>
  <c r="GH140" i="2"/>
  <c r="GI140" i="2"/>
  <c r="GJ140" i="2"/>
  <c r="GK140" i="2"/>
  <c r="GL140" i="2"/>
  <c r="GM140" i="2"/>
  <c r="GN140" i="2"/>
  <c r="GO140" i="2"/>
  <c r="GP140" i="2"/>
  <c r="GQ140" i="2"/>
  <c r="GR140" i="2"/>
  <c r="GS140" i="2"/>
  <c r="GT140" i="2"/>
  <c r="GU140" i="2"/>
  <c r="GV140" i="2"/>
  <c r="GW140" i="2"/>
  <c r="GX140" i="2"/>
  <c r="GY140" i="2"/>
  <c r="GZ140" i="2"/>
  <c r="HA140" i="2"/>
  <c r="HB140" i="2"/>
  <c r="HC140" i="2"/>
  <c r="HD140" i="2"/>
  <c r="HE140" i="2"/>
  <c r="HF140" i="2"/>
  <c r="HG140" i="2"/>
  <c r="HH140" i="2"/>
  <c r="HI140" i="2"/>
  <c r="HJ140" i="2"/>
  <c r="HK140" i="2"/>
  <c r="HL140" i="2"/>
  <c r="HM140" i="2"/>
  <c r="HN140" i="2"/>
  <c r="HO140" i="2"/>
  <c r="HP140" i="2"/>
  <c r="HU140" i="2"/>
  <c r="HV140" i="2"/>
  <c r="HW140" i="2"/>
  <c r="HX140" i="2"/>
  <c r="HY140" i="2"/>
  <c r="HZ140" i="2"/>
  <c r="IA140" i="2"/>
  <c r="IB140" i="2"/>
  <c r="IC140" i="2"/>
  <c r="ID140" i="2"/>
  <c r="IE140" i="2"/>
  <c r="IF140" i="2"/>
  <c r="IG140" i="2"/>
  <c r="FN141" i="2"/>
  <c r="FO141" i="2"/>
  <c r="FP141" i="2"/>
  <c r="FQ141" i="2"/>
  <c r="FR141" i="2"/>
  <c r="FS141" i="2"/>
  <c r="FT141" i="2"/>
  <c r="FU141" i="2"/>
  <c r="FV141" i="2"/>
  <c r="FW141" i="2"/>
  <c r="FX141" i="2"/>
  <c r="FY141" i="2"/>
  <c r="FZ141" i="2"/>
  <c r="GA141" i="2"/>
  <c r="GB141" i="2"/>
  <c r="GC141" i="2"/>
  <c r="GD141" i="2"/>
  <c r="GE141" i="2"/>
  <c r="GF141" i="2"/>
  <c r="GG141" i="2"/>
  <c r="GH141" i="2"/>
  <c r="GI141" i="2"/>
  <c r="GJ141" i="2"/>
  <c r="GK141" i="2"/>
  <c r="GL141" i="2"/>
  <c r="GM141" i="2"/>
  <c r="GN141" i="2"/>
  <c r="GO141" i="2"/>
  <c r="GP141" i="2"/>
  <c r="GQ141" i="2"/>
  <c r="GR141" i="2"/>
  <c r="GS141" i="2"/>
  <c r="GT141" i="2"/>
  <c r="GU141" i="2"/>
  <c r="GV141" i="2"/>
  <c r="GW141" i="2"/>
  <c r="GX141" i="2"/>
  <c r="GY141" i="2"/>
  <c r="GZ141" i="2"/>
  <c r="HA141" i="2"/>
  <c r="HB141" i="2"/>
  <c r="HC141" i="2"/>
  <c r="HD141" i="2"/>
  <c r="HE141" i="2"/>
  <c r="HF141" i="2"/>
  <c r="HG141" i="2"/>
  <c r="HH141" i="2"/>
  <c r="HI141" i="2"/>
  <c r="HJ141" i="2"/>
  <c r="HK141" i="2"/>
  <c r="HL141" i="2"/>
  <c r="HM141" i="2"/>
  <c r="HN141" i="2"/>
  <c r="HO141" i="2"/>
  <c r="HP141" i="2"/>
  <c r="HU141" i="2"/>
  <c r="HV141" i="2"/>
  <c r="HW141" i="2"/>
  <c r="HX141" i="2"/>
  <c r="HY141" i="2"/>
  <c r="HZ141" i="2"/>
  <c r="IA141" i="2"/>
  <c r="IB141" i="2"/>
  <c r="IC141" i="2"/>
  <c r="ID141" i="2"/>
  <c r="IE141" i="2"/>
  <c r="IF141" i="2"/>
  <c r="IG141" i="2"/>
  <c r="FN142" i="2"/>
  <c r="FO142" i="2"/>
  <c r="FP142" i="2"/>
  <c r="FQ142" i="2"/>
  <c r="FR142" i="2"/>
  <c r="FS142" i="2"/>
  <c r="FT142" i="2"/>
  <c r="FU142" i="2"/>
  <c r="FV142" i="2"/>
  <c r="FW142" i="2"/>
  <c r="FX142" i="2"/>
  <c r="FY142" i="2"/>
  <c r="FZ142" i="2"/>
  <c r="GA142" i="2"/>
  <c r="GB142" i="2"/>
  <c r="GC142" i="2"/>
  <c r="GD142" i="2"/>
  <c r="GE142" i="2"/>
  <c r="GF142" i="2"/>
  <c r="GG142" i="2"/>
  <c r="GH142" i="2"/>
  <c r="GI142" i="2"/>
  <c r="GJ142" i="2"/>
  <c r="GK142" i="2"/>
  <c r="GL142" i="2"/>
  <c r="GM142" i="2"/>
  <c r="GN142" i="2"/>
  <c r="GO142" i="2"/>
  <c r="GP142" i="2"/>
  <c r="GQ142" i="2"/>
  <c r="GR142" i="2"/>
  <c r="GS142" i="2"/>
  <c r="GT142" i="2"/>
  <c r="GU142" i="2"/>
  <c r="GV142" i="2"/>
  <c r="GW142" i="2"/>
  <c r="GX142" i="2"/>
  <c r="GY142" i="2"/>
  <c r="GZ142" i="2"/>
  <c r="HA142" i="2"/>
  <c r="HB142" i="2"/>
  <c r="HC142" i="2"/>
  <c r="HD142" i="2"/>
  <c r="HE142" i="2"/>
  <c r="HF142" i="2"/>
  <c r="HG142" i="2"/>
  <c r="HH142" i="2"/>
  <c r="HI142" i="2"/>
  <c r="HJ142" i="2"/>
  <c r="HK142" i="2"/>
  <c r="HL142" i="2"/>
  <c r="HM142" i="2"/>
  <c r="HN142" i="2"/>
  <c r="HO142" i="2"/>
  <c r="HP142" i="2"/>
  <c r="HU142" i="2"/>
  <c r="HV142" i="2"/>
  <c r="HW142" i="2"/>
  <c r="HX142" i="2"/>
  <c r="HY142" i="2"/>
  <c r="HZ142" i="2"/>
  <c r="IA142" i="2"/>
  <c r="IB142" i="2"/>
  <c r="IC142" i="2"/>
  <c r="ID142" i="2"/>
  <c r="IE142" i="2"/>
  <c r="IF142" i="2"/>
  <c r="IG142" i="2"/>
  <c r="FN143" i="2"/>
  <c r="FO143" i="2"/>
  <c r="FP143" i="2"/>
  <c r="FQ143" i="2"/>
  <c r="FR143" i="2"/>
  <c r="FS143" i="2"/>
  <c r="FT143" i="2"/>
  <c r="FU143" i="2"/>
  <c r="FV143" i="2"/>
  <c r="FW143" i="2"/>
  <c r="FX143" i="2"/>
  <c r="FY143" i="2"/>
  <c r="FZ143" i="2"/>
  <c r="GA143" i="2"/>
  <c r="GB143" i="2"/>
  <c r="GC143" i="2"/>
  <c r="GD143" i="2"/>
  <c r="GE143" i="2"/>
  <c r="GF143" i="2"/>
  <c r="GG143" i="2"/>
  <c r="GH143" i="2"/>
  <c r="GI143" i="2"/>
  <c r="GJ143" i="2"/>
  <c r="GK143" i="2"/>
  <c r="GL143" i="2"/>
  <c r="GM143" i="2"/>
  <c r="GN143" i="2"/>
  <c r="GO143" i="2"/>
  <c r="GP143" i="2"/>
  <c r="GQ143" i="2"/>
  <c r="GR143" i="2"/>
  <c r="GS143" i="2"/>
  <c r="GT143" i="2"/>
  <c r="GU143" i="2"/>
  <c r="GV143" i="2"/>
  <c r="GW143" i="2"/>
  <c r="GX143" i="2"/>
  <c r="GY143" i="2"/>
  <c r="GZ143" i="2"/>
  <c r="HA143" i="2"/>
  <c r="HB143" i="2"/>
  <c r="HC143" i="2"/>
  <c r="HD143" i="2"/>
  <c r="HE143" i="2"/>
  <c r="HF143" i="2"/>
  <c r="HG143" i="2"/>
  <c r="HH143" i="2"/>
  <c r="HI143" i="2"/>
  <c r="HJ143" i="2"/>
  <c r="HK143" i="2"/>
  <c r="HL143" i="2"/>
  <c r="HM143" i="2"/>
  <c r="HN143" i="2"/>
  <c r="HO143" i="2"/>
  <c r="HP143" i="2"/>
  <c r="HU143" i="2"/>
  <c r="HV143" i="2"/>
  <c r="HW143" i="2"/>
  <c r="HX143" i="2"/>
  <c r="HY143" i="2"/>
  <c r="HZ143" i="2"/>
  <c r="IA143" i="2"/>
  <c r="IB143" i="2"/>
  <c r="IC143" i="2"/>
  <c r="ID143" i="2"/>
  <c r="IE143" i="2"/>
  <c r="IF143" i="2"/>
  <c r="IG143" i="2"/>
  <c r="HJ145" i="2"/>
  <c r="HK145" i="2"/>
  <c r="HL145" i="2"/>
  <c r="HM145" i="2"/>
  <c r="HN145" i="2"/>
  <c r="HO145" i="2"/>
  <c r="HP145" i="2"/>
  <c r="FN146" i="2"/>
  <c r="FO146" i="2"/>
  <c r="FP146" i="2"/>
  <c r="FQ146" i="2"/>
  <c r="FR146" i="2"/>
  <c r="FS146" i="2"/>
  <c r="FT146" i="2"/>
  <c r="FU146" i="2"/>
  <c r="FV146" i="2"/>
  <c r="FW146" i="2"/>
  <c r="FX146" i="2"/>
  <c r="FY146" i="2"/>
  <c r="FZ146" i="2"/>
  <c r="GA146" i="2"/>
  <c r="GB146" i="2"/>
  <c r="GC146" i="2"/>
  <c r="GD146" i="2"/>
  <c r="GE146" i="2"/>
  <c r="GF146" i="2"/>
  <c r="GG146" i="2"/>
  <c r="GH146" i="2"/>
  <c r="GI146" i="2"/>
  <c r="GJ146" i="2"/>
  <c r="GK146" i="2"/>
  <c r="GL146" i="2"/>
  <c r="GM146" i="2"/>
  <c r="GN146" i="2"/>
  <c r="GO146" i="2"/>
  <c r="GP146" i="2"/>
  <c r="GQ146" i="2"/>
  <c r="GR146" i="2"/>
  <c r="GS146" i="2"/>
  <c r="GT146" i="2"/>
  <c r="GU146" i="2"/>
  <c r="GV146" i="2"/>
  <c r="GW146" i="2"/>
  <c r="GX146" i="2"/>
  <c r="GY146" i="2"/>
  <c r="GZ146" i="2"/>
  <c r="HA146" i="2"/>
  <c r="HB146" i="2"/>
  <c r="HC146" i="2"/>
  <c r="HD146" i="2"/>
  <c r="HE146" i="2"/>
  <c r="HF146" i="2"/>
  <c r="HG146" i="2"/>
  <c r="HH146" i="2"/>
  <c r="HI146" i="2"/>
  <c r="HJ146" i="2"/>
  <c r="HK146" i="2"/>
  <c r="HL146" i="2"/>
  <c r="HM146" i="2"/>
  <c r="HN146" i="2"/>
  <c r="HO146" i="2"/>
  <c r="HP146" i="2"/>
  <c r="HU146" i="2"/>
  <c r="HV146" i="2"/>
  <c r="HW146" i="2"/>
  <c r="HX146" i="2"/>
  <c r="HY146" i="2"/>
  <c r="HZ146" i="2"/>
  <c r="IA146" i="2"/>
  <c r="IB146" i="2"/>
  <c r="IC146" i="2"/>
  <c r="ID146" i="2"/>
  <c r="IE146" i="2"/>
  <c r="IF146" i="2"/>
  <c r="IG146" i="2"/>
  <c r="B147" i="2"/>
  <c r="C147" i="2"/>
  <c r="E147" i="2"/>
  <c r="G147" i="2"/>
  <c r="I147" i="2"/>
  <c r="J147" i="2"/>
  <c r="K147" i="2"/>
  <c r="M147" i="2"/>
  <c r="N147" i="2"/>
  <c r="O147" i="2"/>
  <c r="P147" i="2"/>
  <c r="R147" i="2"/>
  <c r="T147" i="2"/>
  <c r="V147" i="2"/>
  <c r="X147" i="2"/>
  <c r="Y147" i="2"/>
  <c r="Z147" i="2"/>
  <c r="FV147" i="2" s="1"/>
  <c r="AA147" i="2"/>
  <c r="AB147" i="2"/>
  <c r="AC147" i="2"/>
  <c r="FW147" i="2" s="1"/>
  <c r="AD147" i="2"/>
  <c r="AE147" i="2"/>
  <c r="AG147" i="2"/>
  <c r="AI147" i="2"/>
  <c r="AK147" i="2"/>
  <c r="AL147" i="2"/>
  <c r="AM147" i="2"/>
  <c r="AO147" i="2"/>
  <c r="AQ147" i="2"/>
  <c r="AR147" i="2"/>
  <c r="AS147" i="2"/>
  <c r="AT147" i="2"/>
  <c r="AV147" i="2"/>
  <c r="AX147" i="2"/>
  <c r="AZ147" i="2"/>
  <c r="BB147" i="2"/>
  <c r="BD147" i="2"/>
  <c r="BF147" i="2"/>
  <c r="BG147" i="2"/>
  <c r="BI147" i="2"/>
  <c r="BK147" i="2"/>
  <c r="BM147" i="2"/>
  <c r="BO147" i="2"/>
  <c r="BQ147" i="2"/>
  <c r="BS147" i="2"/>
  <c r="BU147" i="2"/>
  <c r="BV147" i="2"/>
  <c r="BX147" i="2"/>
  <c r="BZ147" i="2"/>
  <c r="CA147" i="2"/>
  <c r="CB147" i="2"/>
  <c r="GN147" i="2" s="1"/>
  <c r="CC147" i="2"/>
  <c r="CD147" i="2"/>
  <c r="CE147" i="2"/>
  <c r="CG147" i="2"/>
  <c r="CH147" i="2"/>
  <c r="CI147" i="2"/>
  <c r="IB147" i="2" s="1"/>
  <c r="CJ147" i="2"/>
  <c r="CK147" i="2"/>
  <c r="CL147" i="2"/>
  <c r="CM147" i="2"/>
  <c r="CN147" i="2"/>
  <c r="CO147" i="2"/>
  <c r="CP147" i="2"/>
  <c r="CQ147" i="2"/>
  <c r="GS147" i="2" s="1"/>
  <c r="CR147" i="2"/>
  <c r="CS147" i="2"/>
  <c r="CT147" i="2"/>
  <c r="IC147" i="2" s="1"/>
  <c r="CU147" i="2"/>
  <c r="CV147" i="2"/>
  <c r="CW147" i="2"/>
  <c r="GU147" i="2" s="1"/>
  <c r="CX147" i="2"/>
  <c r="CY147" i="2"/>
  <c r="CZ147" i="2"/>
  <c r="GV147" i="2" s="1"/>
  <c r="DA147" i="2"/>
  <c r="DB147" i="2"/>
  <c r="DC147" i="2"/>
  <c r="GW147" i="2" s="1"/>
  <c r="FR147" i="2"/>
  <c r="GB147" i="2"/>
  <c r="GP147" i="2"/>
  <c r="GQ147" i="2"/>
  <c r="GT147" i="2"/>
  <c r="GX147" i="2"/>
  <c r="GY147" i="2"/>
  <c r="GZ147" i="2"/>
  <c r="HA147" i="2"/>
  <c r="HB147" i="2"/>
  <c r="HC147" i="2"/>
  <c r="HD147" i="2"/>
  <c r="HE147" i="2"/>
  <c r="HF147" i="2"/>
  <c r="HG147" i="2"/>
  <c r="HH147" i="2"/>
  <c r="HI147" i="2"/>
  <c r="HJ147" i="2"/>
  <c r="HK147" i="2"/>
  <c r="HL147" i="2"/>
  <c r="HM147" i="2"/>
  <c r="HN147" i="2"/>
  <c r="HO147" i="2"/>
  <c r="HP147" i="2"/>
  <c r="ID147" i="2"/>
  <c r="IE147" i="2"/>
  <c r="IF147" i="2"/>
  <c r="IG147" i="2"/>
  <c r="FN150" i="2"/>
  <c r="FO150" i="2"/>
  <c r="FP150" i="2"/>
  <c r="FQ150" i="2"/>
  <c r="FR150" i="2"/>
  <c r="FS150" i="2"/>
  <c r="FT150" i="2"/>
  <c r="FU150" i="2"/>
  <c r="FV150" i="2"/>
  <c r="FW150" i="2"/>
  <c r="FX150" i="2"/>
  <c r="FY150" i="2"/>
  <c r="FZ150" i="2"/>
  <c r="GA150" i="2"/>
  <c r="GB150" i="2"/>
  <c r="GC150" i="2"/>
  <c r="GD150" i="2"/>
  <c r="GE150" i="2"/>
  <c r="GF150" i="2"/>
  <c r="GG150" i="2"/>
  <c r="GH150" i="2"/>
  <c r="GI150" i="2"/>
  <c r="GJ150" i="2"/>
  <c r="GK150" i="2"/>
  <c r="GL150" i="2"/>
  <c r="GM150" i="2"/>
  <c r="GN150" i="2"/>
  <c r="GO150" i="2"/>
  <c r="GP150" i="2"/>
  <c r="GQ150" i="2"/>
  <c r="GR150" i="2"/>
  <c r="GS150" i="2"/>
  <c r="GT150" i="2"/>
  <c r="GU150" i="2"/>
  <c r="GV150" i="2"/>
  <c r="GW150" i="2"/>
  <c r="GX150" i="2"/>
  <c r="GY150" i="2"/>
  <c r="GZ150" i="2"/>
  <c r="HA150" i="2"/>
  <c r="HB150" i="2"/>
  <c r="HC150" i="2"/>
  <c r="HD150" i="2"/>
  <c r="HE150" i="2"/>
  <c r="HF150" i="2"/>
  <c r="HG150" i="2"/>
  <c r="HH150" i="2"/>
  <c r="HI150" i="2"/>
  <c r="HJ150" i="2"/>
  <c r="HK150" i="2"/>
  <c r="HL150" i="2"/>
  <c r="HM150" i="2"/>
  <c r="HN150" i="2"/>
  <c r="HO150" i="2"/>
  <c r="HP150" i="2"/>
  <c r="HU150" i="2"/>
  <c r="HV150" i="2"/>
  <c r="HW150" i="2"/>
  <c r="HX150" i="2"/>
  <c r="HY150" i="2"/>
  <c r="HZ150" i="2"/>
  <c r="IA150" i="2"/>
  <c r="IB150" i="2"/>
  <c r="IC150" i="2"/>
  <c r="ID150" i="2"/>
  <c r="IE150" i="2"/>
  <c r="IF150" i="2"/>
  <c r="IG150" i="2"/>
  <c r="FN151" i="2"/>
  <c r="FO151" i="2"/>
  <c r="FP151" i="2"/>
  <c r="FQ151" i="2"/>
  <c r="FR151" i="2"/>
  <c r="FS151" i="2"/>
  <c r="FT151" i="2"/>
  <c r="FU151" i="2"/>
  <c r="FV151" i="2"/>
  <c r="FW151" i="2"/>
  <c r="FX151" i="2"/>
  <c r="FY151" i="2"/>
  <c r="FZ151" i="2"/>
  <c r="GA151" i="2"/>
  <c r="GB151" i="2"/>
  <c r="GC151" i="2"/>
  <c r="GD151" i="2"/>
  <c r="GE151" i="2"/>
  <c r="GF151" i="2"/>
  <c r="GG151" i="2"/>
  <c r="GH151" i="2"/>
  <c r="GI151" i="2"/>
  <c r="GJ151" i="2"/>
  <c r="GK151" i="2"/>
  <c r="GL151" i="2"/>
  <c r="GM151" i="2"/>
  <c r="GN151" i="2"/>
  <c r="GO151" i="2"/>
  <c r="GP151" i="2"/>
  <c r="GQ151" i="2"/>
  <c r="GR151" i="2"/>
  <c r="GS151" i="2"/>
  <c r="GT151" i="2"/>
  <c r="GU151" i="2"/>
  <c r="GV151" i="2"/>
  <c r="GW151" i="2"/>
  <c r="GX151" i="2"/>
  <c r="GY151" i="2"/>
  <c r="GZ151" i="2"/>
  <c r="HA151" i="2"/>
  <c r="HB151" i="2"/>
  <c r="HC151" i="2"/>
  <c r="HD151" i="2"/>
  <c r="HE151" i="2"/>
  <c r="HF151" i="2"/>
  <c r="HG151" i="2"/>
  <c r="HH151" i="2"/>
  <c r="HI151" i="2"/>
  <c r="HJ151" i="2"/>
  <c r="HK151" i="2"/>
  <c r="HL151" i="2"/>
  <c r="HM151" i="2"/>
  <c r="HN151" i="2"/>
  <c r="HO151" i="2"/>
  <c r="HP151" i="2"/>
  <c r="HU151" i="2"/>
  <c r="HV151" i="2"/>
  <c r="HW151" i="2"/>
  <c r="HX151" i="2"/>
  <c r="HY151" i="2"/>
  <c r="HZ151" i="2"/>
  <c r="IA151" i="2"/>
  <c r="IB151" i="2"/>
  <c r="IC151" i="2"/>
  <c r="ID151" i="2"/>
  <c r="IE151" i="2"/>
  <c r="IF151" i="2"/>
  <c r="IG151" i="2"/>
  <c r="FN152" i="2"/>
  <c r="FO152" i="2"/>
  <c r="FP152" i="2"/>
  <c r="FQ152" i="2"/>
  <c r="FR152" i="2"/>
  <c r="FS152" i="2"/>
  <c r="FT152" i="2"/>
  <c r="FU152" i="2"/>
  <c r="FV152" i="2"/>
  <c r="FW152" i="2"/>
  <c r="FX152" i="2"/>
  <c r="FY152" i="2"/>
  <c r="FZ152" i="2"/>
  <c r="GA152" i="2"/>
  <c r="GB152" i="2"/>
  <c r="GC152" i="2"/>
  <c r="GD152" i="2"/>
  <c r="GE152" i="2"/>
  <c r="GF152" i="2"/>
  <c r="GG152" i="2"/>
  <c r="GH152" i="2"/>
  <c r="GI152" i="2"/>
  <c r="GJ152" i="2"/>
  <c r="GK152" i="2"/>
  <c r="GL152" i="2"/>
  <c r="GM152" i="2"/>
  <c r="GN152" i="2"/>
  <c r="GO152" i="2"/>
  <c r="GP152" i="2"/>
  <c r="GQ152" i="2"/>
  <c r="GR152" i="2"/>
  <c r="GS152" i="2"/>
  <c r="GT152" i="2"/>
  <c r="GU152" i="2"/>
  <c r="GV152" i="2"/>
  <c r="GW152" i="2"/>
  <c r="GX152" i="2"/>
  <c r="GY152" i="2"/>
  <c r="GZ152" i="2"/>
  <c r="HA152" i="2"/>
  <c r="HB152" i="2"/>
  <c r="HC152" i="2"/>
  <c r="HD152" i="2"/>
  <c r="HE152" i="2"/>
  <c r="HF152" i="2"/>
  <c r="HG152" i="2"/>
  <c r="HH152" i="2"/>
  <c r="HI152" i="2"/>
  <c r="HJ152" i="2"/>
  <c r="HK152" i="2"/>
  <c r="HL152" i="2"/>
  <c r="HM152" i="2"/>
  <c r="HN152" i="2"/>
  <c r="HO152" i="2"/>
  <c r="HP152" i="2"/>
  <c r="HU152" i="2"/>
  <c r="HV152" i="2"/>
  <c r="HW152" i="2"/>
  <c r="HX152" i="2"/>
  <c r="HY152" i="2"/>
  <c r="HZ152" i="2"/>
  <c r="IA152" i="2"/>
  <c r="IB152" i="2"/>
  <c r="IC152" i="2"/>
  <c r="ID152" i="2"/>
  <c r="IE152" i="2"/>
  <c r="IF152" i="2"/>
  <c r="IG152" i="2"/>
  <c r="FN153" i="2"/>
  <c r="FO153" i="2"/>
  <c r="FP153" i="2"/>
  <c r="FQ153" i="2"/>
  <c r="FR153" i="2"/>
  <c r="FS153" i="2"/>
  <c r="FT153" i="2"/>
  <c r="FU153" i="2"/>
  <c r="FV153" i="2"/>
  <c r="FW153" i="2"/>
  <c r="FX153" i="2"/>
  <c r="FY153" i="2"/>
  <c r="FZ153" i="2"/>
  <c r="GA153" i="2"/>
  <c r="GB153" i="2"/>
  <c r="GC153" i="2"/>
  <c r="GD153" i="2"/>
  <c r="GE153" i="2"/>
  <c r="GF153" i="2"/>
  <c r="GG153" i="2"/>
  <c r="GH153" i="2"/>
  <c r="GI153" i="2"/>
  <c r="GJ153" i="2"/>
  <c r="GK153" i="2"/>
  <c r="GL153" i="2"/>
  <c r="GM153" i="2"/>
  <c r="GN153" i="2"/>
  <c r="GO153" i="2"/>
  <c r="GP153" i="2"/>
  <c r="GQ153" i="2"/>
  <c r="GR153" i="2"/>
  <c r="GS153" i="2"/>
  <c r="GT153" i="2"/>
  <c r="GU153" i="2"/>
  <c r="GV153" i="2"/>
  <c r="GW153" i="2"/>
  <c r="GX153" i="2"/>
  <c r="GY153" i="2"/>
  <c r="GZ153" i="2"/>
  <c r="HA153" i="2"/>
  <c r="HB153" i="2"/>
  <c r="HC153" i="2"/>
  <c r="HD153" i="2"/>
  <c r="HE153" i="2"/>
  <c r="HF153" i="2"/>
  <c r="HG153" i="2"/>
  <c r="HH153" i="2"/>
  <c r="HI153" i="2"/>
  <c r="HJ153" i="2"/>
  <c r="HK153" i="2"/>
  <c r="HL153" i="2"/>
  <c r="HM153" i="2"/>
  <c r="HN153" i="2"/>
  <c r="HO153" i="2"/>
  <c r="HP153" i="2"/>
  <c r="HU153" i="2"/>
  <c r="HV153" i="2"/>
  <c r="HW153" i="2"/>
  <c r="HX153" i="2"/>
  <c r="HY153" i="2"/>
  <c r="HZ153" i="2"/>
  <c r="IA153" i="2"/>
  <c r="IB153" i="2"/>
  <c r="IC153" i="2"/>
  <c r="ID153" i="2"/>
  <c r="IE153" i="2"/>
  <c r="IF153" i="2"/>
  <c r="IG153" i="2"/>
  <c r="FN154" i="2"/>
  <c r="FO154" i="2"/>
  <c r="FP154" i="2"/>
  <c r="FQ154" i="2"/>
  <c r="FR154" i="2"/>
  <c r="FS154" i="2"/>
  <c r="FT154" i="2"/>
  <c r="FU154" i="2"/>
  <c r="FV154" i="2"/>
  <c r="FW154" i="2"/>
  <c r="FX154" i="2"/>
  <c r="FY154" i="2"/>
  <c r="FZ154" i="2"/>
  <c r="GA154" i="2"/>
  <c r="GB154" i="2"/>
  <c r="GC154" i="2"/>
  <c r="GD154" i="2"/>
  <c r="GE154" i="2"/>
  <c r="GF154" i="2"/>
  <c r="GG154" i="2"/>
  <c r="GH154" i="2"/>
  <c r="GI154" i="2"/>
  <c r="GJ154" i="2"/>
  <c r="GK154" i="2"/>
  <c r="GL154" i="2"/>
  <c r="GM154" i="2"/>
  <c r="GN154" i="2"/>
  <c r="GO154" i="2"/>
  <c r="GP154" i="2"/>
  <c r="GQ154" i="2"/>
  <c r="GR154" i="2"/>
  <c r="GS154" i="2"/>
  <c r="GT154" i="2"/>
  <c r="GU154" i="2"/>
  <c r="GV154" i="2"/>
  <c r="GW154" i="2"/>
  <c r="GX154" i="2"/>
  <c r="GY154" i="2"/>
  <c r="GZ154" i="2"/>
  <c r="HA154" i="2"/>
  <c r="HB154" i="2"/>
  <c r="HC154" i="2"/>
  <c r="HD154" i="2"/>
  <c r="HE154" i="2"/>
  <c r="HF154" i="2"/>
  <c r="HG154" i="2"/>
  <c r="HH154" i="2"/>
  <c r="HI154" i="2"/>
  <c r="HJ154" i="2"/>
  <c r="HK154" i="2"/>
  <c r="HL154" i="2"/>
  <c r="HM154" i="2"/>
  <c r="HN154" i="2"/>
  <c r="HO154" i="2"/>
  <c r="HP154" i="2"/>
  <c r="HU154" i="2"/>
  <c r="HV154" i="2"/>
  <c r="HW154" i="2"/>
  <c r="HX154" i="2"/>
  <c r="HY154" i="2"/>
  <c r="HZ154" i="2"/>
  <c r="IA154" i="2"/>
  <c r="IB154" i="2"/>
  <c r="IC154" i="2"/>
  <c r="ID154" i="2"/>
  <c r="IE154" i="2"/>
  <c r="IF154" i="2"/>
  <c r="IG154" i="2"/>
  <c r="FN155" i="2"/>
  <c r="FO155" i="2"/>
  <c r="FP155" i="2"/>
  <c r="FQ155" i="2"/>
  <c r="FR155" i="2"/>
  <c r="FS155" i="2"/>
  <c r="FT155" i="2"/>
  <c r="FU155" i="2"/>
  <c r="FV155" i="2"/>
  <c r="FW155" i="2"/>
  <c r="FX155" i="2"/>
  <c r="FY155" i="2"/>
  <c r="FZ155" i="2"/>
  <c r="GA155" i="2"/>
  <c r="GB155" i="2"/>
  <c r="GC155" i="2"/>
  <c r="GD155" i="2"/>
  <c r="GE155" i="2"/>
  <c r="GF155" i="2"/>
  <c r="GG155" i="2"/>
  <c r="GH155" i="2"/>
  <c r="GI155" i="2"/>
  <c r="GJ155" i="2"/>
  <c r="GK155" i="2"/>
  <c r="GL155" i="2"/>
  <c r="GM155" i="2"/>
  <c r="GN155" i="2"/>
  <c r="GO155" i="2"/>
  <c r="GP155" i="2"/>
  <c r="GQ155" i="2"/>
  <c r="GR155" i="2"/>
  <c r="GS155" i="2"/>
  <c r="GT155" i="2"/>
  <c r="GU155" i="2"/>
  <c r="GV155" i="2"/>
  <c r="GW155" i="2"/>
  <c r="GX155" i="2"/>
  <c r="GY155" i="2"/>
  <c r="GZ155" i="2"/>
  <c r="HA155" i="2"/>
  <c r="HB155" i="2"/>
  <c r="HC155" i="2"/>
  <c r="HD155" i="2"/>
  <c r="HE155" i="2"/>
  <c r="HF155" i="2"/>
  <c r="HG155" i="2"/>
  <c r="HH155" i="2"/>
  <c r="HI155" i="2"/>
  <c r="HJ155" i="2"/>
  <c r="HK155" i="2"/>
  <c r="HL155" i="2"/>
  <c r="HM155" i="2"/>
  <c r="HN155" i="2"/>
  <c r="HO155" i="2"/>
  <c r="HP155" i="2"/>
  <c r="HU155" i="2"/>
  <c r="HV155" i="2"/>
  <c r="HW155" i="2"/>
  <c r="HX155" i="2"/>
  <c r="HY155" i="2"/>
  <c r="HZ155" i="2"/>
  <c r="IA155" i="2"/>
  <c r="IB155" i="2"/>
  <c r="IC155" i="2"/>
  <c r="ID155" i="2"/>
  <c r="IE155" i="2"/>
  <c r="IF155" i="2"/>
  <c r="IG155" i="2"/>
  <c r="FN156" i="2"/>
  <c r="FO156" i="2"/>
  <c r="FP156" i="2"/>
  <c r="FQ156" i="2"/>
  <c r="FR156" i="2"/>
  <c r="FS156" i="2"/>
  <c r="FT156" i="2"/>
  <c r="FU156" i="2"/>
  <c r="FV156" i="2"/>
  <c r="FW156" i="2"/>
  <c r="FX156" i="2"/>
  <c r="FY156" i="2"/>
  <c r="FZ156" i="2"/>
  <c r="GA156" i="2"/>
  <c r="GB156" i="2"/>
  <c r="GC156" i="2"/>
  <c r="GD156" i="2"/>
  <c r="GE156" i="2"/>
  <c r="GF156" i="2"/>
  <c r="GG156" i="2"/>
  <c r="GH156" i="2"/>
  <c r="GI156" i="2"/>
  <c r="GJ156" i="2"/>
  <c r="GK156" i="2"/>
  <c r="GL156" i="2"/>
  <c r="GM156" i="2"/>
  <c r="GN156" i="2"/>
  <c r="GO156" i="2"/>
  <c r="GP156" i="2"/>
  <c r="GQ156" i="2"/>
  <c r="GR156" i="2"/>
  <c r="GS156" i="2"/>
  <c r="GT156" i="2"/>
  <c r="GU156" i="2"/>
  <c r="GV156" i="2"/>
  <c r="GW156" i="2"/>
  <c r="GX156" i="2"/>
  <c r="GY156" i="2"/>
  <c r="GZ156" i="2"/>
  <c r="HA156" i="2"/>
  <c r="HB156" i="2"/>
  <c r="HC156" i="2"/>
  <c r="HD156" i="2"/>
  <c r="HE156" i="2"/>
  <c r="HF156" i="2"/>
  <c r="HG156" i="2"/>
  <c r="HH156" i="2"/>
  <c r="HI156" i="2"/>
  <c r="HJ156" i="2"/>
  <c r="HK156" i="2"/>
  <c r="HL156" i="2"/>
  <c r="HM156" i="2"/>
  <c r="HN156" i="2"/>
  <c r="HO156" i="2"/>
  <c r="HP156" i="2"/>
  <c r="HU156" i="2"/>
  <c r="HV156" i="2"/>
  <c r="HW156" i="2"/>
  <c r="HX156" i="2"/>
  <c r="HY156" i="2"/>
  <c r="HZ156" i="2"/>
  <c r="IA156" i="2"/>
  <c r="IB156" i="2"/>
  <c r="IC156" i="2"/>
  <c r="ID156" i="2"/>
  <c r="IE156" i="2"/>
  <c r="IF156" i="2"/>
  <c r="IG156" i="2"/>
  <c r="FN157" i="2"/>
  <c r="FO157" i="2"/>
  <c r="FP157" i="2"/>
  <c r="FQ157" i="2"/>
  <c r="FR157" i="2"/>
  <c r="FS157" i="2"/>
  <c r="FT157" i="2"/>
  <c r="FU157" i="2"/>
  <c r="FV157" i="2"/>
  <c r="FW157" i="2"/>
  <c r="FX157" i="2"/>
  <c r="FY157" i="2"/>
  <c r="FZ157" i="2"/>
  <c r="GA157" i="2"/>
  <c r="GB157" i="2"/>
  <c r="GC157" i="2"/>
  <c r="GD157" i="2"/>
  <c r="GE157" i="2"/>
  <c r="GF157" i="2"/>
  <c r="GG157" i="2"/>
  <c r="GH157" i="2"/>
  <c r="GI157" i="2"/>
  <c r="GJ157" i="2"/>
  <c r="GK157" i="2"/>
  <c r="GL157" i="2"/>
  <c r="GM157" i="2"/>
  <c r="GN157" i="2"/>
  <c r="GO157" i="2"/>
  <c r="GP157" i="2"/>
  <c r="GQ157" i="2"/>
  <c r="GR157" i="2"/>
  <c r="GS157" i="2"/>
  <c r="GT157" i="2"/>
  <c r="GU157" i="2"/>
  <c r="GV157" i="2"/>
  <c r="GW157" i="2"/>
  <c r="GX157" i="2"/>
  <c r="GY157" i="2"/>
  <c r="GZ157" i="2"/>
  <c r="HA157" i="2"/>
  <c r="HB157" i="2"/>
  <c r="HC157" i="2"/>
  <c r="HD157" i="2"/>
  <c r="HE157" i="2"/>
  <c r="HF157" i="2"/>
  <c r="HG157" i="2"/>
  <c r="HH157" i="2"/>
  <c r="HI157" i="2"/>
  <c r="HJ157" i="2"/>
  <c r="HK157" i="2"/>
  <c r="HL157" i="2"/>
  <c r="HM157" i="2"/>
  <c r="HN157" i="2"/>
  <c r="HO157" i="2"/>
  <c r="HP157" i="2"/>
  <c r="HU157" i="2"/>
  <c r="HV157" i="2"/>
  <c r="HW157" i="2"/>
  <c r="HX157" i="2"/>
  <c r="HY157" i="2"/>
  <c r="HZ157" i="2"/>
  <c r="IA157" i="2"/>
  <c r="IB157" i="2"/>
  <c r="IC157" i="2"/>
  <c r="ID157" i="2"/>
  <c r="IE157" i="2"/>
  <c r="IF157" i="2"/>
  <c r="IG157" i="2"/>
  <c r="FN158" i="2"/>
  <c r="FO158" i="2"/>
  <c r="FP158" i="2"/>
  <c r="FQ158" i="2"/>
  <c r="FR158" i="2"/>
  <c r="FS158" i="2"/>
  <c r="FT158" i="2"/>
  <c r="FU158" i="2"/>
  <c r="FV158" i="2"/>
  <c r="FW158" i="2"/>
  <c r="FX158" i="2"/>
  <c r="FY158" i="2"/>
  <c r="FZ158" i="2"/>
  <c r="GA158" i="2"/>
  <c r="GB158" i="2"/>
  <c r="GC158" i="2"/>
  <c r="GD158" i="2"/>
  <c r="GE158" i="2"/>
  <c r="GF158" i="2"/>
  <c r="GG158" i="2"/>
  <c r="GH158" i="2"/>
  <c r="GI158" i="2"/>
  <c r="GJ158" i="2"/>
  <c r="GK158" i="2"/>
  <c r="GL158" i="2"/>
  <c r="GM158" i="2"/>
  <c r="GN158" i="2"/>
  <c r="GO158" i="2"/>
  <c r="GP158" i="2"/>
  <c r="GQ158" i="2"/>
  <c r="GR158" i="2"/>
  <c r="GS158" i="2"/>
  <c r="GT158" i="2"/>
  <c r="GU158" i="2"/>
  <c r="GV158" i="2"/>
  <c r="GW158" i="2"/>
  <c r="GX158" i="2"/>
  <c r="GY158" i="2"/>
  <c r="GZ158" i="2"/>
  <c r="HA158" i="2"/>
  <c r="HB158" i="2"/>
  <c r="HC158" i="2"/>
  <c r="HD158" i="2"/>
  <c r="HE158" i="2"/>
  <c r="HF158" i="2"/>
  <c r="HG158" i="2"/>
  <c r="HH158" i="2"/>
  <c r="HI158" i="2"/>
  <c r="HJ158" i="2"/>
  <c r="HK158" i="2"/>
  <c r="HL158" i="2"/>
  <c r="HM158" i="2"/>
  <c r="HN158" i="2"/>
  <c r="HO158" i="2"/>
  <c r="HP158" i="2"/>
  <c r="HU158" i="2"/>
  <c r="HV158" i="2"/>
  <c r="HW158" i="2"/>
  <c r="HX158" i="2"/>
  <c r="HY158" i="2"/>
  <c r="HZ158" i="2"/>
  <c r="IA158" i="2"/>
  <c r="IB158" i="2"/>
  <c r="IC158" i="2"/>
  <c r="ID158" i="2"/>
  <c r="IE158" i="2"/>
  <c r="IF158" i="2"/>
  <c r="IG158" i="2"/>
  <c r="FN159" i="2"/>
  <c r="FO159" i="2"/>
  <c r="FP159" i="2"/>
  <c r="FQ159" i="2"/>
  <c r="FR159" i="2"/>
  <c r="FS159" i="2"/>
  <c r="FT159" i="2"/>
  <c r="FU159" i="2"/>
  <c r="FV159" i="2"/>
  <c r="FW159" i="2"/>
  <c r="FX159" i="2"/>
  <c r="FY159" i="2"/>
  <c r="FZ159" i="2"/>
  <c r="GA159" i="2"/>
  <c r="GB159" i="2"/>
  <c r="GC159" i="2"/>
  <c r="GD159" i="2"/>
  <c r="GE159" i="2"/>
  <c r="GF159" i="2"/>
  <c r="GG159" i="2"/>
  <c r="GH159" i="2"/>
  <c r="GI159" i="2"/>
  <c r="GJ159" i="2"/>
  <c r="GK159" i="2"/>
  <c r="GL159" i="2"/>
  <c r="GM159" i="2"/>
  <c r="GN159" i="2"/>
  <c r="GO159" i="2"/>
  <c r="GP159" i="2"/>
  <c r="GQ159" i="2"/>
  <c r="GR159" i="2"/>
  <c r="GS159" i="2"/>
  <c r="GT159" i="2"/>
  <c r="GU159" i="2"/>
  <c r="GV159" i="2"/>
  <c r="GW159" i="2"/>
  <c r="GX159" i="2"/>
  <c r="GY159" i="2"/>
  <c r="GZ159" i="2"/>
  <c r="HA159" i="2"/>
  <c r="HB159" i="2"/>
  <c r="HC159" i="2"/>
  <c r="HD159" i="2"/>
  <c r="HE159" i="2"/>
  <c r="HF159" i="2"/>
  <c r="HG159" i="2"/>
  <c r="HH159" i="2"/>
  <c r="HI159" i="2"/>
  <c r="HJ159" i="2"/>
  <c r="HK159" i="2"/>
  <c r="HL159" i="2"/>
  <c r="HM159" i="2"/>
  <c r="HN159" i="2"/>
  <c r="HO159" i="2"/>
  <c r="HP159" i="2"/>
  <c r="HU159" i="2"/>
  <c r="HV159" i="2"/>
  <c r="HW159" i="2"/>
  <c r="HX159" i="2"/>
  <c r="HY159" i="2"/>
  <c r="HZ159" i="2"/>
  <c r="IA159" i="2"/>
  <c r="IB159" i="2"/>
  <c r="IC159" i="2"/>
  <c r="ID159" i="2"/>
  <c r="IE159" i="2"/>
  <c r="IF159" i="2"/>
  <c r="IG159" i="2"/>
  <c r="FN160" i="2"/>
  <c r="FO160" i="2"/>
  <c r="FP160" i="2"/>
  <c r="FQ160" i="2"/>
  <c r="FR160" i="2"/>
  <c r="FS160" i="2"/>
  <c r="FT160" i="2"/>
  <c r="FU160" i="2"/>
  <c r="FV160" i="2"/>
  <c r="FW160" i="2"/>
  <c r="FX160" i="2"/>
  <c r="FY160" i="2"/>
  <c r="FZ160" i="2"/>
  <c r="GA160" i="2"/>
  <c r="GB160" i="2"/>
  <c r="GC160" i="2"/>
  <c r="GD160" i="2"/>
  <c r="GE160" i="2"/>
  <c r="GF160" i="2"/>
  <c r="GG160" i="2"/>
  <c r="GH160" i="2"/>
  <c r="GI160" i="2"/>
  <c r="GJ160" i="2"/>
  <c r="GK160" i="2"/>
  <c r="GL160" i="2"/>
  <c r="GM160" i="2"/>
  <c r="GN160" i="2"/>
  <c r="GO160" i="2"/>
  <c r="GP160" i="2"/>
  <c r="GQ160" i="2"/>
  <c r="GR160" i="2"/>
  <c r="GS160" i="2"/>
  <c r="GT160" i="2"/>
  <c r="GU160" i="2"/>
  <c r="GV160" i="2"/>
  <c r="GW160" i="2"/>
  <c r="GX160" i="2"/>
  <c r="GY160" i="2"/>
  <c r="GZ160" i="2"/>
  <c r="HA160" i="2"/>
  <c r="HB160" i="2"/>
  <c r="HC160" i="2"/>
  <c r="HD160" i="2"/>
  <c r="HE160" i="2"/>
  <c r="HF160" i="2"/>
  <c r="HG160" i="2"/>
  <c r="HH160" i="2"/>
  <c r="HI160" i="2"/>
  <c r="HJ160" i="2"/>
  <c r="HK160" i="2"/>
  <c r="HL160" i="2"/>
  <c r="HM160" i="2"/>
  <c r="HN160" i="2"/>
  <c r="HO160" i="2"/>
  <c r="HP160" i="2"/>
  <c r="HU160" i="2"/>
  <c r="HV160" i="2"/>
  <c r="HW160" i="2"/>
  <c r="HX160" i="2"/>
  <c r="HY160" i="2"/>
  <c r="HZ160" i="2"/>
  <c r="IA160" i="2"/>
  <c r="IB160" i="2"/>
  <c r="IC160" i="2"/>
  <c r="ID160" i="2"/>
  <c r="IE160" i="2"/>
  <c r="IF160" i="2"/>
  <c r="IG160" i="2"/>
  <c r="FN161" i="2"/>
  <c r="FO161" i="2"/>
  <c r="FP161" i="2"/>
  <c r="FQ161" i="2"/>
  <c r="FR161" i="2"/>
  <c r="FS161" i="2"/>
  <c r="FT161" i="2"/>
  <c r="FU161" i="2"/>
  <c r="FV161" i="2"/>
  <c r="FW161" i="2"/>
  <c r="FX161" i="2"/>
  <c r="FY161" i="2"/>
  <c r="FZ161" i="2"/>
  <c r="GA161" i="2"/>
  <c r="GB161" i="2"/>
  <c r="GC161" i="2"/>
  <c r="GD161" i="2"/>
  <c r="GE161" i="2"/>
  <c r="GF161" i="2"/>
  <c r="GG161" i="2"/>
  <c r="GH161" i="2"/>
  <c r="GI161" i="2"/>
  <c r="GJ161" i="2"/>
  <c r="GK161" i="2"/>
  <c r="GL161" i="2"/>
  <c r="GM161" i="2"/>
  <c r="GN161" i="2"/>
  <c r="GO161" i="2"/>
  <c r="GP161" i="2"/>
  <c r="GQ161" i="2"/>
  <c r="GR161" i="2"/>
  <c r="GS161" i="2"/>
  <c r="GT161" i="2"/>
  <c r="GU161" i="2"/>
  <c r="GV161" i="2"/>
  <c r="GW161" i="2"/>
  <c r="GX161" i="2"/>
  <c r="GY161" i="2"/>
  <c r="GZ161" i="2"/>
  <c r="HA161" i="2"/>
  <c r="HB161" i="2"/>
  <c r="HC161" i="2"/>
  <c r="HD161" i="2"/>
  <c r="HE161" i="2"/>
  <c r="HF161" i="2"/>
  <c r="HG161" i="2"/>
  <c r="HH161" i="2"/>
  <c r="HI161" i="2"/>
  <c r="HJ161" i="2"/>
  <c r="HK161" i="2"/>
  <c r="HL161" i="2"/>
  <c r="HM161" i="2"/>
  <c r="HN161" i="2"/>
  <c r="HO161" i="2"/>
  <c r="HP161" i="2"/>
  <c r="HU161" i="2"/>
  <c r="HV161" i="2"/>
  <c r="HW161" i="2"/>
  <c r="HX161" i="2"/>
  <c r="HY161" i="2"/>
  <c r="HZ161" i="2"/>
  <c r="IA161" i="2"/>
  <c r="IB161" i="2"/>
  <c r="IC161" i="2"/>
  <c r="ID161" i="2"/>
  <c r="IE161" i="2"/>
  <c r="IF161" i="2"/>
  <c r="IG161" i="2"/>
  <c r="FN162" i="2"/>
  <c r="FO162" i="2"/>
  <c r="FP162" i="2"/>
  <c r="FQ162" i="2"/>
  <c r="FR162" i="2"/>
  <c r="FS162" i="2"/>
  <c r="FT162" i="2"/>
  <c r="FU162" i="2"/>
  <c r="FV162" i="2"/>
  <c r="FW162" i="2"/>
  <c r="FX162" i="2"/>
  <c r="FY162" i="2"/>
  <c r="FZ162" i="2"/>
  <c r="GA162" i="2"/>
  <c r="GB162" i="2"/>
  <c r="GC162" i="2"/>
  <c r="GD162" i="2"/>
  <c r="GE162" i="2"/>
  <c r="GF162" i="2"/>
  <c r="GG162" i="2"/>
  <c r="GH162" i="2"/>
  <c r="GI162" i="2"/>
  <c r="GJ162" i="2"/>
  <c r="GK162" i="2"/>
  <c r="GL162" i="2"/>
  <c r="GM162" i="2"/>
  <c r="GN162" i="2"/>
  <c r="GO162" i="2"/>
  <c r="GP162" i="2"/>
  <c r="GQ162" i="2"/>
  <c r="GR162" i="2"/>
  <c r="GS162" i="2"/>
  <c r="GT162" i="2"/>
  <c r="GU162" i="2"/>
  <c r="GV162" i="2"/>
  <c r="GW162" i="2"/>
  <c r="GX162" i="2"/>
  <c r="GY162" i="2"/>
  <c r="GZ162" i="2"/>
  <c r="HA162" i="2"/>
  <c r="HB162" i="2"/>
  <c r="HC162" i="2"/>
  <c r="HD162" i="2"/>
  <c r="HE162" i="2"/>
  <c r="HF162" i="2"/>
  <c r="HG162" i="2"/>
  <c r="HH162" i="2"/>
  <c r="HI162" i="2"/>
  <c r="HJ162" i="2"/>
  <c r="HK162" i="2"/>
  <c r="HL162" i="2"/>
  <c r="HM162" i="2"/>
  <c r="HN162" i="2"/>
  <c r="HO162" i="2"/>
  <c r="HP162" i="2"/>
  <c r="HU162" i="2"/>
  <c r="HV162" i="2"/>
  <c r="HW162" i="2"/>
  <c r="HX162" i="2"/>
  <c r="HY162" i="2"/>
  <c r="HZ162" i="2"/>
  <c r="IA162" i="2"/>
  <c r="IB162" i="2"/>
  <c r="IC162" i="2"/>
  <c r="ID162" i="2"/>
  <c r="IE162" i="2"/>
  <c r="IF162" i="2"/>
  <c r="IG162" i="2"/>
  <c r="FN163" i="2"/>
  <c r="FO163" i="2"/>
  <c r="FP163" i="2"/>
  <c r="FQ163" i="2"/>
  <c r="FR163" i="2"/>
  <c r="FS163" i="2"/>
  <c r="FT163" i="2"/>
  <c r="FU163" i="2"/>
  <c r="FV163" i="2"/>
  <c r="FW163" i="2"/>
  <c r="FX163" i="2"/>
  <c r="FY163" i="2"/>
  <c r="FZ163" i="2"/>
  <c r="GA163" i="2"/>
  <c r="GB163" i="2"/>
  <c r="GC163" i="2"/>
  <c r="GD163" i="2"/>
  <c r="GE163" i="2"/>
  <c r="GF163" i="2"/>
  <c r="GG163" i="2"/>
  <c r="GH163" i="2"/>
  <c r="GI163" i="2"/>
  <c r="GJ163" i="2"/>
  <c r="GK163" i="2"/>
  <c r="GL163" i="2"/>
  <c r="GM163" i="2"/>
  <c r="GN163" i="2"/>
  <c r="GO163" i="2"/>
  <c r="GP163" i="2"/>
  <c r="GQ163" i="2"/>
  <c r="GR163" i="2"/>
  <c r="GS163" i="2"/>
  <c r="GT163" i="2"/>
  <c r="GU163" i="2"/>
  <c r="GV163" i="2"/>
  <c r="GW163" i="2"/>
  <c r="GX163" i="2"/>
  <c r="GY163" i="2"/>
  <c r="GZ163" i="2"/>
  <c r="HA163" i="2"/>
  <c r="HB163" i="2"/>
  <c r="HC163" i="2"/>
  <c r="HD163" i="2"/>
  <c r="HE163" i="2"/>
  <c r="HF163" i="2"/>
  <c r="HG163" i="2"/>
  <c r="HH163" i="2"/>
  <c r="HI163" i="2"/>
  <c r="HJ163" i="2"/>
  <c r="HK163" i="2"/>
  <c r="HL163" i="2"/>
  <c r="HM163" i="2"/>
  <c r="HN163" i="2"/>
  <c r="HO163" i="2"/>
  <c r="HP163" i="2"/>
  <c r="HU163" i="2"/>
  <c r="HV163" i="2"/>
  <c r="HW163" i="2"/>
  <c r="HX163" i="2"/>
  <c r="HY163" i="2"/>
  <c r="HZ163" i="2"/>
  <c r="IA163" i="2"/>
  <c r="IB163" i="2"/>
  <c r="IC163" i="2"/>
  <c r="ID163" i="2"/>
  <c r="IE163" i="2"/>
  <c r="IF163" i="2"/>
  <c r="IG163" i="2"/>
  <c r="FN164" i="2"/>
  <c r="FO164" i="2"/>
  <c r="FP164" i="2"/>
  <c r="FQ164" i="2"/>
  <c r="FR164" i="2"/>
  <c r="FS164" i="2"/>
  <c r="FT164" i="2"/>
  <c r="FU164" i="2"/>
  <c r="FV164" i="2"/>
  <c r="FW164" i="2"/>
  <c r="FX164" i="2"/>
  <c r="FY164" i="2"/>
  <c r="FZ164" i="2"/>
  <c r="GA164" i="2"/>
  <c r="GB164" i="2"/>
  <c r="GC164" i="2"/>
  <c r="GD164" i="2"/>
  <c r="GE164" i="2"/>
  <c r="GF164" i="2"/>
  <c r="GG164" i="2"/>
  <c r="GH164" i="2"/>
  <c r="GI164" i="2"/>
  <c r="GJ164" i="2"/>
  <c r="GK164" i="2"/>
  <c r="GL164" i="2"/>
  <c r="GM164" i="2"/>
  <c r="GN164" i="2"/>
  <c r="GO164" i="2"/>
  <c r="GP164" i="2"/>
  <c r="GQ164" i="2"/>
  <c r="GR164" i="2"/>
  <c r="GS164" i="2"/>
  <c r="GT164" i="2"/>
  <c r="GU164" i="2"/>
  <c r="GV164" i="2"/>
  <c r="GW164" i="2"/>
  <c r="GX164" i="2"/>
  <c r="GY164" i="2"/>
  <c r="GZ164" i="2"/>
  <c r="HA164" i="2"/>
  <c r="HB164" i="2"/>
  <c r="HC164" i="2"/>
  <c r="HD164" i="2"/>
  <c r="HE164" i="2"/>
  <c r="HF164" i="2"/>
  <c r="HG164" i="2"/>
  <c r="HH164" i="2"/>
  <c r="HI164" i="2"/>
  <c r="HJ164" i="2"/>
  <c r="HK164" i="2"/>
  <c r="HL164" i="2"/>
  <c r="HM164" i="2"/>
  <c r="HN164" i="2"/>
  <c r="HO164" i="2"/>
  <c r="HP164" i="2"/>
  <c r="HU164" i="2"/>
  <c r="HV164" i="2"/>
  <c r="HW164" i="2"/>
  <c r="HX164" i="2"/>
  <c r="HY164" i="2"/>
  <c r="HZ164" i="2"/>
  <c r="IA164" i="2"/>
  <c r="IB164" i="2"/>
  <c r="IC164" i="2"/>
  <c r="ID164" i="2"/>
  <c r="IE164" i="2"/>
  <c r="IF164" i="2"/>
  <c r="IG164" i="2"/>
  <c r="HU166" i="2"/>
  <c r="HV166" i="2"/>
  <c r="HW166" i="2"/>
  <c r="HX166" i="2"/>
  <c r="HY166" i="2"/>
  <c r="HZ166" i="2"/>
  <c r="IA166" i="2"/>
  <c r="IB166" i="2"/>
  <c r="IC166" i="2"/>
  <c r="ID166" i="2"/>
  <c r="IE166" i="2"/>
  <c r="IF166" i="2"/>
  <c r="IG166" i="2"/>
  <c r="HU167" i="2"/>
  <c r="HV167" i="2"/>
  <c r="HW167" i="2"/>
  <c r="HX167" i="2"/>
  <c r="HY167" i="2"/>
  <c r="HZ167" i="2"/>
  <c r="IA167" i="2"/>
  <c r="IB167" i="2"/>
  <c r="IC167" i="2"/>
  <c r="ID167" i="2"/>
  <c r="IE167" i="2"/>
  <c r="IF167" i="2"/>
  <c r="IG167" i="2"/>
  <c r="HU168" i="2"/>
  <c r="HV168" i="2"/>
  <c r="HW168" i="2"/>
  <c r="HX168" i="2"/>
  <c r="HY168" i="2"/>
  <c r="HZ168" i="2"/>
  <c r="IA168" i="2"/>
  <c r="IB168" i="2"/>
  <c r="IC168" i="2"/>
  <c r="ID168" i="2"/>
  <c r="IE168" i="2"/>
  <c r="IF168" i="2"/>
  <c r="IG168" i="2"/>
  <c r="HU169" i="2"/>
  <c r="HV169" i="2"/>
  <c r="HW169" i="2"/>
  <c r="HX169" i="2"/>
  <c r="HY169" i="2"/>
  <c r="HZ169" i="2"/>
  <c r="IA169" i="2"/>
  <c r="IB169" i="2"/>
  <c r="IC169" i="2"/>
  <c r="ID169" i="2"/>
  <c r="IE169" i="2"/>
  <c r="IF169" i="2"/>
  <c r="IG169" i="2"/>
  <c r="FN170" i="2"/>
  <c r="FO170" i="2"/>
  <c r="FP170" i="2"/>
  <c r="FQ170" i="2"/>
  <c r="FR170" i="2"/>
  <c r="FS170" i="2"/>
  <c r="FT170" i="2"/>
  <c r="FU170" i="2"/>
  <c r="FV170" i="2"/>
  <c r="FW170" i="2"/>
  <c r="FX170" i="2"/>
  <c r="FY170" i="2"/>
  <c r="FZ170" i="2"/>
  <c r="GA170" i="2"/>
  <c r="GB170" i="2"/>
  <c r="GC170" i="2"/>
  <c r="GD170" i="2"/>
  <c r="GE170" i="2"/>
  <c r="GF170" i="2"/>
  <c r="GG170" i="2"/>
  <c r="GH170" i="2"/>
  <c r="GI170" i="2"/>
  <c r="GJ170" i="2"/>
  <c r="GK170" i="2"/>
  <c r="GL170" i="2"/>
  <c r="GM170" i="2"/>
  <c r="GN170" i="2"/>
  <c r="GO170" i="2"/>
  <c r="GP170" i="2"/>
  <c r="GQ170" i="2"/>
  <c r="GR170" i="2"/>
  <c r="GS170" i="2"/>
  <c r="GT170" i="2"/>
  <c r="GU170" i="2"/>
  <c r="GV170" i="2"/>
  <c r="GW170" i="2"/>
  <c r="GX170" i="2"/>
  <c r="GY170" i="2"/>
  <c r="GZ170" i="2"/>
  <c r="HA170" i="2"/>
  <c r="HB170" i="2"/>
  <c r="HC170" i="2"/>
  <c r="HD170" i="2"/>
  <c r="HE170" i="2"/>
  <c r="HF170" i="2"/>
  <c r="HG170" i="2"/>
  <c r="HH170" i="2"/>
  <c r="HI170" i="2"/>
  <c r="HJ170" i="2"/>
  <c r="HK170" i="2"/>
  <c r="HL170" i="2"/>
  <c r="HM170" i="2"/>
  <c r="HN170" i="2"/>
  <c r="HO170" i="2"/>
  <c r="HP170" i="2"/>
  <c r="HU170" i="2"/>
  <c r="HV170" i="2"/>
  <c r="HW170" i="2"/>
  <c r="HX170" i="2"/>
  <c r="HY170" i="2"/>
  <c r="HZ170" i="2"/>
  <c r="IA170" i="2"/>
  <c r="IB170" i="2"/>
  <c r="IC170" i="2"/>
  <c r="ID170" i="2"/>
  <c r="IE170" i="2"/>
  <c r="IF170" i="2"/>
  <c r="IG170" i="2"/>
  <c r="FN171" i="2"/>
  <c r="FO171" i="2"/>
  <c r="FP171" i="2"/>
  <c r="FQ171" i="2"/>
  <c r="FR171" i="2"/>
  <c r="FS171" i="2"/>
  <c r="FT171" i="2"/>
  <c r="FU171" i="2"/>
  <c r="FV171" i="2"/>
  <c r="FW171" i="2"/>
  <c r="FX171" i="2"/>
  <c r="FY171" i="2"/>
  <c r="FZ171" i="2"/>
  <c r="GA171" i="2"/>
  <c r="GB171" i="2"/>
  <c r="GC171" i="2"/>
  <c r="GD171" i="2"/>
  <c r="GE171" i="2"/>
  <c r="GF171" i="2"/>
  <c r="GG171" i="2"/>
  <c r="GH171" i="2"/>
  <c r="GI171" i="2"/>
  <c r="GJ171" i="2"/>
  <c r="GK171" i="2"/>
  <c r="GL171" i="2"/>
  <c r="GM171" i="2"/>
  <c r="GN171" i="2"/>
  <c r="GO171" i="2"/>
  <c r="GP171" i="2"/>
  <c r="GQ171" i="2"/>
  <c r="GR171" i="2"/>
  <c r="GS171" i="2"/>
  <c r="GT171" i="2"/>
  <c r="GU171" i="2"/>
  <c r="GV171" i="2"/>
  <c r="GW171" i="2"/>
  <c r="GX171" i="2"/>
  <c r="GY171" i="2"/>
  <c r="GZ171" i="2"/>
  <c r="HA171" i="2"/>
  <c r="HB171" i="2"/>
  <c r="HC171" i="2"/>
  <c r="HD171" i="2"/>
  <c r="HE171" i="2"/>
  <c r="HF171" i="2"/>
  <c r="HG171" i="2"/>
  <c r="HH171" i="2"/>
  <c r="HI171" i="2"/>
  <c r="HJ171" i="2"/>
  <c r="HK171" i="2"/>
  <c r="HL171" i="2"/>
  <c r="HM171" i="2"/>
  <c r="HN171" i="2"/>
  <c r="HO171" i="2"/>
  <c r="HP171" i="2"/>
  <c r="HU171" i="2"/>
  <c r="HV171" i="2"/>
  <c r="HW171" i="2"/>
  <c r="HX171" i="2"/>
  <c r="HY171" i="2"/>
  <c r="HZ171" i="2"/>
  <c r="IA171" i="2"/>
  <c r="IB171" i="2"/>
  <c r="IC171" i="2"/>
  <c r="ID171" i="2"/>
  <c r="IE171" i="2"/>
  <c r="IF171" i="2"/>
  <c r="IG171" i="2"/>
  <c r="FN172" i="2"/>
  <c r="FO172" i="2"/>
  <c r="FP172" i="2"/>
  <c r="FQ172" i="2"/>
  <c r="FR172" i="2"/>
  <c r="FS172" i="2"/>
  <c r="FT172" i="2"/>
  <c r="FU172" i="2"/>
  <c r="FV172" i="2"/>
  <c r="FW172" i="2"/>
  <c r="FX172" i="2"/>
  <c r="FY172" i="2"/>
  <c r="FZ172" i="2"/>
  <c r="GA172" i="2"/>
  <c r="GB172" i="2"/>
  <c r="GC172" i="2"/>
  <c r="GD172" i="2"/>
  <c r="GE172" i="2"/>
  <c r="GF172" i="2"/>
  <c r="GG172" i="2"/>
  <c r="GH172" i="2"/>
  <c r="GI172" i="2"/>
  <c r="GJ172" i="2"/>
  <c r="GK172" i="2"/>
  <c r="GL172" i="2"/>
  <c r="GM172" i="2"/>
  <c r="GN172" i="2"/>
  <c r="GO172" i="2"/>
  <c r="GP172" i="2"/>
  <c r="GQ172" i="2"/>
  <c r="GR172" i="2"/>
  <c r="GS172" i="2"/>
  <c r="GT172" i="2"/>
  <c r="GU172" i="2"/>
  <c r="GV172" i="2"/>
  <c r="GW172" i="2"/>
  <c r="GX172" i="2"/>
  <c r="GY172" i="2"/>
  <c r="GZ172" i="2"/>
  <c r="HA172" i="2"/>
  <c r="HB172" i="2"/>
  <c r="HC172" i="2"/>
  <c r="HD172" i="2"/>
  <c r="HE172" i="2"/>
  <c r="HF172" i="2"/>
  <c r="HG172" i="2"/>
  <c r="HH172" i="2"/>
  <c r="HI172" i="2"/>
  <c r="HJ172" i="2"/>
  <c r="HK172" i="2"/>
  <c r="HL172" i="2"/>
  <c r="HM172" i="2"/>
  <c r="HN172" i="2"/>
  <c r="HO172" i="2"/>
  <c r="HP172" i="2"/>
  <c r="HU172" i="2"/>
  <c r="HV172" i="2"/>
  <c r="HW172" i="2"/>
  <c r="HX172" i="2"/>
  <c r="HY172" i="2"/>
  <c r="HZ172" i="2"/>
  <c r="IA172" i="2"/>
  <c r="IB172" i="2"/>
  <c r="IC172" i="2"/>
  <c r="ID172" i="2"/>
  <c r="IE172" i="2"/>
  <c r="IF172" i="2"/>
  <c r="IG172" i="2"/>
  <c r="FN173" i="2"/>
  <c r="FO173" i="2"/>
  <c r="FP173" i="2"/>
  <c r="FQ173" i="2"/>
  <c r="FR173" i="2"/>
  <c r="FS173" i="2"/>
  <c r="FT173" i="2"/>
  <c r="FU173" i="2"/>
  <c r="FV173" i="2"/>
  <c r="FW173" i="2"/>
  <c r="FX173" i="2"/>
  <c r="FY173" i="2"/>
  <c r="FZ173" i="2"/>
  <c r="GA173" i="2"/>
  <c r="GB173" i="2"/>
  <c r="GC173" i="2"/>
  <c r="GD173" i="2"/>
  <c r="GE173" i="2"/>
  <c r="GF173" i="2"/>
  <c r="GG173" i="2"/>
  <c r="GH173" i="2"/>
  <c r="GI173" i="2"/>
  <c r="GJ173" i="2"/>
  <c r="GK173" i="2"/>
  <c r="GL173" i="2"/>
  <c r="GM173" i="2"/>
  <c r="GN173" i="2"/>
  <c r="GO173" i="2"/>
  <c r="GP173" i="2"/>
  <c r="GQ173" i="2"/>
  <c r="GR173" i="2"/>
  <c r="GS173" i="2"/>
  <c r="GT173" i="2"/>
  <c r="GU173" i="2"/>
  <c r="GV173" i="2"/>
  <c r="GW173" i="2"/>
  <c r="GX173" i="2"/>
  <c r="GY173" i="2"/>
  <c r="GZ173" i="2"/>
  <c r="HA173" i="2"/>
  <c r="HB173" i="2"/>
  <c r="HC173" i="2"/>
  <c r="HD173" i="2"/>
  <c r="HE173" i="2"/>
  <c r="HF173" i="2"/>
  <c r="HG173" i="2"/>
  <c r="HH173" i="2"/>
  <c r="HI173" i="2"/>
  <c r="HJ173" i="2"/>
  <c r="HK173" i="2"/>
  <c r="HL173" i="2"/>
  <c r="HM173" i="2"/>
  <c r="HN173" i="2"/>
  <c r="HO173" i="2"/>
  <c r="HP173" i="2"/>
  <c r="HU173" i="2"/>
  <c r="HV173" i="2"/>
  <c r="HW173" i="2"/>
  <c r="HX173" i="2"/>
  <c r="HY173" i="2"/>
  <c r="HZ173" i="2"/>
  <c r="IA173" i="2"/>
  <c r="IB173" i="2"/>
  <c r="IC173" i="2"/>
  <c r="ID173" i="2"/>
  <c r="IE173" i="2"/>
  <c r="IF173" i="2"/>
  <c r="IG173" i="2"/>
  <c r="FN174" i="2"/>
  <c r="FO174" i="2"/>
  <c r="FP174" i="2"/>
  <c r="FQ174" i="2"/>
  <c r="FR174" i="2"/>
  <c r="FS174" i="2"/>
  <c r="FT174" i="2"/>
  <c r="FU174" i="2"/>
  <c r="FV174" i="2"/>
  <c r="FW174" i="2"/>
  <c r="FX174" i="2"/>
  <c r="FY174" i="2"/>
  <c r="FZ174" i="2"/>
  <c r="GA174" i="2"/>
  <c r="GB174" i="2"/>
  <c r="GC174" i="2"/>
  <c r="GD174" i="2"/>
  <c r="GE174" i="2"/>
  <c r="GF174" i="2"/>
  <c r="GG174" i="2"/>
  <c r="GH174" i="2"/>
  <c r="GI174" i="2"/>
  <c r="GJ174" i="2"/>
  <c r="GK174" i="2"/>
  <c r="GL174" i="2"/>
  <c r="GM174" i="2"/>
  <c r="GN174" i="2"/>
  <c r="GO174" i="2"/>
  <c r="GP174" i="2"/>
  <c r="GQ174" i="2"/>
  <c r="GR174" i="2"/>
  <c r="GS174" i="2"/>
  <c r="GT174" i="2"/>
  <c r="GU174" i="2"/>
  <c r="GV174" i="2"/>
  <c r="GW174" i="2"/>
  <c r="GX174" i="2"/>
  <c r="GY174" i="2"/>
  <c r="GZ174" i="2"/>
  <c r="HA174" i="2"/>
  <c r="HB174" i="2"/>
  <c r="HC174" i="2"/>
  <c r="HD174" i="2"/>
  <c r="HE174" i="2"/>
  <c r="HF174" i="2"/>
  <c r="HG174" i="2"/>
  <c r="HH174" i="2"/>
  <c r="HI174" i="2"/>
  <c r="HJ174" i="2"/>
  <c r="HK174" i="2"/>
  <c r="HL174" i="2"/>
  <c r="HM174" i="2"/>
  <c r="HN174" i="2"/>
  <c r="HO174" i="2"/>
  <c r="HP174" i="2"/>
  <c r="HU174" i="2"/>
  <c r="HV174" i="2"/>
  <c r="HW174" i="2"/>
  <c r="HX174" i="2"/>
  <c r="HY174" i="2"/>
  <c r="HZ174" i="2"/>
  <c r="IA174" i="2"/>
  <c r="IB174" i="2"/>
  <c r="IC174" i="2"/>
  <c r="ID174" i="2"/>
  <c r="IE174" i="2"/>
  <c r="IF174" i="2"/>
  <c r="IG174" i="2"/>
  <c r="FN175" i="2"/>
  <c r="FO175" i="2"/>
  <c r="FP175" i="2"/>
  <c r="FQ175" i="2"/>
  <c r="FR175" i="2"/>
  <c r="FS175" i="2"/>
  <c r="FT175" i="2"/>
  <c r="FU175" i="2"/>
  <c r="FV175" i="2"/>
  <c r="FW175" i="2"/>
  <c r="FX175" i="2"/>
  <c r="FY175" i="2"/>
  <c r="FZ175" i="2"/>
  <c r="GA175" i="2"/>
  <c r="GB175" i="2"/>
  <c r="GC175" i="2"/>
  <c r="GD175" i="2"/>
  <c r="GE175" i="2"/>
  <c r="GF175" i="2"/>
  <c r="GG175" i="2"/>
  <c r="GH175" i="2"/>
  <c r="GI175" i="2"/>
  <c r="GJ175" i="2"/>
  <c r="GK175" i="2"/>
  <c r="GL175" i="2"/>
  <c r="GM175" i="2"/>
  <c r="GN175" i="2"/>
  <c r="GO175" i="2"/>
  <c r="GP175" i="2"/>
  <c r="GQ175" i="2"/>
  <c r="GR175" i="2"/>
  <c r="GS175" i="2"/>
  <c r="GT175" i="2"/>
  <c r="GU175" i="2"/>
  <c r="GV175" i="2"/>
  <c r="GW175" i="2"/>
  <c r="GX175" i="2"/>
  <c r="GY175" i="2"/>
  <c r="GZ175" i="2"/>
  <c r="HA175" i="2"/>
  <c r="HB175" i="2"/>
  <c r="HC175" i="2"/>
  <c r="HD175" i="2"/>
  <c r="HE175" i="2"/>
  <c r="HF175" i="2"/>
  <c r="HG175" i="2"/>
  <c r="HH175" i="2"/>
  <c r="HI175" i="2"/>
  <c r="HJ175" i="2"/>
  <c r="HK175" i="2"/>
  <c r="HL175" i="2"/>
  <c r="HM175" i="2"/>
  <c r="HN175" i="2"/>
  <c r="HO175" i="2"/>
  <c r="HP175" i="2"/>
  <c r="HU175" i="2"/>
  <c r="HV175" i="2"/>
  <c r="HW175" i="2"/>
  <c r="HX175" i="2"/>
  <c r="HY175" i="2"/>
  <c r="HZ175" i="2"/>
  <c r="IA175" i="2"/>
  <c r="IB175" i="2"/>
  <c r="IC175" i="2"/>
  <c r="ID175" i="2"/>
  <c r="IE175" i="2"/>
  <c r="IF175" i="2"/>
  <c r="IG175" i="2"/>
  <c r="FN176" i="2"/>
  <c r="FO176" i="2"/>
  <c r="FP176" i="2"/>
  <c r="FQ176" i="2"/>
  <c r="FR176" i="2"/>
  <c r="FS176" i="2"/>
  <c r="FT176" i="2"/>
  <c r="FU176" i="2"/>
  <c r="FV176" i="2"/>
  <c r="FW176" i="2"/>
  <c r="FX176" i="2"/>
  <c r="FY176" i="2"/>
  <c r="FZ176" i="2"/>
  <c r="GA176" i="2"/>
  <c r="GB176" i="2"/>
  <c r="GC176" i="2"/>
  <c r="GD176" i="2"/>
  <c r="GE176" i="2"/>
  <c r="GF176" i="2"/>
  <c r="GG176" i="2"/>
  <c r="GH176" i="2"/>
  <c r="GI176" i="2"/>
  <c r="GJ176" i="2"/>
  <c r="GK176" i="2"/>
  <c r="GL176" i="2"/>
  <c r="GM176" i="2"/>
  <c r="GN176" i="2"/>
  <c r="GO176" i="2"/>
  <c r="GP176" i="2"/>
  <c r="GQ176" i="2"/>
  <c r="GR176" i="2"/>
  <c r="GS176" i="2"/>
  <c r="GT176" i="2"/>
  <c r="GU176" i="2"/>
  <c r="GV176" i="2"/>
  <c r="GW176" i="2"/>
  <c r="GX176" i="2"/>
  <c r="GY176" i="2"/>
  <c r="GZ176" i="2"/>
  <c r="HA176" i="2"/>
  <c r="HB176" i="2"/>
  <c r="HC176" i="2"/>
  <c r="HD176" i="2"/>
  <c r="HE176" i="2"/>
  <c r="HF176" i="2"/>
  <c r="HG176" i="2"/>
  <c r="HH176" i="2"/>
  <c r="HI176" i="2"/>
  <c r="HJ176" i="2"/>
  <c r="HK176" i="2"/>
  <c r="HL176" i="2"/>
  <c r="HM176" i="2"/>
  <c r="HN176" i="2"/>
  <c r="HO176" i="2"/>
  <c r="HP176" i="2"/>
  <c r="HU176" i="2"/>
  <c r="HV176" i="2"/>
  <c r="HW176" i="2"/>
  <c r="HX176" i="2"/>
  <c r="HY176" i="2"/>
  <c r="HZ176" i="2"/>
  <c r="IA176" i="2"/>
  <c r="IB176" i="2"/>
  <c r="IC176" i="2"/>
  <c r="ID176" i="2"/>
  <c r="IE176" i="2"/>
  <c r="IF176" i="2"/>
  <c r="IG176" i="2"/>
  <c r="FN177" i="2"/>
  <c r="FO177" i="2"/>
  <c r="FP177" i="2"/>
  <c r="FQ177" i="2"/>
  <c r="FR177" i="2"/>
  <c r="FS177" i="2"/>
  <c r="FT177" i="2"/>
  <c r="FU177" i="2"/>
  <c r="FV177" i="2"/>
  <c r="FW177" i="2"/>
  <c r="FX177" i="2"/>
  <c r="FY177" i="2"/>
  <c r="FZ177" i="2"/>
  <c r="GA177" i="2"/>
  <c r="GB177" i="2"/>
  <c r="GC177" i="2"/>
  <c r="GD177" i="2"/>
  <c r="GE177" i="2"/>
  <c r="GF177" i="2"/>
  <c r="GG177" i="2"/>
  <c r="GH177" i="2"/>
  <c r="GI177" i="2"/>
  <c r="GJ177" i="2"/>
  <c r="GK177" i="2"/>
  <c r="GL177" i="2"/>
  <c r="GM177" i="2"/>
  <c r="GN177" i="2"/>
  <c r="GO177" i="2"/>
  <c r="GP177" i="2"/>
  <c r="GQ177" i="2"/>
  <c r="GR177" i="2"/>
  <c r="GS177" i="2"/>
  <c r="GT177" i="2"/>
  <c r="GU177" i="2"/>
  <c r="GV177" i="2"/>
  <c r="GW177" i="2"/>
  <c r="GX177" i="2"/>
  <c r="GY177" i="2"/>
  <c r="GZ177" i="2"/>
  <c r="HA177" i="2"/>
  <c r="HB177" i="2"/>
  <c r="HC177" i="2"/>
  <c r="HD177" i="2"/>
  <c r="HE177" i="2"/>
  <c r="HF177" i="2"/>
  <c r="HG177" i="2"/>
  <c r="HH177" i="2"/>
  <c r="HI177" i="2"/>
  <c r="HJ177" i="2"/>
  <c r="HK177" i="2"/>
  <c r="HL177" i="2"/>
  <c r="HM177" i="2"/>
  <c r="HN177" i="2"/>
  <c r="HO177" i="2"/>
  <c r="HP177" i="2"/>
  <c r="HU177" i="2"/>
  <c r="HV177" i="2"/>
  <c r="HW177" i="2"/>
  <c r="HX177" i="2"/>
  <c r="HY177" i="2"/>
  <c r="HZ177" i="2"/>
  <c r="IA177" i="2"/>
  <c r="IB177" i="2"/>
  <c r="IC177" i="2"/>
  <c r="ID177" i="2"/>
  <c r="IE177" i="2"/>
  <c r="IF177" i="2"/>
  <c r="IG177" i="2"/>
  <c r="FN178" i="2"/>
  <c r="FO178" i="2"/>
  <c r="FP178" i="2"/>
  <c r="FQ178" i="2"/>
  <c r="FR178" i="2"/>
  <c r="FS178" i="2"/>
  <c r="FT178" i="2"/>
  <c r="FU178" i="2"/>
  <c r="FV178" i="2"/>
  <c r="FW178" i="2"/>
  <c r="FX178" i="2"/>
  <c r="FY178" i="2"/>
  <c r="FZ178" i="2"/>
  <c r="GA178" i="2"/>
  <c r="GB178" i="2"/>
  <c r="GC178" i="2"/>
  <c r="GD178" i="2"/>
  <c r="GE178" i="2"/>
  <c r="GF178" i="2"/>
  <c r="GG178" i="2"/>
  <c r="GH178" i="2"/>
  <c r="GI178" i="2"/>
  <c r="GJ178" i="2"/>
  <c r="GK178" i="2"/>
  <c r="GL178" i="2"/>
  <c r="GM178" i="2"/>
  <c r="GN178" i="2"/>
  <c r="GO178" i="2"/>
  <c r="GP178" i="2"/>
  <c r="GQ178" i="2"/>
  <c r="GR178" i="2"/>
  <c r="GS178" i="2"/>
  <c r="GT178" i="2"/>
  <c r="GU178" i="2"/>
  <c r="GV178" i="2"/>
  <c r="GW178" i="2"/>
  <c r="GX178" i="2"/>
  <c r="GY178" i="2"/>
  <c r="GZ178" i="2"/>
  <c r="HA178" i="2"/>
  <c r="HB178" i="2"/>
  <c r="HC178" i="2"/>
  <c r="HD178" i="2"/>
  <c r="HE178" i="2"/>
  <c r="HF178" i="2"/>
  <c r="HG178" i="2"/>
  <c r="HH178" i="2"/>
  <c r="HI178" i="2"/>
  <c r="HJ178" i="2"/>
  <c r="HK178" i="2"/>
  <c r="HL178" i="2"/>
  <c r="HM178" i="2"/>
  <c r="HN178" i="2"/>
  <c r="HO178" i="2"/>
  <c r="HP178" i="2"/>
  <c r="HU178" i="2"/>
  <c r="HV178" i="2"/>
  <c r="HW178" i="2"/>
  <c r="HX178" i="2"/>
  <c r="HY178" i="2"/>
  <c r="HZ178" i="2"/>
  <c r="IA178" i="2"/>
  <c r="IB178" i="2"/>
  <c r="IC178" i="2"/>
  <c r="ID178" i="2"/>
  <c r="IE178" i="2"/>
  <c r="IF178" i="2"/>
  <c r="IG178" i="2"/>
  <c r="FN179" i="2"/>
  <c r="FO179" i="2"/>
  <c r="FP179" i="2"/>
  <c r="FQ179" i="2"/>
  <c r="FR179" i="2"/>
  <c r="FS179" i="2"/>
  <c r="FT179" i="2"/>
  <c r="FU179" i="2"/>
  <c r="FV179" i="2"/>
  <c r="FW179" i="2"/>
  <c r="FX179" i="2"/>
  <c r="FY179" i="2"/>
  <c r="FZ179" i="2"/>
  <c r="GA179" i="2"/>
  <c r="GB179" i="2"/>
  <c r="GC179" i="2"/>
  <c r="GD179" i="2"/>
  <c r="GE179" i="2"/>
  <c r="GF179" i="2"/>
  <c r="GG179" i="2"/>
  <c r="GH179" i="2"/>
  <c r="GI179" i="2"/>
  <c r="GJ179" i="2"/>
  <c r="GK179" i="2"/>
  <c r="GL179" i="2"/>
  <c r="GM179" i="2"/>
  <c r="GN179" i="2"/>
  <c r="GO179" i="2"/>
  <c r="GP179" i="2"/>
  <c r="GQ179" i="2"/>
  <c r="GR179" i="2"/>
  <c r="GS179" i="2"/>
  <c r="GT179" i="2"/>
  <c r="GU179" i="2"/>
  <c r="GV179" i="2"/>
  <c r="GW179" i="2"/>
  <c r="GX179" i="2"/>
  <c r="GY179" i="2"/>
  <c r="GZ179" i="2"/>
  <c r="HA179" i="2"/>
  <c r="HB179" i="2"/>
  <c r="HC179" i="2"/>
  <c r="HD179" i="2"/>
  <c r="HE179" i="2"/>
  <c r="HF179" i="2"/>
  <c r="HG179" i="2"/>
  <c r="HH179" i="2"/>
  <c r="HI179" i="2"/>
  <c r="HJ179" i="2"/>
  <c r="HK179" i="2"/>
  <c r="HL179" i="2"/>
  <c r="HM179" i="2"/>
  <c r="HN179" i="2"/>
  <c r="HO179" i="2"/>
  <c r="HP179" i="2"/>
  <c r="HU179" i="2"/>
  <c r="HV179" i="2"/>
  <c r="HW179" i="2"/>
  <c r="HX179" i="2"/>
  <c r="HY179" i="2"/>
  <c r="HZ179" i="2"/>
  <c r="IA179" i="2"/>
  <c r="IB179" i="2"/>
  <c r="IC179" i="2"/>
  <c r="ID179" i="2"/>
  <c r="IE179" i="2"/>
  <c r="IF179" i="2"/>
  <c r="IG179" i="2"/>
  <c r="FN180" i="2"/>
  <c r="FO180" i="2"/>
  <c r="FP180" i="2"/>
  <c r="FQ180" i="2"/>
  <c r="FR180" i="2"/>
  <c r="FS180" i="2"/>
  <c r="FT180" i="2"/>
  <c r="FU180" i="2"/>
  <c r="FV180" i="2"/>
  <c r="FW180" i="2"/>
  <c r="FX180" i="2"/>
  <c r="FY180" i="2"/>
  <c r="FZ180" i="2"/>
  <c r="GA180" i="2"/>
  <c r="GB180" i="2"/>
  <c r="GC180" i="2"/>
  <c r="GD180" i="2"/>
  <c r="GE180" i="2"/>
  <c r="GF180" i="2"/>
  <c r="GG180" i="2"/>
  <c r="GH180" i="2"/>
  <c r="GI180" i="2"/>
  <c r="GJ180" i="2"/>
  <c r="GK180" i="2"/>
  <c r="GL180" i="2"/>
  <c r="GM180" i="2"/>
  <c r="GN180" i="2"/>
  <c r="GO180" i="2"/>
  <c r="GP180" i="2"/>
  <c r="GQ180" i="2"/>
  <c r="GR180" i="2"/>
  <c r="GS180" i="2"/>
  <c r="GT180" i="2"/>
  <c r="GU180" i="2"/>
  <c r="GV180" i="2"/>
  <c r="GW180" i="2"/>
  <c r="GX180" i="2"/>
  <c r="GY180" i="2"/>
  <c r="GZ180" i="2"/>
  <c r="HA180" i="2"/>
  <c r="HB180" i="2"/>
  <c r="HC180" i="2"/>
  <c r="HD180" i="2"/>
  <c r="HE180" i="2"/>
  <c r="HF180" i="2"/>
  <c r="HG180" i="2"/>
  <c r="HH180" i="2"/>
  <c r="HI180" i="2"/>
  <c r="HJ180" i="2"/>
  <c r="HK180" i="2"/>
  <c r="HL180" i="2"/>
  <c r="HM180" i="2"/>
  <c r="HN180" i="2"/>
  <c r="HO180" i="2"/>
  <c r="HP180" i="2"/>
  <c r="HU180" i="2"/>
  <c r="HV180" i="2"/>
  <c r="HW180" i="2"/>
  <c r="HX180" i="2"/>
  <c r="HY180" i="2"/>
  <c r="HZ180" i="2"/>
  <c r="IA180" i="2"/>
  <c r="IB180" i="2"/>
  <c r="IC180" i="2"/>
  <c r="ID180" i="2"/>
  <c r="IE180" i="2"/>
  <c r="IF180" i="2"/>
  <c r="IG180" i="2"/>
  <c r="FN181" i="2"/>
  <c r="FO181" i="2"/>
  <c r="FP181" i="2"/>
  <c r="FQ181" i="2"/>
  <c r="FR181" i="2"/>
  <c r="FS181" i="2"/>
  <c r="FT181" i="2"/>
  <c r="FU181" i="2"/>
  <c r="FV181" i="2"/>
  <c r="FW181" i="2"/>
  <c r="FX181" i="2"/>
  <c r="FY181" i="2"/>
  <c r="FZ181" i="2"/>
  <c r="GA181" i="2"/>
  <c r="GB181" i="2"/>
  <c r="GC181" i="2"/>
  <c r="GD181" i="2"/>
  <c r="GE181" i="2"/>
  <c r="GF181" i="2"/>
  <c r="GG181" i="2"/>
  <c r="GH181" i="2"/>
  <c r="GI181" i="2"/>
  <c r="GJ181" i="2"/>
  <c r="GK181" i="2"/>
  <c r="GL181" i="2"/>
  <c r="GM181" i="2"/>
  <c r="GN181" i="2"/>
  <c r="GO181" i="2"/>
  <c r="GP181" i="2"/>
  <c r="GQ181" i="2"/>
  <c r="GR181" i="2"/>
  <c r="GS181" i="2"/>
  <c r="GT181" i="2"/>
  <c r="GU181" i="2"/>
  <c r="GV181" i="2"/>
  <c r="GW181" i="2"/>
  <c r="GX181" i="2"/>
  <c r="GY181" i="2"/>
  <c r="GZ181" i="2"/>
  <c r="HA181" i="2"/>
  <c r="HB181" i="2"/>
  <c r="HC181" i="2"/>
  <c r="HD181" i="2"/>
  <c r="HE181" i="2"/>
  <c r="HF181" i="2"/>
  <c r="HG181" i="2"/>
  <c r="HH181" i="2"/>
  <c r="HI181" i="2"/>
  <c r="HJ181" i="2"/>
  <c r="HK181" i="2"/>
  <c r="HL181" i="2"/>
  <c r="HM181" i="2"/>
  <c r="HN181" i="2"/>
  <c r="HO181" i="2"/>
  <c r="HP181" i="2"/>
  <c r="HU181" i="2"/>
  <c r="HV181" i="2"/>
  <c r="HW181" i="2"/>
  <c r="HX181" i="2"/>
  <c r="HY181" i="2"/>
  <c r="HZ181" i="2"/>
  <c r="IA181" i="2"/>
  <c r="IB181" i="2"/>
  <c r="IC181" i="2"/>
  <c r="ID181" i="2"/>
  <c r="IE181" i="2"/>
  <c r="IF181" i="2"/>
  <c r="IG181" i="2"/>
  <c r="FN182" i="2"/>
  <c r="FO182" i="2"/>
  <c r="FP182" i="2"/>
  <c r="FQ182" i="2"/>
  <c r="FR182" i="2"/>
  <c r="FS182" i="2"/>
  <c r="FT182" i="2"/>
  <c r="FU182" i="2"/>
  <c r="FV182" i="2"/>
  <c r="FW182" i="2"/>
  <c r="FX182" i="2"/>
  <c r="FY182" i="2"/>
  <c r="FZ182" i="2"/>
  <c r="GA182" i="2"/>
  <c r="GB182" i="2"/>
  <c r="GC182" i="2"/>
  <c r="GD182" i="2"/>
  <c r="GE182" i="2"/>
  <c r="GF182" i="2"/>
  <c r="GG182" i="2"/>
  <c r="GH182" i="2"/>
  <c r="GI182" i="2"/>
  <c r="GJ182" i="2"/>
  <c r="GK182" i="2"/>
  <c r="GL182" i="2"/>
  <c r="GM182" i="2"/>
  <c r="GN182" i="2"/>
  <c r="GO182" i="2"/>
  <c r="GP182" i="2"/>
  <c r="GQ182" i="2"/>
  <c r="GR182" i="2"/>
  <c r="GS182" i="2"/>
  <c r="GT182" i="2"/>
  <c r="GU182" i="2"/>
  <c r="GV182" i="2"/>
  <c r="GW182" i="2"/>
  <c r="GX182" i="2"/>
  <c r="GY182" i="2"/>
  <c r="GZ182" i="2"/>
  <c r="HA182" i="2"/>
  <c r="HB182" i="2"/>
  <c r="HC182" i="2"/>
  <c r="HD182" i="2"/>
  <c r="HE182" i="2"/>
  <c r="HF182" i="2"/>
  <c r="HG182" i="2"/>
  <c r="HH182" i="2"/>
  <c r="HI182" i="2"/>
  <c r="HJ182" i="2"/>
  <c r="HK182" i="2"/>
  <c r="HL182" i="2"/>
  <c r="HM182" i="2"/>
  <c r="HN182" i="2"/>
  <c r="HO182" i="2"/>
  <c r="HP182" i="2"/>
  <c r="HU182" i="2"/>
  <c r="HV182" i="2"/>
  <c r="HW182" i="2"/>
  <c r="HX182" i="2"/>
  <c r="HY182" i="2"/>
  <c r="HZ182" i="2"/>
  <c r="IA182" i="2"/>
  <c r="IB182" i="2"/>
  <c r="IC182" i="2"/>
  <c r="ID182" i="2"/>
  <c r="IE182" i="2"/>
  <c r="IF182" i="2"/>
  <c r="IG182" i="2"/>
  <c r="FN183" i="2"/>
  <c r="FO183" i="2"/>
  <c r="FP183" i="2"/>
  <c r="FQ183" i="2"/>
  <c r="FR183" i="2"/>
  <c r="FS183" i="2"/>
  <c r="FT183" i="2"/>
  <c r="FU183" i="2"/>
  <c r="FV183" i="2"/>
  <c r="FW183" i="2"/>
  <c r="FX183" i="2"/>
  <c r="FY183" i="2"/>
  <c r="FZ183" i="2"/>
  <c r="GA183" i="2"/>
  <c r="GB183" i="2"/>
  <c r="GC183" i="2"/>
  <c r="GD183" i="2"/>
  <c r="GE183" i="2"/>
  <c r="GF183" i="2"/>
  <c r="GG183" i="2"/>
  <c r="GH183" i="2"/>
  <c r="GI183" i="2"/>
  <c r="GJ183" i="2"/>
  <c r="GK183" i="2"/>
  <c r="GL183" i="2"/>
  <c r="GM183" i="2"/>
  <c r="GN183" i="2"/>
  <c r="GO183" i="2"/>
  <c r="GP183" i="2"/>
  <c r="GQ183" i="2"/>
  <c r="GR183" i="2"/>
  <c r="GS183" i="2"/>
  <c r="GT183" i="2"/>
  <c r="GU183" i="2"/>
  <c r="GV183" i="2"/>
  <c r="GW183" i="2"/>
  <c r="GX183" i="2"/>
  <c r="GY183" i="2"/>
  <c r="GZ183" i="2"/>
  <c r="HA183" i="2"/>
  <c r="HB183" i="2"/>
  <c r="HC183" i="2"/>
  <c r="HD183" i="2"/>
  <c r="HE183" i="2"/>
  <c r="HF183" i="2"/>
  <c r="HG183" i="2"/>
  <c r="HH183" i="2"/>
  <c r="HI183" i="2"/>
  <c r="HJ183" i="2"/>
  <c r="HK183" i="2"/>
  <c r="HL183" i="2"/>
  <c r="HM183" i="2"/>
  <c r="HN183" i="2"/>
  <c r="HO183" i="2"/>
  <c r="HP183" i="2"/>
  <c r="HU183" i="2"/>
  <c r="HV183" i="2"/>
  <c r="HW183" i="2"/>
  <c r="HX183" i="2"/>
  <c r="HY183" i="2"/>
  <c r="HZ183" i="2"/>
  <c r="IA183" i="2"/>
  <c r="IB183" i="2"/>
  <c r="IC183" i="2"/>
  <c r="ID183" i="2"/>
  <c r="IE183" i="2"/>
  <c r="IF183" i="2"/>
  <c r="IG183" i="2"/>
  <c r="FN184" i="2"/>
  <c r="FO184" i="2"/>
  <c r="FP184" i="2"/>
  <c r="FQ184" i="2"/>
  <c r="FR184" i="2"/>
  <c r="FS184" i="2"/>
  <c r="FT184" i="2"/>
  <c r="FU184" i="2"/>
  <c r="FV184" i="2"/>
  <c r="FW184" i="2"/>
  <c r="FX184" i="2"/>
  <c r="FY184" i="2"/>
  <c r="FZ184" i="2"/>
  <c r="GA184" i="2"/>
  <c r="GB184" i="2"/>
  <c r="GC184" i="2"/>
  <c r="GD184" i="2"/>
  <c r="GE184" i="2"/>
  <c r="GF184" i="2"/>
  <c r="GG184" i="2"/>
  <c r="GH184" i="2"/>
  <c r="GI184" i="2"/>
  <c r="GJ184" i="2"/>
  <c r="GK184" i="2"/>
  <c r="GL184" i="2"/>
  <c r="GM184" i="2"/>
  <c r="GN184" i="2"/>
  <c r="GO184" i="2"/>
  <c r="GP184" i="2"/>
  <c r="GQ184" i="2"/>
  <c r="GR184" i="2"/>
  <c r="GS184" i="2"/>
  <c r="GT184" i="2"/>
  <c r="GU184" i="2"/>
  <c r="GV184" i="2"/>
  <c r="GW184" i="2"/>
  <c r="GX184" i="2"/>
  <c r="GY184" i="2"/>
  <c r="GZ184" i="2"/>
  <c r="HA184" i="2"/>
  <c r="HB184" i="2"/>
  <c r="HC184" i="2"/>
  <c r="HD184" i="2"/>
  <c r="HE184" i="2"/>
  <c r="HF184" i="2"/>
  <c r="HG184" i="2"/>
  <c r="HH184" i="2"/>
  <c r="HI184" i="2"/>
  <c r="HJ184" i="2"/>
  <c r="HK184" i="2"/>
  <c r="HL184" i="2"/>
  <c r="HM184" i="2"/>
  <c r="HN184" i="2"/>
  <c r="HO184" i="2"/>
  <c r="HP184" i="2"/>
  <c r="HU184" i="2"/>
  <c r="HV184" i="2"/>
  <c r="HW184" i="2"/>
  <c r="HX184" i="2"/>
  <c r="HY184" i="2"/>
  <c r="HZ184" i="2"/>
  <c r="IA184" i="2"/>
  <c r="IB184" i="2"/>
  <c r="IC184" i="2"/>
  <c r="ID184" i="2"/>
  <c r="IE184" i="2"/>
  <c r="IF184" i="2"/>
  <c r="IG184" i="2"/>
  <c r="FN185" i="2"/>
  <c r="FO185" i="2"/>
  <c r="FP185" i="2"/>
  <c r="FQ185" i="2"/>
  <c r="FR185" i="2"/>
  <c r="FS185" i="2"/>
  <c r="FT185" i="2"/>
  <c r="FU185" i="2"/>
  <c r="FV185" i="2"/>
  <c r="FW185" i="2"/>
  <c r="FX185" i="2"/>
  <c r="FY185" i="2"/>
  <c r="FZ185" i="2"/>
  <c r="GA185" i="2"/>
  <c r="GB185" i="2"/>
  <c r="GC185" i="2"/>
  <c r="GD185" i="2"/>
  <c r="GE185" i="2"/>
  <c r="GF185" i="2"/>
  <c r="GG185" i="2"/>
  <c r="GH185" i="2"/>
  <c r="GI185" i="2"/>
  <c r="GJ185" i="2"/>
  <c r="GK185" i="2"/>
  <c r="GL185" i="2"/>
  <c r="GM185" i="2"/>
  <c r="GN185" i="2"/>
  <c r="GO185" i="2"/>
  <c r="GP185" i="2"/>
  <c r="GQ185" i="2"/>
  <c r="GR185" i="2"/>
  <c r="GS185" i="2"/>
  <c r="GT185" i="2"/>
  <c r="GU185" i="2"/>
  <c r="GV185" i="2"/>
  <c r="GW185" i="2"/>
  <c r="GX185" i="2"/>
  <c r="GY185" i="2"/>
  <c r="GZ185" i="2"/>
  <c r="HA185" i="2"/>
  <c r="HB185" i="2"/>
  <c r="HC185" i="2"/>
  <c r="HD185" i="2"/>
  <c r="HE185" i="2"/>
  <c r="HF185" i="2"/>
  <c r="HG185" i="2"/>
  <c r="HH185" i="2"/>
  <c r="HI185" i="2"/>
  <c r="HJ185" i="2"/>
  <c r="HK185" i="2"/>
  <c r="HL185" i="2"/>
  <c r="HM185" i="2"/>
  <c r="HN185" i="2"/>
  <c r="HO185" i="2"/>
  <c r="HP185" i="2"/>
  <c r="HU185" i="2"/>
  <c r="HV185" i="2"/>
  <c r="HW185" i="2"/>
  <c r="HX185" i="2"/>
  <c r="HY185" i="2"/>
  <c r="HZ185" i="2"/>
  <c r="IA185" i="2"/>
  <c r="IB185" i="2"/>
  <c r="IC185" i="2"/>
  <c r="ID185" i="2"/>
  <c r="IE185" i="2"/>
  <c r="IF185" i="2"/>
  <c r="IG185" i="2"/>
  <c r="FN186" i="2"/>
  <c r="FO186" i="2"/>
  <c r="FP186" i="2"/>
  <c r="FQ186" i="2"/>
  <c r="FR186" i="2"/>
  <c r="FS186" i="2"/>
  <c r="FT186" i="2"/>
  <c r="FU186" i="2"/>
  <c r="FV186" i="2"/>
  <c r="FW186" i="2"/>
  <c r="FX186" i="2"/>
  <c r="FY186" i="2"/>
  <c r="FZ186" i="2"/>
  <c r="GA186" i="2"/>
  <c r="GB186" i="2"/>
  <c r="GC186" i="2"/>
  <c r="GD186" i="2"/>
  <c r="GE186" i="2"/>
  <c r="GF186" i="2"/>
  <c r="GG186" i="2"/>
  <c r="GH186" i="2"/>
  <c r="GI186" i="2"/>
  <c r="GJ186" i="2"/>
  <c r="GK186" i="2"/>
  <c r="GL186" i="2"/>
  <c r="GM186" i="2"/>
  <c r="GN186" i="2"/>
  <c r="GO186" i="2"/>
  <c r="GP186" i="2"/>
  <c r="GQ186" i="2"/>
  <c r="GR186" i="2"/>
  <c r="GS186" i="2"/>
  <c r="GT186" i="2"/>
  <c r="GU186" i="2"/>
  <c r="GV186" i="2"/>
  <c r="GW186" i="2"/>
  <c r="GX186" i="2"/>
  <c r="GY186" i="2"/>
  <c r="GZ186" i="2"/>
  <c r="HA186" i="2"/>
  <c r="HB186" i="2"/>
  <c r="HC186" i="2"/>
  <c r="HD186" i="2"/>
  <c r="HE186" i="2"/>
  <c r="HF186" i="2"/>
  <c r="HG186" i="2"/>
  <c r="HH186" i="2"/>
  <c r="HI186" i="2"/>
  <c r="HJ186" i="2"/>
  <c r="HK186" i="2"/>
  <c r="HL186" i="2"/>
  <c r="HM186" i="2"/>
  <c r="HN186" i="2"/>
  <c r="HO186" i="2"/>
  <c r="HP186" i="2"/>
  <c r="HU186" i="2"/>
  <c r="HV186" i="2"/>
  <c r="HW186" i="2"/>
  <c r="HX186" i="2"/>
  <c r="HY186" i="2"/>
  <c r="HZ186" i="2"/>
  <c r="IA186" i="2"/>
  <c r="IB186" i="2"/>
  <c r="IC186" i="2"/>
  <c r="ID186" i="2"/>
  <c r="IE186" i="2"/>
  <c r="IF186" i="2"/>
  <c r="IG186" i="2"/>
  <c r="FN187" i="2"/>
  <c r="FO187" i="2"/>
  <c r="FP187" i="2"/>
  <c r="FQ187" i="2"/>
  <c r="FR187" i="2"/>
  <c r="FS187" i="2"/>
  <c r="FT187" i="2"/>
  <c r="FU187" i="2"/>
  <c r="FV187" i="2"/>
  <c r="FW187" i="2"/>
  <c r="FX187" i="2"/>
  <c r="FY187" i="2"/>
  <c r="FZ187" i="2"/>
  <c r="GA187" i="2"/>
  <c r="GB187" i="2"/>
  <c r="GC187" i="2"/>
  <c r="GD187" i="2"/>
  <c r="GE187" i="2"/>
  <c r="GF187" i="2"/>
  <c r="GG187" i="2"/>
  <c r="GH187" i="2"/>
  <c r="GI187" i="2"/>
  <c r="GJ187" i="2"/>
  <c r="GK187" i="2"/>
  <c r="GL187" i="2"/>
  <c r="GM187" i="2"/>
  <c r="GN187" i="2"/>
  <c r="GO187" i="2"/>
  <c r="GP187" i="2"/>
  <c r="GQ187" i="2"/>
  <c r="GR187" i="2"/>
  <c r="GS187" i="2"/>
  <c r="GT187" i="2"/>
  <c r="GU187" i="2"/>
  <c r="GV187" i="2"/>
  <c r="GW187" i="2"/>
  <c r="GX187" i="2"/>
  <c r="GY187" i="2"/>
  <c r="GZ187" i="2"/>
  <c r="HA187" i="2"/>
  <c r="HB187" i="2"/>
  <c r="HC187" i="2"/>
  <c r="HD187" i="2"/>
  <c r="HE187" i="2"/>
  <c r="HF187" i="2"/>
  <c r="HG187" i="2"/>
  <c r="HH187" i="2"/>
  <c r="HI187" i="2"/>
  <c r="HJ187" i="2"/>
  <c r="HK187" i="2"/>
  <c r="HL187" i="2"/>
  <c r="HM187" i="2"/>
  <c r="HN187" i="2"/>
  <c r="HO187" i="2"/>
  <c r="HP187" i="2"/>
  <c r="HU187" i="2"/>
  <c r="HV187" i="2"/>
  <c r="HW187" i="2"/>
  <c r="HX187" i="2"/>
  <c r="HY187" i="2"/>
  <c r="HZ187" i="2"/>
  <c r="IA187" i="2"/>
  <c r="IB187" i="2"/>
  <c r="IC187" i="2"/>
  <c r="ID187" i="2"/>
  <c r="IE187" i="2"/>
  <c r="IF187" i="2"/>
  <c r="IG187" i="2"/>
  <c r="FN188" i="2"/>
  <c r="FO188" i="2"/>
  <c r="FP188" i="2"/>
  <c r="FQ188" i="2"/>
  <c r="FR188" i="2"/>
  <c r="FS188" i="2"/>
  <c r="FT188" i="2"/>
  <c r="FU188" i="2"/>
  <c r="FV188" i="2"/>
  <c r="FW188" i="2"/>
  <c r="FX188" i="2"/>
  <c r="FY188" i="2"/>
  <c r="FZ188" i="2"/>
  <c r="GA188" i="2"/>
  <c r="GB188" i="2"/>
  <c r="GC188" i="2"/>
  <c r="GD188" i="2"/>
  <c r="GE188" i="2"/>
  <c r="GF188" i="2"/>
  <c r="GG188" i="2"/>
  <c r="GH188" i="2"/>
  <c r="GI188" i="2"/>
  <c r="GJ188" i="2"/>
  <c r="GK188" i="2"/>
  <c r="GL188" i="2"/>
  <c r="GM188" i="2"/>
  <c r="GN188" i="2"/>
  <c r="GO188" i="2"/>
  <c r="GP188" i="2"/>
  <c r="GQ188" i="2"/>
  <c r="GR188" i="2"/>
  <c r="GS188" i="2"/>
  <c r="GT188" i="2"/>
  <c r="GU188" i="2"/>
  <c r="GV188" i="2"/>
  <c r="GW188" i="2"/>
  <c r="GX188" i="2"/>
  <c r="GY188" i="2"/>
  <c r="GZ188" i="2"/>
  <c r="HA188" i="2"/>
  <c r="HB188" i="2"/>
  <c r="HC188" i="2"/>
  <c r="HD188" i="2"/>
  <c r="HE188" i="2"/>
  <c r="HF188" i="2"/>
  <c r="HG188" i="2"/>
  <c r="HH188" i="2"/>
  <c r="HI188" i="2"/>
  <c r="HJ188" i="2"/>
  <c r="HK188" i="2"/>
  <c r="HL188" i="2"/>
  <c r="HM188" i="2"/>
  <c r="HN188" i="2"/>
  <c r="HO188" i="2"/>
  <c r="HP188" i="2"/>
  <c r="HU188" i="2"/>
  <c r="HV188" i="2"/>
  <c r="HW188" i="2"/>
  <c r="HX188" i="2"/>
  <c r="HY188" i="2"/>
  <c r="HZ188" i="2"/>
  <c r="IA188" i="2"/>
  <c r="IB188" i="2"/>
  <c r="IC188" i="2"/>
  <c r="ID188" i="2"/>
  <c r="IE188" i="2"/>
  <c r="IF188" i="2"/>
  <c r="IG188" i="2"/>
  <c r="FN189" i="2"/>
  <c r="FO189" i="2"/>
  <c r="FP189" i="2"/>
  <c r="FQ189" i="2"/>
  <c r="FR189" i="2"/>
  <c r="FS189" i="2"/>
  <c r="FT189" i="2"/>
  <c r="FU189" i="2"/>
  <c r="FV189" i="2"/>
  <c r="FW189" i="2"/>
  <c r="FX189" i="2"/>
  <c r="FY189" i="2"/>
  <c r="FZ189" i="2"/>
  <c r="GA189" i="2"/>
  <c r="GB189" i="2"/>
  <c r="GC189" i="2"/>
  <c r="GD189" i="2"/>
  <c r="GE189" i="2"/>
  <c r="GF189" i="2"/>
  <c r="GG189" i="2"/>
  <c r="GH189" i="2"/>
  <c r="GI189" i="2"/>
  <c r="GJ189" i="2"/>
  <c r="GK189" i="2"/>
  <c r="GL189" i="2"/>
  <c r="GM189" i="2"/>
  <c r="GN189" i="2"/>
  <c r="GO189" i="2"/>
  <c r="GP189" i="2"/>
  <c r="GQ189" i="2"/>
  <c r="GR189" i="2"/>
  <c r="GS189" i="2"/>
  <c r="GT189" i="2"/>
  <c r="GU189" i="2"/>
  <c r="GV189" i="2"/>
  <c r="GW189" i="2"/>
  <c r="GX189" i="2"/>
  <c r="GY189" i="2"/>
  <c r="GZ189" i="2"/>
  <c r="HA189" i="2"/>
  <c r="HB189" i="2"/>
  <c r="HC189" i="2"/>
  <c r="HD189" i="2"/>
  <c r="HE189" i="2"/>
  <c r="HF189" i="2"/>
  <c r="HG189" i="2"/>
  <c r="HH189" i="2"/>
  <c r="HI189" i="2"/>
  <c r="HJ189" i="2"/>
  <c r="HK189" i="2"/>
  <c r="HL189" i="2"/>
  <c r="HM189" i="2"/>
  <c r="HN189" i="2"/>
  <c r="HO189" i="2"/>
  <c r="HP189" i="2"/>
  <c r="HU189" i="2"/>
  <c r="HV189" i="2"/>
  <c r="HW189" i="2"/>
  <c r="HX189" i="2"/>
  <c r="HY189" i="2"/>
  <c r="HZ189" i="2"/>
  <c r="IA189" i="2"/>
  <c r="IB189" i="2"/>
  <c r="IC189" i="2"/>
  <c r="ID189" i="2"/>
  <c r="IE189" i="2"/>
  <c r="IF189" i="2"/>
  <c r="IG189" i="2"/>
  <c r="HU191" i="2"/>
  <c r="HV191" i="2"/>
  <c r="HW191" i="2"/>
  <c r="HX191" i="2"/>
  <c r="HY191" i="2"/>
  <c r="HZ191" i="2"/>
  <c r="IA191" i="2"/>
  <c r="IB191" i="2"/>
  <c r="IC191" i="2"/>
  <c r="ID191" i="2"/>
  <c r="IE191" i="2"/>
  <c r="IF191" i="2"/>
  <c r="IG191" i="2"/>
  <c r="HU192" i="2"/>
  <c r="HV192" i="2"/>
  <c r="HW192" i="2"/>
  <c r="HX192" i="2"/>
  <c r="HY192" i="2"/>
  <c r="HZ192" i="2"/>
  <c r="IA192" i="2"/>
  <c r="IB192" i="2"/>
  <c r="IC192" i="2"/>
  <c r="ID192" i="2"/>
  <c r="IE192" i="2"/>
  <c r="IF192" i="2"/>
  <c r="IG192" i="2"/>
  <c r="HU193" i="2"/>
  <c r="HV193" i="2"/>
  <c r="HW193" i="2"/>
  <c r="HX193" i="2"/>
  <c r="HY193" i="2"/>
  <c r="HZ193" i="2"/>
  <c r="IA193" i="2"/>
  <c r="IB193" i="2"/>
  <c r="IC193" i="2"/>
  <c r="ID193" i="2"/>
  <c r="IE193" i="2"/>
  <c r="IF193" i="2"/>
  <c r="IG193" i="2"/>
  <c r="HU194" i="2"/>
  <c r="HV194" i="2"/>
  <c r="HW194" i="2"/>
  <c r="HX194" i="2"/>
  <c r="HY194" i="2"/>
  <c r="HZ194" i="2"/>
  <c r="IA194" i="2"/>
  <c r="IB194" i="2"/>
  <c r="IC194" i="2"/>
  <c r="ID194" i="2"/>
  <c r="IE194" i="2"/>
  <c r="IF194" i="2"/>
  <c r="IG194" i="2"/>
  <c r="FN195" i="2"/>
  <c r="FO195" i="2"/>
  <c r="FP195" i="2"/>
  <c r="FQ195" i="2"/>
  <c r="FR195" i="2"/>
  <c r="FS195" i="2"/>
  <c r="FT195" i="2"/>
  <c r="FU195" i="2"/>
  <c r="FV195" i="2"/>
  <c r="FW195" i="2"/>
  <c r="FX195" i="2"/>
  <c r="FY195" i="2"/>
  <c r="FZ195" i="2"/>
  <c r="GA195" i="2"/>
  <c r="GB195" i="2"/>
  <c r="GC195" i="2"/>
  <c r="GD195" i="2"/>
  <c r="GE195" i="2"/>
  <c r="GF195" i="2"/>
  <c r="GG195" i="2"/>
  <c r="GH195" i="2"/>
  <c r="GI195" i="2"/>
  <c r="GJ195" i="2"/>
  <c r="GK195" i="2"/>
  <c r="GL195" i="2"/>
  <c r="GM195" i="2"/>
  <c r="GN195" i="2"/>
  <c r="GO195" i="2"/>
  <c r="GP195" i="2"/>
  <c r="GQ195" i="2"/>
  <c r="GR195" i="2"/>
  <c r="GS195" i="2"/>
  <c r="GT195" i="2"/>
  <c r="GU195" i="2"/>
  <c r="GV195" i="2"/>
  <c r="GW195" i="2"/>
  <c r="GX195" i="2"/>
  <c r="GY195" i="2"/>
  <c r="GZ195" i="2"/>
  <c r="HA195" i="2"/>
  <c r="HB195" i="2"/>
  <c r="HC195" i="2"/>
  <c r="HD195" i="2"/>
  <c r="HE195" i="2"/>
  <c r="HF195" i="2"/>
  <c r="HG195" i="2"/>
  <c r="HH195" i="2"/>
  <c r="HI195" i="2"/>
  <c r="HJ195" i="2"/>
  <c r="HK195" i="2"/>
  <c r="HL195" i="2"/>
  <c r="HM195" i="2"/>
  <c r="HN195" i="2"/>
  <c r="HO195" i="2"/>
  <c r="HP195" i="2"/>
  <c r="HU195" i="2"/>
  <c r="HV195" i="2"/>
  <c r="HW195" i="2"/>
  <c r="HX195" i="2"/>
  <c r="HY195" i="2"/>
  <c r="HZ195" i="2"/>
  <c r="IA195" i="2"/>
  <c r="IB195" i="2"/>
  <c r="IC195" i="2"/>
  <c r="ID195" i="2"/>
  <c r="IE195" i="2"/>
  <c r="IF195" i="2"/>
  <c r="IG195" i="2"/>
  <c r="FN196" i="2"/>
  <c r="FO196" i="2"/>
  <c r="FP196" i="2"/>
  <c r="FQ196" i="2"/>
  <c r="FR196" i="2"/>
  <c r="FS196" i="2"/>
  <c r="FT196" i="2"/>
  <c r="FU196" i="2"/>
  <c r="FV196" i="2"/>
  <c r="FW196" i="2"/>
  <c r="FX196" i="2"/>
  <c r="FY196" i="2"/>
  <c r="FZ196" i="2"/>
  <c r="GA196" i="2"/>
  <c r="GB196" i="2"/>
  <c r="GC196" i="2"/>
  <c r="GD196" i="2"/>
  <c r="GE196" i="2"/>
  <c r="GF196" i="2"/>
  <c r="GG196" i="2"/>
  <c r="GH196" i="2"/>
  <c r="GI196" i="2"/>
  <c r="GJ196" i="2"/>
  <c r="GK196" i="2"/>
  <c r="GL196" i="2"/>
  <c r="GM196" i="2"/>
  <c r="GN196" i="2"/>
  <c r="GO196" i="2"/>
  <c r="GP196" i="2"/>
  <c r="GQ196" i="2"/>
  <c r="GR196" i="2"/>
  <c r="GS196" i="2"/>
  <c r="GT196" i="2"/>
  <c r="GU196" i="2"/>
  <c r="GV196" i="2"/>
  <c r="GW196" i="2"/>
  <c r="GX196" i="2"/>
  <c r="GY196" i="2"/>
  <c r="GZ196" i="2"/>
  <c r="HA196" i="2"/>
  <c r="HB196" i="2"/>
  <c r="HC196" i="2"/>
  <c r="HD196" i="2"/>
  <c r="HE196" i="2"/>
  <c r="HF196" i="2"/>
  <c r="HG196" i="2"/>
  <c r="HH196" i="2"/>
  <c r="HI196" i="2"/>
  <c r="HJ196" i="2"/>
  <c r="HK196" i="2"/>
  <c r="HL196" i="2"/>
  <c r="HM196" i="2"/>
  <c r="HN196" i="2"/>
  <c r="HO196" i="2"/>
  <c r="HP196" i="2"/>
  <c r="HU196" i="2"/>
  <c r="HV196" i="2"/>
  <c r="HW196" i="2"/>
  <c r="HX196" i="2"/>
  <c r="HY196" i="2"/>
  <c r="HZ196" i="2"/>
  <c r="IA196" i="2"/>
  <c r="IB196" i="2"/>
  <c r="IC196" i="2"/>
  <c r="ID196" i="2"/>
  <c r="IE196" i="2"/>
  <c r="IF196" i="2"/>
  <c r="IG196" i="2"/>
  <c r="FN197" i="2"/>
  <c r="FO197" i="2"/>
  <c r="FP197" i="2"/>
  <c r="FQ197" i="2"/>
  <c r="FR197" i="2"/>
  <c r="FS197" i="2"/>
  <c r="FT197" i="2"/>
  <c r="FU197" i="2"/>
  <c r="FV197" i="2"/>
  <c r="FW197" i="2"/>
  <c r="FX197" i="2"/>
  <c r="FY197" i="2"/>
  <c r="FZ197" i="2"/>
  <c r="GA197" i="2"/>
  <c r="GB197" i="2"/>
  <c r="GC197" i="2"/>
  <c r="GD197" i="2"/>
  <c r="GE197" i="2"/>
  <c r="GF197" i="2"/>
  <c r="GG197" i="2"/>
  <c r="GH197" i="2"/>
  <c r="GI197" i="2"/>
  <c r="GJ197" i="2"/>
  <c r="GK197" i="2"/>
  <c r="GL197" i="2"/>
  <c r="GM197" i="2"/>
  <c r="GN197" i="2"/>
  <c r="GO197" i="2"/>
  <c r="GP197" i="2"/>
  <c r="GQ197" i="2"/>
  <c r="GR197" i="2"/>
  <c r="GS197" i="2"/>
  <c r="GT197" i="2"/>
  <c r="GU197" i="2"/>
  <c r="GV197" i="2"/>
  <c r="GW197" i="2"/>
  <c r="GX197" i="2"/>
  <c r="GY197" i="2"/>
  <c r="GZ197" i="2"/>
  <c r="HA197" i="2"/>
  <c r="HB197" i="2"/>
  <c r="HC197" i="2"/>
  <c r="HD197" i="2"/>
  <c r="HE197" i="2"/>
  <c r="HF197" i="2"/>
  <c r="HG197" i="2"/>
  <c r="HH197" i="2"/>
  <c r="HI197" i="2"/>
  <c r="HJ197" i="2"/>
  <c r="HK197" i="2"/>
  <c r="HL197" i="2"/>
  <c r="HM197" i="2"/>
  <c r="HN197" i="2"/>
  <c r="HO197" i="2"/>
  <c r="HP197" i="2"/>
  <c r="HU197" i="2"/>
  <c r="HV197" i="2"/>
  <c r="HW197" i="2"/>
  <c r="HX197" i="2"/>
  <c r="HY197" i="2"/>
  <c r="HZ197" i="2"/>
  <c r="IA197" i="2"/>
  <c r="IB197" i="2"/>
  <c r="IC197" i="2"/>
  <c r="ID197" i="2"/>
  <c r="IE197" i="2"/>
  <c r="IF197" i="2"/>
  <c r="IG197" i="2"/>
  <c r="FN198" i="2"/>
  <c r="FO198" i="2"/>
  <c r="FP198" i="2"/>
  <c r="FQ198" i="2"/>
  <c r="FR198" i="2"/>
  <c r="FS198" i="2"/>
  <c r="FT198" i="2"/>
  <c r="FU198" i="2"/>
  <c r="FV198" i="2"/>
  <c r="FW198" i="2"/>
  <c r="FX198" i="2"/>
  <c r="FY198" i="2"/>
  <c r="FZ198" i="2"/>
  <c r="GA198" i="2"/>
  <c r="GB198" i="2"/>
  <c r="GC198" i="2"/>
  <c r="GD198" i="2"/>
  <c r="GE198" i="2"/>
  <c r="GF198" i="2"/>
  <c r="GG198" i="2"/>
  <c r="GH198" i="2"/>
  <c r="GI198" i="2"/>
  <c r="GJ198" i="2"/>
  <c r="GK198" i="2"/>
  <c r="GL198" i="2"/>
  <c r="GM198" i="2"/>
  <c r="GN198" i="2"/>
  <c r="GO198" i="2"/>
  <c r="GP198" i="2"/>
  <c r="GQ198" i="2"/>
  <c r="GR198" i="2"/>
  <c r="GS198" i="2"/>
  <c r="GT198" i="2"/>
  <c r="GU198" i="2"/>
  <c r="GV198" i="2"/>
  <c r="GW198" i="2"/>
  <c r="GX198" i="2"/>
  <c r="GY198" i="2"/>
  <c r="GZ198" i="2"/>
  <c r="HA198" i="2"/>
  <c r="HB198" i="2"/>
  <c r="HC198" i="2"/>
  <c r="HD198" i="2"/>
  <c r="HE198" i="2"/>
  <c r="HF198" i="2"/>
  <c r="HG198" i="2"/>
  <c r="HH198" i="2"/>
  <c r="HI198" i="2"/>
  <c r="HJ198" i="2"/>
  <c r="HK198" i="2"/>
  <c r="HL198" i="2"/>
  <c r="HM198" i="2"/>
  <c r="HN198" i="2"/>
  <c r="HO198" i="2"/>
  <c r="HP198" i="2"/>
  <c r="HU198" i="2"/>
  <c r="HV198" i="2"/>
  <c r="HW198" i="2"/>
  <c r="HX198" i="2"/>
  <c r="HY198" i="2"/>
  <c r="HZ198" i="2"/>
  <c r="IA198" i="2"/>
  <c r="IB198" i="2"/>
  <c r="IC198" i="2"/>
  <c r="ID198" i="2"/>
  <c r="IE198" i="2"/>
  <c r="IF198" i="2"/>
  <c r="IG198" i="2"/>
  <c r="B200" i="2"/>
  <c r="C200" i="2"/>
  <c r="D200" i="2"/>
  <c r="E200" i="2"/>
  <c r="F200" i="2"/>
  <c r="G200" i="2"/>
  <c r="I200" i="2"/>
  <c r="K200" i="2"/>
  <c r="M200" i="2"/>
  <c r="O200" i="2"/>
  <c r="Q200" i="2"/>
  <c r="R200" i="2"/>
  <c r="S200" i="2"/>
  <c r="T200" i="2"/>
  <c r="U200" i="2"/>
  <c r="V200" i="2"/>
  <c r="X200" i="2"/>
  <c r="Z200" i="2"/>
  <c r="AB200" i="2"/>
  <c r="AD200" i="2"/>
  <c r="AE200" i="2"/>
  <c r="AF200" i="2"/>
  <c r="AG200" i="2"/>
  <c r="AH200" i="2"/>
  <c r="AI200" i="2"/>
  <c r="AJ200" i="2"/>
  <c r="AK200" i="2"/>
  <c r="AM200" i="2"/>
  <c r="AO200" i="2"/>
  <c r="AQ200" i="2"/>
  <c r="AS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BQ200" i="2"/>
  <c r="BS200" i="2"/>
  <c r="BU200" i="2"/>
  <c r="BW200" i="2"/>
  <c r="BX200" i="2"/>
  <c r="BY200" i="2"/>
  <c r="CA200" i="2"/>
  <c r="CB200" i="2"/>
  <c r="CC200" i="2"/>
  <c r="CD200" i="2"/>
  <c r="CE200" i="2"/>
  <c r="CF200" i="2"/>
  <c r="CG200" i="2"/>
  <c r="CI200" i="2"/>
  <c r="CK200" i="2"/>
  <c r="CM200" i="2"/>
  <c r="CN200" i="2"/>
  <c r="CO200" i="2"/>
  <c r="CP200" i="2"/>
  <c r="CQ200" i="2"/>
  <c r="CR200" i="2"/>
  <c r="CS200" i="2"/>
  <c r="CU200" i="2"/>
  <c r="CV200" i="2"/>
  <c r="CW200" i="2"/>
  <c r="CX200" i="2"/>
  <c r="CY200" i="2"/>
  <c r="CZ200" i="2"/>
  <c r="DA200" i="2"/>
  <c r="DB200" i="2"/>
  <c r="DC200" i="2"/>
  <c r="DD200" i="2"/>
  <c r="DE200" i="2"/>
  <c r="FW200" i="2"/>
  <c r="GD200" i="2"/>
  <c r="GE200" i="2"/>
  <c r="GS200" i="2"/>
  <c r="GU200" i="2"/>
  <c r="GX200" i="2"/>
  <c r="GZ200" i="2"/>
  <c r="HB200" i="2"/>
  <c r="HD200" i="2"/>
  <c r="HF200" i="2"/>
  <c r="HH200" i="2"/>
  <c r="HI200" i="2"/>
  <c r="HJ200" i="2"/>
  <c r="HK200" i="2"/>
  <c r="HL200" i="2"/>
  <c r="HM200" i="2"/>
  <c r="HN200" i="2"/>
  <c r="HO200" i="2"/>
  <c r="HP200" i="2"/>
  <c r="ID200" i="2"/>
  <c r="IE200" i="2"/>
  <c r="IF200" i="2"/>
  <c r="IG200" i="2"/>
  <c r="IE201" i="2"/>
  <c r="IG201" i="2"/>
  <c r="N216" i="2"/>
  <c r="N227" i="2"/>
  <c r="N203" i="2" s="1"/>
  <c r="N240" i="2"/>
  <c r="FR240" i="2" s="1"/>
  <c r="O216" i="2"/>
  <c r="O203" i="2" s="1"/>
  <c r="O227" i="2"/>
  <c r="O240" i="2"/>
  <c r="P216" i="2"/>
  <c r="P227" i="2"/>
  <c r="P240" i="2"/>
  <c r="P203" i="2"/>
  <c r="Q216" i="2"/>
  <c r="Q227" i="2"/>
  <c r="FS227" i="2" s="1"/>
  <c r="Q240" i="2"/>
  <c r="FS240" i="2" s="1"/>
  <c r="R216" i="2"/>
  <c r="R203" i="2" s="1"/>
  <c r="R227" i="2"/>
  <c r="R240" i="2"/>
  <c r="S216" i="2"/>
  <c r="S227" i="2"/>
  <c r="S240" i="2"/>
  <c r="S203" i="2" s="1"/>
  <c r="T216" i="2"/>
  <c r="FT216" i="2" s="1"/>
  <c r="T227" i="2"/>
  <c r="FT227" i="2" s="1"/>
  <c r="T240" i="2"/>
  <c r="U216" i="2"/>
  <c r="U227" i="2"/>
  <c r="U203" i="2" s="1"/>
  <c r="U240" i="2"/>
  <c r="V216" i="2"/>
  <c r="V203" i="2" s="1"/>
  <c r="V227" i="2"/>
  <c r="V240" i="2"/>
  <c r="W216" i="2"/>
  <c r="W227" i="2"/>
  <c r="W240" i="2"/>
  <c r="FU240" i="2" s="1"/>
  <c r="W203" i="2"/>
  <c r="X216" i="2"/>
  <c r="X227" i="2"/>
  <c r="FU227" i="2" s="1"/>
  <c r="Y216" i="2"/>
  <c r="Y203" i="2" s="1"/>
  <c r="Y227" i="2"/>
  <c r="Z216" i="2"/>
  <c r="Z203" i="2" s="1"/>
  <c r="Z227" i="2"/>
  <c r="FV227" i="2" s="1"/>
  <c r="Z240" i="2"/>
  <c r="AA216" i="2"/>
  <c r="AA227" i="2"/>
  <c r="AA240" i="2"/>
  <c r="AA203" i="2"/>
  <c r="AB216" i="2"/>
  <c r="AB227" i="2"/>
  <c r="HW227" i="2" s="1"/>
  <c r="AB240" i="2"/>
  <c r="AC216" i="2"/>
  <c r="AC203" i="2" s="1"/>
  <c r="AC227" i="2"/>
  <c r="AC240" i="2"/>
  <c r="AD216" i="2"/>
  <c r="AD227" i="2"/>
  <c r="AD240" i="2"/>
  <c r="AD203" i="2" s="1"/>
  <c r="AE216" i="2"/>
  <c r="AE227" i="2"/>
  <c r="FW227" i="2" s="1"/>
  <c r="AE240" i="2"/>
  <c r="FW240" i="2" s="1"/>
  <c r="AF216" i="2"/>
  <c r="AF203" i="2" s="1"/>
  <c r="AF227" i="2"/>
  <c r="AF240" i="2"/>
  <c r="AG216" i="2"/>
  <c r="AG203" i="2" s="1"/>
  <c r="AG227" i="2"/>
  <c r="AG240" i="2"/>
  <c r="AH216" i="2"/>
  <c r="AH227" i="2"/>
  <c r="AH240" i="2"/>
  <c r="AH203" i="2"/>
  <c r="AI216" i="2"/>
  <c r="AI227" i="2"/>
  <c r="FY227" i="2" s="1"/>
  <c r="AI240" i="2"/>
  <c r="AJ203" i="2"/>
  <c r="AK216" i="2"/>
  <c r="AK203" i="2" s="1"/>
  <c r="AK227" i="2"/>
  <c r="AK240" i="2"/>
  <c r="FY240" i="2" s="1"/>
  <c r="AL216" i="2"/>
  <c r="AL227" i="2"/>
  <c r="AL240" i="2"/>
  <c r="AL203" i="2"/>
  <c r="AM216" i="2"/>
  <c r="AM227" i="2"/>
  <c r="HX227" i="2" s="1"/>
  <c r="AM240" i="2"/>
  <c r="AN216" i="2"/>
  <c r="AN203" i="2" s="1"/>
  <c r="AN227" i="2"/>
  <c r="AN240" i="2"/>
  <c r="AO216" i="2"/>
  <c r="AO203" i="2" s="1"/>
  <c r="AO227" i="2"/>
  <c r="AO240" i="2"/>
  <c r="AP212" i="2"/>
  <c r="AP216" i="2"/>
  <c r="AP227" i="2"/>
  <c r="GA227" i="2" s="1"/>
  <c r="AP240" i="2"/>
  <c r="GA240" i="2" s="1"/>
  <c r="AQ216" i="2"/>
  <c r="AQ227" i="2"/>
  <c r="AQ203" i="2" s="1"/>
  <c r="AQ240" i="2"/>
  <c r="AR216" i="2"/>
  <c r="AR203" i="2" s="1"/>
  <c r="AR227" i="2"/>
  <c r="GB227" i="2" s="1"/>
  <c r="AR240" i="2"/>
  <c r="AS216" i="2"/>
  <c r="AS227" i="2"/>
  <c r="AS240" i="2"/>
  <c r="GB240" i="2" s="1"/>
  <c r="AS203" i="2"/>
  <c r="AT216" i="2"/>
  <c r="AT203" i="2" s="1"/>
  <c r="AT227" i="2"/>
  <c r="AT240" i="2"/>
  <c r="AU216" i="2"/>
  <c r="GC216" i="2" s="1"/>
  <c r="GC203" i="2" s="1"/>
  <c r="AU227" i="2"/>
  <c r="AU240" i="2"/>
  <c r="AV216" i="2"/>
  <c r="AV227" i="2"/>
  <c r="AV240" i="2"/>
  <c r="AV203" i="2" s="1"/>
  <c r="AW216" i="2"/>
  <c r="AW240" i="2"/>
  <c r="GC240" i="2" s="1"/>
  <c r="AW203" i="2"/>
  <c r="AX216" i="2"/>
  <c r="AX227" i="2"/>
  <c r="AX240" i="2"/>
  <c r="GD240" i="2" s="1"/>
  <c r="AY216" i="2"/>
  <c r="AY203" i="2" s="1"/>
  <c r="AY227" i="2"/>
  <c r="AY240" i="2"/>
  <c r="AZ216" i="2"/>
  <c r="AZ227" i="2"/>
  <c r="AZ240" i="2"/>
  <c r="AZ203" i="2"/>
  <c r="BA216" i="2"/>
  <c r="GE216" i="2" s="1"/>
  <c r="GE203" i="2" s="1"/>
  <c r="BA227" i="2"/>
  <c r="HY227" i="2" s="1"/>
  <c r="BA240" i="2"/>
  <c r="BB216" i="2"/>
  <c r="BB203" i="2" s="1"/>
  <c r="BB227" i="2"/>
  <c r="BB240" i="2"/>
  <c r="BC216" i="2"/>
  <c r="BC203" i="2" s="1"/>
  <c r="BC227" i="2"/>
  <c r="BC240" i="2"/>
  <c r="BD216" i="2"/>
  <c r="BD227" i="2"/>
  <c r="GF227" i="2" s="1"/>
  <c r="BD240" i="2"/>
  <c r="GF240" i="2" s="1"/>
  <c r="BD203" i="2"/>
  <c r="BE216" i="2"/>
  <c r="BE227" i="2"/>
  <c r="BE240" i="2"/>
  <c r="BF216" i="2"/>
  <c r="BF203" i="2" s="1"/>
  <c r="BF227" i="2"/>
  <c r="BF240" i="2"/>
  <c r="BG216" i="2"/>
  <c r="BG227" i="2"/>
  <c r="BG240" i="2"/>
  <c r="BG203" i="2"/>
  <c r="BH216" i="2"/>
  <c r="BH227" i="2"/>
  <c r="BH240" i="2"/>
  <c r="BI216" i="2"/>
  <c r="BI203" i="2" s="1"/>
  <c r="BI227" i="2"/>
  <c r="BI240" i="2"/>
  <c r="BJ216" i="2"/>
  <c r="BJ203" i="2" s="1"/>
  <c r="BJ227" i="2"/>
  <c r="BJ240" i="2"/>
  <c r="BK216" i="2"/>
  <c r="BK227" i="2"/>
  <c r="BK240" i="2"/>
  <c r="BK203" i="2" s="1"/>
  <c r="BL216" i="2"/>
  <c r="BL203" i="2" s="1"/>
  <c r="BL227" i="2"/>
  <c r="BL240" i="2"/>
  <c r="BM216" i="2"/>
  <c r="BM203" i="2" s="1"/>
  <c r="BM227" i="2"/>
  <c r="BM240" i="2"/>
  <c r="BN216" i="2"/>
  <c r="BN227" i="2"/>
  <c r="BN240" i="2"/>
  <c r="BN203" i="2"/>
  <c r="BO216" i="2"/>
  <c r="BO227" i="2"/>
  <c r="GI227" i="2" s="1"/>
  <c r="BO240" i="2"/>
  <c r="GI240" i="2" s="1"/>
  <c r="BP216" i="2"/>
  <c r="GJ216" i="2" s="1"/>
  <c r="BP227" i="2"/>
  <c r="GJ227" i="2" s="1"/>
  <c r="BP240" i="2"/>
  <c r="BQ216" i="2"/>
  <c r="BQ203" i="2" s="1"/>
  <c r="BQ227" i="2"/>
  <c r="BQ240" i="2"/>
  <c r="BR216" i="2"/>
  <c r="BR227" i="2"/>
  <c r="BR240" i="2"/>
  <c r="GJ240" i="2" s="1"/>
  <c r="BS216" i="2"/>
  <c r="BS227" i="2"/>
  <c r="BS240" i="2"/>
  <c r="GK240" i="2" s="1"/>
  <c r="BT216" i="2"/>
  <c r="BT203" i="2" s="1"/>
  <c r="BT227" i="2"/>
  <c r="BT240" i="2"/>
  <c r="BU216" i="2"/>
  <c r="BU227" i="2"/>
  <c r="BU240" i="2"/>
  <c r="BU203" i="2"/>
  <c r="BV216" i="2"/>
  <c r="BV227" i="2"/>
  <c r="GL227" i="2" s="1"/>
  <c r="BV240" i="2"/>
  <c r="GL240" i="2" s="1"/>
  <c r="BW216" i="2"/>
  <c r="BW203" i="2" s="1"/>
  <c r="BW227" i="2"/>
  <c r="BW240" i="2"/>
  <c r="BX216" i="2"/>
  <c r="BX203" i="2" s="1"/>
  <c r="BX227" i="2"/>
  <c r="BX240" i="2"/>
  <c r="BY216" i="2"/>
  <c r="BY227" i="2"/>
  <c r="GM227" i="2" s="1"/>
  <c r="BY240" i="2"/>
  <c r="GM240" i="2" s="1"/>
  <c r="BY203" i="2"/>
  <c r="BZ216" i="2"/>
  <c r="BZ227" i="2"/>
  <c r="BZ240" i="2"/>
  <c r="CA216" i="2"/>
  <c r="CA203" i="2" s="1"/>
  <c r="CA227" i="2"/>
  <c r="CA240" i="2"/>
  <c r="CB205" i="2"/>
  <c r="CB206" i="2"/>
  <c r="CB209" i="2"/>
  <c r="GN209" i="2" s="1"/>
  <c r="CB212" i="2"/>
  <c r="GN212" i="2" s="1"/>
  <c r="CB216" i="2"/>
  <c r="CB220" i="2"/>
  <c r="CB227" i="2"/>
  <c r="CB231" i="2"/>
  <c r="CB240" i="2" s="1"/>
  <c r="GN240" i="2" s="1"/>
  <c r="CB232" i="2"/>
  <c r="CB234" i="2"/>
  <c r="CB235" i="2"/>
  <c r="CB237" i="2"/>
  <c r="GN237" i="2" s="1"/>
  <c r="CB239" i="2"/>
  <c r="CC216" i="2"/>
  <c r="CC227" i="2"/>
  <c r="CC240" i="2"/>
  <c r="CC203" i="2"/>
  <c r="CD216" i="2"/>
  <c r="CD227" i="2"/>
  <c r="CD240" i="2"/>
  <c r="CE216" i="2"/>
  <c r="CE203" i="2" s="1"/>
  <c r="CE227" i="2"/>
  <c r="CE240" i="2"/>
  <c r="CF216" i="2"/>
  <c r="CF227" i="2"/>
  <c r="CF240" i="2"/>
  <c r="CF203" i="2" s="1"/>
  <c r="CG216" i="2"/>
  <c r="CG227" i="2"/>
  <c r="GO227" i="2" s="1"/>
  <c r="CG240" i="2"/>
  <c r="CG203" i="2"/>
  <c r="CH216" i="2"/>
  <c r="CH203" i="2" s="1"/>
  <c r="CH227" i="2"/>
  <c r="GP227" i="2" s="1"/>
  <c r="CH240" i="2"/>
  <c r="GP240" i="2" s="1"/>
  <c r="CI216" i="2"/>
  <c r="CI203" i="2" s="1"/>
  <c r="CI227" i="2"/>
  <c r="CI240" i="2"/>
  <c r="CJ216" i="2"/>
  <c r="CJ227" i="2"/>
  <c r="CJ240" i="2"/>
  <c r="CJ203" i="2"/>
  <c r="CK216" i="2"/>
  <c r="CK227" i="2"/>
  <c r="GQ227" i="2" s="1"/>
  <c r="CK240" i="2"/>
  <c r="CL216" i="2"/>
  <c r="CL203" i="2" s="1"/>
  <c r="CL227" i="2"/>
  <c r="CL240" i="2"/>
  <c r="CM216" i="2"/>
  <c r="CM227" i="2"/>
  <c r="CM240" i="2"/>
  <c r="CM203" i="2" s="1"/>
  <c r="CN216" i="2"/>
  <c r="GR216" i="2" s="1"/>
  <c r="CN227" i="2"/>
  <c r="GR227" i="2" s="1"/>
  <c r="CO203" i="2"/>
  <c r="CP203" i="2"/>
  <c r="CQ203" i="2"/>
  <c r="CR203" i="2"/>
  <c r="CS203" i="2"/>
  <c r="CT203" i="2"/>
  <c r="CU203" i="2"/>
  <c r="CV203" i="2"/>
  <c r="CW203" i="2"/>
  <c r="CX203" i="2"/>
  <c r="CY203" i="2"/>
  <c r="CZ203" i="2"/>
  <c r="DA203" i="2"/>
  <c r="DB203" i="2"/>
  <c r="DC203" i="2"/>
  <c r="DD203" i="2"/>
  <c r="DE203" i="2"/>
  <c r="DF203" i="2"/>
  <c r="DG203" i="2"/>
  <c r="DH203" i="2"/>
  <c r="DI203" i="2"/>
  <c r="DJ203" i="2"/>
  <c r="DK203" i="2"/>
  <c r="DL203" i="2"/>
  <c r="DM203" i="2"/>
  <c r="DN203" i="2"/>
  <c r="DO203" i="2"/>
  <c r="DP203" i="2"/>
  <c r="DQ203" i="2"/>
  <c r="DR203" i="2"/>
  <c r="DS203" i="2"/>
  <c r="DT203" i="2"/>
  <c r="DU203" i="2"/>
  <c r="DV203" i="2"/>
  <c r="DW203" i="2"/>
  <c r="DX203" i="2"/>
  <c r="DY203" i="2"/>
  <c r="DZ203" i="2"/>
  <c r="EA203" i="2"/>
  <c r="EB203" i="2"/>
  <c r="EC203" i="2"/>
  <c r="ED203" i="2"/>
  <c r="EE203" i="2"/>
  <c r="EF203" i="2"/>
  <c r="EG203" i="2"/>
  <c r="EH203" i="2"/>
  <c r="EI203" i="2"/>
  <c r="EJ203" i="2"/>
  <c r="EK203" i="2"/>
  <c r="EL203" i="2"/>
  <c r="EM203" i="2"/>
  <c r="EN203" i="2"/>
  <c r="EO203" i="2"/>
  <c r="EP203" i="2"/>
  <c r="EQ203" i="2"/>
  <c r="ER203" i="2"/>
  <c r="ES203" i="2"/>
  <c r="ET203" i="2"/>
  <c r="EU203" i="2"/>
  <c r="EV203" i="2"/>
  <c r="EW203" i="2"/>
  <c r="EX203" i="2"/>
  <c r="EY203" i="2"/>
  <c r="EZ203" i="2"/>
  <c r="FA203" i="2"/>
  <c r="FB203" i="2"/>
  <c r="FC203" i="2"/>
  <c r="FD203" i="2"/>
  <c r="FE203" i="2"/>
  <c r="FF203" i="2"/>
  <c r="FG203" i="2"/>
  <c r="FH203" i="2"/>
  <c r="FI203" i="2"/>
  <c r="FJ203" i="2"/>
  <c r="B216" i="2"/>
  <c r="FN216" i="2" s="1"/>
  <c r="C216" i="2"/>
  <c r="D216" i="2"/>
  <c r="B227" i="2"/>
  <c r="C227" i="2"/>
  <c r="D227" i="2"/>
  <c r="FN227" i="2"/>
  <c r="FN240" i="2"/>
  <c r="FN203" i="2"/>
  <c r="E216" i="2"/>
  <c r="F216" i="2"/>
  <c r="G216" i="2"/>
  <c r="E227" i="2"/>
  <c r="FO227" i="2" s="1"/>
  <c r="F227" i="2"/>
  <c r="G227" i="2"/>
  <c r="FO240" i="2"/>
  <c r="H216" i="2"/>
  <c r="I216" i="2"/>
  <c r="J216" i="2"/>
  <c r="FP216" i="2" s="1"/>
  <c r="H227" i="2"/>
  <c r="I227" i="2"/>
  <c r="J227" i="2"/>
  <c r="FP240" i="2"/>
  <c r="K216" i="2"/>
  <c r="FQ216" i="2" s="1"/>
  <c r="L216" i="2"/>
  <c r="M216" i="2"/>
  <c r="K227" i="2"/>
  <c r="L227" i="2"/>
  <c r="M227" i="2"/>
  <c r="FQ227" i="2" s="1"/>
  <c r="FQ240" i="2"/>
  <c r="FR216" i="2"/>
  <c r="FR203" i="2" s="1"/>
  <c r="FR227" i="2"/>
  <c r="FT240" i="2"/>
  <c r="FT203" i="2"/>
  <c r="FU216" i="2"/>
  <c r="FU203" i="2" s="1"/>
  <c r="FX216" i="2"/>
  <c r="FX227" i="2"/>
  <c r="FX240" i="2"/>
  <c r="GB216" i="2"/>
  <c r="GC227" i="2"/>
  <c r="GD227" i="2"/>
  <c r="GE227" i="2"/>
  <c r="GE240" i="2"/>
  <c r="GH227" i="2"/>
  <c r="GH240" i="2"/>
  <c r="GI216" i="2"/>
  <c r="GK227" i="2"/>
  <c r="GL216" i="2"/>
  <c r="GO240" i="2"/>
  <c r="GP216" i="2"/>
  <c r="GQ240" i="2"/>
  <c r="GR240" i="2"/>
  <c r="GS216" i="2"/>
  <c r="GS227" i="2"/>
  <c r="GS240" i="2"/>
  <c r="GT216" i="2"/>
  <c r="GT203" i="2" s="1"/>
  <c r="GT227" i="2"/>
  <c r="GT240" i="2"/>
  <c r="GU216" i="2"/>
  <c r="GU203" i="2" s="1"/>
  <c r="GU227" i="2"/>
  <c r="GU240" i="2"/>
  <c r="GV216" i="2"/>
  <c r="GV227" i="2"/>
  <c r="GV240" i="2"/>
  <c r="GV203" i="2" s="1"/>
  <c r="GW216" i="2"/>
  <c r="GW203" i="2" s="1"/>
  <c r="GW227" i="2"/>
  <c r="GW240" i="2"/>
  <c r="GX216" i="2"/>
  <c r="GX203" i="2" s="1"/>
  <c r="GX227" i="2"/>
  <c r="GX240" i="2"/>
  <c r="GY216" i="2"/>
  <c r="GY227" i="2"/>
  <c r="GY240" i="2"/>
  <c r="GY203" i="2"/>
  <c r="GZ216" i="2"/>
  <c r="GZ227" i="2"/>
  <c r="GZ240" i="2"/>
  <c r="HA216" i="2"/>
  <c r="HA203" i="2" s="1"/>
  <c r="HA227" i="2"/>
  <c r="HA240" i="2"/>
  <c r="HB216" i="2"/>
  <c r="HB203" i="2" s="1"/>
  <c r="HB227" i="2"/>
  <c r="HB240" i="2"/>
  <c r="HC216" i="2"/>
  <c r="HC227" i="2"/>
  <c r="HC240" i="2"/>
  <c r="HC203" i="2" s="1"/>
  <c r="HD216" i="2"/>
  <c r="HD203" i="2" s="1"/>
  <c r="HD227" i="2"/>
  <c r="HD240" i="2"/>
  <c r="HE216" i="2"/>
  <c r="HE203" i="2" s="1"/>
  <c r="HE227" i="2"/>
  <c r="HE240" i="2"/>
  <c r="HF216" i="2"/>
  <c r="HF227" i="2"/>
  <c r="HF240" i="2"/>
  <c r="HF203" i="2"/>
  <c r="HG216" i="2"/>
  <c r="HG227" i="2"/>
  <c r="HG240" i="2"/>
  <c r="HH216" i="2"/>
  <c r="HH203" i="2" s="1"/>
  <c r="HH227" i="2"/>
  <c r="HH240" i="2"/>
  <c r="HI216" i="2"/>
  <c r="HI203" i="2" s="1"/>
  <c r="HI227" i="2"/>
  <c r="HI240" i="2"/>
  <c r="HJ216" i="2"/>
  <c r="HJ227" i="2"/>
  <c r="HJ240" i="2"/>
  <c r="HJ203" i="2"/>
  <c r="HK216" i="2"/>
  <c r="HK203" i="2" s="1"/>
  <c r="HK227" i="2"/>
  <c r="HK240" i="2"/>
  <c r="HL216" i="2"/>
  <c r="HL203" i="2" s="1"/>
  <c r="HL227" i="2"/>
  <c r="HL240" i="2"/>
  <c r="HM216" i="2"/>
  <c r="HM227" i="2"/>
  <c r="HM240" i="2"/>
  <c r="HM203" i="2"/>
  <c r="HN216" i="2"/>
  <c r="HN203" i="2" s="1"/>
  <c r="HN227" i="2"/>
  <c r="HN240" i="2"/>
  <c r="HO216" i="2"/>
  <c r="HO203" i="2" s="1"/>
  <c r="HO227" i="2"/>
  <c r="HO240" i="2"/>
  <c r="HP216" i="2"/>
  <c r="HP203" i="2" s="1"/>
  <c r="HP227" i="2"/>
  <c r="HP240" i="2"/>
  <c r="HQ203" i="2"/>
  <c r="HV240" i="2"/>
  <c r="HZ216" i="2"/>
  <c r="IC216" i="2"/>
  <c r="IC227" i="2"/>
  <c r="IC203" i="2" s="1"/>
  <c r="IC241" i="2" s="1"/>
  <c r="IC240" i="2"/>
  <c r="ID216" i="2"/>
  <c r="ID203" i="2" s="1"/>
  <c r="ID241" i="2" s="1"/>
  <c r="ID227" i="2"/>
  <c r="ID240" i="2"/>
  <c r="IE216" i="2"/>
  <c r="IE203" i="2" s="1"/>
  <c r="IE227" i="2"/>
  <c r="IE240" i="2"/>
  <c r="IF216" i="2"/>
  <c r="IF227" i="2"/>
  <c r="IF240" i="2"/>
  <c r="IF203" i="2"/>
  <c r="IF241" i="2" s="1"/>
  <c r="IG216" i="2"/>
  <c r="IG227" i="2"/>
  <c r="IG244" i="2" s="1"/>
  <c r="IG240" i="2"/>
  <c r="FN205" i="2"/>
  <c r="FO205" i="2"/>
  <c r="FP205" i="2"/>
  <c r="FQ205" i="2"/>
  <c r="FR205" i="2"/>
  <c r="FS205" i="2"/>
  <c r="FT205" i="2"/>
  <c r="FU205" i="2"/>
  <c r="FV205" i="2"/>
  <c r="FW205" i="2"/>
  <c r="FX205" i="2"/>
  <c r="FY205" i="2"/>
  <c r="FZ205" i="2"/>
  <c r="GA205" i="2"/>
  <c r="GB205" i="2"/>
  <c r="GC205" i="2"/>
  <c r="GD205" i="2"/>
  <c r="GE205" i="2"/>
  <c r="GF205" i="2"/>
  <c r="GG205" i="2"/>
  <c r="GH205" i="2"/>
  <c r="GI205" i="2"/>
  <c r="GJ205" i="2"/>
  <c r="GK205" i="2"/>
  <c r="GL205" i="2"/>
  <c r="GM205" i="2"/>
  <c r="GN205" i="2"/>
  <c r="GO205" i="2"/>
  <c r="GP205" i="2"/>
  <c r="GQ205" i="2"/>
  <c r="GR205" i="2"/>
  <c r="GS205" i="2"/>
  <c r="GT205" i="2"/>
  <c r="GU205" i="2"/>
  <c r="GV205" i="2"/>
  <c r="GW205" i="2"/>
  <c r="GX205" i="2"/>
  <c r="GY205" i="2"/>
  <c r="GZ205" i="2"/>
  <c r="HA205" i="2"/>
  <c r="HB205" i="2"/>
  <c r="HC205" i="2"/>
  <c r="HD205" i="2"/>
  <c r="HE205" i="2"/>
  <c r="HF205" i="2"/>
  <c r="HG205" i="2"/>
  <c r="HH205" i="2"/>
  <c r="HI205" i="2"/>
  <c r="HJ205" i="2"/>
  <c r="HK205" i="2"/>
  <c r="HL205" i="2"/>
  <c r="HM205" i="2"/>
  <c r="HN205" i="2"/>
  <c r="HO205" i="2"/>
  <c r="HP205" i="2"/>
  <c r="HU205" i="2"/>
  <c r="HV205" i="2"/>
  <c r="HW205" i="2"/>
  <c r="HX205" i="2"/>
  <c r="HY205" i="2"/>
  <c r="HZ205" i="2"/>
  <c r="IA205" i="2"/>
  <c r="IB205" i="2"/>
  <c r="IC205" i="2"/>
  <c r="ID205" i="2"/>
  <c r="IE205" i="2"/>
  <c r="IF205" i="2"/>
  <c r="IG205" i="2"/>
  <c r="FN206" i="2"/>
  <c r="FO206" i="2"/>
  <c r="FP206" i="2"/>
  <c r="FQ206" i="2"/>
  <c r="FR206" i="2"/>
  <c r="FS206" i="2"/>
  <c r="FT206" i="2"/>
  <c r="FU206" i="2"/>
  <c r="FV206" i="2"/>
  <c r="FW206" i="2"/>
  <c r="FX206" i="2"/>
  <c r="FY206" i="2"/>
  <c r="FZ206" i="2"/>
  <c r="GA206" i="2"/>
  <c r="GB206" i="2"/>
  <c r="GC206" i="2"/>
  <c r="GD206" i="2"/>
  <c r="GE206" i="2"/>
  <c r="GF206" i="2"/>
  <c r="GG206" i="2"/>
  <c r="GH206" i="2"/>
  <c r="GI206" i="2"/>
  <c r="GJ206" i="2"/>
  <c r="GK206" i="2"/>
  <c r="GL206" i="2"/>
  <c r="GM206" i="2"/>
  <c r="GN206" i="2"/>
  <c r="GO206" i="2"/>
  <c r="GP206" i="2"/>
  <c r="GQ206" i="2"/>
  <c r="GR206" i="2"/>
  <c r="GS206" i="2"/>
  <c r="GT206" i="2"/>
  <c r="GU206" i="2"/>
  <c r="GV206" i="2"/>
  <c r="GW206" i="2"/>
  <c r="GX206" i="2"/>
  <c r="GY206" i="2"/>
  <c r="GZ206" i="2"/>
  <c r="HA206" i="2"/>
  <c r="HB206" i="2"/>
  <c r="HC206" i="2"/>
  <c r="HD206" i="2"/>
  <c r="HE206" i="2"/>
  <c r="HF206" i="2"/>
  <c r="HG206" i="2"/>
  <c r="HH206" i="2"/>
  <c r="HI206" i="2"/>
  <c r="HJ206" i="2"/>
  <c r="HK206" i="2"/>
  <c r="HL206" i="2"/>
  <c r="HM206" i="2"/>
  <c r="HN206" i="2"/>
  <c r="HO206" i="2"/>
  <c r="HP206" i="2"/>
  <c r="HU206" i="2"/>
  <c r="HV206" i="2"/>
  <c r="HW206" i="2"/>
  <c r="HX206" i="2"/>
  <c r="HY206" i="2"/>
  <c r="HZ206" i="2"/>
  <c r="IA206" i="2"/>
  <c r="IB206" i="2"/>
  <c r="IC206" i="2"/>
  <c r="ID206" i="2"/>
  <c r="IE206" i="2"/>
  <c r="IF206" i="2"/>
  <c r="IG206" i="2"/>
  <c r="FN207" i="2"/>
  <c r="FO207" i="2"/>
  <c r="FP207" i="2"/>
  <c r="FQ207" i="2"/>
  <c r="FR207" i="2"/>
  <c r="FS207" i="2"/>
  <c r="FT207" i="2"/>
  <c r="FU207" i="2"/>
  <c r="FV207" i="2"/>
  <c r="FW207" i="2"/>
  <c r="FX207" i="2"/>
  <c r="FY207" i="2"/>
  <c r="FZ207" i="2"/>
  <c r="GA207" i="2"/>
  <c r="GB207" i="2"/>
  <c r="GC207" i="2"/>
  <c r="GD207" i="2"/>
  <c r="GE207" i="2"/>
  <c r="GF207" i="2"/>
  <c r="GG207" i="2"/>
  <c r="GH207" i="2"/>
  <c r="GI207" i="2"/>
  <c r="GJ207" i="2"/>
  <c r="GK207" i="2"/>
  <c r="GL207" i="2"/>
  <c r="GM207" i="2"/>
  <c r="GN207" i="2"/>
  <c r="GO207" i="2"/>
  <c r="GP207" i="2"/>
  <c r="GQ207" i="2"/>
  <c r="GR207" i="2"/>
  <c r="GS207" i="2"/>
  <c r="GT207" i="2"/>
  <c r="GU207" i="2"/>
  <c r="GV207" i="2"/>
  <c r="GW207" i="2"/>
  <c r="GX207" i="2"/>
  <c r="GY207" i="2"/>
  <c r="GZ207" i="2"/>
  <c r="HA207" i="2"/>
  <c r="HB207" i="2"/>
  <c r="HC207" i="2"/>
  <c r="HD207" i="2"/>
  <c r="HE207" i="2"/>
  <c r="HF207" i="2"/>
  <c r="HG207" i="2"/>
  <c r="HH207" i="2"/>
  <c r="HI207" i="2"/>
  <c r="HJ207" i="2"/>
  <c r="HK207" i="2"/>
  <c r="HL207" i="2"/>
  <c r="HM207" i="2"/>
  <c r="HN207" i="2"/>
  <c r="HO207" i="2"/>
  <c r="HP207" i="2"/>
  <c r="HU207" i="2"/>
  <c r="HV207" i="2"/>
  <c r="HW207" i="2"/>
  <c r="HX207" i="2"/>
  <c r="HY207" i="2"/>
  <c r="HZ207" i="2"/>
  <c r="IA207" i="2"/>
  <c r="IB207" i="2"/>
  <c r="IC207" i="2"/>
  <c r="ID207" i="2"/>
  <c r="IE207" i="2"/>
  <c r="IF207" i="2"/>
  <c r="IG207" i="2"/>
  <c r="FN208" i="2"/>
  <c r="FO208" i="2"/>
  <c r="FP208" i="2"/>
  <c r="FQ208" i="2"/>
  <c r="FR208" i="2"/>
  <c r="FS208" i="2"/>
  <c r="FT208" i="2"/>
  <c r="FU208" i="2"/>
  <c r="FV208" i="2"/>
  <c r="FW208" i="2"/>
  <c r="FX208" i="2"/>
  <c r="FY208" i="2"/>
  <c r="FZ208" i="2"/>
  <c r="GA208" i="2"/>
  <c r="GB208" i="2"/>
  <c r="GC208" i="2"/>
  <c r="GD208" i="2"/>
  <c r="GE208" i="2"/>
  <c r="GF208" i="2"/>
  <c r="GG208" i="2"/>
  <c r="GH208" i="2"/>
  <c r="GI208" i="2"/>
  <c r="GJ208" i="2"/>
  <c r="GK208" i="2"/>
  <c r="GL208" i="2"/>
  <c r="GM208" i="2"/>
  <c r="GN208" i="2"/>
  <c r="GO208" i="2"/>
  <c r="GP208" i="2"/>
  <c r="GQ208" i="2"/>
  <c r="GR208" i="2"/>
  <c r="GS208" i="2"/>
  <c r="GT208" i="2"/>
  <c r="GU208" i="2"/>
  <c r="GV208" i="2"/>
  <c r="GW208" i="2"/>
  <c r="GX208" i="2"/>
  <c r="GY208" i="2"/>
  <c r="GZ208" i="2"/>
  <c r="HA208" i="2"/>
  <c r="HB208" i="2"/>
  <c r="HC208" i="2"/>
  <c r="HD208" i="2"/>
  <c r="HE208" i="2"/>
  <c r="HF208" i="2"/>
  <c r="HG208" i="2"/>
  <c r="HH208" i="2"/>
  <c r="HI208" i="2"/>
  <c r="HJ208" i="2"/>
  <c r="HK208" i="2"/>
  <c r="HL208" i="2"/>
  <c r="HM208" i="2"/>
  <c r="HN208" i="2"/>
  <c r="HO208" i="2"/>
  <c r="HP208" i="2"/>
  <c r="HU208" i="2"/>
  <c r="HV208" i="2"/>
  <c r="HW208" i="2"/>
  <c r="HX208" i="2"/>
  <c r="HY208" i="2"/>
  <c r="HZ208" i="2"/>
  <c r="IA208" i="2"/>
  <c r="IB208" i="2"/>
  <c r="IC208" i="2"/>
  <c r="ID208" i="2"/>
  <c r="IE208" i="2"/>
  <c r="IF208" i="2"/>
  <c r="IG208" i="2"/>
  <c r="FN209" i="2"/>
  <c r="FO209" i="2"/>
  <c r="FP209" i="2"/>
  <c r="FQ209" i="2"/>
  <c r="FR209" i="2"/>
  <c r="FS209" i="2"/>
  <c r="FT209" i="2"/>
  <c r="FU209" i="2"/>
  <c r="FV209" i="2"/>
  <c r="FW209" i="2"/>
  <c r="FX209" i="2"/>
  <c r="FY209" i="2"/>
  <c r="FZ209" i="2"/>
  <c r="GA209" i="2"/>
  <c r="GB209" i="2"/>
  <c r="GC209" i="2"/>
  <c r="GD209" i="2"/>
  <c r="GE209" i="2"/>
  <c r="GF209" i="2"/>
  <c r="GG209" i="2"/>
  <c r="GH209" i="2"/>
  <c r="GI209" i="2"/>
  <c r="GJ209" i="2"/>
  <c r="GK209" i="2"/>
  <c r="GL209" i="2"/>
  <c r="GM209" i="2"/>
  <c r="GO209" i="2"/>
  <c r="GP209" i="2"/>
  <c r="GQ209" i="2"/>
  <c r="GR209" i="2"/>
  <c r="GS209" i="2"/>
  <c r="GT209" i="2"/>
  <c r="GU209" i="2"/>
  <c r="GV209" i="2"/>
  <c r="GW209" i="2"/>
  <c r="GX209" i="2"/>
  <c r="GY209" i="2"/>
  <c r="GZ209" i="2"/>
  <c r="HA209" i="2"/>
  <c r="HB209" i="2"/>
  <c r="HC209" i="2"/>
  <c r="HD209" i="2"/>
  <c r="HE209" i="2"/>
  <c r="HF209" i="2"/>
  <c r="HG209" i="2"/>
  <c r="HH209" i="2"/>
  <c r="HI209" i="2"/>
  <c r="HJ209" i="2"/>
  <c r="HK209" i="2"/>
  <c r="HL209" i="2"/>
  <c r="HM209" i="2"/>
  <c r="HN209" i="2"/>
  <c r="HO209" i="2"/>
  <c r="HP209" i="2"/>
  <c r="HU209" i="2"/>
  <c r="HV209" i="2"/>
  <c r="HW209" i="2"/>
  <c r="HX209" i="2"/>
  <c r="HY209" i="2"/>
  <c r="HZ209" i="2"/>
  <c r="IA209" i="2"/>
  <c r="IB209" i="2"/>
  <c r="IC209" i="2"/>
  <c r="ID209" i="2"/>
  <c r="IE209" i="2"/>
  <c r="IF209" i="2"/>
  <c r="IG209" i="2"/>
  <c r="FN210" i="2"/>
  <c r="FO210" i="2"/>
  <c r="FP210" i="2"/>
  <c r="FQ210" i="2"/>
  <c r="FR210" i="2"/>
  <c r="FS210" i="2"/>
  <c r="FT210" i="2"/>
  <c r="FU210" i="2"/>
  <c r="FV210" i="2"/>
  <c r="FW210" i="2"/>
  <c r="FX210" i="2"/>
  <c r="FY210" i="2"/>
  <c r="FZ210" i="2"/>
  <c r="GA210" i="2"/>
  <c r="GB210" i="2"/>
  <c r="GC210" i="2"/>
  <c r="GD210" i="2"/>
  <c r="GE210" i="2"/>
  <c r="GF210" i="2"/>
  <c r="GG210" i="2"/>
  <c r="GH210" i="2"/>
  <c r="GI210" i="2"/>
  <c r="GJ210" i="2"/>
  <c r="GK210" i="2"/>
  <c r="GL210" i="2"/>
  <c r="GM210" i="2"/>
  <c r="GN210" i="2"/>
  <c r="GO210" i="2"/>
  <c r="GP210" i="2"/>
  <c r="GQ210" i="2"/>
  <c r="GR210" i="2"/>
  <c r="GS210" i="2"/>
  <c r="GT210" i="2"/>
  <c r="GU210" i="2"/>
  <c r="GV210" i="2"/>
  <c r="GW210" i="2"/>
  <c r="GX210" i="2"/>
  <c r="GY210" i="2"/>
  <c r="GZ210" i="2"/>
  <c r="HA210" i="2"/>
  <c r="HB210" i="2"/>
  <c r="HC210" i="2"/>
  <c r="HD210" i="2"/>
  <c r="HE210" i="2"/>
  <c r="HF210" i="2"/>
  <c r="HG210" i="2"/>
  <c r="HH210" i="2"/>
  <c r="HI210" i="2"/>
  <c r="HJ210" i="2"/>
  <c r="HK210" i="2"/>
  <c r="HL210" i="2"/>
  <c r="HM210" i="2"/>
  <c r="HN210" i="2"/>
  <c r="HO210" i="2"/>
  <c r="HP210" i="2"/>
  <c r="HU210" i="2"/>
  <c r="HV210" i="2"/>
  <c r="HW210" i="2"/>
  <c r="HX210" i="2"/>
  <c r="HY210" i="2"/>
  <c r="HZ210" i="2"/>
  <c r="IA210" i="2"/>
  <c r="IB210" i="2"/>
  <c r="IC210" i="2"/>
  <c r="ID210" i="2"/>
  <c r="IE210" i="2"/>
  <c r="IF210" i="2"/>
  <c r="IG210" i="2"/>
  <c r="FN211" i="2"/>
  <c r="FO211" i="2"/>
  <c r="FP211" i="2"/>
  <c r="FQ211" i="2"/>
  <c r="FR211" i="2"/>
  <c r="FS211" i="2"/>
  <c r="FT211" i="2"/>
  <c r="FU211" i="2"/>
  <c r="FV211" i="2"/>
  <c r="FW211" i="2"/>
  <c r="FX211" i="2"/>
  <c r="FY211" i="2"/>
  <c r="FZ211" i="2"/>
  <c r="GA211" i="2"/>
  <c r="GB211" i="2"/>
  <c r="GC211" i="2"/>
  <c r="GD211" i="2"/>
  <c r="GE211" i="2"/>
  <c r="GF211" i="2"/>
  <c r="GG211" i="2"/>
  <c r="GH211" i="2"/>
  <c r="GI211" i="2"/>
  <c r="GJ211" i="2"/>
  <c r="GK211" i="2"/>
  <c r="GL211" i="2"/>
  <c r="GM211" i="2"/>
  <c r="GN211" i="2"/>
  <c r="GO211" i="2"/>
  <c r="GP211" i="2"/>
  <c r="GQ211" i="2"/>
  <c r="GR211" i="2"/>
  <c r="GS211" i="2"/>
  <c r="GT211" i="2"/>
  <c r="GU211" i="2"/>
  <c r="GV211" i="2"/>
  <c r="GW211" i="2"/>
  <c r="GX211" i="2"/>
  <c r="GY211" i="2"/>
  <c r="GZ211" i="2"/>
  <c r="HA211" i="2"/>
  <c r="HB211" i="2"/>
  <c r="HC211" i="2"/>
  <c r="HD211" i="2"/>
  <c r="HE211" i="2"/>
  <c r="HF211" i="2"/>
  <c r="HG211" i="2"/>
  <c r="HH211" i="2"/>
  <c r="HI211" i="2"/>
  <c r="HJ211" i="2"/>
  <c r="HK211" i="2"/>
  <c r="HL211" i="2"/>
  <c r="HM211" i="2"/>
  <c r="HN211" i="2"/>
  <c r="HO211" i="2"/>
  <c r="HP211" i="2"/>
  <c r="HU211" i="2"/>
  <c r="HV211" i="2"/>
  <c r="HW211" i="2"/>
  <c r="HX211" i="2"/>
  <c r="HY211" i="2"/>
  <c r="HZ211" i="2"/>
  <c r="IA211" i="2"/>
  <c r="IB211" i="2"/>
  <c r="IC211" i="2"/>
  <c r="ID211" i="2"/>
  <c r="IE211" i="2"/>
  <c r="IF211" i="2"/>
  <c r="IG211" i="2"/>
  <c r="FN212" i="2"/>
  <c r="FO212" i="2"/>
  <c r="FP212" i="2"/>
  <c r="FQ212" i="2"/>
  <c r="FR212" i="2"/>
  <c r="FS212" i="2"/>
  <c r="FT212" i="2"/>
  <c r="FU212" i="2"/>
  <c r="FV212" i="2"/>
  <c r="FW212" i="2"/>
  <c r="FX212" i="2"/>
  <c r="FY212" i="2"/>
  <c r="FZ212" i="2"/>
  <c r="GA212" i="2"/>
  <c r="GB212" i="2"/>
  <c r="GC212" i="2"/>
  <c r="GD212" i="2"/>
  <c r="GE212" i="2"/>
  <c r="GF212" i="2"/>
  <c r="GG212" i="2"/>
  <c r="GH212" i="2"/>
  <c r="GI212" i="2"/>
  <c r="GJ212" i="2"/>
  <c r="GK212" i="2"/>
  <c r="GL212" i="2"/>
  <c r="GM212" i="2"/>
  <c r="GO212" i="2"/>
  <c r="GP212" i="2"/>
  <c r="GQ212" i="2"/>
  <c r="GR212" i="2"/>
  <c r="GS212" i="2"/>
  <c r="GT212" i="2"/>
  <c r="GU212" i="2"/>
  <c r="GV212" i="2"/>
  <c r="GW212" i="2"/>
  <c r="GX212" i="2"/>
  <c r="GY212" i="2"/>
  <c r="GZ212" i="2"/>
  <c r="HA212" i="2"/>
  <c r="HB212" i="2"/>
  <c r="HC212" i="2"/>
  <c r="HD212" i="2"/>
  <c r="HE212" i="2"/>
  <c r="HF212" i="2"/>
  <c r="HG212" i="2"/>
  <c r="HH212" i="2"/>
  <c r="HI212" i="2"/>
  <c r="HJ212" i="2"/>
  <c r="HK212" i="2"/>
  <c r="HL212" i="2"/>
  <c r="HM212" i="2"/>
  <c r="HN212" i="2"/>
  <c r="HO212" i="2"/>
  <c r="HP212" i="2"/>
  <c r="HU212" i="2"/>
  <c r="HV212" i="2"/>
  <c r="HW212" i="2"/>
  <c r="HX212" i="2"/>
  <c r="HY212" i="2"/>
  <c r="HZ212" i="2"/>
  <c r="IB212" i="2"/>
  <c r="IC212" i="2"/>
  <c r="ID212" i="2"/>
  <c r="IE212" i="2"/>
  <c r="IF212" i="2"/>
  <c r="IG212" i="2"/>
  <c r="FN213" i="2"/>
  <c r="FO213" i="2"/>
  <c r="FP213" i="2"/>
  <c r="FQ213" i="2"/>
  <c r="FR213" i="2"/>
  <c r="FS213" i="2"/>
  <c r="FT213" i="2"/>
  <c r="FU213" i="2"/>
  <c r="FV213" i="2"/>
  <c r="FW213" i="2"/>
  <c r="FX213" i="2"/>
  <c r="FY213" i="2"/>
  <c r="FZ213" i="2"/>
  <c r="GA213" i="2"/>
  <c r="GB213" i="2"/>
  <c r="GC213" i="2"/>
  <c r="GD213" i="2"/>
  <c r="GE213" i="2"/>
  <c r="GF213" i="2"/>
  <c r="GG213" i="2"/>
  <c r="GH213" i="2"/>
  <c r="GI213" i="2"/>
  <c r="GJ213" i="2"/>
  <c r="GK213" i="2"/>
  <c r="GL213" i="2"/>
  <c r="GM213" i="2"/>
  <c r="GN213" i="2"/>
  <c r="GO213" i="2"/>
  <c r="GP213" i="2"/>
  <c r="GQ213" i="2"/>
  <c r="GR213" i="2"/>
  <c r="GS213" i="2"/>
  <c r="GT213" i="2"/>
  <c r="GU213" i="2"/>
  <c r="GV213" i="2"/>
  <c r="GW213" i="2"/>
  <c r="GX213" i="2"/>
  <c r="GY213" i="2"/>
  <c r="GZ213" i="2"/>
  <c r="HA213" i="2"/>
  <c r="HB213" i="2"/>
  <c r="HC213" i="2"/>
  <c r="HD213" i="2"/>
  <c r="HE213" i="2"/>
  <c r="HF213" i="2"/>
  <c r="HG213" i="2"/>
  <c r="HH213" i="2"/>
  <c r="HI213" i="2"/>
  <c r="HJ213" i="2"/>
  <c r="HK213" i="2"/>
  <c r="HL213" i="2"/>
  <c r="HM213" i="2"/>
  <c r="HN213" i="2"/>
  <c r="HO213" i="2"/>
  <c r="HP213" i="2"/>
  <c r="HU213" i="2"/>
  <c r="HV213" i="2"/>
  <c r="HW213" i="2"/>
  <c r="HX213" i="2"/>
  <c r="HY213" i="2"/>
  <c r="HZ213" i="2"/>
  <c r="IA213" i="2"/>
  <c r="IB213" i="2"/>
  <c r="IC213" i="2"/>
  <c r="ID213" i="2"/>
  <c r="IE213" i="2"/>
  <c r="IF213" i="2"/>
  <c r="IG213" i="2"/>
  <c r="FN214" i="2"/>
  <c r="FO214" i="2"/>
  <c r="FP214" i="2"/>
  <c r="FQ214" i="2"/>
  <c r="FR214" i="2"/>
  <c r="FS214" i="2"/>
  <c r="FT214" i="2"/>
  <c r="FU214" i="2"/>
  <c r="FV214" i="2"/>
  <c r="FW214" i="2"/>
  <c r="FX214" i="2"/>
  <c r="FY214" i="2"/>
  <c r="FZ214" i="2"/>
  <c r="GA214" i="2"/>
  <c r="GB214" i="2"/>
  <c r="GC214" i="2"/>
  <c r="GD214" i="2"/>
  <c r="GE214" i="2"/>
  <c r="GF214" i="2"/>
  <c r="GG214" i="2"/>
  <c r="GH214" i="2"/>
  <c r="GI214" i="2"/>
  <c r="GJ214" i="2"/>
  <c r="GK214" i="2"/>
  <c r="GL214" i="2"/>
  <c r="GM214" i="2"/>
  <c r="GN214" i="2"/>
  <c r="GO214" i="2"/>
  <c r="GP214" i="2"/>
  <c r="GQ214" i="2"/>
  <c r="GR214" i="2"/>
  <c r="GS214" i="2"/>
  <c r="GT214" i="2"/>
  <c r="GU214" i="2"/>
  <c r="GV214" i="2"/>
  <c r="GW214" i="2"/>
  <c r="GX214" i="2"/>
  <c r="GY214" i="2"/>
  <c r="GZ214" i="2"/>
  <c r="HA214" i="2"/>
  <c r="HB214" i="2"/>
  <c r="HC214" i="2"/>
  <c r="HD214" i="2"/>
  <c r="HE214" i="2"/>
  <c r="HF214" i="2"/>
  <c r="HG214" i="2"/>
  <c r="HH214" i="2"/>
  <c r="HI214" i="2"/>
  <c r="HJ214" i="2"/>
  <c r="HK214" i="2"/>
  <c r="HL214" i="2"/>
  <c r="HM214" i="2"/>
  <c r="HN214" i="2"/>
  <c r="HO214" i="2"/>
  <c r="HP214" i="2"/>
  <c r="HU214" i="2"/>
  <c r="HV214" i="2"/>
  <c r="HW214" i="2"/>
  <c r="HX214" i="2"/>
  <c r="HY214" i="2"/>
  <c r="HZ214" i="2"/>
  <c r="IA214" i="2"/>
  <c r="IB214" i="2"/>
  <c r="IC214" i="2"/>
  <c r="ID214" i="2"/>
  <c r="IE214" i="2"/>
  <c r="IF214" i="2"/>
  <c r="IG214" i="2"/>
  <c r="FN215" i="2"/>
  <c r="FO215" i="2"/>
  <c r="FP215" i="2"/>
  <c r="FQ215" i="2"/>
  <c r="FR215" i="2"/>
  <c r="FS215" i="2"/>
  <c r="FT215" i="2"/>
  <c r="FU215" i="2"/>
  <c r="FV215" i="2"/>
  <c r="FW215" i="2"/>
  <c r="FX215" i="2"/>
  <c r="FY215" i="2"/>
  <c r="FZ215" i="2"/>
  <c r="GA215" i="2"/>
  <c r="GB215" i="2"/>
  <c r="GC215" i="2"/>
  <c r="GD215" i="2"/>
  <c r="GE215" i="2"/>
  <c r="GF215" i="2"/>
  <c r="GG215" i="2"/>
  <c r="GH215" i="2"/>
  <c r="GI215" i="2"/>
  <c r="GJ215" i="2"/>
  <c r="GK215" i="2"/>
  <c r="GL215" i="2"/>
  <c r="GM215" i="2"/>
  <c r="GN215" i="2"/>
  <c r="GO215" i="2"/>
  <c r="GP215" i="2"/>
  <c r="GQ215" i="2"/>
  <c r="GR215" i="2"/>
  <c r="GS215" i="2"/>
  <c r="GT215" i="2"/>
  <c r="GU215" i="2"/>
  <c r="GV215" i="2"/>
  <c r="GW215" i="2"/>
  <c r="GX215" i="2"/>
  <c r="GY215" i="2"/>
  <c r="GZ215" i="2"/>
  <c r="HA215" i="2"/>
  <c r="HB215" i="2"/>
  <c r="HC215" i="2"/>
  <c r="HD215" i="2"/>
  <c r="HE215" i="2"/>
  <c r="HF215" i="2"/>
  <c r="HG215" i="2"/>
  <c r="HH215" i="2"/>
  <c r="HI215" i="2"/>
  <c r="HJ215" i="2"/>
  <c r="HK215" i="2"/>
  <c r="HL215" i="2"/>
  <c r="HM215" i="2"/>
  <c r="HN215" i="2"/>
  <c r="HO215" i="2"/>
  <c r="HP215" i="2"/>
  <c r="HU215" i="2"/>
  <c r="HV215" i="2"/>
  <c r="HW215" i="2"/>
  <c r="HX215" i="2"/>
  <c r="HY215" i="2"/>
  <c r="HZ215" i="2"/>
  <c r="IA215" i="2"/>
  <c r="IB215" i="2"/>
  <c r="IC215" i="2"/>
  <c r="ID215" i="2"/>
  <c r="IE215" i="2"/>
  <c r="IF215" i="2"/>
  <c r="IG215" i="2"/>
  <c r="FN220" i="2"/>
  <c r="FO220" i="2"/>
  <c r="FP220" i="2"/>
  <c r="FQ220" i="2"/>
  <c r="FR220" i="2"/>
  <c r="FS220" i="2"/>
  <c r="FT220" i="2"/>
  <c r="FU220" i="2"/>
  <c r="FV220" i="2"/>
  <c r="FW220" i="2"/>
  <c r="FX220" i="2"/>
  <c r="FY220" i="2"/>
  <c r="FZ220" i="2"/>
  <c r="GA220" i="2"/>
  <c r="GB220" i="2"/>
  <c r="GC220" i="2"/>
  <c r="GD220" i="2"/>
  <c r="GE220" i="2"/>
  <c r="GF220" i="2"/>
  <c r="GG220" i="2"/>
  <c r="GH220" i="2"/>
  <c r="GI220" i="2"/>
  <c r="GJ220" i="2"/>
  <c r="GK220" i="2"/>
  <c r="GL220" i="2"/>
  <c r="GM220" i="2"/>
  <c r="GO220" i="2"/>
  <c r="GP220" i="2"/>
  <c r="GQ220" i="2"/>
  <c r="GR220" i="2"/>
  <c r="GS220" i="2"/>
  <c r="GT220" i="2"/>
  <c r="GU220" i="2"/>
  <c r="GV220" i="2"/>
  <c r="GW220" i="2"/>
  <c r="GX220" i="2"/>
  <c r="GY220" i="2"/>
  <c r="GZ220" i="2"/>
  <c r="HA220" i="2"/>
  <c r="HB220" i="2"/>
  <c r="HC220" i="2"/>
  <c r="HD220" i="2"/>
  <c r="HE220" i="2"/>
  <c r="HF220" i="2"/>
  <c r="HG220" i="2"/>
  <c r="HH220" i="2"/>
  <c r="HI220" i="2"/>
  <c r="HJ220" i="2"/>
  <c r="HK220" i="2"/>
  <c r="HL220" i="2"/>
  <c r="HM220" i="2"/>
  <c r="HN220" i="2"/>
  <c r="HO220" i="2"/>
  <c r="HP220" i="2"/>
  <c r="HU220" i="2"/>
  <c r="HV220" i="2"/>
  <c r="HW220" i="2"/>
  <c r="HX220" i="2"/>
  <c r="HY220" i="2"/>
  <c r="HZ220" i="2"/>
  <c r="IB220" i="2"/>
  <c r="IC220" i="2"/>
  <c r="ID220" i="2"/>
  <c r="IE220" i="2"/>
  <c r="IF220" i="2"/>
  <c r="IG220" i="2"/>
  <c r="FN221" i="2"/>
  <c r="FO221" i="2"/>
  <c r="FP221" i="2"/>
  <c r="FQ221" i="2"/>
  <c r="FR221" i="2"/>
  <c r="FS221" i="2"/>
  <c r="FT221" i="2"/>
  <c r="FU221" i="2"/>
  <c r="FV221" i="2"/>
  <c r="FW221" i="2"/>
  <c r="FX221" i="2"/>
  <c r="FY221" i="2"/>
  <c r="FZ221" i="2"/>
  <c r="GA221" i="2"/>
  <c r="GB221" i="2"/>
  <c r="GC221" i="2"/>
  <c r="GD221" i="2"/>
  <c r="GE221" i="2"/>
  <c r="GF221" i="2"/>
  <c r="GG221" i="2"/>
  <c r="GH221" i="2"/>
  <c r="GI221" i="2"/>
  <c r="GJ221" i="2"/>
  <c r="GK221" i="2"/>
  <c r="GL221" i="2"/>
  <c r="GM221" i="2"/>
  <c r="GN221" i="2"/>
  <c r="GO221" i="2"/>
  <c r="GP221" i="2"/>
  <c r="GQ221" i="2"/>
  <c r="GR221" i="2"/>
  <c r="GS221" i="2"/>
  <c r="GT221" i="2"/>
  <c r="GU221" i="2"/>
  <c r="GV221" i="2"/>
  <c r="GW221" i="2"/>
  <c r="GX221" i="2"/>
  <c r="GY221" i="2"/>
  <c r="GZ221" i="2"/>
  <c r="HA221" i="2"/>
  <c r="HB221" i="2"/>
  <c r="HC221" i="2"/>
  <c r="HD221" i="2"/>
  <c r="HE221" i="2"/>
  <c r="HF221" i="2"/>
  <c r="HG221" i="2"/>
  <c r="HH221" i="2"/>
  <c r="HI221" i="2"/>
  <c r="HJ221" i="2"/>
  <c r="HK221" i="2"/>
  <c r="HL221" i="2"/>
  <c r="HM221" i="2"/>
  <c r="HN221" i="2"/>
  <c r="HO221" i="2"/>
  <c r="HP221" i="2"/>
  <c r="HU221" i="2"/>
  <c r="HV221" i="2"/>
  <c r="HW221" i="2"/>
  <c r="HX221" i="2"/>
  <c r="HY221" i="2"/>
  <c r="HZ221" i="2"/>
  <c r="IA221" i="2"/>
  <c r="IB221" i="2"/>
  <c r="IC221" i="2"/>
  <c r="ID221" i="2"/>
  <c r="IE221" i="2"/>
  <c r="IF221" i="2"/>
  <c r="IG221" i="2"/>
  <c r="FN222" i="2"/>
  <c r="FO222" i="2"/>
  <c r="FP222" i="2"/>
  <c r="FQ222" i="2"/>
  <c r="FR222" i="2"/>
  <c r="FS222" i="2"/>
  <c r="FT222" i="2"/>
  <c r="FU222" i="2"/>
  <c r="FV222" i="2"/>
  <c r="FW222" i="2"/>
  <c r="FX222" i="2"/>
  <c r="FY222" i="2"/>
  <c r="FZ222" i="2"/>
  <c r="GA222" i="2"/>
  <c r="GB222" i="2"/>
  <c r="GC222" i="2"/>
  <c r="GD222" i="2"/>
  <c r="GE222" i="2"/>
  <c r="GF222" i="2"/>
  <c r="GG222" i="2"/>
  <c r="GH222" i="2"/>
  <c r="GI222" i="2"/>
  <c r="GJ222" i="2"/>
  <c r="GK222" i="2"/>
  <c r="GL222" i="2"/>
  <c r="GM222" i="2"/>
  <c r="GN222" i="2"/>
  <c r="GO222" i="2"/>
  <c r="GP222" i="2"/>
  <c r="GQ222" i="2"/>
  <c r="GR222" i="2"/>
  <c r="GS222" i="2"/>
  <c r="GT222" i="2"/>
  <c r="GU222" i="2"/>
  <c r="GV222" i="2"/>
  <c r="GW222" i="2"/>
  <c r="GX222" i="2"/>
  <c r="GY222" i="2"/>
  <c r="GZ222" i="2"/>
  <c r="HA222" i="2"/>
  <c r="HB222" i="2"/>
  <c r="HC222" i="2"/>
  <c r="HD222" i="2"/>
  <c r="HE222" i="2"/>
  <c r="HF222" i="2"/>
  <c r="HG222" i="2"/>
  <c r="HH222" i="2"/>
  <c r="HI222" i="2"/>
  <c r="HJ222" i="2"/>
  <c r="HK222" i="2"/>
  <c r="HL222" i="2"/>
  <c r="HM222" i="2"/>
  <c r="HN222" i="2"/>
  <c r="HO222" i="2"/>
  <c r="HP222" i="2"/>
  <c r="HU222" i="2"/>
  <c r="HV222" i="2"/>
  <c r="HW222" i="2"/>
  <c r="HX222" i="2"/>
  <c r="HY222" i="2"/>
  <c r="HZ222" i="2"/>
  <c r="IA222" i="2"/>
  <c r="IB222" i="2"/>
  <c r="IC222" i="2"/>
  <c r="ID222" i="2"/>
  <c r="IE222" i="2"/>
  <c r="IF222" i="2"/>
  <c r="IG222" i="2"/>
  <c r="FN223" i="2"/>
  <c r="FO223" i="2"/>
  <c r="FP223" i="2"/>
  <c r="FQ223" i="2"/>
  <c r="FR223" i="2"/>
  <c r="FS223" i="2"/>
  <c r="FT223" i="2"/>
  <c r="FU223" i="2"/>
  <c r="FV223" i="2"/>
  <c r="FW223" i="2"/>
  <c r="FX223" i="2"/>
  <c r="FY223" i="2"/>
  <c r="FZ223" i="2"/>
  <c r="GA223" i="2"/>
  <c r="GB223" i="2"/>
  <c r="GC223" i="2"/>
  <c r="GD223" i="2"/>
  <c r="GE223" i="2"/>
  <c r="GF223" i="2"/>
  <c r="GG223" i="2"/>
  <c r="GH223" i="2"/>
  <c r="GI223" i="2"/>
  <c r="GJ223" i="2"/>
  <c r="GK223" i="2"/>
  <c r="GL223" i="2"/>
  <c r="GM223" i="2"/>
  <c r="GN223" i="2"/>
  <c r="GO223" i="2"/>
  <c r="GP223" i="2"/>
  <c r="GQ223" i="2"/>
  <c r="GR223" i="2"/>
  <c r="GS223" i="2"/>
  <c r="GT223" i="2"/>
  <c r="GU223" i="2"/>
  <c r="GV223" i="2"/>
  <c r="GW223" i="2"/>
  <c r="GX223" i="2"/>
  <c r="GY223" i="2"/>
  <c r="GZ223" i="2"/>
  <c r="HA223" i="2"/>
  <c r="HB223" i="2"/>
  <c r="HC223" i="2"/>
  <c r="HD223" i="2"/>
  <c r="HE223" i="2"/>
  <c r="HF223" i="2"/>
  <c r="HG223" i="2"/>
  <c r="HH223" i="2"/>
  <c r="HI223" i="2"/>
  <c r="HJ223" i="2"/>
  <c r="HK223" i="2"/>
  <c r="HL223" i="2"/>
  <c r="HM223" i="2"/>
  <c r="HN223" i="2"/>
  <c r="HO223" i="2"/>
  <c r="HP223" i="2"/>
  <c r="HU223" i="2"/>
  <c r="HV223" i="2"/>
  <c r="HW223" i="2"/>
  <c r="HX223" i="2"/>
  <c r="HY223" i="2"/>
  <c r="HZ223" i="2"/>
  <c r="IA223" i="2"/>
  <c r="IB223" i="2"/>
  <c r="IC223" i="2"/>
  <c r="ID223" i="2"/>
  <c r="IE223" i="2"/>
  <c r="IF223" i="2"/>
  <c r="IG223" i="2"/>
  <c r="FN224" i="2"/>
  <c r="FO224" i="2"/>
  <c r="FP224" i="2"/>
  <c r="FQ224" i="2"/>
  <c r="FR224" i="2"/>
  <c r="FS224" i="2"/>
  <c r="FT224" i="2"/>
  <c r="FU224" i="2"/>
  <c r="FV224" i="2"/>
  <c r="FW224" i="2"/>
  <c r="FX224" i="2"/>
  <c r="FY224" i="2"/>
  <c r="FZ224" i="2"/>
  <c r="GA224" i="2"/>
  <c r="GB224" i="2"/>
  <c r="GC224" i="2"/>
  <c r="GD224" i="2"/>
  <c r="GE224" i="2"/>
  <c r="GF224" i="2"/>
  <c r="GG224" i="2"/>
  <c r="GH224" i="2"/>
  <c r="GI224" i="2"/>
  <c r="GJ224" i="2"/>
  <c r="GK224" i="2"/>
  <c r="GL224" i="2"/>
  <c r="GM224" i="2"/>
  <c r="GN224" i="2"/>
  <c r="GO224" i="2"/>
  <c r="GP224" i="2"/>
  <c r="GQ224" i="2"/>
  <c r="GR224" i="2"/>
  <c r="GS224" i="2"/>
  <c r="GT224" i="2"/>
  <c r="GU224" i="2"/>
  <c r="GV224" i="2"/>
  <c r="GW224" i="2"/>
  <c r="GX224" i="2"/>
  <c r="GY224" i="2"/>
  <c r="GZ224" i="2"/>
  <c r="HA224" i="2"/>
  <c r="HB224" i="2"/>
  <c r="HC224" i="2"/>
  <c r="HD224" i="2"/>
  <c r="HE224" i="2"/>
  <c r="HF224" i="2"/>
  <c r="HG224" i="2"/>
  <c r="HH224" i="2"/>
  <c r="HI224" i="2"/>
  <c r="HJ224" i="2"/>
  <c r="HK224" i="2"/>
  <c r="HL224" i="2"/>
  <c r="HM224" i="2"/>
  <c r="HN224" i="2"/>
  <c r="HO224" i="2"/>
  <c r="HP224" i="2"/>
  <c r="HU224" i="2"/>
  <c r="HV224" i="2"/>
  <c r="HW224" i="2"/>
  <c r="HX224" i="2"/>
  <c r="HY224" i="2"/>
  <c r="HZ224" i="2"/>
  <c r="IA224" i="2"/>
  <c r="IB224" i="2"/>
  <c r="IC224" i="2"/>
  <c r="ID224" i="2"/>
  <c r="IE224" i="2"/>
  <c r="IF224" i="2"/>
  <c r="IG224" i="2"/>
  <c r="FN225" i="2"/>
  <c r="FO225" i="2"/>
  <c r="FP225" i="2"/>
  <c r="FQ225" i="2"/>
  <c r="FR225" i="2"/>
  <c r="FS225" i="2"/>
  <c r="FT225" i="2"/>
  <c r="FU225" i="2"/>
  <c r="FV225" i="2"/>
  <c r="FW225" i="2"/>
  <c r="FX225" i="2"/>
  <c r="FY225" i="2"/>
  <c r="FZ225" i="2"/>
  <c r="GA225" i="2"/>
  <c r="GB225" i="2"/>
  <c r="GC225" i="2"/>
  <c r="GD225" i="2"/>
  <c r="GE225" i="2"/>
  <c r="GF225" i="2"/>
  <c r="GG225" i="2"/>
  <c r="GH225" i="2"/>
  <c r="GI225" i="2"/>
  <c r="GJ225" i="2"/>
  <c r="GK225" i="2"/>
  <c r="GL225" i="2"/>
  <c r="GM225" i="2"/>
  <c r="GN225" i="2"/>
  <c r="GO225" i="2"/>
  <c r="GP225" i="2"/>
  <c r="GQ225" i="2"/>
  <c r="GR225" i="2"/>
  <c r="GS225" i="2"/>
  <c r="GT225" i="2"/>
  <c r="GU225" i="2"/>
  <c r="GV225" i="2"/>
  <c r="GW225" i="2"/>
  <c r="GX225" i="2"/>
  <c r="GY225" i="2"/>
  <c r="GZ225" i="2"/>
  <c r="HA225" i="2"/>
  <c r="HB225" i="2"/>
  <c r="HC225" i="2"/>
  <c r="HD225" i="2"/>
  <c r="HE225" i="2"/>
  <c r="HF225" i="2"/>
  <c r="HG225" i="2"/>
  <c r="HH225" i="2"/>
  <c r="HI225" i="2"/>
  <c r="HJ225" i="2"/>
  <c r="HK225" i="2"/>
  <c r="HL225" i="2"/>
  <c r="HM225" i="2"/>
  <c r="HN225" i="2"/>
  <c r="HO225" i="2"/>
  <c r="HP225" i="2"/>
  <c r="HU225" i="2"/>
  <c r="HV225" i="2"/>
  <c r="HW225" i="2"/>
  <c r="HX225" i="2"/>
  <c r="HY225" i="2"/>
  <c r="HZ225" i="2"/>
  <c r="IA225" i="2"/>
  <c r="IB225" i="2"/>
  <c r="IC225" i="2"/>
  <c r="ID225" i="2"/>
  <c r="IE225" i="2"/>
  <c r="IF225" i="2"/>
  <c r="IG225" i="2"/>
  <c r="GY226" i="2"/>
  <c r="GZ226" i="2"/>
  <c r="HA226" i="2"/>
  <c r="HB226" i="2"/>
  <c r="HC226" i="2"/>
  <c r="HD226" i="2"/>
  <c r="HE226" i="2"/>
  <c r="HF226" i="2"/>
  <c r="HG226" i="2"/>
  <c r="HH226" i="2"/>
  <c r="HI226" i="2"/>
  <c r="HJ226" i="2"/>
  <c r="HK226" i="2"/>
  <c r="HL226" i="2"/>
  <c r="HM226" i="2"/>
  <c r="HN226" i="2"/>
  <c r="HO226" i="2"/>
  <c r="HP226" i="2"/>
  <c r="ID226" i="2"/>
  <c r="IE226" i="2"/>
  <c r="IF226" i="2"/>
  <c r="IG226" i="2"/>
  <c r="FN231" i="2"/>
  <c r="FO231" i="2"/>
  <c r="FP231" i="2"/>
  <c r="FQ231" i="2"/>
  <c r="FR231" i="2"/>
  <c r="FS231" i="2"/>
  <c r="FT231" i="2"/>
  <c r="FU231" i="2"/>
  <c r="FV231" i="2"/>
  <c r="FW231" i="2"/>
  <c r="FX231" i="2"/>
  <c r="FY231" i="2"/>
  <c r="FZ231" i="2"/>
  <c r="GA231" i="2"/>
  <c r="GB231" i="2"/>
  <c r="GC231" i="2"/>
  <c r="GD231" i="2"/>
  <c r="GE231" i="2"/>
  <c r="GF231" i="2"/>
  <c r="GG231" i="2"/>
  <c r="GH231" i="2"/>
  <c r="GI231" i="2"/>
  <c r="GJ231" i="2"/>
  <c r="GK231" i="2"/>
  <c r="GL231" i="2"/>
  <c r="GM231" i="2"/>
  <c r="GN231" i="2"/>
  <c r="GO231" i="2"/>
  <c r="GP231" i="2"/>
  <c r="GQ231" i="2"/>
  <c r="GR231" i="2"/>
  <c r="GS231" i="2"/>
  <c r="GT231" i="2"/>
  <c r="GU231" i="2"/>
  <c r="GV231" i="2"/>
  <c r="GW231" i="2"/>
  <c r="GX231" i="2"/>
  <c r="GY231" i="2"/>
  <c r="GZ231" i="2"/>
  <c r="HA231" i="2"/>
  <c r="HB231" i="2"/>
  <c r="HC231" i="2"/>
  <c r="HD231" i="2"/>
  <c r="HE231" i="2"/>
  <c r="HF231" i="2"/>
  <c r="HG231" i="2"/>
  <c r="HH231" i="2"/>
  <c r="HI231" i="2"/>
  <c r="HJ231" i="2"/>
  <c r="HK231" i="2"/>
  <c r="HL231" i="2"/>
  <c r="HM231" i="2"/>
  <c r="HN231" i="2"/>
  <c r="HO231" i="2"/>
  <c r="HP231" i="2"/>
  <c r="HU231" i="2"/>
  <c r="HV231" i="2"/>
  <c r="HW231" i="2"/>
  <c r="HX231" i="2"/>
  <c r="HY231" i="2"/>
  <c r="HZ231" i="2"/>
  <c r="IA231" i="2"/>
  <c r="IB231" i="2"/>
  <c r="IC231" i="2"/>
  <c r="ID231" i="2"/>
  <c r="IE231" i="2"/>
  <c r="IF231" i="2"/>
  <c r="IG231" i="2"/>
  <c r="FN232" i="2"/>
  <c r="FO232" i="2"/>
  <c r="FP232" i="2"/>
  <c r="FQ232" i="2"/>
  <c r="FR232" i="2"/>
  <c r="FS232" i="2"/>
  <c r="FT232" i="2"/>
  <c r="FU232" i="2"/>
  <c r="FV232" i="2"/>
  <c r="FW232" i="2"/>
  <c r="FX232" i="2"/>
  <c r="FY232" i="2"/>
  <c r="FZ232" i="2"/>
  <c r="GA232" i="2"/>
  <c r="GB232" i="2"/>
  <c r="GC232" i="2"/>
  <c r="GD232" i="2"/>
  <c r="GE232" i="2"/>
  <c r="GF232" i="2"/>
  <c r="GG232" i="2"/>
  <c r="GH232" i="2"/>
  <c r="GI232" i="2"/>
  <c r="GJ232" i="2"/>
  <c r="GK232" i="2"/>
  <c r="GL232" i="2"/>
  <c r="GM232" i="2"/>
  <c r="GN232" i="2"/>
  <c r="GO232" i="2"/>
  <c r="GP232" i="2"/>
  <c r="GQ232" i="2"/>
  <c r="GR232" i="2"/>
  <c r="GS232" i="2"/>
  <c r="GT232" i="2"/>
  <c r="GU232" i="2"/>
  <c r="GV232" i="2"/>
  <c r="GW232" i="2"/>
  <c r="GX232" i="2"/>
  <c r="GY232" i="2"/>
  <c r="GZ232" i="2"/>
  <c r="HA232" i="2"/>
  <c r="HB232" i="2"/>
  <c r="HC232" i="2"/>
  <c r="HD232" i="2"/>
  <c r="HE232" i="2"/>
  <c r="HF232" i="2"/>
  <c r="HG232" i="2"/>
  <c r="HH232" i="2"/>
  <c r="HI232" i="2"/>
  <c r="HJ232" i="2"/>
  <c r="HK232" i="2"/>
  <c r="HL232" i="2"/>
  <c r="HM232" i="2"/>
  <c r="HN232" i="2"/>
  <c r="HO232" i="2"/>
  <c r="HP232" i="2"/>
  <c r="HU232" i="2"/>
  <c r="HV232" i="2"/>
  <c r="HW232" i="2"/>
  <c r="HX232" i="2"/>
  <c r="HY232" i="2"/>
  <c r="HZ232" i="2"/>
  <c r="IA232" i="2"/>
  <c r="IB232" i="2"/>
  <c r="IC232" i="2"/>
  <c r="ID232" i="2"/>
  <c r="IE232" i="2"/>
  <c r="IF232" i="2"/>
  <c r="IG232" i="2"/>
  <c r="FN233" i="2"/>
  <c r="FO233" i="2"/>
  <c r="FP233" i="2"/>
  <c r="FQ233" i="2"/>
  <c r="FR233" i="2"/>
  <c r="FS233" i="2"/>
  <c r="FT233" i="2"/>
  <c r="FU233" i="2"/>
  <c r="FV233" i="2"/>
  <c r="FW233" i="2"/>
  <c r="FX233" i="2"/>
  <c r="FY233" i="2"/>
  <c r="FZ233" i="2"/>
  <c r="GA233" i="2"/>
  <c r="GB233" i="2"/>
  <c r="GC233" i="2"/>
  <c r="GD233" i="2"/>
  <c r="GE233" i="2"/>
  <c r="GF233" i="2"/>
  <c r="GG233" i="2"/>
  <c r="GH233" i="2"/>
  <c r="GI233" i="2"/>
  <c r="GJ233" i="2"/>
  <c r="GK233" i="2"/>
  <c r="GL233" i="2"/>
  <c r="GM233" i="2"/>
  <c r="GN233" i="2"/>
  <c r="GO233" i="2"/>
  <c r="GP233" i="2"/>
  <c r="GQ233" i="2"/>
  <c r="GR233" i="2"/>
  <c r="GS233" i="2"/>
  <c r="GT233" i="2"/>
  <c r="GU233" i="2"/>
  <c r="GV233" i="2"/>
  <c r="GW233" i="2"/>
  <c r="GX233" i="2"/>
  <c r="GY233" i="2"/>
  <c r="GZ233" i="2"/>
  <c r="HA233" i="2"/>
  <c r="HB233" i="2"/>
  <c r="HC233" i="2"/>
  <c r="HD233" i="2"/>
  <c r="HE233" i="2"/>
  <c r="HF233" i="2"/>
  <c r="HG233" i="2"/>
  <c r="HH233" i="2"/>
  <c r="HI233" i="2"/>
  <c r="HJ233" i="2"/>
  <c r="HK233" i="2"/>
  <c r="HL233" i="2"/>
  <c r="HM233" i="2"/>
  <c r="HN233" i="2"/>
  <c r="HO233" i="2"/>
  <c r="HP233" i="2"/>
  <c r="HU233" i="2"/>
  <c r="HV233" i="2"/>
  <c r="HW233" i="2"/>
  <c r="HX233" i="2"/>
  <c r="HY233" i="2"/>
  <c r="HZ233" i="2"/>
  <c r="IA233" i="2"/>
  <c r="IB233" i="2"/>
  <c r="IC233" i="2"/>
  <c r="ID233" i="2"/>
  <c r="IE233" i="2"/>
  <c r="IF233" i="2"/>
  <c r="IG233" i="2"/>
  <c r="FN234" i="2"/>
  <c r="FO234" i="2"/>
  <c r="FP234" i="2"/>
  <c r="FQ234" i="2"/>
  <c r="FR234" i="2"/>
  <c r="FS234" i="2"/>
  <c r="FT234" i="2"/>
  <c r="FU234" i="2"/>
  <c r="FV234" i="2"/>
  <c r="FW234" i="2"/>
  <c r="FX234" i="2"/>
  <c r="FY234" i="2"/>
  <c r="FZ234" i="2"/>
  <c r="GA234" i="2"/>
  <c r="GB234" i="2"/>
  <c r="GC234" i="2"/>
  <c r="GD234" i="2"/>
  <c r="GE234" i="2"/>
  <c r="GF234" i="2"/>
  <c r="GG234" i="2"/>
  <c r="GH234" i="2"/>
  <c r="GI234" i="2"/>
  <c r="GJ234" i="2"/>
  <c r="GK234" i="2"/>
  <c r="GL234" i="2"/>
  <c r="GM234" i="2"/>
  <c r="GN234" i="2"/>
  <c r="GO234" i="2"/>
  <c r="GP234" i="2"/>
  <c r="GQ234" i="2"/>
  <c r="GR234" i="2"/>
  <c r="GS234" i="2"/>
  <c r="GT234" i="2"/>
  <c r="GU234" i="2"/>
  <c r="GV234" i="2"/>
  <c r="GW234" i="2"/>
  <c r="GX234" i="2"/>
  <c r="GY234" i="2"/>
  <c r="GZ234" i="2"/>
  <c r="HA234" i="2"/>
  <c r="HB234" i="2"/>
  <c r="HC234" i="2"/>
  <c r="HD234" i="2"/>
  <c r="HE234" i="2"/>
  <c r="HF234" i="2"/>
  <c r="HG234" i="2"/>
  <c r="HH234" i="2"/>
  <c r="HI234" i="2"/>
  <c r="HJ234" i="2"/>
  <c r="HK234" i="2"/>
  <c r="HL234" i="2"/>
  <c r="HM234" i="2"/>
  <c r="HN234" i="2"/>
  <c r="HO234" i="2"/>
  <c r="HP234" i="2"/>
  <c r="HU234" i="2"/>
  <c r="HV234" i="2"/>
  <c r="HW234" i="2"/>
  <c r="HX234" i="2"/>
  <c r="HY234" i="2"/>
  <c r="HZ234" i="2"/>
  <c r="IA234" i="2"/>
  <c r="IB234" i="2"/>
  <c r="IC234" i="2"/>
  <c r="ID234" i="2"/>
  <c r="IE234" i="2"/>
  <c r="IF234" i="2"/>
  <c r="IG234" i="2"/>
  <c r="FN235" i="2"/>
  <c r="FO235" i="2"/>
  <c r="FP235" i="2"/>
  <c r="FQ235" i="2"/>
  <c r="FR235" i="2"/>
  <c r="FS235" i="2"/>
  <c r="FT235" i="2"/>
  <c r="FU235" i="2"/>
  <c r="FV235" i="2"/>
  <c r="FW235" i="2"/>
  <c r="FX235" i="2"/>
  <c r="FY235" i="2"/>
  <c r="FZ235" i="2"/>
  <c r="GA235" i="2"/>
  <c r="GB235" i="2"/>
  <c r="GC235" i="2"/>
  <c r="GD235" i="2"/>
  <c r="GE235" i="2"/>
  <c r="GF235" i="2"/>
  <c r="GG235" i="2"/>
  <c r="GH235" i="2"/>
  <c r="GI235" i="2"/>
  <c r="GJ235" i="2"/>
  <c r="GK235" i="2"/>
  <c r="GL235" i="2"/>
  <c r="GM235" i="2"/>
  <c r="GN235" i="2"/>
  <c r="GO235" i="2"/>
  <c r="GP235" i="2"/>
  <c r="GQ235" i="2"/>
  <c r="GR235" i="2"/>
  <c r="GS235" i="2"/>
  <c r="GT235" i="2"/>
  <c r="GU235" i="2"/>
  <c r="GV235" i="2"/>
  <c r="GW235" i="2"/>
  <c r="GX235" i="2"/>
  <c r="GY235" i="2"/>
  <c r="GZ235" i="2"/>
  <c r="HA235" i="2"/>
  <c r="HB235" i="2"/>
  <c r="HC235" i="2"/>
  <c r="HD235" i="2"/>
  <c r="HE235" i="2"/>
  <c r="HF235" i="2"/>
  <c r="HG235" i="2"/>
  <c r="HH235" i="2"/>
  <c r="HI235" i="2"/>
  <c r="HJ235" i="2"/>
  <c r="HK235" i="2"/>
  <c r="HL235" i="2"/>
  <c r="HM235" i="2"/>
  <c r="HN235" i="2"/>
  <c r="HO235" i="2"/>
  <c r="HP235" i="2"/>
  <c r="HU235" i="2"/>
  <c r="HV235" i="2"/>
  <c r="HW235" i="2"/>
  <c r="HX235" i="2"/>
  <c r="HY235" i="2"/>
  <c r="HZ235" i="2"/>
  <c r="IA235" i="2"/>
  <c r="IB235" i="2"/>
  <c r="IC235" i="2"/>
  <c r="ID235" i="2"/>
  <c r="IE235" i="2"/>
  <c r="IF235" i="2"/>
  <c r="IG235" i="2"/>
  <c r="FN236" i="2"/>
  <c r="FO236" i="2"/>
  <c r="FP236" i="2"/>
  <c r="FQ236" i="2"/>
  <c r="FR236" i="2"/>
  <c r="FS236" i="2"/>
  <c r="FT236" i="2"/>
  <c r="FU236" i="2"/>
  <c r="FV236" i="2"/>
  <c r="FW236" i="2"/>
  <c r="FX236" i="2"/>
  <c r="FY236" i="2"/>
  <c r="FZ236" i="2"/>
  <c r="GA236" i="2"/>
  <c r="GB236" i="2"/>
  <c r="GC236" i="2"/>
  <c r="GD236" i="2"/>
  <c r="GE236" i="2"/>
  <c r="GF236" i="2"/>
  <c r="GG236" i="2"/>
  <c r="GH236" i="2"/>
  <c r="GI236" i="2"/>
  <c r="GJ236" i="2"/>
  <c r="GK236" i="2"/>
  <c r="GL236" i="2"/>
  <c r="GM236" i="2"/>
  <c r="GN236" i="2"/>
  <c r="GO236" i="2"/>
  <c r="GP236" i="2"/>
  <c r="GQ236" i="2"/>
  <c r="GR236" i="2"/>
  <c r="GS236" i="2"/>
  <c r="GT236" i="2"/>
  <c r="GU236" i="2"/>
  <c r="GV236" i="2"/>
  <c r="GW236" i="2"/>
  <c r="GX236" i="2"/>
  <c r="GY236" i="2"/>
  <c r="GZ236" i="2"/>
  <c r="HA236" i="2"/>
  <c r="HB236" i="2"/>
  <c r="HC236" i="2"/>
  <c r="HD236" i="2"/>
  <c r="HE236" i="2"/>
  <c r="HF236" i="2"/>
  <c r="HG236" i="2"/>
  <c r="HH236" i="2"/>
  <c r="HI236" i="2"/>
  <c r="HJ236" i="2"/>
  <c r="HK236" i="2"/>
  <c r="HL236" i="2"/>
  <c r="HM236" i="2"/>
  <c r="HN236" i="2"/>
  <c r="HO236" i="2"/>
  <c r="HP236" i="2"/>
  <c r="HU236" i="2"/>
  <c r="HV236" i="2"/>
  <c r="HW236" i="2"/>
  <c r="HX236" i="2"/>
  <c r="HY236" i="2"/>
  <c r="HZ236" i="2"/>
  <c r="IA236" i="2"/>
  <c r="IB236" i="2"/>
  <c r="IC236" i="2"/>
  <c r="ID236" i="2"/>
  <c r="IE236" i="2"/>
  <c r="IF236" i="2"/>
  <c r="IG236" i="2"/>
  <c r="FN237" i="2"/>
  <c r="FO237" i="2"/>
  <c r="FP237" i="2"/>
  <c r="FQ237" i="2"/>
  <c r="FR237" i="2"/>
  <c r="FS237" i="2"/>
  <c r="FT237" i="2"/>
  <c r="FU237" i="2"/>
  <c r="FV237" i="2"/>
  <c r="FW237" i="2"/>
  <c r="FX237" i="2"/>
  <c r="FY237" i="2"/>
  <c r="FZ237" i="2"/>
  <c r="GA237" i="2"/>
  <c r="GB237" i="2"/>
  <c r="GC237" i="2"/>
  <c r="GD237" i="2"/>
  <c r="GE237" i="2"/>
  <c r="GF237" i="2"/>
  <c r="GG237" i="2"/>
  <c r="GH237" i="2"/>
  <c r="GI237" i="2"/>
  <c r="GJ237" i="2"/>
  <c r="GK237" i="2"/>
  <c r="GL237" i="2"/>
  <c r="GM237" i="2"/>
  <c r="GO237" i="2"/>
  <c r="GP237" i="2"/>
  <c r="GQ237" i="2"/>
  <c r="GR237" i="2"/>
  <c r="GS237" i="2"/>
  <c r="GT237" i="2"/>
  <c r="GU237" i="2"/>
  <c r="GV237" i="2"/>
  <c r="GW237" i="2"/>
  <c r="GX237" i="2"/>
  <c r="GY237" i="2"/>
  <c r="GZ237" i="2"/>
  <c r="HA237" i="2"/>
  <c r="HB237" i="2"/>
  <c r="HC237" i="2"/>
  <c r="HD237" i="2"/>
  <c r="HE237" i="2"/>
  <c r="HF237" i="2"/>
  <c r="HG237" i="2"/>
  <c r="HH237" i="2"/>
  <c r="HI237" i="2"/>
  <c r="HJ237" i="2"/>
  <c r="HK237" i="2"/>
  <c r="HL237" i="2"/>
  <c r="HM237" i="2"/>
  <c r="HN237" i="2"/>
  <c r="HO237" i="2"/>
  <c r="HP237" i="2"/>
  <c r="HU237" i="2"/>
  <c r="HV237" i="2"/>
  <c r="HW237" i="2"/>
  <c r="HX237" i="2"/>
  <c r="HY237" i="2"/>
  <c r="HZ237" i="2"/>
  <c r="IA237" i="2"/>
  <c r="IB237" i="2"/>
  <c r="IC237" i="2"/>
  <c r="ID237" i="2"/>
  <c r="IE237" i="2"/>
  <c r="IF237" i="2"/>
  <c r="IG237" i="2"/>
  <c r="FN238" i="2"/>
  <c r="FO238" i="2"/>
  <c r="FP238" i="2"/>
  <c r="FQ238" i="2"/>
  <c r="FR238" i="2"/>
  <c r="FS238" i="2"/>
  <c r="FT238" i="2"/>
  <c r="FU238" i="2"/>
  <c r="FV238" i="2"/>
  <c r="FW238" i="2"/>
  <c r="FX238" i="2"/>
  <c r="FY238" i="2"/>
  <c r="FZ238" i="2"/>
  <c r="GA238" i="2"/>
  <c r="GB238" i="2"/>
  <c r="GC238" i="2"/>
  <c r="GD238" i="2"/>
  <c r="GE238" i="2"/>
  <c r="GF238" i="2"/>
  <c r="GG238" i="2"/>
  <c r="GH238" i="2"/>
  <c r="GI238" i="2"/>
  <c r="GJ238" i="2"/>
  <c r="GK238" i="2"/>
  <c r="GL238" i="2"/>
  <c r="GM238" i="2"/>
  <c r="GN238" i="2"/>
  <c r="GO238" i="2"/>
  <c r="GP238" i="2"/>
  <c r="GQ238" i="2"/>
  <c r="GR238" i="2"/>
  <c r="GS238" i="2"/>
  <c r="GT238" i="2"/>
  <c r="GU238" i="2"/>
  <c r="GV238" i="2"/>
  <c r="GW238" i="2"/>
  <c r="GX238" i="2"/>
  <c r="GY238" i="2"/>
  <c r="GZ238" i="2"/>
  <c r="HA238" i="2"/>
  <c r="HB238" i="2"/>
  <c r="HC238" i="2"/>
  <c r="HD238" i="2"/>
  <c r="HE238" i="2"/>
  <c r="HF238" i="2"/>
  <c r="HG238" i="2"/>
  <c r="HH238" i="2"/>
  <c r="HI238" i="2"/>
  <c r="HJ238" i="2"/>
  <c r="HK238" i="2"/>
  <c r="HL238" i="2"/>
  <c r="HM238" i="2"/>
  <c r="HN238" i="2"/>
  <c r="HO238" i="2"/>
  <c r="HP238" i="2"/>
  <c r="HU238" i="2"/>
  <c r="HV238" i="2"/>
  <c r="HW238" i="2"/>
  <c r="HX238" i="2"/>
  <c r="HY238" i="2"/>
  <c r="HZ238" i="2"/>
  <c r="IA238" i="2"/>
  <c r="IB238" i="2"/>
  <c r="IC238" i="2"/>
  <c r="ID238" i="2"/>
  <c r="IE238" i="2"/>
  <c r="IF238" i="2"/>
  <c r="IG238" i="2"/>
  <c r="FN239" i="2"/>
  <c r="FO239" i="2"/>
  <c r="FP239" i="2"/>
  <c r="FQ239" i="2"/>
  <c r="FR239" i="2"/>
  <c r="FS239" i="2"/>
  <c r="FT239" i="2"/>
  <c r="FU239" i="2"/>
  <c r="FV239" i="2"/>
  <c r="FW239" i="2"/>
  <c r="FX239" i="2"/>
  <c r="FY239" i="2"/>
  <c r="FZ239" i="2"/>
  <c r="GA239" i="2"/>
  <c r="GB239" i="2"/>
  <c r="GC239" i="2"/>
  <c r="GD239" i="2"/>
  <c r="GE239" i="2"/>
  <c r="GF239" i="2"/>
  <c r="GG239" i="2"/>
  <c r="GH239" i="2"/>
  <c r="GI239" i="2"/>
  <c r="GJ239" i="2"/>
  <c r="GK239" i="2"/>
  <c r="GL239" i="2"/>
  <c r="GM239" i="2"/>
  <c r="GN239" i="2"/>
  <c r="GO239" i="2"/>
  <c r="GP239" i="2"/>
  <c r="GQ239" i="2"/>
  <c r="GR239" i="2"/>
  <c r="GS239" i="2"/>
  <c r="GT239" i="2"/>
  <c r="GU239" i="2"/>
  <c r="GV239" i="2"/>
  <c r="GW239" i="2"/>
  <c r="GX239" i="2"/>
  <c r="GY239" i="2"/>
  <c r="GZ239" i="2"/>
  <c r="HA239" i="2"/>
  <c r="HB239" i="2"/>
  <c r="HC239" i="2"/>
  <c r="HD239" i="2"/>
  <c r="HE239" i="2"/>
  <c r="HF239" i="2"/>
  <c r="HG239" i="2"/>
  <c r="HH239" i="2"/>
  <c r="HI239" i="2"/>
  <c r="HJ239" i="2"/>
  <c r="HK239" i="2"/>
  <c r="HL239" i="2"/>
  <c r="HM239" i="2"/>
  <c r="HN239" i="2"/>
  <c r="HO239" i="2"/>
  <c r="HP239" i="2"/>
  <c r="HU239" i="2"/>
  <c r="HV239" i="2"/>
  <c r="HW239" i="2"/>
  <c r="HX239" i="2"/>
  <c r="HY239" i="2"/>
  <c r="HZ239" i="2"/>
  <c r="IA239" i="2"/>
  <c r="IB239" i="2"/>
  <c r="IC239" i="2"/>
  <c r="ID239" i="2"/>
  <c r="IE239" i="2"/>
  <c r="IF239" i="2"/>
  <c r="IG239" i="2"/>
  <c r="HU240" i="2"/>
  <c r="HU241" i="2"/>
  <c r="IE241" i="2"/>
  <c r="ID244" i="2"/>
  <c r="IE244" i="2"/>
  <c r="IF244" i="2"/>
  <c r="IE89" i="2" l="1"/>
  <c r="GC200" i="2"/>
  <c r="AY90" i="2"/>
  <c r="GD111" i="2"/>
  <c r="J200" i="2"/>
  <c r="H90" i="2"/>
  <c r="FP136" i="2"/>
  <c r="H147" i="2"/>
  <c r="FP147" i="2" s="1"/>
  <c r="IG203" i="2"/>
  <c r="IG241" i="2" s="1"/>
  <c r="IC244" i="2"/>
  <c r="FP227" i="2"/>
  <c r="FP203" i="2" s="1"/>
  <c r="HU227" i="2"/>
  <c r="GN227" i="2"/>
  <c r="AM203" i="2"/>
  <c r="HX216" i="2"/>
  <c r="FZ216" i="2"/>
  <c r="T203" i="2"/>
  <c r="BN147" i="2"/>
  <c r="CL90" i="2"/>
  <c r="CJ90" i="2"/>
  <c r="CJ200" i="2"/>
  <c r="GH144" i="2"/>
  <c r="BH90" i="2"/>
  <c r="BH147" i="2"/>
  <c r="GE111" i="2"/>
  <c r="GE90" i="2" s="1"/>
  <c r="BA90" i="2"/>
  <c r="GB200" i="2"/>
  <c r="AP90" i="2"/>
  <c r="W200" i="2"/>
  <c r="FU165" i="2"/>
  <c r="FU200" i="2" s="1"/>
  <c r="HV165" i="2"/>
  <c r="HV136" i="2"/>
  <c r="Q90" i="2"/>
  <c r="FS111" i="2"/>
  <c r="Q147" i="2"/>
  <c r="HV111" i="2"/>
  <c r="HV90" i="2" s="1"/>
  <c r="GR203" i="2"/>
  <c r="HZ227" i="2"/>
  <c r="GS203" i="2"/>
  <c r="IA220" i="2"/>
  <c r="GN220" i="2"/>
  <c r="BH203" i="2"/>
  <c r="GG216" i="2"/>
  <c r="AP203" i="2"/>
  <c r="GI147" i="2"/>
  <c r="ID90" i="2"/>
  <c r="HZ136" i="2"/>
  <c r="GH136" i="2"/>
  <c r="S90" i="2"/>
  <c r="S147" i="2"/>
  <c r="FR199" i="2"/>
  <c r="HV199" i="2"/>
  <c r="L200" i="2"/>
  <c r="J90" i="2"/>
  <c r="BY2" i="2"/>
  <c r="BZ76" i="1"/>
  <c r="GQ76" i="1" s="1"/>
  <c r="HU190" i="2"/>
  <c r="FP190" i="2"/>
  <c r="HX240" i="2"/>
  <c r="GK90" i="2"/>
  <c r="U90" i="2"/>
  <c r="U147" i="2"/>
  <c r="L113" i="3"/>
  <c r="L157" i="3"/>
  <c r="L169" i="3" s="1"/>
  <c r="CD203" i="2"/>
  <c r="GJ203" i="2"/>
  <c r="GG240" i="2"/>
  <c r="FZ227" i="2"/>
  <c r="X203" i="2"/>
  <c r="CL200" i="2"/>
  <c r="W147" i="2"/>
  <c r="FU147" i="2" s="1"/>
  <c r="IF90" i="2"/>
  <c r="FT111" i="2"/>
  <c r="GJ165" i="2"/>
  <c r="GJ200" i="2" s="1"/>
  <c r="HZ165" i="2"/>
  <c r="BP200" i="2"/>
  <c r="P200" i="2"/>
  <c r="FR200" i="2"/>
  <c r="L90" i="2"/>
  <c r="GL48" i="2"/>
  <c r="GM216" i="2"/>
  <c r="GM203" i="2" s="1"/>
  <c r="BZ203" i="2"/>
  <c r="GA165" i="2"/>
  <c r="GA200" i="2" s="1"/>
  <c r="AP200" i="2"/>
  <c r="GX76" i="1"/>
  <c r="FQ199" i="2"/>
  <c r="HU199" i="2"/>
  <c r="HZ203" i="2"/>
  <c r="HZ241" i="2" s="1"/>
  <c r="HZ244" i="2"/>
  <c r="BJ90" i="2"/>
  <c r="GH111" i="2"/>
  <c r="GH90" i="2" s="1"/>
  <c r="BJ147" i="2"/>
  <c r="HV190" i="2"/>
  <c r="FR190" i="2"/>
  <c r="GP203" i="2"/>
  <c r="HZ240" i="2"/>
  <c r="GG227" i="2"/>
  <c r="IC200" i="2"/>
  <c r="GG147" i="2"/>
  <c r="FZ136" i="2"/>
  <c r="GJ144" i="2"/>
  <c r="BL90" i="2"/>
  <c r="BL147" i="2"/>
  <c r="AF136" i="2"/>
  <c r="FX118" i="2"/>
  <c r="HW200" i="2"/>
  <c r="HK75" i="2"/>
  <c r="IG75" i="2"/>
  <c r="HV48" i="2"/>
  <c r="FR48" i="2"/>
  <c r="CL35" i="2"/>
  <c r="GQ34" i="2"/>
  <c r="IB34" i="2"/>
  <c r="IB31" i="2"/>
  <c r="FZ147" i="2"/>
  <c r="FT147" i="2"/>
  <c r="GU50" i="1"/>
  <c r="II50" i="1"/>
  <c r="IH50" i="1"/>
  <c r="GP50" i="1"/>
  <c r="FS50" i="1"/>
  <c r="IB50" i="1"/>
  <c r="GZ203" i="2"/>
  <c r="BO203" i="2"/>
  <c r="HW216" i="2"/>
  <c r="AB203" i="2"/>
  <c r="FV216" i="2"/>
  <c r="FQ200" i="2"/>
  <c r="BW90" i="2"/>
  <c r="BW147" i="2"/>
  <c r="GL111" i="2"/>
  <c r="FY200" i="2"/>
  <c r="AW90" i="2"/>
  <c r="AW147" i="2"/>
  <c r="HV227" i="2"/>
  <c r="AX203" i="2"/>
  <c r="GD216" i="2"/>
  <c r="GD203" i="2" s="1"/>
  <c r="HY216" i="2"/>
  <c r="BS203" i="2"/>
  <c r="GK216" i="2"/>
  <c r="GK203" i="2" s="1"/>
  <c r="GY90" i="2"/>
  <c r="GJ90" i="2"/>
  <c r="GL199" i="2"/>
  <c r="GL200" i="2" s="1"/>
  <c r="IA199" i="2"/>
  <c r="GK165" i="2"/>
  <c r="GK200" i="2" s="1"/>
  <c r="BT200" i="2"/>
  <c r="BR147" i="2"/>
  <c r="FX111" i="2"/>
  <c r="AH90" i="2"/>
  <c r="AH147" i="2"/>
  <c r="GO3" i="2"/>
  <c r="GC55" i="1"/>
  <c r="AJ76" i="1"/>
  <c r="GC76" i="1" s="1"/>
  <c r="Q203" i="2"/>
  <c r="FS216" i="2"/>
  <c r="FS203" i="2" s="1"/>
  <c r="HV216" i="2"/>
  <c r="HU200" i="2"/>
  <c r="GP165" i="2"/>
  <c r="CH90" i="2"/>
  <c r="CH200" i="2"/>
  <c r="GH200" i="2"/>
  <c r="GB203" i="2"/>
  <c r="CK203" i="2"/>
  <c r="GQ216" i="2"/>
  <c r="GQ203" i="2" s="1"/>
  <c r="BR203" i="2"/>
  <c r="HY240" i="2"/>
  <c r="AE203" i="2"/>
  <c r="HW240" i="2"/>
  <c r="HY200" i="2"/>
  <c r="GR147" i="2"/>
  <c r="BA147" i="2"/>
  <c r="GE147" i="2" s="1"/>
  <c r="HW118" i="2"/>
  <c r="HH90" i="2"/>
  <c r="HA200" i="2"/>
  <c r="GM111" i="2"/>
  <c r="BY90" i="2"/>
  <c r="BY147" i="2"/>
  <c r="GM147" i="2" s="1"/>
  <c r="IA190" i="2"/>
  <c r="BV200" i="2"/>
  <c r="FZ165" i="2"/>
  <c r="FZ200" i="2" s="1"/>
  <c r="AL200" i="2"/>
  <c r="HX165" i="2"/>
  <c r="CH3" i="2"/>
  <c r="II55" i="1"/>
  <c r="GN216" i="2"/>
  <c r="GN203" i="2" s="1"/>
  <c r="CB203" i="2"/>
  <c r="GL203" i="2"/>
  <c r="IA240" i="2"/>
  <c r="HA90" i="2"/>
  <c r="HX144" i="2"/>
  <c r="AJ90" i="2"/>
  <c r="AJ147" i="2"/>
  <c r="FY147" i="2" s="1"/>
  <c r="HU136" i="2"/>
  <c r="D90" i="2"/>
  <c r="D147" i="2"/>
  <c r="IF4" i="2"/>
  <c r="IF89" i="2"/>
  <c r="HY4" i="2"/>
  <c r="HX89" i="2"/>
  <c r="FQ203" i="2"/>
  <c r="IA227" i="2"/>
  <c r="BA203" i="2"/>
  <c r="HZ200" i="2"/>
  <c r="AY147" i="2"/>
  <c r="GD147" i="2" s="1"/>
  <c r="CF147" i="2"/>
  <c r="GO147" i="2" s="1"/>
  <c r="CF90" i="2"/>
  <c r="AN200" i="2"/>
  <c r="FO144" i="2"/>
  <c r="HU144" i="2"/>
  <c r="BQ76" i="1"/>
  <c r="GN65" i="1"/>
  <c r="ID65" i="1"/>
  <c r="AA76" i="1"/>
  <c r="FZ65" i="1"/>
  <c r="HG203" i="2"/>
  <c r="GI203" i="2"/>
  <c r="FX203" i="2"/>
  <c r="FO216" i="2"/>
  <c r="FO203" i="2" s="1"/>
  <c r="HU216" i="2"/>
  <c r="CN203" i="2"/>
  <c r="BV203" i="2"/>
  <c r="IA216" i="2"/>
  <c r="GF216" i="2"/>
  <c r="GF203" i="2" s="1"/>
  <c r="BE203" i="2"/>
  <c r="AI203" i="2"/>
  <c r="FY216" i="2"/>
  <c r="FY203" i="2" s="1"/>
  <c r="FQ147" i="2"/>
  <c r="HZ111" i="2"/>
  <c r="HZ90" i="2" s="1"/>
  <c r="GP90" i="2"/>
  <c r="IB190" i="2"/>
  <c r="IB90" i="2" s="1"/>
  <c r="GP190" i="2"/>
  <c r="BZ200" i="2"/>
  <c r="GM199" i="2"/>
  <c r="GM200" i="2" s="1"/>
  <c r="GD144" i="2"/>
  <c r="HY144" i="2"/>
  <c r="GC111" i="2"/>
  <c r="GC90" i="2" s="1"/>
  <c r="AU90" i="2"/>
  <c r="AU147" i="2"/>
  <c r="GC147" i="2" s="1"/>
  <c r="AR90" i="2"/>
  <c r="FP165" i="2"/>
  <c r="FP200" i="2" s="1"/>
  <c r="H200" i="2"/>
  <c r="HU165" i="2"/>
  <c r="F90" i="2"/>
  <c r="F147" i="2"/>
  <c r="FO147" i="2" s="1"/>
  <c r="BB76" i="1"/>
  <c r="GI65" i="1"/>
  <c r="L76" i="1"/>
  <c r="IB65" i="1"/>
  <c r="GP55" i="1"/>
  <c r="IH55" i="1"/>
  <c r="GO216" i="2"/>
  <c r="GO203" i="2" s="1"/>
  <c r="GH216" i="2"/>
  <c r="GH203" i="2" s="1"/>
  <c r="GA216" i="2"/>
  <c r="GA203" i="2" s="1"/>
  <c r="HN90" i="2"/>
  <c r="GF90" i="2"/>
  <c r="GO111" i="2"/>
  <c r="GO90" i="2" s="1"/>
  <c r="CE90" i="2"/>
  <c r="BR90" i="2"/>
  <c r="BC90" i="2"/>
  <c r="Y90" i="2"/>
  <c r="HV3" i="2"/>
  <c r="AI76" i="1"/>
  <c r="GZ70" i="1"/>
  <c r="IJ70" i="1"/>
  <c r="GG70" i="1"/>
  <c r="GL55" i="1"/>
  <c r="IG55" i="1"/>
  <c r="AP110" i="3"/>
  <c r="AP162" i="3" s="1"/>
  <c r="S162" i="3"/>
  <c r="AR200" i="2"/>
  <c r="HP90" i="2"/>
  <c r="GV165" i="2"/>
  <c r="GV200" i="2" s="1"/>
  <c r="BT90" i="2"/>
  <c r="GG136" i="2"/>
  <c r="BE90" i="2"/>
  <c r="FW136" i="2"/>
  <c r="AA90" i="2"/>
  <c r="HW111" i="2"/>
  <c r="HX48" i="2"/>
  <c r="CH85" i="2"/>
  <c r="IH70" i="1"/>
  <c r="HL90" i="2"/>
  <c r="BP90" i="2"/>
  <c r="W90" i="2"/>
  <c r="FU111" i="2"/>
  <c r="FU90" i="2" s="1"/>
  <c r="IC35" i="2"/>
  <c r="IC3" i="2" s="1"/>
  <c r="GW35" i="2"/>
  <c r="GW3" i="2" s="1"/>
  <c r="CI3" i="2"/>
  <c r="GU70" i="1"/>
  <c r="II70" i="1"/>
  <c r="FX70" i="1"/>
  <c r="FX55" i="1"/>
  <c r="AN109" i="3"/>
  <c r="K157" i="3"/>
  <c r="K113" i="3"/>
  <c r="IA212" i="2"/>
  <c r="IB227" i="2"/>
  <c r="FZ240" i="2"/>
  <c r="FW216" i="2"/>
  <c r="FW203" i="2" s="1"/>
  <c r="GR90" i="2"/>
  <c r="FV136" i="2"/>
  <c r="FP90" i="2"/>
  <c r="BV90" i="2"/>
  <c r="IA111" i="2"/>
  <c r="BS90" i="2"/>
  <c r="GG111" i="2"/>
  <c r="BG90" i="2"/>
  <c r="AC90" i="2"/>
  <c r="FW111" i="2"/>
  <c r="FW90" i="2" s="1"/>
  <c r="FT165" i="2"/>
  <c r="FT200" i="2" s="1"/>
  <c r="HB31" i="2"/>
  <c r="IA4" i="2"/>
  <c r="GA3" i="2"/>
  <c r="CK3" i="2"/>
  <c r="GL70" i="1"/>
  <c r="IG70" i="1"/>
  <c r="FS70" i="1"/>
  <c r="IB70" i="1"/>
  <c r="GZ55" i="1"/>
  <c r="IB240" i="2"/>
  <c r="IB216" i="2"/>
  <c r="N200" i="2"/>
  <c r="HV200" i="2" s="1"/>
  <c r="IC199" i="2"/>
  <c r="IC90" i="2" s="1"/>
  <c r="IA165" i="2"/>
  <c r="GT90" i="2"/>
  <c r="FV111" i="2"/>
  <c r="CG90" i="2"/>
  <c r="BX90" i="2"/>
  <c r="BI90" i="2"/>
  <c r="GF199" i="2"/>
  <c r="FY136" i="2"/>
  <c r="AG90" i="2"/>
  <c r="AE90" i="2"/>
  <c r="FV199" i="2"/>
  <c r="FO136" i="2"/>
  <c r="C90" i="2"/>
  <c r="HU111" i="2"/>
  <c r="HU90" i="2" s="1"/>
  <c r="HU201" i="2" s="1"/>
  <c r="HL78" i="2"/>
  <c r="IG78" i="2"/>
  <c r="ID31" i="2"/>
  <c r="ID3" i="2"/>
  <c r="IB16" i="2"/>
  <c r="GP16" i="2"/>
  <c r="GY60" i="1"/>
  <c r="CX76" i="1"/>
  <c r="IJ55" i="1"/>
  <c r="GX27" i="1"/>
  <c r="CV76" i="1"/>
  <c r="GO27" i="1"/>
  <c r="BT76" i="1"/>
  <c r="GJ27" i="1"/>
  <c r="IF27" i="1"/>
  <c r="BF76" i="1"/>
  <c r="AR76" i="1"/>
  <c r="GE27" i="1"/>
  <c r="GA27" i="1"/>
  <c r="AD76" i="1"/>
  <c r="FV27" i="1"/>
  <c r="IC27" i="1"/>
  <c r="P76" i="1"/>
  <c r="FV240" i="2"/>
  <c r="AU203" i="2"/>
  <c r="GV90" i="2"/>
  <c r="GB90" i="2"/>
  <c r="BZ90" i="2"/>
  <c r="GI136" i="2"/>
  <c r="FY111" i="2"/>
  <c r="FY90" i="2" s="1"/>
  <c r="AI90" i="2"/>
  <c r="E90" i="2"/>
  <c r="FO111" i="2"/>
  <c r="II60" i="1"/>
  <c r="GT60" i="1"/>
  <c r="IF60" i="1"/>
  <c r="GJ60" i="1"/>
  <c r="GF60" i="1"/>
  <c r="IE60" i="1"/>
  <c r="FR60" i="1"/>
  <c r="IB60" i="1"/>
  <c r="BP203" i="2"/>
  <c r="BT147" i="2"/>
  <c r="GK147" i="2" s="1"/>
  <c r="IA136" i="2"/>
  <c r="CB90" i="2"/>
  <c r="GI111" i="2"/>
  <c r="GF165" i="2"/>
  <c r="HY111" i="2"/>
  <c r="HY90" i="2" s="1"/>
  <c r="FX199" i="2"/>
  <c r="FX200" i="2" s="1"/>
  <c r="FV165" i="2"/>
  <c r="FV200" i="2" s="1"/>
  <c r="G90" i="2"/>
  <c r="FN199" i="2"/>
  <c r="FN200" i="2" s="1"/>
  <c r="HZ48" i="2"/>
  <c r="GY3" i="2"/>
  <c r="CJ35" i="2"/>
  <c r="CJ3" i="2" s="1"/>
  <c r="HX111" i="2"/>
  <c r="GX90" i="2"/>
  <c r="GN111" i="2"/>
  <c r="GN90" i="2" s="1"/>
  <c r="CD90" i="2"/>
  <c r="GH199" i="2"/>
  <c r="HZ199" i="2"/>
  <c r="GA136" i="2"/>
  <c r="AM90" i="2"/>
  <c r="FQ136" i="2"/>
  <c r="GC48" i="2"/>
  <c r="FO48" i="2"/>
  <c r="IH75" i="1"/>
  <c r="IC60" i="1"/>
  <c r="AP147" i="2"/>
  <c r="GA147" i="2" s="1"/>
  <c r="FR90" i="2"/>
  <c r="HZ190" i="2"/>
  <c r="GA111" i="2"/>
  <c r="GA90" i="2" s="1"/>
  <c r="AO90" i="2"/>
  <c r="K90" i="2"/>
  <c r="FQ111" i="2"/>
  <c r="IG4" i="2"/>
  <c r="IG89" i="2"/>
  <c r="ID157" i="1"/>
  <c r="IE156" i="1" s="1"/>
  <c r="GH50" i="1"/>
  <c r="IF50" i="1"/>
  <c r="AY76" i="1"/>
  <c r="FT50" i="1"/>
  <c r="I76" i="1"/>
  <c r="FT76" i="1" s="1"/>
  <c r="CO76" i="1"/>
  <c r="GV76" i="1" s="1"/>
  <c r="HB90" i="2"/>
  <c r="CK90" i="2"/>
  <c r="GQ111" i="2"/>
  <c r="GQ90" i="2" s="1"/>
  <c r="AN90" i="2"/>
  <c r="FZ199" i="2"/>
  <c r="HX199" i="2"/>
  <c r="M90" i="2"/>
  <c r="CV48" i="2"/>
  <c r="GT48" i="2" s="1"/>
  <c r="CW2" i="2"/>
  <c r="GQ50" i="1"/>
  <c r="BL76" i="1"/>
  <c r="AX76" i="1"/>
  <c r="GC50" i="1"/>
  <c r="V76" i="1"/>
  <c r="H76" i="1"/>
  <c r="BP147" i="2"/>
  <c r="GJ147" i="2" s="1"/>
  <c r="HD90" i="2"/>
  <c r="DB90" i="2"/>
  <c r="GP199" i="2"/>
  <c r="IB199" i="2"/>
  <c r="AS90" i="2"/>
  <c r="HX190" i="2"/>
  <c r="FS136" i="2"/>
  <c r="O90" i="2"/>
  <c r="GB48" i="2"/>
  <c r="HU48" i="2"/>
  <c r="FN48" i="2"/>
  <c r="IC44" i="2"/>
  <c r="GZ50" i="1"/>
  <c r="BY76" i="1"/>
  <c r="IG50" i="1"/>
  <c r="GL50" i="1"/>
  <c r="BK76" i="1"/>
  <c r="AW76" i="1"/>
  <c r="FX50" i="1"/>
  <c r="U76" i="1"/>
  <c r="FX76" i="1" s="1"/>
  <c r="G76" i="1"/>
  <c r="GY75" i="1"/>
  <c r="GK75" i="1"/>
  <c r="FW75" i="1"/>
  <c r="CC76" i="1"/>
  <c r="GR76" i="1" s="1"/>
  <c r="IH65" i="1"/>
  <c r="GR65" i="1"/>
  <c r="BO76" i="1"/>
  <c r="GM65" i="1"/>
  <c r="AM76" i="1"/>
  <c r="IE65" i="1"/>
  <c r="GD65" i="1"/>
  <c r="Y76" i="1"/>
  <c r="IC158" i="1" s="1"/>
  <c r="FY65" i="1"/>
  <c r="GO60" i="1"/>
  <c r="GA60" i="1"/>
  <c r="GU55" i="1"/>
  <c r="GG55" i="1"/>
  <c r="FS55" i="1"/>
  <c r="GL46" i="1"/>
  <c r="IG46" i="1"/>
  <c r="CI76" i="1"/>
  <c r="GT41" i="1"/>
  <c r="II41" i="1"/>
  <c r="GO41" i="1"/>
  <c r="BU76" i="1"/>
  <c r="BG76" i="1"/>
  <c r="AS76" i="1"/>
  <c r="GF76" i="1" s="1"/>
  <c r="AE76" i="1"/>
  <c r="GA41" i="1"/>
  <c r="Q76" i="1"/>
  <c r="FR41" i="1"/>
  <c r="IB41" i="1"/>
  <c r="C76" i="1"/>
  <c r="HY48" i="2"/>
  <c r="BN76" i="1"/>
  <c r="GM76" i="1" s="1"/>
  <c r="IJ75" i="1"/>
  <c r="GX75" i="1"/>
  <c r="II75" i="1"/>
  <c r="GT75" i="1"/>
  <c r="GF75" i="1"/>
  <c r="FV75" i="1"/>
  <c r="IC75" i="1"/>
  <c r="FR75" i="1"/>
  <c r="IB75" i="1"/>
  <c r="IJ60" i="1"/>
  <c r="GS60" i="1"/>
  <c r="AQ76" i="1"/>
  <c r="GE60" i="1"/>
  <c r="GY55" i="1"/>
  <c r="GK55" i="1"/>
  <c r="FW55" i="1"/>
  <c r="FR55" i="1"/>
  <c r="IB55" i="1"/>
  <c r="GY50" i="1"/>
  <c r="FW50" i="1"/>
  <c r="GG46" i="1"/>
  <c r="FS46" i="1"/>
  <c r="II152" i="1"/>
  <c r="II153" i="1" s="1"/>
  <c r="IF65" i="1"/>
  <c r="IH46" i="1"/>
  <c r="GP46" i="1"/>
  <c r="CT76" i="1"/>
  <c r="GW76" i="1" s="1"/>
  <c r="BR76" i="1"/>
  <c r="BD76" i="1"/>
  <c r="AP76" i="1"/>
  <c r="GE76" i="1" s="1"/>
  <c r="AB76" i="1"/>
  <c r="ID32" i="1"/>
  <c r="N76" i="1"/>
  <c r="DB76" i="1"/>
  <c r="L226" i="3"/>
  <c r="L228" i="3" s="1"/>
  <c r="L230" i="3" s="1"/>
  <c r="AQ204" i="3"/>
  <c r="Y209" i="3"/>
  <c r="Y228" i="3" s="1"/>
  <c r="Y230" i="3" s="1"/>
  <c r="AM204" i="3"/>
  <c r="G209" i="3"/>
  <c r="ID75" i="1"/>
  <c r="IG65" i="1"/>
  <c r="GN60" i="1"/>
  <c r="FZ60" i="1"/>
  <c r="GY46" i="1"/>
  <c r="CJ76" i="1"/>
  <c r="II46" i="1"/>
  <c r="BV76" i="1"/>
  <c r="GK46" i="1"/>
  <c r="IF46" i="1"/>
  <c r="BH76" i="1"/>
  <c r="IE46" i="1"/>
  <c r="AT76" i="1"/>
  <c r="AF76" i="1"/>
  <c r="FW46" i="1"/>
  <c r="R76" i="1"/>
  <c r="D76" i="1"/>
  <c r="GW32" i="1"/>
  <c r="GN32" i="1"/>
  <c r="GI32" i="1"/>
  <c r="FZ32" i="1"/>
  <c r="FU32" i="1"/>
  <c r="GZ8" i="1"/>
  <c r="DA76" i="1"/>
  <c r="GZ76" i="1" s="1"/>
  <c r="GU8" i="1"/>
  <c r="GL8" i="1"/>
  <c r="IG8" i="1"/>
  <c r="GG8" i="1"/>
  <c r="FX8" i="1"/>
  <c r="IB8" i="1"/>
  <c r="FS8" i="1"/>
  <c r="GR152" i="1"/>
  <c r="IC50" i="1"/>
  <c r="H169" i="3"/>
  <c r="GC3" i="2"/>
  <c r="GS152" i="1"/>
  <c r="ID70" i="1"/>
  <c r="AB228" i="3"/>
  <c r="AN205" i="3"/>
  <c r="K209" i="3"/>
  <c r="GH65" i="1"/>
  <c r="ID55" i="1"/>
  <c r="ID50" i="1"/>
  <c r="IJ46" i="1"/>
  <c r="M226" i="3"/>
  <c r="M228" i="3" s="1"/>
  <c r="M230" i="3" s="1"/>
  <c r="X226" i="3"/>
  <c r="X228" i="3" s="1"/>
  <c r="IE70" i="1"/>
  <c r="IE50" i="1"/>
  <c r="AQ212" i="3"/>
  <c r="W226" i="3"/>
  <c r="HA15" i="2"/>
  <c r="HW3" i="2"/>
  <c r="GD152" i="1"/>
  <c r="DD76" i="1"/>
  <c r="HA76" i="1" s="1"/>
  <c r="HA70" i="1"/>
  <c r="II65" i="1"/>
  <c r="CZ76" i="1"/>
  <c r="IJ76" i="1" s="1"/>
  <c r="IJ77" i="1" s="1"/>
  <c r="GU37" i="1"/>
  <c r="CL76" i="1"/>
  <c r="GU76" i="1" s="1"/>
  <c r="BX76" i="1"/>
  <c r="BJ76" i="1"/>
  <c r="GG37" i="1"/>
  <c r="AV76" i="1"/>
  <c r="AH76" i="1"/>
  <c r="T76" i="1"/>
  <c r="FS37" i="1"/>
  <c r="F76" i="1"/>
  <c r="AQ216" i="3"/>
  <c r="U226" i="3"/>
  <c r="U228" i="3" s="1"/>
  <c r="U230" i="3" s="1"/>
  <c r="C226" i="3"/>
  <c r="C228" i="3" s="1"/>
  <c r="AL212" i="3"/>
  <c r="GV70" i="1"/>
  <c r="GH70" i="1"/>
  <c r="IF70" i="1"/>
  <c r="FT70" i="1"/>
  <c r="ID60" i="1"/>
  <c r="GX60" i="1"/>
  <c r="IH60" i="1"/>
  <c r="IG60" i="1"/>
  <c r="CY76" i="1"/>
  <c r="IJ37" i="1"/>
  <c r="II37" i="1"/>
  <c r="CK76" i="1"/>
  <c r="IH37" i="1"/>
  <c r="BW76" i="1"/>
  <c r="BI76" i="1"/>
  <c r="AU76" i="1"/>
  <c r="GB37" i="1"/>
  <c r="AG76" i="1"/>
  <c r="S76" i="1"/>
  <c r="E76" i="1"/>
  <c r="AN225" i="3"/>
  <c r="AO220" i="3"/>
  <c r="AP191" i="3"/>
  <c r="AO190" i="3"/>
  <c r="O197" i="3"/>
  <c r="AM189" i="3"/>
  <c r="G197" i="3"/>
  <c r="IJ50" i="1"/>
  <c r="GT46" i="1"/>
  <c r="GF46" i="1"/>
  <c r="FR46" i="1"/>
  <c r="GY37" i="1"/>
  <c r="GK37" i="1"/>
  <c r="FW37" i="1"/>
  <c r="BK230" i="3"/>
  <c r="T226" i="3"/>
  <c r="AP212" i="3"/>
  <c r="M209" i="3"/>
  <c r="AN209" i="3" s="1"/>
  <c r="M197" i="3"/>
  <c r="M199" i="3" s="1"/>
  <c r="FZ70" i="1"/>
  <c r="IE55" i="1"/>
  <c r="FZ46" i="1"/>
  <c r="IH41" i="1"/>
  <c r="ID37" i="1"/>
  <c r="II32" i="1"/>
  <c r="FW32" i="1"/>
  <c r="IE32" i="1"/>
  <c r="IE27" i="1"/>
  <c r="ID27" i="1"/>
  <c r="II22" i="1"/>
  <c r="GH12" i="1"/>
  <c r="IF12" i="1"/>
  <c r="II8" i="1"/>
  <c r="N228" i="3"/>
  <c r="AO226" i="3"/>
  <c r="AO206" i="3"/>
  <c r="AM183" i="3"/>
  <c r="AP174" i="3"/>
  <c r="S185" i="3"/>
  <c r="M185" i="3"/>
  <c r="F169" i="3"/>
  <c r="IJ65" i="1"/>
  <c r="GR41" i="1"/>
  <c r="GM41" i="1"/>
  <c r="GD41" i="1"/>
  <c r="IE41" i="1"/>
  <c r="FY41" i="1"/>
  <c r="IF32" i="1"/>
  <c r="GQ12" i="1"/>
  <c r="GC12" i="1"/>
  <c r="IE8" i="1"/>
  <c r="AQ222" i="3"/>
  <c r="AM213" i="3"/>
  <c r="G226" i="3"/>
  <c r="G228" i="3" s="1"/>
  <c r="AP197" i="3"/>
  <c r="R199" i="3"/>
  <c r="U199" i="3"/>
  <c r="C197" i="3"/>
  <c r="AL192" i="3"/>
  <c r="L185" i="3"/>
  <c r="AJ169" i="3"/>
  <c r="U148" i="3"/>
  <c r="C155" i="3"/>
  <c r="AL121" i="3"/>
  <c r="IC55" i="1"/>
  <c r="GX37" i="1"/>
  <c r="GJ37" i="1"/>
  <c r="FV37" i="1"/>
  <c r="ID22" i="1"/>
  <c r="GZ12" i="1"/>
  <c r="GL12" i="1"/>
  <c r="IG12" i="1"/>
  <c r="FX12" i="1"/>
  <c r="IB12" i="1"/>
  <c r="IJ8" i="1"/>
  <c r="BX230" i="3"/>
  <c r="V230" i="3"/>
  <c r="AL222" i="3"/>
  <c r="E226" i="3"/>
  <c r="E228" i="3" s="1"/>
  <c r="AP192" i="3"/>
  <c r="X185" i="3"/>
  <c r="AN176" i="3"/>
  <c r="K185" i="3"/>
  <c r="AN185" i="3" s="1"/>
  <c r="AN173" i="3"/>
  <c r="T148" i="3"/>
  <c r="AM122" i="3"/>
  <c r="H157" i="3"/>
  <c r="IF41" i="1"/>
  <c r="FS27" i="1"/>
  <c r="BW230" i="3"/>
  <c r="Q226" i="3"/>
  <c r="Q228" i="3" s="1"/>
  <c r="T209" i="3"/>
  <c r="AP209" i="3" s="1"/>
  <c r="AO174" i="3"/>
  <c r="O185" i="3"/>
  <c r="AB185" i="3"/>
  <c r="AB199" i="3" s="1"/>
  <c r="I185" i="3"/>
  <c r="I199" i="3" s="1"/>
  <c r="AM138" i="3"/>
  <c r="G157" i="3"/>
  <c r="AO134" i="3"/>
  <c r="AO168" i="3" s="1"/>
  <c r="O168" i="3"/>
  <c r="AL128" i="3"/>
  <c r="C141" i="3"/>
  <c r="IC70" i="1"/>
  <c r="GL41" i="1"/>
  <c r="FX41" i="1"/>
  <c r="GZ32" i="1"/>
  <c r="GL32" i="1"/>
  <c r="IG32" i="1"/>
  <c r="FX32" i="1"/>
  <c r="GV27" i="1"/>
  <c r="GH27" i="1"/>
  <c r="FT27" i="1"/>
  <c r="ID8" i="1"/>
  <c r="K228" i="3"/>
  <c r="AI228" i="3"/>
  <c r="AI230" i="3" s="1"/>
  <c r="AL213" i="3"/>
  <c r="AP202" i="3"/>
  <c r="AQ185" i="3"/>
  <c r="AA185" i="3"/>
  <c r="AA199" i="3" s="1"/>
  <c r="AA230" i="3" s="1"/>
  <c r="Z169" i="3"/>
  <c r="M168" i="3"/>
  <c r="AN134" i="3"/>
  <c r="AN168" i="3" s="1"/>
  <c r="Y167" i="3"/>
  <c r="Y141" i="3"/>
  <c r="AM133" i="3"/>
  <c r="AM167" i="3" s="1"/>
  <c r="G167" i="3"/>
  <c r="G141" i="3"/>
  <c r="GN50" i="1"/>
  <c r="FZ50" i="1"/>
  <c r="GA37" i="1"/>
  <c r="GU32" i="1"/>
  <c r="GG32" i="1"/>
  <c r="FS32" i="1"/>
  <c r="GU27" i="1"/>
  <c r="GQ27" i="1"/>
  <c r="GC27" i="1"/>
  <c r="BO230" i="3"/>
  <c r="J230" i="3"/>
  <c r="AN194" i="3"/>
  <c r="K197" i="3"/>
  <c r="G185" i="3"/>
  <c r="AM185" i="3" s="1"/>
  <c r="AQ138" i="3"/>
  <c r="AQ157" i="3" s="1"/>
  <c r="AN155" i="3"/>
  <c r="IH32" i="1"/>
  <c r="FR32" i="1"/>
  <c r="IB32" i="1"/>
  <c r="IH27" i="1"/>
  <c r="GP27" i="1"/>
  <c r="GL27" i="1"/>
  <c r="IG27" i="1"/>
  <c r="IE22" i="1"/>
  <c r="GD22" i="1"/>
  <c r="II12" i="1"/>
  <c r="BM230" i="3"/>
  <c r="BT228" i="3"/>
  <c r="BT230" i="3" s="1"/>
  <c r="AC226" i="3"/>
  <c r="AC228" i="3" s="1"/>
  <c r="AK199" i="3"/>
  <c r="AK230" i="3" s="1"/>
  <c r="AN141" i="3"/>
  <c r="AN100" i="3"/>
  <c r="AN159" i="3" s="1"/>
  <c r="K159" i="3"/>
  <c r="AO98" i="3"/>
  <c r="AO157" i="3" s="1"/>
  <c r="P157" i="3"/>
  <c r="AC101" i="3"/>
  <c r="AL92" i="3"/>
  <c r="AL152" i="3" s="1"/>
  <c r="C152" i="3"/>
  <c r="G101" i="3"/>
  <c r="AM101" i="3" s="1"/>
  <c r="G150" i="3"/>
  <c r="AM90" i="3"/>
  <c r="AM150" i="3" s="1"/>
  <c r="FY22" i="1"/>
  <c r="BS228" i="3"/>
  <c r="BS230" i="3" s="1"/>
  <c r="AM215" i="3"/>
  <c r="B228" i="3"/>
  <c r="BY199" i="3"/>
  <c r="BY230" i="3" s="1"/>
  <c r="S161" i="3"/>
  <c r="AP107" i="3"/>
  <c r="AP161" i="3" s="1"/>
  <c r="AQ90" i="3"/>
  <c r="AQ150" i="3" s="1"/>
  <c r="AO149" i="3"/>
  <c r="IC65" i="1"/>
  <c r="GH41" i="1"/>
  <c r="GY41" i="1"/>
  <c r="GK41" i="1"/>
  <c r="FW41" i="1"/>
  <c r="GH37" i="1"/>
  <c r="IF37" i="1"/>
  <c r="IH22" i="1"/>
  <c r="GL22" i="1"/>
  <c r="IG22" i="1"/>
  <c r="IF22" i="1"/>
  <c r="IJ12" i="1"/>
  <c r="GV8" i="1"/>
  <c r="GH8" i="1"/>
  <c r="IF8" i="1"/>
  <c r="FT8" i="1"/>
  <c r="AP203" i="3"/>
  <c r="L197" i="3"/>
  <c r="L199" i="3" s="1"/>
  <c r="AN180" i="3"/>
  <c r="Q113" i="3"/>
  <c r="Q115" i="3" s="1"/>
  <c r="Q161" i="3"/>
  <c r="X148" i="3"/>
  <c r="X113" i="3"/>
  <c r="E169" i="3"/>
  <c r="AP99" i="3"/>
  <c r="AP158" i="3" s="1"/>
  <c r="AM93" i="3"/>
  <c r="AM153" i="3" s="1"/>
  <c r="AN219" i="3"/>
  <c r="O209" i="3"/>
  <c r="AO209" i="3" s="1"/>
  <c r="X197" i="3"/>
  <c r="E197" i="3"/>
  <c r="E199" i="3" s="1"/>
  <c r="Q185" i="3"/>
  <c r="Q199" i="3" s="1"/>
  <c r="AN184" i="3"/>
  <c r="AM180" i="3"/>
  <c r="AP175" i="3"/>
  <c r="H185" i="3"/>
  <c r="H199" i="3" s="1"/>
  <c r="AP135" i="3"/>
  <c r="S152" i="3"/>
  <c r="AQ133" i="3"/>
  <c r="AQ167" i="3" s="1"/>
  <c r="AQ111" i="3"/>
  <c r="W158" i="3"/>
  <c r="AP108" i="3"/>
  <c r="AP113" i="3" s="1"/>
  <c r="S155" i="3"/>
  <c r="AM154" i="3"/>
  <c r="V84" i="3"/>
  <c r="BG50" i="3"/>
  <c r="AQ70" i="3"/>
  <c r="AN69" i="3"/>
  <c r="G58" i="3"/>
  <c r="BB54" i="3"/>
  <c r="AL79" i="3"/>
  <c r="BE34" i="3"/>
  <c r="BE37" i="3"/>
  <c r="AO79" i="3"/>
  <c r="BC33" i="3"/>
  <c r="BC39" i="3"/>
  <c r="BG24" i="3"/>
  <c r="AQ77" i="3"/>
  <c r="AN73" i="3"/>
  <c r="AM69" i="3"/>
  <c r="BC20" i="3"/>
  <c r="BC23" i="3"/>
  <c r="BD6" i="3"/>
  <c r="AO74" i="3"/>
  <c r="AL64" i="3"/>
  <c r="BD3" i="3"/>
  <c r="IE37" i="1"/>
  <c r="GP12" i="1"/>
  <c r="GP8" i="1"/>
  <c r="F228" i="3"/>
  <c r="AM218" i="3"/>
  <c r="AQ189" i="3"/>
  <c r="W197" i="3"/>
  <c r="Q169" i="3"/>
  <c r="N145" i="3"/>
  <c r="AM139" i="3"/>
  <c r="AM164" i="3" s="1"/>
  <c r="H164" i="3"/>
  <c r="P125" i="3"/>
  <c r="AO92" i="3"/>
  <c r="AO152" i="3" s="1"/>
  <c r="P152" i="3"/>
  <c r="IJ22" i="1"/>
  <c r="AL217" i="3"/>
  <c r="AN181" i="3"/>
  <c r="AQ180" i="3"/>
  <c r="P185" i="3"/>
  <c r="AC185" i="3"/>
  <c r="AC199" i="3" s="1"/>
  <c r="E185" i="3"/>
  <c r="BU145" i="3"/>
  <c r="P141" i="3"/>
  <c r="P143" i="3" s="1"/>
  <c r="AO128" i="3"/>
  <c r="O125" i="3"/>
  <c r="AA115" i="3"/>
  <c r="AQ93" i="3"/>
  <c r="AQ153" i="3" s="1"/>
  <c r="W101" i="3"/>
  <c r="AQ101" i="3" s="1"/>
  <c r="IC41" i="1"/>
  <c r="IC37" i="1"/>
  <c r="FZ27" i="1"/>
  <c r="FZ12" i="1"/>
  <c r="FZ8" i="1"/>
  <c r="AO213" i="3"/>
  <c r="D185" i="3"/>
  <c r="D199" i="3" s="1"/>
  <c r="AK169" i="3"/>
  <c r="J145" i="3"/>
  <c r="O141" i="3"/>
  <c r="AL164" i="3"/>
  <c r="AM112" i="3"/>
  <c r="AM163" i="3" s="1"/>
  <c r="G163" i="3"/>
  <c r="AM156" i="3"/>
  <c r="AL155" i="3"/>
  <c r="AC84" i="3"/>
  <c r="O84" i="3"/>
  <c r="S197" i="3"/>
  <c r="S199" i="3" s="1"/>
  <c r="AC143" i="3"/>
  <c r="AC145" i="3" s="1"/>
  <c r="AN123" i="3"/>
  <c r="AN164" i="3" s="1"/>
  <c r="K164" i="3"/>
  <c r="FZ22" i="1"/>
  <c r="S226" i="3"/>
  <c r="AO216" i="3"/>
  <c r="I209" i="3"/>
  <c r="AM209" i="3" s="1"/>
  <c r="AP194" i="3"/>
  <c r="T185" i="3"/>
  <c r="AP185" i="3" s="1"/>
  <c r="AI169" i="3"/>
  <c r="AQ137" i="3"/>
  <c r="X156" i="3"/>
  <c r="Q155" i="3"/>
  <c r="AO136" i="3"/>
  <c r="AO155" i="3" s="1"/>
  <c r="H141" i="3"/>
  <c r="H143" i="3" s="1"/>
  <c r="H154" i="3"/>
  <c r="AP129" i="3"/>
  <c r="T149" i="3"/>
  <c r="S169" i="3"/>
  <c r="AC169" i="3"/>
  <c r="AN118" i="3"/>
  <c r="AN148" i="3" s="1"/>
  <c r="K148" i="3"/>
  <c r="K169" i="3" s="1"/>
  <c r="K125" i="3"/>
  <c r="AN125" i="3" s="1"/>
  <c r="S113" i="3"/>
  <c r="S115" i="3" s="1"/>
  <c r="U101" i="3"/>
  <c r="AL88" i="3"/>
  <c r="AL148" i="3" s="1"/>
  <c r="C101" i="3"/>
  <c r="C148" i="3"/>
  <c r="F199" i="3"/>
  <c r="AO193" i="3"/>
  <c r="AN192" i="3"/>
  <c r="AM191" i="3"/>
  <c r="AL190" i="3"/>
  <c r="P197" i="3"/>
  <c r="P199" i="3" s="1"/>
  <c r="P230" i="3" s="1"/>
  <c r="O158" i="3"/>
  <c r="O169" i="3" s="1"/>
  <c r="AM132" i="3"/>
  <c r="U163" i="3"/>
  <c r="AP112" i="3"/>
  <c r="AP163" i="3" s="1"/>
  <c r="C163" i="3"/>
  <c r="AL112" i="3"/>
  <c r="AL163" i="3" s="1"/>
  <c r="C113" i="3"/>
  <c r="P162" i="3"/>
  <c r="AO97" i="3"/>
  <c r="AO162" i="3" s="1"/>
  <c r="IC12" i="1"/>
  <c r="IC8" i="1"/>
  <c r="H226" i="3"/>
  <c r="H228" i="3" s="1"/>
  <c r="H230" i="3" s="1"/>
  <c r="AQ181" i="3"/>
  <c r="AG169" i="3"/>
  <c r="D169" i="3"/>
  <c r="AC113" i="3"/>
  <c r="AC115" i="3" s="1"/>
  <c r="H84" i="3"/>
  <c r="AA141" i="3"/>
  <c r="AA143" i="3" s="1"/>
  <c r="AA145" i="3" s="1"/>
  <c r="AP149" i="3"/>
  <c r="Y148" i="3"/>
  <c r="Y169" i="3" s="1"/>
  <c r="Y125" i="3"/>
  <c r="AM118" i="3"/>
  <c r="AM148" i="3" s="1"/>
  <c r="G125" i="3"/>
  <c r="AM125" i="3" s="1"/>
  <c r="G148" i="3"/>
  <c r="I115" i="3"/>
  <c r="AQ99" i="3"/>
  <c r="AQ158" i="3" s="1"/>
  <c r="Y158" i="3"/>
  <c r="AM99" i="3"/>
  <c r="AM158" i="3" s="1"/>
  <c r="G158" i="3"/>
  <c r="IC22" i="1"/>
  <c r="W209" i="3"/>
  <c r="AQ209" i="3" s="1"/>
  <c r="D209" i="3"/>
  <c r="D228" i="3" s="1"/>
  <c r="D230" i="3" s="1"/>
  <c r="AM175" i="3"/>
  <c r="AK145" i="3"/>
  <c r="AL132" i="3"/>
  <c r="C154" i="3"/>
  <c r="S125" i="3"/>
  <c r="AP125" i="3" s="1"/>
  <c r="S154" i="3"/>
  <c r="AP120" i="3"/>
  <c r="AP154" i="3" s="1"/>
  <c r="AO119" i="3"/>
  <c r="M113" i="3"/>
  <c r="M115" i="3" s="1"/>
  <c r="M145" i="3" s="1"/>
  <c r="M154" i="3"/>
  <c r="M169" i="3" s="1"/>
  <c r="AN162" i="3"/>
  <c r="AO88" i="3"/>
  <c r="AO148" i="3" s="1"/>
  <c r="P148" i="3"/>
  <c r="P169" i="3" s="1"/>
  <c r="P101" i="3"/>
  <c r="U153" i="3"/>
  <c r="CE143" i="3"/>
  <c r="CE145" i="3" s="1"/>
  <c r="BL143" i="3"/>
  <c r="BL145" i="3" s="1"/>
  <c r="AP131" i="3"/>
  <c r="AP166" i="3" s="1"/>
  <c r="AQ129" i="3"/>
  <c r="AQ149" i="3" s="1"/>
  <c r="W141" i="3"/>
  <c r="AP128" i="3"/>
  <c r="S141" i="3"/>
  <c r="G113" i="3"/>
  <c r="AQ112" i="3"/>
  <c r="AQ163" i="3" s="1"/>
  <c r="AA148" i="3"/>
  <c r="AA169" i="3" s="1"/>
  <c r="H113" i="3"/>
  <c r="H115" i="3" s="1"/>
  <c r="AP92" i="3"/>
  <c r="AP152" i="3" s="1"/>
  <c r="AP88" i="3"/>
  <c r="AP148" i="3" s="1"/>
  <c r="Y84" i="3"/>
  <c r="K84" i="3"/>
  <c r="I149" i="3"/>
  <c r="AF145" i="3"/>
  <c r="AQ132" i="3"/>
  <c r="AQ154" i="3" s="1"/>
  <c r="AP121" i="3"/>
  <c r="AO120" i="3"/>
  <c r="AO154" i="3" s="1"/>
  <c r="H125" i="3"/>
  <c r="AO107" i="3"/>
  <c r="AO161" i="3" s="1"/>
  <c r="AN106" i="3"/>
  <c r="O101" i="3"/>
  <c r="AO101" i="3" s="1"/>
  <c r="F143" i="3"/>
  <c r="AQ105" i="3"/>
  <c r="AQ113" i="3" s="1"/>
  <c r="W113" i="3"/>
  <c r="D113" i="3"/>
  <c r="AP95" i="3"/>
  <c r="R84" i="3"/>
  <c r="D84" i="3"/>
  <c r="BG54" i="3"/>
  <c r="BG49" i="3"/>
  <c r="BB47" i="3"/>
  <c r="AL82" i="3"/>
  <c r="O60" i="3"/>
  <c r="BD38" i="3"/>
  <c r="BB38" i="3"/>
  <c r="BB39" i="3"/>
  <c r="AN76" i="3"/>
  <c r="BB12" i="3"/>
  <c r="AO68" i="3"/>
  <c r="BD12" i="3"/>
  <c r="AN72" i="3"/>
  <c r="C153" i="3"/>
  <c r="AL140" i="3"/>
  <c r="AL158" i="3" s="1"/>
  <c r="AQ118" i="3"/>
  <c r="U113" i="3"/>
  <c r="AQ96" i="3"/>
  <c r="AL90" i="3"/>
  <c r="AL150" i="3" s="1"/>
  <c r="X84" i="3"/>
  <c r="J84" i="3"/>
  <c r="Q84" i="3"/>
  <c r="C84" i="3"/>
  <c r="U125" i="3"/>
  <c r="U143" i="3" s="1"/>
  <c r="C125" i="3"/>
  <c r="AL125" i="3" s="1"/>
  <c r="AL96" i="3"/>
  <c r="AL156" i="3" s="1"/>
  <c r="AY69" i="3"/>
  <c r="AP122" i="3"/>
  <c r="AP157" i="3" s="1"/>
  <c r="AL106" i="3"/>
  <c r="AO99" i="3"/>
  <c r="AO158" i="3" s="1"/>
  <c r="AN98" i="3"/>
  <c r="K101" i="3"/>
  <c r="AN101" i="3" s="1"/>
  <c r="Q141" i="3"/>
  <c r="Q143" i="3" s="1"/>
  <c r="Q145" i="3" s="1"/>
  <c r="AM135" i="3"/>
  <c r="AM152" i="3" s="1"/>
  <c r="I148" i="3"/>
  <c r="I169" i="3" s="1"/>
  <c r="I141" i="3"/>
  <c r="I143" i="3" s="1"/>
  <c r="W125" i="3"/>
  <c r="AM107" i="3"/>
  <c r="AM161" i="3" s="1"/>
  <c r="AP100" i="3"/>
  <c r="AP159" i="3" s="1"/>
  <c r="AP96" i="3"/>
  <c r="AP156" i="3" s="1"/>
  <c r="S101" i="3"/>
  <c r="AB101" i="3"/>
  <c r="AB115" i="3" s="1"/>
  <c r="AB145" i="3" s="1"/>
  <c r="S84" i="3"/>
  <c r="E84" i="3"/>
  <c r="BA83" i="3"/>
  <c r="BA69" i="3"/>
  <c r="AZ75" i="3"/>
  <c r="AF84" i="3"/>
  <c r="AI143" i="3"/>
  <c r="AI145" i="3" s="1"/>
  <c r="AN132" i="3"/>
  <c r="Q125" i="3"/>
  <c r="P113" i="3"/>
  <c r="P115" i="3" s="1"/>
  <c r="BS143" i="3"/>
  <c r="BS145" i="3" s="1"/>
  <c r="AP118" i="3"/>
  <c r="O113" i="3"/>
  <c r="O115" i="3" s="1"/>
  <c r="AO115" i="3" s="1"/>
  <c r="T101" i="3"/>
  <c r="T115" i="3" s="1"/>
  <c r="T145" i="3" s="1"/>
  <c r="L101" i="3"/>
  <c r="Y101" i="3"/>
  <c r="Y115" i="3" s="1"/>
  <c r="W84" i="3"/>
  <c r="AK84" i="3"/>
  <c r="W148" i="3"/>
  <c r="CJ143" i="3"/>
  <c r="CJ145" i="3" s="1"/>
  <c r="BQ143" i="3"/>
  <c r="BQ145" i="3" s="1"/>
  <c r="X141" i="3"/>
  <c r="X143" i="3" s="1"/>
  <c r="E141" i="3"/>
  <c r="E143" i="3" s="1"/>
  <c r="AO123" i="3"/>
  <c r="AO164" i="3" s="1"/>
  <c r="AN122" i="3"/>
  <c r="AM121" i="3"/>
  <c r="X101" i="3"/>
  <c r="E101" i="3"/>
  <c r="E115" i="3" s="1"/>
  <c r="T151" i="3"/>
  <c r="AB149" i="3"/>
  <c r="AB169" i="3" s="1"/>
  <c r="AQ131" i="3"/>
  <c r="AQ166" i="3" s="1"/>
  <c r="AM108" i="3"/>
  <c r="AL98" i="3"/>
  <c r="AL157" i="3" s="1"/>
  <c r="AN93" i="3"/>
  <c r="AN153" i="3" s="1"/>
  <c r="D101" i="3"/>
  <c r="BB43" i="3"/>
  <c r="N60" i="3"/>
  <c r="AO58" i="3"/>
  <c r="U58" i="3"/>
  <c r="U60" i="3" s="1"/>
  <c r="BB42" i="3"/>
  <c r="BE36" i="3"/>
  <c r="AN39" i="3"/>
  <c r="BD39" i="3" s="1"/>
  <c r="BC37" i="3"/>
  <c r="BG21" i="3"/>
  <c r="BG22" i="3"/>
  <c r="AM27" i="3"/>
  <c r="BG10" i="3"/>
  <c r="BG5" i="3"/>
  <c r="AQ65" i="3"/>
  <c r="BF10" i="3"/>
  <c r="AP70" i="3"/>
  <c r="BG44" i="3"/>
  <c r="BG55" i="3"/>
  <c r="AP82" i="3"/>
  <c r="T58" i="3"/>
  <c r="T60" i="3" s="1"/>
  <c r="BE33" i="3"/>
  <c r="AQ79" i="3"/>
  <c r="BB32" i="3"/>
  <c r="S29" i="3"/>
  <c r="AP29" i="3" s="1"/>
  <c r="AP27" i="3"/>
  <c r="BF20" i="3" s="1"/>
  <c r="BC26" i="3"/>
  <c r="AM78" i="3"/>
  <c r="AL27" i="3"/>
  <c r="C29" i="3"/>
  <c r="AL29" i="3" s="1"/>
  <c r="BG8" i="3"/>
  <c r="AQ68" i="3"/>
  <c r="AM15" i="3"/>
  <c r="BC13" i="3" s="1"/>
  <c r="AL67" i="3"/>
  <c r="BF3" i="3"/>
  <c r="AJ84" i="3"/>
  <c r="BB62" i="3"/>
  <c r="B60" i="3"/>
  <c r="AL60" i="3" s="1"/>
  <c r="AP39" i="3"/>
  <c r="BF39" i="3" s="1"/>
  <c r="BG20" i="3"/>
  <c r="AQ69" i="3"/>
  <c r="BG15" i="3"/>
  <c r="BG11" i="3"/>
  <c r="BG48" i="3"/>
  <c r="AQ83" i="3"/>
  <c r="Q58" i="3"/>
  <c r="BF37" i="3"/>
  <c r="BB33" i="3"/>
  <c r="BF32" i="3"/>
  <c r="AB29" i="3"/>
  <c r="W29" i="3"/>
  <c r="AQ29" i="3" s="1"/>
  <c r="AQ27" i="3"/>
  <c r="AN78" i="3"/>
  <c r="BC24" i="3"/>
  <c r="BE6" i="3"/>
  <c r="BD7" i="3"/>
  <c r="BD14" i="3"/>
  <c r="BG3" i="3"/>
  <c r="AG84" i="3"/>
  <c r="BA63" i="3"/>
  <c r="AB60" i="3"/>
  <c r="AO81" i="3"/>
  <c r="BB50" i="3"/>
  <c r="C60" i="3"/>
  <c r="BC38" i="3"/>
  <c r="BE35" i="3"/>
  <c r="AO39" i="3"/>
  <c r="AM76" i="3"/>
  <c r="BC21" i="3"/>
  <c r="AL77" i="3"/>
  <c r="AO67" i="3"/>
  <c r="BB6" i="3"/>
  <c r="AL66" i="3"/>
  <c r="AQ82" i="3"/>
  <c r="BG43" i="3"/>
  <c r="BB49" i="3"/>
  <c r="BB45" i="3"/>
  <c r="AL81" i="3"/>
  <c r="AA29" i="3"/>
  <c r="AA60" i="3" s="1"/>
  <c r="M29" i="3"/>
  <c r="M60" i="3" s="1"/>
  <c r="AN70" i="3"/>
  <c r="BD13" i="3"/>
  <c r="BG7" i="3"/>
  <c r="BE11" i="3"/>
  <c r="AO71" i="3"/>
  <c r="AL70" i="3"/>
  <c r="AI84" i="3"/>
  <c r="CC60" i="3"/>
  <c r="BK60" i="3"/>
  <c r="BB55" i="3"/>
  <c r="BB48" i="3"/>
  <c r="AL72" i="3"/>
  <c r="BB36" i="3"/>
  <c r="BF8" i="3"/>
  <c r="BG4" i="3"/>
  <c r="AO70" i="3"/>
  <c r="BE10" i="3"/>
  <c r="BE5" i="3"/>
  <c r="AY64" i="3"/>
  <c r="AH84" i="3"/>
  <c r="AX63" i="3" s="1"/>
  <c r="BB56" i="3"/>
  <c r="BB44" i="3"/>
  <c r="I60" i="3"/>
  <c r="BD35" i="3"/>
  <c r="AN79" i="3"/>
  <c r="BC36" i="3"/>
  <c r="BB35" i="3"/>
  <c r="BD32" i="3"/>
  <c r="BB23" i="3"/>
  <c r="AC29" i="3"/>
  <c r="BB21" i="3"/>
  <c r="BG14" i="3"/>
  <c r="BG9" i="3"/>
  <c r="BD8" i="3"/>
  <c r="BF9" i="3"/>
  <c r="BF15" i="3"/>
  <c r="AO64" i="3"/>
  <c r="BC11" i="3"/>
  <c r="BB14" i="3"/>
  <c r="AL74" i="3"/>
  <c r="BC35" i="3"/>
  <c r="BG26" i="3"/>
  <c r="AP77" i="3"/>
  <c r="AO76" i="3"/>
  <c r="AN27" i="3"/>
  <c r="BD22" i="3" s="1"/>
  <c r="K29" i="3"/>
  <c r="BB20" i="3"/>
  <c r="BC8" i="3"/>
  <c r="BC4" i="3"/>
  <c r="AO15" i="3"/>
  <c r="BE12" i="3" s="1"/>
  <c r="BC14" i="3"/>
  <c r="AM74" i="3"/>
  <c r="R60" i="3"/>
  <c r="BC34" i="3"/>
  <c r="BC32" i="3"/>
  <c r="BG23" i="3"/>
  <c r="BB25" i="3"/>
  <c r="BE9" i="3"/>
  <c r="BB8" i="3"/>
  <c r="BF5" i="3"/>
  <c r="BD5" i="3"/>
  <c r="AN65" i="3"/>
  <c r="AM73" i="3"/>
  <c r="AL71" i="3"/>
  <c r="X58" i="3"/>
  <c r="X60" i="3" s="1"/>
  <c r="E60" i="3"/>
  <c r="AP73" i="3"/>
  <c r="BF38" i="3"/>
  <c r="BD34" i="3"/>
  <c r="O29" i="3"/>
  <c r="BD10" i="3"/>
  <c r="BD9" i="3"/>
  <c r="AQ72" i="3"/>
  <c r="BG12" i="3"/>
  <c r="BF12" i="3"/>
  <c r="AM72" i="3"/>
  <c r="BC12" i="3"/>
  <c r="BC7" i="3"/>
  <c r="AN82" i="3"/>
  <c r="AM64" i="3"/>
  <c r="AQ56" i="3"/>
  <c r="BG47" i="3" s="1"/>
  <c r="W58" i="3"/>
  <c r="W60" i="3" s="1"/>
  <c r="BF36" i="3"/>
  <c r="V60" i="3"/>
  <c r="AQ60" i="3" s="1"/>
  <c r="BD33" i="3"/>
  <c r="AP76" i="3"/>
  <c r="AM63" i="3"/>
  <c r="BC10" i="3"/>
  <c r="BG6" i="3"/>
  <c r="AM66" i="3"/>
  <c r="BC6" i="3"/>
  <c r="P56" i="3"/>
  <c r="P58" i="3" s="1"/>
  <c r="P60" i="3" s="1"/>
  <c r="X39" i="3"/>
  <c r="AW52" i="3"/>
  <c r="H56" i="3"/>
  <c r="H58" i="3" s="1"/>
  <c r="AM58" i="3" s="1"/>
  <c r="P27" i="3"/>
  <c r="P29" i="3" s="1"/>
  <c r="K15" i="3"/>
  <c r="AN15" i="3" s="1"/>
  <c r="I63" i="3"/>
  <c r="I84" i="3" s="1"/>
  <c r="AW50" i="3"/>
  <c r="S56" i="3"/>
  <c r="S58" i="3" s="1"/>
  <c r="S60" i="3" s="1"/>
  <c r="AW37" i="3"/>
  <c r="AY35" i="3"/>
  <c r="AP34" i="3"/>
  <c r="AW32" i="3"/>
  <c r="AY24" i="3"/>
  <c r="BA22" i="3"/>
  <c r="AY18" i="3"/>
  <c r="AO3" i="3"/>
  <c r="AW56" i="3"/>
  <c r="AQ42" i="3"/>
  <c r="AY39" i="3"/>
  <c r="AN4" i="3"/>
  <c r="C15" i="3"/>
  <c r="AW48" i="3"/>
  <c r="K56" i="3"/>
  <c r="K58" i="3" s="1"/>
  <c r="AW35" i="3"/>
  <c r="AY33" i="3"/>
  <c r="AY22" i="3"/>
  <c r="BA20" i="3"/>
  <c r="AX55" i="3"/>
  <c r="AV48" i="3"/>
  <c r="AX46" i="3"/>
  <c r="AZ44" i="3"/>
  <c r="AO42" i="3"/>
  <c r="AW39" i="3"/>
  <c r="AZ38" i="3"/>
  <c r="AX33" i="3"/>
  <c r="AQ39" i="3"/>
  <c r="BG38" i="3" s="1"/>
  <c r="AK29" i="3"/>
  <c r="AK60" i="3" s="1"/>
  <c r="G29" i="3"/>
  <c r="AM29" i="3" s="1"/>
  <c r="AZ20" i="3"/>
  <c r="AQ19" i="3"/>
  <c r="H27" i="3"/>
  <c r="H29" i="3" s="1"/>
  <c r="AY10" i="3"/>
  <c r="AY8" i="3"/>
  <c r="BA6" i="3"/>
  <c r="AY3" i="3"/>
  <c r="AW62" i="3"/>
  <c r="AW55" i="3"/>
  <c r="AW46" i="3"/>
  <c r="AY38" i="3"/>
  <c r="AW33" i="3"/>
  <c r="BA25" i="3"/>
  <c r="AY20" i="3"/>
  <c r="Q27" i="3"/>
  <c r="Q29" i="3" s="1"/>
  <c r="AI29" i="3"/>
  <c r="AO19" i="3"/>
  <c r="BA4" i="3"/>
  <c r="AL58" i="3"/>
  <c r="AW44" i="3"/>
  <c r="AC39" i="3"/>
  <c r="AC58" i="3" s="1"/>
  <c r="AC60" i="3" s="1"/>
  <c r="AW38" i="3"/>
  <c r="AY36" i="3"/>
  <c r="K39" i="3"/>
  <c r="AY25" i="3"/>
  <c r="BA23" i="3"/>
  <c r="AW20" i="3"/>
  <c r="AN19" i="3"/>
  <c r="AZ13" i="3"/>
  <c r="AZ4" i="3"/>
  <c r="AL15" i="3"/>
  <c r="AX49" i="3"/>
  <c r="AZ47" i="3"/>
  <c r="AO32" i="3"/>
  <c r="BE32" i="3" s="1"/>
  <c r="AG29" i="3"/>
  <c r="AG60" i="3" s="1"/>
  <c r="BA27" i="3"/>
  <c r="AY13" i="3"/>
  <c r="AW6" i="3"/>
  <c r="AY4" i="3"/>
  <c r="AW49" i="3"/>
  <c r="AW36" i="3"/>
  <c r="AY34" i="3"/>
  <c r="AY23" i="3"/>
  <c r="BA21" i="3"/>
  <c r="AL19" i="3"/>
  <c r="AZ11" i="3"/>
  <c r="AI58" i="3"/>
  <c r="AI60" i="3" s="1"/>
  <c r="AY27" i="3"/>
  <c r="AZ15" i="3"/>
  <c r="AH58" i="3"/>
  <c r="AH60" i="3" s="1"/>
  <c r="AW47" i="3"/>
  <c r="N29" i="3"/>
  <c r="BA26" i="3"/>
  <c r="BA19" i="3"/>
  <c r="AZ9" i="3"/>
  <c r="IB201" i="2" l="1"/>
  <c r="IC91" i="2"/>
  <c r="IC201" i="2"/>
  <c r="BB19" i="3"/>
  <c r="AL63" i="3"/>
  <c r="BB9" i="3"/>
  <c r="BB15" i="3"/>
  <c r="BB3" i="3"/>
  <c r="BB13" i="3"/>
  <c r="AW64" i="3"/>
  <c r="AW75" i="3"/>
  <c r="AW74" i="3"/>
  <c r="AW73" i="3"/>
  <c r="AW66" i="3"/>
  <c r="AW72" i="3"/>
  <c r="AW71" i="3"/>
  <c r="AW70" i="3"/>
  <c r="AW84" i="3"/>
  <c r="AW83" i="3"/>
  <c r="AW80" i="3"/>
  <c r="AW63" i="3"/>
  <c r="AW68" i="3"/>
  <c r="AW79" i="3"/>
  <c r="AW78" i="3"/>
  <c r="AW77" i="3"/>
  <c r="AW81" i="3"/>
  <c r="AW69" i="3"/>
  <c r="AW82" i="3"/>
  <c r="AW65" i="3"/>
  <c r="AW76" i="3"/>
  <c r="BA66" i="3"/>
  <c r="BA68" i="3"/>
  <c r="BA79" i="3"/>
  <c r="BA64" i="3"/>
  <c r="BA67" i="3"/>
  <c r="BA75" i="3"/>
  <c r="BA74" i="3"/>
  <c r="BA73" i="3"/>
  <c r="BA70" i="3"/>
  <c r="BA84" i="3"/>
  <c r="BA65" i="3"/>
  <c r="BA82" i="3"/>
  <c r="BA81" i="3"/>
  <c r="BA76" i="3"/>
  <c r="BA77" i="3"/>
  <c r="BA72" i="3"/>
  <c r="BA80" i="3"/>
  <c r="BA78" i="3"/>
  <c r="BA71" i="3"/>
  <c r="G169" i="3"/>
  <c r="AO113" i="3"/>
  <c r="AL209" i="3"/>
  <c r="K143" i="3"/>
  <c r="W228" i="3"/>
  <c r="AQ226" i="3"/>
  <c r="O228" i="3"/>
  <c r="O230" i="3" s="1"/>
  <c r="HY147" i="2"/>
  <c r="GI90" i="2"/>
  <c r="ID4" i="2"/>
  <c r="ID89" i="2"/>
  <c r="GP200" i="2"/>
  <c r="IA147" i="2"/>
  <c r="GL147" i="2"/>
  <c r="BE39" i="3"/>
  <c r="BE38" i="3"/>
  <c r="Q60" i="3"/>
  <c r="BB18" i="3"/>
  <c r="BB27" i="3"/>
  <c r="AQ125" i="3"/>
  <c r="F145" i="3"/>
  <c r="BB4" i="3"/>
  <c r="AM157" i="3"/>
  <c r="I228" i="3"/>
  <c r="I230" i="3" s="1"/>
  <c r="FZ90" i="2"/>
  <c r="HV4" i="2"/>
  <c r="HV89" i="2"/>
  <c r="FU76" i="1"/>
  <c r="IB158" i="1"/>
  <c r="IA203" i="2"/>
  <c r="IA241" i="2" s="1"/>
  <c r="IA244" i="2"/>
  <c r="FN147" i="2"/>
  <c r="HU147" i="2"/>
  <c r="IB35" i="2"/>
  <c r="L115" i="3"/>
  <c r="L145" i="3" s="1"/>
  <c r="AP56" i="3"/>
  <c r="AQ63" i="3"/>
  <c r="BG19" i="3"/>
  <c r="BG62" i="3"/>
  <c r="BG56" i="3"/>
  <c r="AN29" i="3"/>
  <c r="BG45" i="3"/>
  <c r="AN56" i="3"/>
  <c r="BC78" i="3"/>
  <c r="I145" i="3"/>
  <c r="BG46" i="3"/>
  <c r="AM141" i="3"/>
  <c r="AL226" i="3"/>
  <c r="BE14" i="3"/>
  <c r="AO141" i="3"/>
  <c r="T169" i="3"/>
  <c r="N230" i="3"/>
  <c r="IH76" i="1"/>
  <c r="IH77" i="1" s="1"/>
  <c r="GP76" i="1"/>
  <c r="AB230" i="3"/>
  <c r="GK76" i="1"/>
  <c r="GJ76" i="1"/>
  <c r="FV90" i="2"/>
  <c r="IC89" i="2"/>
  <c r="HV244" i="2"/>
  <c r="HV203" i="2"/>
  <c r="HV241" i="2" s="1"/>
  <c r="HX147" i="2"/>
  <c r="HZ91" i="2"/>
  <c r="HZ201" i="2"/>
  <c r="BD19" i="3"/>
  <c r="AN63" i="3"/>
  <c r="BF34" i="3"/>
  <c r="AP69" i="3"/>
  <c r="BD18" i="3"/>
  <c r="BD27" i="3"/>
  <c r="AX64" i="3"/>
  <c r="AX67" i="3"/>
  <c r="AX76" i="3"/>
  <c r="AX74" i="3"/>
  <c r="AX73" i="3"/>
  <c r="AX72" i="3"/>
  <c r="AX71" i="3"/>
  <c r="AX70" i="3"/>
  <c r="AX84" i="3"/>
  <c r="AX65" i="3"/>
  <c r="AX81" i="3"/>
  <c r="AX80" i="3"/>
  <c r="AX68" i="3"/>
  <c r="AX79" i="3"/>
  <c r="AX78" i="3"/>
  <c r="AX83" i="3"/>
  <c r="AX69" i="3"/>
  <c r="AX77" i="3"/>
  <c r="AX82" i="3"/>
  <c r="BC18" i="3"/>
  <c r="BC27" i="3"/>
  <c r="BC22" i="3"/>
  <c r="AV74" i="3"/>
  <c r="AV73" i="3"/>
  <c r="AV66" i="3"/>
  <c r="AV72" i="3"/>
  <c r="AV63" i="3"/>
  <c r="AV71" i="3"/>
  <c r="AV70" i="3"/>
  <c r="AV84" i="3"/>
  <c r="AV83" i="3"/>
  <c r="AV69" i="3"/>
  <c r="AV82" i="3"/>
  <c r="AV68" i="3"/>
  <c r="AV79" i="3"/>
  <c r="AV78" i="3"/>
  <c r="AV77" i="3"/>
  <c r="AV64" i="3"/>
  <c r="AV67" i="3"/>
  <c r="AV76" i="3"/>
  <c r="AV81" i="3"/>
  <c r="AV75" i="3"/>
  <c r="AV65" i="3"/>
  <c r="AV80" i="3"/>
  <c r="AC230" i="3"/>
  <c r="AL197" i="3"/>
  <c r="C199" i="3"/>
  <c r="AL199" i="3" s="1"/>
  <c r="G199" i="3"/>
  <c r="AM199" i="3" s="1"/>
  <c r="T199" i="3"/>
  <c r="AP199" i="3" s="1"/>
  <c r="HX90" i="2"/>
  <c r="GI76" i="1"/>
  <c r="GP35" i="2"/>
  <c r="FV203" i="2"/>
  <c r="HV201" i="2"/>
  <c r="HV91" i="2"/>
  <c r="AO60" i="3"/>
  <c r="BE8" i="3"/>
  <c r="AM113" i="3"/>
  <c r="BG34" i="3"/>
  <c r="X199" i="3"/>
  <c r="AO185" i="3"/>
  <c r="X230" i="3"/>
  <c r="FS147" i="2"/>
  <c r="HV147" i="2"/>
  <c r="HW203" i="2"/>
  <c r="HW241" i="2" s="1"/>
  <c r="HW244" i="2"/>
  <c r="FT90" i="2"/>
  <c r="ID201" i="2"/>
  <c r="ID91" i="2"/>
  <c r="FS90" i="2"/>
  <c r="IF91" i="2"/>
  <c r="IF201" i="2"/>
  <c r="BF27" i="3"/>
  <c r="BF18" i="3"/>
  <c r="AO169" i="3"/>
  <c r="O199" i="3"/>
  <c r="AO199" i="3" s="1"/>
  <c r="AO197" i="3"/>
  <c r="CX2" i="2"/>
  <c r="CW48" i="2"/>
  <c r="HX200" i="2"/>
  <c r="AN197" i="3"/>
  <c r="K199" i="3"/>
  <c r="AN199" i="3" s="1"/>
  <c r="AO29" i="3"/>
  <c r="AM84" i="3"/>
  <c r="BC63" i="3"/>
  <c r="BB26" i="3"/>
  <c r="AP60" i="3"/>
  <c r="BF24" i="3"/>
  <c r="BE4" i="3"/>
  <c r="BD37" i="3"/>
  <c r="BB11" i="3"/>
  <c r="BD26" i="3"/>
  <c r="AZ65" i="3"/>
  <c r="AZ68" i="3"/>
  <c r="AZ78" i="3"/>
  <c r="AZ64" i="3"/>
  <c r="AZ63" i="3"/>
  <c r="AZ67" i="3"/>
  <c r="AZ74" i="3"/>
  <c r="AZ73" i="3"/>
  <c r="AZ66" i="3"/>
  <c r="AZ72" i="3"/>
  <c r="AZ83" i="3"/>
  <c r="AZ69" i="3"/>
  <c r="AZ82" i="3"/>
  <c r="AZ81" i="3"/>
  <c r="AZ80" i="3"/>
  <c r="AZ79" i="3"/>
  <c r="AZ77" i="3"/>
  <c r="AZ84" i="3"/>
  <c r="AZ70" i="3"/>
  <c r="AZ71" i="3"/>
  <c r="AZ76" i="3"/>
  <c r="BD24" i="3"/>
  <c r="AN157" i="3"/>
  <c r="BD21" i="3"/>
  <c r="S228" i="3"/>
  <c r="AP226" i="3"/>
  <c r="BC69" i="3"/>
  <c r="IB244" i="2"/>
  <c r="IB203" i="2"/>
  <c r="IB241" i="2" s="1"/>
  <c r="K115" i="3"/>
  <c r="AN115" i="3" s="1"/>
  <c r="IG91" i="2"/>
  <c r="IA200" i="2"/>
  <c r="FN90" i="2"/>
  <c r="BD4" i="3"/>
  <c r="AN64" i="3"/>
  <c r="BC19" i="3"/>
  <c r="AO27" i="3"/>
  <c r="BE19" i="3" s="1"/>
  <c r="BC73" i="3"/>
  <c r="AY77" i="3"/>
  <c r="AY67" i="3"/>
  <c r="AY74" i="3"/>
  <c r="AY73" i="3"/>
  <c r="AY66" i="3"/>
  <c r="AY72" i="3"/>
  <c r="AY71" i="3"/>
  <c r="AY63" i="3"/>
  <c r="AY82" i="3"/>
  <c r="AY65" i="3"/>
  <c r="AY81" i="3"/>
  <c r="AY80" i="3"/>
  <c r="AY68" i="3"/>
  <c r="AY79" i="3"/>
  <c r="AY83" i="3"/>
  <c r="AY84" i="3"/>
  <c r="AY70" i="3"/>
  <c r="AY75" i="3"/>
  <c r="AY78" i="3"/>
  <c r="AY76" i="3"/>
  <c r="BF23" i="3"/>
  <c r="BG32" i="3"/>
  <c r="BB22" i="3"/>
  <c r="G115" i="3"/>
  <c r="AM115" i="3" s="1"/>
  <c r="AM56" i="3"/>
  <c r="Q230" i="3"/>
  <c r="E230" i="3"/>
  <c r="T228" i="3"/>
  <c r="FS76" i="1"/>
  <c r="IG76" i="1"/>
  <c r="IG77" i="1" s="1"/>
  <c r="GL76" i="1"/>
  <c r="IE157" i="1"/>
  <c r="IF156" i="1" s="1"/>
  <c r="FY76" i="1"/>
  <c r="GG203" i="2"/>
  <c r="GD90" i="2"/>
  <c r="CL3" i="2"/>
  <c r="GQ35" i="2"/>
  <c r="GQ3" i="2" s="1"/>
  <c r="BD15" i="3"/>
  <c r="BD11" i="3"/>
  <c r="BG52" i="3"/>
  <c r="BD36" i="3"/>
  <c r="BB5" i="3"/>
  <c r="BE7" i="3"/>
  <c r="BG27" i="3"/>
  <c r="BG18" i="3"/>
  <c r="BG25" i="3"/>
  <c r="BF35" i="3"/>
  <c r="AQ148" i="3"/>
  <c r="AQ169" i="3" s="1"/>
  <c r="E145" i="3"/>
  <c r="AL154" i="3"/>
  <c r="AQ156" i="3"/>
  <c r="BC25" i="3"/>
  <c r="S143" i="3"/>
  <c r="AP141" i="3"/>
  <c r="C115" i="3"/>
  <c r="AM197" i="3"/>
  <c r="O143" i="3"/>
  <c r="F230" i="3"/>
  <c r="AM228" i="3"/>
  <c r="BD25" i="3"/>
  <c r="G60" i="3"/>
  <c r="AM60" i="3" s="1"/>
  <c r="AM226" i="3"/>
  <c r="G143" i="3"/>
  <c r="G145" i="3" s="1"/>
  <c r="C143" i="3"/>
  <c r="AL141" i="3"/>
  <c r="AN226" i="3"/>
  <c r="HW4" i="2"/>
  <c r="HW89" i="2"/>
  <c r="GD76" i="1"/>
  <c r="IE76" i="1"/>
  <c r="IE77" i="1" s="1"/>
  <c r="ID158" i="1"/>
  <c r="FV76" i="1"/>
  <c r="IC76" i="1"/>
  <c r="IC77" i="1" s="1"/>
  <c r="AL113" i="3"/>
  <c r="IB85" i="2"/>
  <c r="GP85" i="2"/>
  <c r="IE91" i="2"/>
  <c r="HY244" i="2"/>
  <c r="HY203" i="2"/>
  <c r="HY241" i="2" s="1"/>
  <c r="BG42" i="3"/>
  <c r="BF21" i="3"/>
  <c r="BC74" i="3"/>
  <c r="BG35" i="3"/>
  <c r="BB10" i="3"/>
  <c r="BB7" i="3"/>
  <c r="X145" i="3"/>
  <c r="U115" i="3"/>
  <c r="U145" i="3" s="1"/>
  <c r="C169" i="3"/>
  <c r="AO125" i="3"/>
  <c r="X115" i="3"/>
  <c r="GY76" i="1"/>
  <c r="GG90" i="2"/>
  <c r="FZ76" i="1"/>
  <c r="ID76" i="1"/>
  <c r="ID77" i="1" s="1"/>
  <c r="BZ2" i="2"/>
  <c r="BY48" i="2"/>
  <c r="FZ203" i="2"/>
  <c r="H60" i="3"/>
  <c r="BF22" i="3"/>
  <c r="BD20" i="3"/>
  <c r="BB24" i="3"/>
  <c r="BC9" i="3"/>
  <c r="BC15" i="3"/>
  <c r="BC3" i="3"/>
  <c r="BG37" i="3"/>
  <c r="BC5" i="3"/>
  <c r="AP101" i="3"/>
  <c r="AW67" i="3"/>
  <c r="AP155" i="3"/>
  <c r="AP169" i="3" s="1"/>
  <c r="W143" i="3"/>
  <c r="AQ141" i="3"/>
  <c r="AL101" i="3"/>
  <c r="H145" i="3"/>
  <c r="X169" i="3"/>
  <c r="K230" i="3"/>
  <c r="AN230" i="3" s="1"/>
  <c r="AN232" i="3" s="1"/>
  <c r="AN228" i="3"/>
  <c r="AL185" i="3"/>
  <c r="FW76" i="1"/>
  <c r="II76" i="1"/>
  <c r="II77" i="1" s="1"/>
  <c r="GT76" i="1"/>
  <c r="GM90" i="2"/>
  <c r="HX244" i="2"/>
  <c r="HX203" i="2"/>
  <c r="HX241" i="2" s="1"/>
  <c r="BE3" i="3"/>
  <c r="AO63" i="3"/>
  <c r="AO56" i="3"/>
  <c r="AQ58" i="3"/>
  <c r="BE15" i="3"/>
  <c r="BE13" i="3"/>
  <c r="BD23" i="3"/>
  <c r="BF33" i="3"/>
  <c r="AM155" i="3"/>
  <c r="AM169" i="3" s="1"/>
  <c r="AX75" i="3"/>
  <c r="D115" i="3"/>
  <c r="D145" i="3" s="1"/>
  <c r="AL169" i="3"/>
  <c r="P145" i="3"/>
  <c r="BF19" i="3"/>
  <c r="Y143" i="3"/>
  <c r="Y145" i="3" s="1"/>
  <c r="GB76" i="1"/>
  <c r="GG76" i="1"/>
  <c r="FQ90" i="2"/>
  <c r="HY201" i="2"/>
  <c r="HY91" i="2"/>
  <c r="GA76" i="1"/>
  <c r="IA90" i="2"/>
  <c r="IB91" i="2" s="1"/>
  <c r="HX4" i="2"/>
  <c r="IB200" i="2"/>
  <c r="IE4" i="2"/>
  <c r="AN58" i="3"/>
  <c r="K60" i="3"/>
  <c r="AN60" i="3" s="1"/>
  <c r="BF26" i="3"/>
  <c r="AN113" i="3"/>
  <c r="AN154" i="3"/>
  <c r="AN169" i="3" s="1"/>
  <c r="R230" i="3"/>
  <c r="C230" i="3"/>
  <c r="GH76" i="1"/>
  <c r="IF76" i="1"/>
  <c r="IF77" i="1" s="1"/>
  <c r="GO76" i="1"/>
  <c r="BG33" i="3"/>
  <c r="BG39" i="3"/>
  <c r="BG36" i="3"/>
  <c r="AP58" i="3"/>
  <c r="AQ197" i="3"/>
  <c r="W199" i="3"/>
  <c r="AQ199" i="3" s="1"/>
  <c r="W169" i="3"/>
  <c r="W115" i="3"/>
  <c r="AQ115" i="3" s="1"/>
  <c r="AX66" i="3"/>
  <c r="BF25" i="3"/>
  <c r="B230" i="3"/>
  <c r="AL228" i="3"/>
  <c r="U169" i="3"/>
  <c r="FR76" i="1"/>
  <c r="IB76" i="1"/>
  <c r="IB77" i="1" s="1"/>
  <c r="GF200" i="2"/>
  <c r="FO90" i="2"/>
  <c r="GN76" i="1"/>
  <c r="GL90" i="2"/>
  <c r="FX136" i="2"/>
  <c r="FX90" i="2" s="1"/>
  <c r="AF90" i="2"/>
  <c r="AF147" i="2"/>
  <c r="HW136" i="2"/>
  <c r="HW90" i="2" s="1"/>
  <c r="HZ147" i="2"/>
  <c r="GH147" i="2"/>
  <c r="HW201" i="2" l="1"/>
  <c r="HW91" i="2"/>
  <c r="BE56" i="3"/>
  <c r="BE54" i="3"/>
  <c r="BE44" i="3"/>
  <c r="BE52" i="3"/>
  <c r="BE50" i="3"/>
  <c r="BE48" i="3"/>
  <c r="BE62" i="3"/>
  <c r="BE47" i="3"/>
  <c r="BE45" i="3"/>
  <c r="BE43" i="3"/>
  <c r="BE46" i="3"/>
  <c r="BE49" i="3"/>
  <c r="BE55" i="3"/>
  <c r="AP143" i="3"/>
  <c r="S145" i="3"/>
  <c r="AP145" i="3" s="1"/>
  <c r="IB3" i="2"/>
  <c r="AM145" i="3"/>
  <c r="AO84" i="3"/>
  <c r="BE63" i="3"/>
  <c r="BE42" i="3"/>
  <c r="BC81" i="3"/>
  <c r="BC77" i="3"/>
  <c r="BC75" i="3"/>
  <c r="BC71" i="3"/>
  <c r="BC70" i="3"/>
  <c r="BC84" i="3"/>
  <c r="BC83" i="3"/>
  <c r="BC79" i="3"/>
  <c r="BC80" i="3"/>
  <c r="BC82" i="3"/>
  <c r="BC68" i="3"/>
  <c r="BC65" i="3"/>
  <c r="BC67" i="3"/>
  <c r="GP3" i="2"/>
  <c r="AM143" i="3"/>
  <c r="BD64" i="3"/>
  <c r="T230" i="3"/>
  <c r="AM230" i="3"/>
  <c r="AM232" i="3" s="1"/>
  <c r="AL230" i="3"/>
  <c r="AL232" i="3" s="1"/>
  <c r="C145" i="3"/>
  <c r="AL145" i="3" s="1"/>
  <c r="AL143" i="3"/>
  <c r="G230" i="3"/>
  <c r="BC64" i="3"/>
  <c r="HX201" i="2"/>
  <c r="HX91" i="2"/>
  <c r="BC56" i="3"/>
  <c r="BC42" i="3"/>
  <c r="BC54" i="3"/>
  <c r="BC62" i="3"/>
  <c r="BC55" i="3"/>
  <c r="BC45" i="3"/>
  <c r="BC43" i="3"/>
  <c r="BC44" i="3"/>
  <c r="BC52" i="3"/>
  <c r="BC50" i="3"/>
  <c r="BC49" i="3"/>
  <c r="BC48" i="3"/>
  <c r="BC46" i="3"/>
  <c r="BC47" i="3"/>
  <c r="FX147" i="2"/>
  <c r="HW147" i="2"/>
  <c r="CA2" i="2"/>
  <c r="BZ48" i="2"/>
  <c r="S230" i="3"/>
  <c r="AP230" i="3" s="1"/>
  <c r="AP232" i="3" s="1"/>
  <c r="AP228" i="3"/>
  <c r="AN84" i="3"/>
  <c r="BD63" i="3"/>
  <c r="W230" i="3"/>
  <c r="AQ230" i="3" s="1"/>
  <c r="AQ232" i="3" s="1"/>
  <c r="AQ228" i="3"/>
  <c r="AL84" i="3"/>
  <c r="BB63" i="3"/>
  <c r="W145" i="3"/>
  <c r="AQ145" i="3" s="1"/>
  <c r="AQ143" i="3"/>
  <c r="BE27" i="3"/>
  <c r="BE18" i="3"/>
  <c r="BE26" i="3"/>
  <c r="BE23" i="3"/>
  <c r="BE25" i="3"/>
  <c r="BE20" i="3"/>
  <c r="BE24" i="3"/>
  <c r="BE22" i="3"/>
  <c r="BE21" i="3"/>
  <c r="AO228" i="3"/>
  <c r="K145" i="3"/>
  <c r="AN145" i="3" s="1"/>
  <c r="AN143" i="3"/>
  <c r="BD56" i="3"/>
  <c r="BD49" i="3"/>
  <c r="BD62" i="3"/>
  <c r="BD47" i="3"/>
  <c r="BD54" i="3"/>
  <c r="BD46" i="3"/>
  <c r="BD42" i="3"/>
  <c r="BD48" i="3"/>
  <c r="BD43" i="3"/>
  <c r="BD52" i="3"/>
  <c r="BD50" i="3"/>
  <c r="BD55" i="3"/>
  <c r="BD44" i="3"/>
  <c r="BD45" i="3"/>
  <c r="AO230" i="3"/>
  <c r="AO232" i="3" s="1"/>
  <c r="O145" i="3"/>
  <c r="AO145" i="3" s="1"/>
  <c r="AO143" i="3"/>
  <c r="CX48" i="2"/>
  <c r="CY2" i="2"/>
  <c r="BC72" i="3"/>
  <c r="IF157" i="1"/>
  <c r="IG156" i="1" s="1"/>
  <c r="BC66" i="3"/>
  <c r="AQ84" i="3"/>
  <c r="BG63" i="3"/>
  <c r="AP84" i="3"/>
  <c r="BF69" i="3" s="1"/>
  <c r="AL115" i="3"/>
  <c r="IE158" i="1"/>
  <c r="BF56" i="3"/>
  <c r="BF44" i="3"/>
  <c r="BF62" i="3"/>
  <c r="BF46" i="3"/>
  <c r="BF49" i="3"/>
  <c r="BF43" i="3"/>
  <c r="BF54" i="3"/>
  <c r="BF52" i="3"/>
  <c r="BF47" i="3"/>
  <c r="BF50" i="3"/>
  <c r="BF55" i="3"/>
  <c r="BF42" i="3"/>
  <c r="BF48" i="3"/>
  <c r="BF45" i="3"/>
  <c r="BC76" i="3"/>
  <c r="IA91" i="2"/>
  <c r="IA201" i="2"/>
  <c r="AP115" i="3"/>
  <c r="GU48" i="2" l="1"/>
  <c r="CZ2" i="2"/>
  <c r="CY48" i="2"/>
  <c r="BD68" i="3"/>
  <c r="BD77" i="3"/>
  <c r="BD71" i="3"/>
  <c r="BD84" i="3"/>
  <c r="BD81" i="3"/>
  <c r="BD74" i="3"/>
  <c r="BD75" i="3"/>
  <c r="BD80" i="3"/>
  <c r="BD66" i="3"/>
  <c r="BD83" i="3"/>
  <c r="BD67" i="3"/>
  <c r="BD82" i="3"/>
  <c r="BD65" i="3"/>
  <c r="BD79" i="3"/>
  <c r="BD78" i="3"/>
  <c r="BD70" i="3"/>
  <c r="BD76" i="3"/>
  <c r="BD73" i="3"/>
  <c r="BD72" i="3"/>
  <c r="BD69" i="3"/>
  <c r="GM48" i="2"/>
  <c r="BE69" i="3"/>
  <c r="BE78" i="3"/>
  <c r="BE77" i="3"/>
  <c r="BE66" i="3"/>
  <c r="BE73" i="3"/>
  <c r="BE72" i="3"/>
  <c r="BE84" i="3"/>
  <c r="BE82" i="3"/>
  <c r="BE80" i="3"/>
  <c r="BE75" i="3"/>
  <c r="BE83" i="3"/>
  <c r="BE65" i="3"/>
  <c r="BE74" i="3"/>
  <c r="BE71" i="3"/>
  <c r="BE68" i="3"/>
  <c r="BE67" i="3"/>
  <c r="BE79" i="3"/>
  <c r="BE81" i="3"/>
  <c r="BE70" i="3"/>
  <c r="BE64" i="3"/>
  <c r="BE76" i="3"/>
  <c r="CB2" i="2"/>
  <c r="CA48" i="2"/>
  <c r="BG71" i="3"/>
  <c r="BG76" i="3"/>
  <c r="BG75" i="3"/>
  <c r="BG74" i="3"/>
  <c r="BG73" i="3"/>
  <c r="BG78" i="3"/>
  <c r="BG84" i="3"/>
  <c r="BG67" i="3"/>
  <c r="BG80" i="3"/>
  <c r="BG66" i="3"/>
  <c r="BG64" i="3"/>
  <c r="BG81" i="3"/>
  <c r="BG82" i="3"/>
  <c r="BG70" i="3"/>
  <c r="BG72" i="3"/>
  <c r="BG83" i="3"/>
  <c r="BG69" i="3"/>
  <c r="BG79" i="3"/>
  <c r="BG68" i="3"/>
  <c r="BG65" i="3"/>
  <c r="BG77" i="3"/>
  <c r="IB4" i="2"/>
  <c r="IB89" i="2"/>
  <c r="IC4" i="2"/>
  <c r="BB80" i="3"/>
  <c r="BB68" i="3"/>
  <c r="BB76" i="3"/>
  <c r="BB75" i="3"/>
  <c r="BB84" i="3"/>
  <c r="BB65" i="3"/>
  <c r="BB69" i="3"/>
  <c r="BB73" i="3"/>
  <c r="BB78" i="3"/>
  <c r="BB83" i="3"/>
  <c r="BB82" i="3"/>
  <c r="BB81" i="3"/>
  <c r="BB66" i="3"/>
  <c r="BB74" i="3"/>
  <c r="BB71" i="3"/>
  <c r="BB64" i="3"/>
  <c r="BB72" i="3"/>
  <c r="BB77" i="3"/>
  <c r="BB79" i="3"/>
  <c r="BB67" i="3"/>
  <c r="BB70" i="3"/>
  <c r="IG157" i="1"/>
  <c r="IH156" i="1" s="1"/>
  <c r="BF71" i="3"/>
  <c r="BF84" i="3"/>
  <c r="BF80" i="3"/>
  <c r="BF79" i="3"/>
  <c r="BF67" i="3"/>
  <c r="BF78" i="3"/>
  <c r="BF75" i="3"/>
  <c r="BF66" i="3"/>
  <c r="BF74" i="3"/>
  <c r="BF72" i="3"/>
  <c r="BF83" i="3"/>
  <c r="BF81" i="3"/>
  <c r="BF65" i="3"/>
  <c r="BF63" i="3"/>
  <c r="BF64" i="3"/>
  <c r="BF68" i="3"/>
  <c r="BF82" i="3"/>
  <c r="BF77" i="3"/>
  <c r="BF70" i="3"/>
  <c r="BF76" i="3"/>
  <c r="BF73" i="3"/>
  <c r="IF158" i="1"/>
  <c r="IG158" i="1" l="1"/>
  <c r="IH157" i="1"/>
  <c r="II156" i="1" s="1"/>
  <c r="CC2" i="2"/>
  <c r="CB48" i="2"/>
  <c r="DA2" i="2"/>
  <c r="CZ48" i="2"/>
  <c r="DA48" i="2" l="1"/>
  <c r="DB2" i="2"/>
  <c r="CD2" i="2"/>
  <c r="CC48" i="2"/>
  <c r="II157" i="1"/>
  <c r="IJ156" i="1" s="1"/>
  <c r="II158" i="1"/>
  <c r="IH158" i="1"/>
  <c r="IJ157" i="1" l="1"/>
  <c r="IK156" i="1" s="1"/>
  <c r="CE2" i="2"/>
  <c r="CD48" i="2"/>
  <c r="GN48" i="2" s="1"/>
  <c r="DB48" i="2"/>
  <c r="GV48" i="2" s="1"/>
  <c r="DC2" i="2"/>
  <c r="DD2" i="2" l="1"/>
  <c r="DC48" i="2"/>
  <c r="CF2" i="2"/>
  <c r="CE48" i="2"/>
  <c r="IK157" i="1"/>
  <c r="IL156" i="1" s="1"/>
  <c r="IK158" i="1"/>
  <c r="IJ158" i="1"/>
  <c r="IL157" i="1" l="1"/>
  <c r="IM156" i="1" s="1"/>
  <c r="CG2" i="2"/>
  <c r="CG48" i="2" s="1"/>
  <c r="CF48" i="2"/>
  <c r="GO48" i="2" s="1"/>
  <c r="DE2" i="2"/>
  <c r="DD48" i="2"/>
  <c r="DF2" i="2" l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DE48" i="2"/>
  <c r="IA48" i="2"/>
  <c r="IM157" i="1"/>
  <c r="IN156" i="1" s="1"/>
  <c r="IO156" i="1"/>
  <c r="IL158" i="1"/>
  <c r="IO157" i="1" l="1"/>
  <c r="IO158" i="1" s="1"/>
  <c r="IN157" i="1"/>
  <c r="IN158" i="1" s="1"/>
  <c r="DF48" i="2"/>
  <c r="IC48" i="2"/>
  <c r="IM158" i="1"/>
  <c r="GW48" i="2"/>
  <c r="DG48" i="2" l="1"/>
  <c r="DH48" i="2" s="1"/>
  <c r="DI48" i="2" s="1"/>
  <c r="GX48" i="2"/>
  <c r="DJ48" i="2" l="1"/>
  <c r="DK48" i="2" s="1"/>
  <c r="DL48" i="2" s="1"/>
  <c r="GY48" i="2" l="1"/>
  <c r="DM48" i="2"/>
  <c r="DN48" i="2" s="1"/>
  <c r="DO48" i="2" s="1"/>
  <c r="GZ48" i="2"/>
  <c r="DP48" i="2" l="1"/>
  <c r="DQ48" i="2" l="1"/>
  <c r="ID48" i="2" s="1"/>
  <c r="DR48" i="2" l="1"/>
  <c r="HA48" i="2"/>
  <c r="HB48" i="2" l="1"/>
  <c r="DS48" i="2"/>
  <c r="DT48" i="2" s="1"/>
  <c r="DU48" i="2" s="1"/>
  <c r="DV48" i="2" l="1"/>
  <c r="DW48" i="2" l="1"/>
  <c r="DX48" i="2" s="1"/>
  <c r="DY48" i="2" l="1"/>
  <c r="DZ48" i="2" s="1"/>
  <c r="EA48" i="2" s="1"/>
  <c r="HC48" i="2"/>
  <c r="EB48" i="2" l="1"/>
  <c r="EC48" i="2" s="1"/>
  <c r="ED48" i="2" s="1"/>
  <c r="HD48" i="2"/>
  <c r="IE48" i="2" l="1"/>
  <c r="HE48" i="2"/>
  <c r="EE48" i="2"/>
  <c r="EF48" i="2" s="1"/>
  <c r="EG48" i="2" s="1"/>
  <c r="EH48" i="2" l="1"/>
  <c r="EI48" i="2" s="1"/>
  <c r="EJ48" i="2" s="1"/>
  <c r="HG48" i="2"/>
  <c r="HF48" i="2"/>
  <c r="EK48" i="2" l="1"/>
  <c r="EL48" i="2" s="1"/>
  <c r="EM48" i="2" s="1"/>
  <c r="HH48" i="2" l="1"/>
  <c r="EN48" i="2"/>
  <c r="EO48" i="2" s="1"/>
  <c r="EP48" i="2" s="1"/>
  <c r="EQ48" i="2" l="1"/>
  <c r="ER48" i="2" s="1"/>
  <c r="ES48" i="2" s="1"/>
  <c r="HI48" i="2"/>
  <c r="IF48" i="2"/>
  <c r="HJ48" i="2" l="1"/>
  <c r="ET48" i="2"/>
  <c r="EU48" i="2" s="1"/>
  <c r="EV48" i="2" s="1"/>
  <c r="HK48" i="2"/>
  <c r="EW48" i="2" l="1"/>
  <c r="EX48" i="2" s="1"/>
  <c r="EY48" i="2" s="1"/>
  <c r="HL48" i="2"/>
  <c r="EZ48" i="2" l="1"/>
  <c r="FA48" i="2" s="1"/>
  <c r="FB48" i="2" s="1"/>
  <c r="HM48" i="2" l="1"/>
  <c r="FC48" i="2"/>
  <c r="FD48" i="2" s="1"/>
  <c r="FE48" i="2" s="1"/>
  <c r="IG48" i="2"/>
  <c r="HN48" i="2" l="1"/>
  <c r="FF48" i="2"/>
  <c r="FG48" i="2" s="1"/>
  <c r="FH48" i="2" s="1"/>
  <c r="HO48" i="2" l="1"/>
  <c r="FI48" i="2"/>
  <c r="FJ48" i="2" s="1"/>
  <c r="HP4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Krupashankar</author>
  </authors>
  <commentList>
    <comment ref="BM155" authorId="0" shapeId="0" xr:uid="{1C9259A9-D52D-4126-8CCD-27C146DE8ADA}">
      <text>
        <r>
          <rPr>
            <sz val="9"/>
            <color indexed="81"/>
            <rFont val="Tahoma"/>
            <family val="2"/>
          </rPr>
          <t xml:space="preserve">Adjusted for Cumulative 
</t>
        </r>
      </text>
    </comment>
    <comment ref="BM177" authorId="0" shapeId="0" xr:uid="{4C22C9D3-E686-48F2-8A52-DE8436B921D6}">
      <text>
        <r>
          <rPr>
            <b/>
            <sz val="9"/>
            <color indexed="81"/>
            <rFont val="Tahoma"/>
            <family val="2"/>
          </rPr>
          <t>Adjusted for cumulative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<sst xmlns="http://schemas.openxmlformats.org/spreadsheetml/2006/main" count="860" uniqueCount="243">
  <si>
    <t>MONTHLY</t>
  </si>
  <si>
    <t>QUARTERLY</t>
  </si>
  <si>
    <t>ANNUAL</t>
  </si>
  <si>
    <t>Player</t>
  </si>
  <si>
    <t>Segment</t>
  </si>
  <si>
    <t>1QFY13</t>
  </si>
  <si>
    <t>2QFY13</t>
  </si>
  <si>
    <t>3QFY13</t>
  </si>
  <si>
    <t>4QFY13</t>
  </si>
  <si>
    <t>1QFY14</t>
  </si>
  <si>
    <t>2QFY14</t>
  </si>
  <si>
    <t>3QFY14</t>
  </si>
  <si>
    <t>4QFY14</t>
  </si>
  <si>
    <t>1QFY15</t>
  </si>
  <si>
    <t>2QFY15</t>
  </si>
  <si>
    <t>3QFY15</t>
  </si>
  <si>
    <t>4QFY15</t>
  </si>
  <si>
    <t>1QFY16</t>
  </si>
  <si>
    <t>2QFY16</t>
  </si>
  <si>
    <t>3QFY16</t>
  </si>
  <si>
    <t>4QFY16</t>
  </si>
  <si>
    <t>1QFY17</t>
  </si>
  <si>
    <t>2QFY17</t>
  </si>
  <si>
    <t>3QFY17</t>
  </si>
  <si>
    <t>4QFY17</t>
  </si>
  <si>
    <t>1QFY18</t>
  </si>
  <si>
    <t>2QFY18</t>
  </si>
  <si>
    <t>3QFY18</t>
  </si>
  <si>
    <t>4QFY18</t>
  </si>
  <si>
    <t>1QFY19</t>
  </si>
  <si>
    <t>2QFY19</t>
  </si>
  <si>
    <t>3QFY19</t>
  </si>
  <si>
    <t>4QFY19</t>
  </si>
  <si>
    <t>1QFY20</t>
  </si>
  <si>
    <t>2QFY20</t>
  </si>
  <si>
    <t>3QFY20</t>
  </si>
  <si>
    <t>4QFY20</t>
  </si>
  <si>
    <t>1QFY21</t>
  </si>
  <si>
    <t>2QFY21</t>
  </si>
  <si>
    <t>3QFY21</t>
  </si>
  <si>
    <t>4QFY21</t>
  </si>
  <si>
    <t>1QFY22</t>
  </si>
  <si>
    <t>2QFY22</t>
  </si>
  <si>
    <t>3QFY22</t>
  </si>
  <si>
    <t>4QFY22</t>
  </si>
  <si>
    <t>1QFY23</t>
  </si>
  <si>
    <t>2QFY23</t>
  </si>
  <si>
    <t>3QFY23</t>
  </si>
  <si>
    <t>4QFY23</t>
  </si>
  <si>
    <t>1QFY24</t>
  </si>
  <si>
    <t>2QFY24</t>
  </si>
  <si>
    <t>3QFY24</t>
  </si>
  <si>
    <t>4QFY24</t>
  </si>
  <si>
    <t>1QFY25</t>
  </si>
  <si>
    <t>2QFY25</t>
  </si>
  <si>
    <t>3QFY25</t>
  </si>
  <si>
    <t>4QFY25</t>
  </si>
  <si>
    <t>1QFY26</t>
  </si>
  <si>
    <t>2QFY26</t>
  </si>
  <si>
    <t>3QFY26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</si>
  <si>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</si>
  <si>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</si>
  <si>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</si>
  <si>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</si>
  <si>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</si>
  <si>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</si>
  <si>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</si>
  <si>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</si>
  <si>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</si>
  <si>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</si>
  <si>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</si>
  <si>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</si>
  <si>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</si>
  <si>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Tractors: Company-wise Segment-wise domestic sales</t>
  </si>
  <si>
    <t>Escorts Ltd.</t>
  </si>
  <si>
    <t>31-40 hp</t>
  </si>
  <si>
    <t>41-50 hp</t>
  </si>
  <si>
    <t>51 hp and above</t>
  </si>
  <si>
    <t>Upto 30 hp</t>
  </si>
  <si>
    <t>Escorts Ltd. Total</t>
  </si>
  <si>
    <t>Force Motors Ltd.</t>
  </si>
  <si>
    <t>Force Motors Ltd. Total</t>
  </si>
  <si>
    <t>HMT</t>
  </si>
  <si>
    <t>HMT Total</t>
  </si>
  <si>
    <t>International Tractors Ltd.</t>
  </si>
  <si>
    <t>International Tractors Ltd. Total</t>
  </si>
  <si>
    <t>Johndeere</t>
  </si>
  <si>
    <t>Johndeere Total</t>
  </si>
  <si>
    <t>Mahindra &amp; Mahindra Ltd.</t>
  </si>
  <si>
    <t>Mahindra &amp; Mahindra Ltd. Total</t>
  </si>
  <si>
    <t>New Holland India</t>
  </si>
  <si>
    <t>New Holland India Total</t>
  </si>
  <si>
    <t>SAME DEUTZ-FAHR</t>
  </si>
  <si>
    <t>SAME DEUTZ-FAHR Total</t>
  </si>
  <si>
    <t>TAFE</t>
  </si>
  <si>
    <t>TAFE Total</t>
  </si>
  <si>
    <t>VST</t>
  </si>
  <si>
    <t>VST Total</t>
  </si>
  <si>
    <t>Captain</t>
  </si>
  <si>
    <t>Captain Total</t>
  </si>
  <si>
    <t>Action-construction</t>
  </si>
  <si>
    <t>Action-construction Total</t>
  </si>
  <si>
    <t>Preet</t>
  </si>
  <si>
    <t>Preet Total</t>
  </si>
  <si>
    <t>Kubota</t>
  </si>
  <si>
    <t>Kubota Total</t>
  </si>
  <si>
    <t>IFEL</t>
  </si>
  <si>
    <t>IFEL Total</t>
  </si>
  <si>
    <t>DOMESTIC -Grand Total</t>
  </si>
  <si>
    <t>Tractors: Company-wise Segment-wise Exports</t>
  </si>
  <si>
    <t>41-50hp</t>
  </si>
  <si>
    <t>EXPORTS Grand Total</t>
  </si>
  <si>
    <t>TWO WHEELERS</t>
  </si>
  <si>
    <t>2W Domestic</t>
  </si>
  <si>
    <t>Scooter</t>
  </si>
  <si>
    <t>Ather Energy Pvt. Ltd</t>
  </si>
  <si>
    <t>Bajaj Auto Ltd</t>
  </si>
  <si>
    <t>Hero MotoCorp Ltd</t>
  </si>
  <si>
    <t>Honda Motorcycle &amp; Scooter India (Pvt) Ltd</t>
  </si>
  <si>
    <t>India Yamaha Motor Pvt Ltd</t>
  </si>
  <si>
    <t>Mahindra Two Wheelers Ltd</t>
  </si>
  <si>
    <t>Okinawa Autotech Pvt. Ltd</t>
  </si>
  <si>
    <t>Piaggio Vehicles Pvt Ltd</t>
  </si>
  <si>
    <t>Suzuki Motorcycle India Pvt Ltd</t>
  </si>
  <si>
    <t>TVS Motor Company Ltd</t>
  </si>
  <si>
    <t>Total</t>
  </si>
  <si>
    <t>Motor cycles</t>
  </si>
  <si>
    <t>H-D Motor Company India Pvt Ltd</t>
  </si>
  <si>
    <t>India Kawasaki MotorsPrivate Ltd</t>
  </si>
  <si>
    <t>Royal Enfield (Unit of Eicher Ltd)</t>
  </si>
  <si>
    <t>Triumph Motorcycles (India) Pvt Ltd</t>
  </si>
  <si>
    <t>UM Lohia Two Wheelers Pvt Ltd</t>
  </si>
  <si>
    <t>Mopeds</t>
  </si>
  <si>
    <t>Total Domestic Two Wheelers</t>
  </si>
  <si>
    <t>Electric Two Wheelers</t>
  </si>
  <si>
    <t>Bajaj Auto</t>
  </si>
  <si>
    <t>Honda Motorcycle &amp; Scooter India Pvt Ltd</t>
  </si>
  <si>
    <t>2W Exports</t>
  </si>
  <si>
    <t>Electric 2W</t>
  </si>
  <si>
    <t>Total Exports Two Wheelers</t>
  </si>
  <si>
    <t>FOUR WHEELERS</t>
  </si>
  <si>
    <t>Domestic PC</t>
  </si>
  <si>
    <t>BMW</t>
  </si>
  <si>
    <t>Fiat India Automobiles Pvt Ltd</t>
  </si>
  <si>
    <t>Ford India Pvt Ltd</t>
  </si>
  <si>
    <t>General Motors India Pvt Ltd</t>
  </si>
  <si>
    <t>NA</t>
  </si>
  <si>
    <t>Hindustan Motors Ltd</t>
  </si>
  <si>
    <t>Honda Cars India Ltd</t>
  </si>
  <si>
    <t>Hyundai Motor India Ltd</t>
  </si>
  <si>
    <t>Mahindra &amp; Mahindra Ltd</t>
  </si>
  <si>
    <t>Mahindra Electric Mobility Ltd</t>
  </si>
  <si>
    <t>Maruti Suzuki India Ltd</t>
  </si>
  <si>
    <t>MG Motor India Pvt Ltd</t>
  </si>
  <si>
    <t>Nissan Motor India Pvt Ltd</t>
  </si>
  <si>
    <t>Renault India Pvt Ltd</t>
  </si>
  <si>
    <t>SkodaAuto India Pvt Ltd</t>
  </si>
  <si>
    <t>Tata Motors Ltd</t>
  </si>
  <si>
    <t>Toyota Kirloskar Motor Pvt Ltd</t>
  </si>
  <si>
    <t>Volkswagen - Audi</t>
  </si>
  <si>
    <t>Volkswagen India Pvt Ltd</t>
  </si>
  <si>
    <t>PC Volumes</t>
  </si>
  <si>
    <t>Domestic UV</t>
  </si>
  <si>
    <t>Ashok Leyland Ltd</t>
  </si>
  <si>
    <t>BMW India</t>
  </si>
  <si>
    <t>Force Motors Ltd</t>
  </si>
  <si>
    <t>International Cars &amp; Motors Ltd</t>
  </si>
  <si>
    <t>Kia Motors</t>
  </si>
  <si>
    <t>PCA Motors Pvt. Ltd</t>
  </si>
  <si>
    <t>UV Volumes</t>
  </si>
  <si>
    <t>Vans</t>
  </si>
  <si>
    <t>Total Vans</t>
  </si>
  <si>
    <t>Total DOMESTIC PV</t>
  </si>
  <si>
    <t>Passenger Cars (Export)</t>
  </si>
  <si>
    <t>Total Export Passenger Cars</t>
  </si>
  <si>
    <t>Utility Vehicles (Export)</t>
  </si>
  <si>
    <t>FIAT INDIA AUTOMOBILES Private Limited</t>
  </si>
  <si>
    <t>Honda Siel Cars India Ltd</t>
  </si>
  <si>
    <t>Total Export UV</t>
  </si>
  <si>
    <t>Vans (Export)</t>
  </si>
  <si>
    <t>Total Export Vans</t>
  </si>
  <si>
    <t>Total EXPORT PV</t>
  </si>
  <si>
    <t>THREE WHEELERS</t>
  </si>
  <si>
    <t>Passenger 3W</t>
  </si>
  <si>
    <t>Atul Auto Limited</t>
  </si>
  <si>
    <t>Continental Engines Pvt Ltd</t>
  </si>
  <si>
    <t>Scooters India Ltd</t>
  </si>
  <si>
    <t>TI Clean Mobility Pvt Ltd</t>
  </si>
  <si>
    <t>Pinnacle Mobility Solutions Pvt Ltd</t>
  </si>
  <si>
    <t>Passenger total</t>
  </si>
  <si>
    <t>yoy%</t>
  </si>
  <si>
    <t>Goods 3W</t>
  </si>
  <si>
    <t>Goods total</t>
  </si>
  <si>
    <t>Exports - Passenger 3W</t>
  </si>
  <si>
    <t>Total Exports Passenger</t>
  </si>
  <si>
    <t>Domestic Sales</t>
  </si>
  <si>
    <t>4QFY26</t>
  </si>
  <si>
    <t>Quarterly</t>
  </si>
  <si>
    <t>Annual</t>
  </si>
  <si>
    <t>Annual Market shares</t>
  </si>
  <si>
    <t>1HFY20</t>
  </si>
  <si>
    <t>9MFY20</t>
  </si>
  <si>
    <t>1HFY21</t>
  </si>
  <si>
    <t>9MFY21</t>
  </si>
  <si>
    <t>1HFY22</t>
  </si>
  <si>
    <t>9MFY22</t>
  </si>
  <si>
    <t>1HFY23</t>
  </si>
  <si>
    <t>9MFY23</t>
  </si>
  <si>
    <t>1HFY24</t>
  </si>
  <si>
    <t>9MFY24</t>
  </si>
  <si>
    <t>1HFY25</t>
  </si>
  <si>
    <t>9MFY25</t>
  </si>
  <si>
    <t>1HFY26</t>
  </si>
  <si>
    <t>9MFY26</t>
  </si>
  <si>
    <t>FY26</t>
  </si>
  <si>
    <t>Format</t>
  </si>
  <si>
    <t>M&amp;HCV Passenger</t>
  </si>
  <si>
    <t>JBM Auto Ltd</t>
  </si>
  <si>
    <t>Olectra Greentech Limited</t>
  </si>
  <si>
    <t>PMI Electro Mobility Solutions Pvt Ltd</t>
  </si>
  <si>
    <t>SML Isuzu Ltd</t>
  </si>
  <si>
    <t>Switch Mobility Automotive Ltd</t>
  </si>
  <si>
    <t>VECV-Eicher</t>
  </si>
  <si>
    <t>Volvo Group India Pvt Ltd</t>
  </si>
  <si>
    <t>Total M&amp;HCV (P)</t>
  </si>
  <si>
    <t>M&amp;HCV Goods</t>
  </si>
  <si>
    <t>AMW Motors Ltd</t>
  </si>
  <si>
    <t>Scania Commercial Vehicles India Pvt Ltd</t>
  </si>
  <si>
    <t>VECV-Volvo</t>
  </si>
  <si>
    <t>Total M&amp;HCV (G)</t>
  </si>
  <si>
    <t>Total M&amp;HCVs</t>
  </si>
  <si>
    <t>LCV - Passenger</t>
  </si>
  <si>
    <t>Total LCV (P)</t>
  </si>
  <si>
    <t>LCV - Goods</t>
  </si>
  <si>
    <t>Isuzu Motors India Pvt Ltd</t>
  </si>
  <si>
    <t>Total LCV (G)</t>
  </si>
  <si>
    <t>Total LCVs</t>
  </si>
  <si>
    <t>Total CVs</t>
  </si>
  <si>
    <t>Domestic Sales - Overall</t>
  </si>
  <si>
    <t>Overall CVs</t>
  </si>
  <si>
    <t>Exports</t>
  </si>
  <si>
    <t>Export Sales - Overall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</si>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</sst>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 * #,##0_ ;_ * \-#,##0_ ;_ * &quot;-&quot;??_ ;_ @_ "/>
    <numFmt numFmtId="167" formatCode="_(&quot; &quot;* #,##0_);_(&quot; &quot;* \(#,##0\);_(&quot; &quot;* &quot;-&quot;_);_(@_)"/>
    <numFmt numFmtId="168" formatCode="_(&quot; &quot;* #,##0.0_);_(&quot; &quot;* \(#,##0.0\);_(&quot; &quot;* &quot;-&quot;_);_(@_)"/>
    <numFmt numFmtId="169" formatCode="_(* #,##0_);_(* \(#,##0\);_(* &quot;-&quot;??_);_(@_)"/>
    <numFmt numFmtId="170" formatCode="0.0%"/>
  </numFmts>
  <fonts count="32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sz val="8"/>
      <color theme="0"/>
      <name val="Arial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9"/>
      <color indexed="9"/>
      <name val="Calibri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u/>
      <sz val="9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b/>
      <sz val="9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color indexed="8"/>
      <name val="Calibri"/>
      <family val="2"/>
    </font>
    <font>
      <sz val="9"/>
      <color theme="0"/>
      <name val="Calibri"/>
      <family val="2"/>
    </font>
    <font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CF5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0"/>
      </right>
      <top style="thin">
        <color theme="0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/>
      <diagonal/>
    </border>
    <border>
      <left style="thin">
        <color theme="0"/>
      </left>
      <right/>
      <top style="thin">
        <color theme="0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/>
      </right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theme="0" tint="-0.24994659260841701"/>
      </bottom>
      <diagonal/>
    </border>
    <border>
      <left style="thin">
        <color theme="0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4"/>
      </bottom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1" fillId="0" borderId="0"/>
    <xf numFmtId="2" fontId="1" fillId="0" borderId="0"/>
    <xf numFmtId="0" fontId="1" fillId="0" borderId="0"/>
    <xf numFmtId="9" fontId="16" fillId="0" borderId="0" applyFont="0" applyFill="0" applyBorder="0" applyAlignment="0" applyProtection="0"/>
  </cellStyleXfs>
  <cellXfs count="295">
    <xf numFmtId="0" fontId="0" fillId="0" borderId="0" xfId="0"/>
    <xf numFmtId="0" fontId="4" fillId="0" borderId="0" xfId="0" quotePrefix="1" applyFont="1" applyAlignment="1" applyProtection="1">
      <alignment horizontal="left" vertical="center"/>
      <protection locked="0"/>
    </xf>
    <xf numFmtId="17" fontId="5" fillId="2" borderId="0" xfId="0" applyNumberFormat="1" applyFont="1" applyFill="1"/>
    <xf numFmtId="0" fontId="6" fillId="3" borderId="1" xfId="0" applyFont="1" applyFill="1" applyBorder="1"/>
    <xf numFmtId="165" fontId="6" fillId="3" borderId="1" xfId="0" applyNumberFormat="1" applyFont="1" applyFill="1" applyBorder="1"/>
    <xf numFmtId="165" fontId="6" fillId="3" borderId="1" xfId="0" applyNumberFormat="1" applyFont="1" applyFill="1" applyBorder="1" applyAlignment="1">
      <alignment horizontal="right"/>
    </xf>
    <xf numFmtId="165" fontId="6" fillId="3" borderId="2" xfId="0" applyNumberFormat="1" applyFont="1" applyFill="1" applyBorder="1" applyAlignment="1">
      <alignment horizontal="right"/>
    </xf>
    <xf numFmtId="165" fontId="6" fillId="3" borderId="0" xfId="0" applyNumberFormat="1" applyFont="1" applyFill="1" applyAlignment="1">
      <alignment horizontal="right"/>
    </xf>
    <xf numFmtId="0" fontId="7" fillId="4" borderId="0" xfId="0" quotePrefix="1" applyFont="1" applyFill="1"/>
    <xf numFmtId="165" fontId="6" fillId="3" borderId="0" xfId="0" applyNumberFormat="1" applyFont="1" applyFill="1"/>
    <xf numFmtId="165" fontId="6" fillId="3" borderId="3" xfId="0" applyNumberFormat="1" applyFont="1" applyFill="1" applyBorder="1" applyAlignment="1">
      <alignment horizontal="right"/>
    </xf>
    <xf numFmtId="166" fontId="0" fillId="0" borderId="0" xfId="1" applyNumberFormat="1" applyFont="1"/>
    <xf numFmtId="166" fontId="0" fillId="0" borderId="0" xfId="1" applyNumberFormat="1" applyFont="1" applyAlignment="1">
      <alignment horizontal="right"/>
    </xf>
    <xf numFmtId="166" fontId="0" fillId="0" borderId="3" xfId="1" applyNumberFormat="1" applyFont="1" applyBorder="1" applyAlignment="1">
      <alignment horizontal="right"/>
    </xf>
    <xf numFmtId="166" fontId="0" fillId="0" borderId="0" xfId="3" applyNumberFormat="1" applyFont="1" applyAlignment="1">
      <alignment horizontal="right"/>
    </xf>
    <xf numFmtId="0" fontId="8" fillId="0" borderId="1" xfId="0" applyFont="1" applyBorder="1"/>
    <xf numFmtId="166" fontId="8" fillId="0" borderId="1" xfId="1" applyNumberFormat="1" applyFont="1" applyBorder="1"/>
    <xf numFmtId="166" fontId="8" fillId="0" borderId="1" xfId="1" applyNumberFormat="1" applyFont="1" applyBorder="1" applyAlignment="1">
      <alignment horizontal="right"/>
    </xf>
    <xf numFmtId="166" fontId="8" fillId="0" borderId="2" xfId="1" applyNumberFormat="1" applyFont="1" applyBorder="1" applyAlignment="1">
      <alignment horizontal="right"/>
    </xf>
    <xf numFmtId="166" fontId="8" fillId="0" borderId="1" xfId="3" applyNumberFormat="1" applyFont="1" applyBorder="1" applyAlignment="1">
      <alignment horizontal="right"/>
    </xf>
    <xf numFmtId="166" fontId="8" fillId="0" borderId="0" xfId="3" applyNumberFormat="1" applyFont="1" applyBorder="1" applyAlignment="1">
      <alignment horizontal="right"/>
    </xf>
    <xf numFmtId="166" fontId="8" fillId="0" borderId="0" xfId="3" applyNumberFormat="1" applyFont="1" applyAlignment="1">
      <alignment horizontal="right"/>
    </xf>
    <xf numFmtId="166" fontId="8" fillId="0" borderId="0" xfId="1" applyNumberFormat="1" applyFont="1" applyAlignment="1">
      <alignment horizontal="right"/>
    </xf>
    <xf numFmtId="0" fontId="9" fillId="0" borderId="0" xfId="0" applyFont="1"/>
    <xf numFmtId="166" fontId="8" fillId="0" borderId="0" xfId="1" applyNumberFormat="1" applyFont="1"/>
    <xf numFmtId="166" fontId="8" fillId="0" borderId="3" xfId="1" applyNumberFormat="1" applyFont="1" applyBorder="1" applyAlignment="1">
      <alignment horizontal="right"/>
    </xf>
    <xf numFmtId="166" fontId="9" fillId="0" borderId="0" xfId="1" applyNumberFormat="1" applyFont="1"/>
    <xf numFmtId="0" fontId="8" fillId="0" borderId="4" xfId="0" applyFont="1" applyBorder="1"/>
    <xf numFmtId="166" fontId="8" fillId="0" borderId="4" xfId="1" applyNumberFormat="1" applyFont="1" applyBorder="1"/>
    <xf numFmtId="166" fontId="8" fillId="0" borderId="4" xfId="3" applyNumberFormat="1" applyFont="1" applyBorder="1"/>
    <xf numFmtId="166" fontId="8" fillId="0" borderId="0" xfId="3" applyNumberFormat="1" applyFont="1" applyBorder="1"/>
    <xf numFmtId="164" fontId="0" fillId="0" borderId="0" xfId="0" applyNumberFormat="1"/>
    <xf numFmtId="0" fontId="0" fillId="0" borderId="0" xfId="0" applyAlignment="1">
      <alignment horizontal="right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2" fillId="0" borderId="5" xfId="0" applyFont="1" applyBorder="1"/>
    <xf numFmtId="0" fontId="2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4" xfId="0" applyFont="1" applyBorder="1"/>
    <xf numFmtId="15" fontId="0" fillId="0" borderId="0" xfId="0" applyNumberFormat="1"/>
    <xf numFmtId="3" fontId="0" fillId="0" borderId="0" xfId="0" applyNumberFormat="1"/>
    <xf numFmtId="0" fontId="10" fillId="5" borderId="6" xfId="0" applyFont="1" applyFill="1" applyBorder="1" applyAlignment="1">
      <alignment vertical="center"/>
    </xf>
    <xf numFmtId="17" fontId="10" fillId="5" borderId="7" xfId="0" applyNumberFormat="1" applyFont="1" applyFill="1" applyBorder="1" applyAlignment="1">
      <alignment vertical="center"/>
    </xf>
    <xf numFmtId="17" fontId="10" fillId="5" borderId="8" xfId="0" applyNumberFormat="1" applyFont="1" applyFill="1" applyBorder="1" applyAlignment="1">
      <alignment vertical="center"/>
    </xf>
    <xf numFmtId="17" fontId="10" fillId="5" borderId="9" xfId="0" applyNumberFormat="1" applyFont="1" applyFill="1" applyBorder="1" applyAlignment="1">
      <alignment horizontal="center" vertical="center"/>
    </xf>
    <xf numFmtId="17" fontId="10" fillId="5" borderId="10" xfId="0" applyNumberFormat="1" applyFont="1" applyFill="1" applyBorder="1" applyAlignment="1">
      <alignment horizontal="center" vertical="center"/>
    </xf>
    <xf numFmtId="17" fontId="11" fillId="4" borderId="0" xfId="0" applyNumberFormat="1" applyFont="1" applyFill="1"/>
    <xf numFmtId="3" fontId="12" fillId="4" borderId="0" xfId="0" applyNumberFormat="1" applyFont="1" applyFill="1"/>
    <xf numFmtId="9" fontId="12" fillId="4" borderId="0" xfId="0" applyNumberFormat="1" applyFont="1" applyFill="1"/>
    <xf numFmtId="17" fontId="10" fillId="5" borderId="9" xfId="0" applyNumberFormat="1" applyFont="1" applyFill="1" applyBorder="1" applyAlignment="1">
      <alignment vertical="center"/>
    </xf>
    <xf numFmtId="3" fontId="10" fillId="5" borderId="9" xfId="0" applyNumberFormat="1" applyFont="1" applyFill="1" applyBorder="1" applyAlignment="1">
      <alignment vertical="center"/>
    </xf>
    <xf numFmtId="3" fontId="10" fillId="5" borderId="10" xfId="0" applyNumberFormat="1" applyFont="1" applyFill="1" applyBorder="1" applyAlignment="1">
      <alignment vertical="center"/>
    </xf>
    <xf numFmtId="3" fontId="10" fillId="5" borderId="0" xfId="0" applyNumberFormat="1" applyFont="1" applyFill="1" applyAlignment="1">
      <alignment vertical="center"/>
    </xf>
    <xf numFmtId="3" fontId="10" fillId="5" borderId="11" xfId="0" applyNumberFormat="1" applyFont="1" applyFill="1" applyBorder="1" applyAlignment="1">
      <alignment vertical="center"/>
    </xf>
    <xf numFmtId="0" fontId="13" fillId="6" borderId="11" xfId="0" applyFont="1" applyFill="1" applyBorder="1" applyAlignment="1">
      <alignment vertical="center"/>
    </xf>
    <xf numFmtId="3" fontId="14" fillId="6" borderId="9" xfId="0" applyNumberFormat="1" applyFont="1" applyFill="1" applyBorder="1" applyAlignment="1">
      <alignment vertical="center"/>
    </xf>
    <xf numFmtId="3" fontId="15" fillId="6" borderId="9" xfId="0" applyNumberFormat="1" applyFont="1" applyFill="1" applyBorder="1" applyAlignment="1">
      <alignment vertical="center"/>
    </xf>
    <xf numFmtId="3" fontId="15" fillId="6" borderId="10" xfId="0" applyNumberFormat="1" applyFont="1" applyFill="1" applyBorder="1" applyAlignment="1">
      <alignment vertical="center"/>
    </xf>
    <xf numFmtId="3" fontId="15" fillId="6" borderId="0" xfId="0" applyNumberFormat="1" applyFont="1" applyFill="1" applyAlignment="1">
      <alignment vertical="center"/>
    </xf>
    <xf numFmtId="3" fontId="15" fillId="6" borderId="11" xfId="0" applyNumberFormat="1" applyFont="1" applyFill="1" applyBorder="1" applyAlignment="1">
      <alignment vertical="center"/>
    </xf>
    <xf numFmtId="0" fontId="14" fillId="6" borderId="11" xfId="0" applyFont="1" applyFill="1" applyBorder="1" applyAlignment="1">
      <alignment vertical="center"/>
    </xf>
    <xf numFmtId="3" fontId="14" fillId="6" borderId="10" xfId="0" applyNumberFormat="1" applyFont="1" applyFill="1" applyBorder="1" applyAlignment="1">
      <alignment vertical="center"/>
    </xf>
    <xf numFmtId="3" fontId="14" fillId="6" borderId="0" xfId="4" applyNumberFormat="1" applyFont="1" applyFill="1" applyAlignment="1">
      <alignment vertical="center"/>
    </xf>
    <xf numFmtId="3" fontId="15" fillId="6" borderId="11" xfId="1" applyNumberFormat="1" applyFont="1" applyFill="1" applyBorder="1" applyAlignment="1">
      <alignment horizontal="right" vertical="center"/>
    </xf>
    <xf numFmtId="3" fontId="15" fillId="6" borderId="9" xfId="1" applyNumberFormat="1" applyFont="1" applyFill="1" applyBorder="1" applyAlignment="1">
      <alignment horizontal="right" vertical="center"/>
    </xf>
    <xf numFmtId="3" fontId="14" fillId="6" borderId="10" xfId="2" applyNumberFormat="1" applyFont="1" applyFill="1" applyBorder="1" applyAlignment="1">
      <alignment horizontal="center" vertical="center"/>
    </xf>
    <xf numFmtId="3" fontId="14" fillId="6" borderId="12" xfId="0" applyNumberFormat="1" applyFont="1" applyFill="1" applyBorder="1" applyAlignment="1">
      <alignment horizontal="center" vertical="center"/>
    </xf>
    <xf numFmtId="3" fontId="14" fillId="6" borderId="12" xfId="0" applyNumberFormat="1" applyFont="1" applyFill="1" applyBorder="1" applyAlignment="1">
      <alignment vertical="center"/>
    </xf>
    <xf numFmtId="0" fontId="14" fillId="7" borderId="11" xfId="0" applyFont="1" applyFill="1" applyBorder="1" applyAlignment="1">
      <alignment vertical="center"/>
    </xf>
    <xf numFmtId="3" fontId="14" fillId="7" borderId="9" xfId="0" applyNumberFormat="1" applyFont="1" applyFill="1" applyBorder="1" applyAlignment="1">
      <alignment vertical="center"/>
    </xf>
    <xf numFmtId="3" fontId="15" fillId="7" borderId="9" xfId="0" applyNumberFormat="1" applyFont="1" applyFill="1" applyBorder="1" applyAlignment="1">
      <alignment vertical="center"/>
    </xf>
    <xf numFmtId="3" fontId="14" fillId="7" borderId="10" xfId="0" applyNumberFormat="1" applyFont="1" applyFill="1" applyBorder="1" applyAlignment="1">
      <alignment vertical="center"/>
    </xf>
    <xf numFmtId="3" fontId="15" fillId="7" borderId="11" xfId="1" applyNumberFormat="1" applyFont="1" applyFill="1" applyBorder="1" applyAlignment="1">
      <alignment horizontal="right" vertical="center"/>
    </xf>
    <xf numFmtId="3" fontId="15" fillId="7" borderId="9" xfId="1" applyNumberFormat="1" applyFont="1" applyFill="1" applyBorder="1" applyAlignment="1">
      <alignment horizontal="right" vertical="center"/>
    </xf>
    <xf numFmtId="3" fontId="15" fillId="7" borderId="10" xfId="0" applyNumberFormat="1" applyFont="1" applyFill="1" applyBorder="1" applyAlignment="1">
      <alignment vertical="center"/>
    </xf>
    <xf numFmtId="3" fontId="14" fillId="7" borderId="10" xfId="2" applyNumberFormat="1" applyFont="1" applyFill="1" applyBorder="1" applyAlignment="1">
      <alignment horizontal="center" vertical="center"/>
    </xf>
    <xf numFmtId="3" fontId="14" fillId="7" borderId="12" xfId="0" applyNumberFormat="1" applyFont="1" applyFill="1" applyBorder="1" applyAlignment="1">
      <alignment horizontal="center" vertical="center"/>
    </xf>
    <xf numFmtId="3" fontId="14" fillId="7" borderId="12" xfId="0" applyNumberFormat="1" applyFont="1" applyFill="1" applyBorder="1" applyAlignment="1">
      <alignment vertical="center"/>
    </xf>
    <xf numFmtId="0" fontId="17" fillId="7" borderId="11" xfId="0" applyFont="1" applyFill="1" applyBorder="1" applyAlignment="1">
      <alignment vertical="center"/>
    </xf>
    <xf numFmtId="0" fontId="17" fillId="6" borderId="11" xfId="0" applyFont="1" applyFill="1" applyBorder="1" applyAlignment="1">
      <alignment vertical="center"/>
    </xf>
    <xf numFmtId="3" fontId="17" fillId="7" borderId="9" xfId="0" applyNumberFormat="1" applyFont="1" applyFill="1" applyBorder="1" applyAlignment="1">
      <alignment vertical="center"/>
    </xf>
    <xf numFmtId="3" fontId="17" fillId="7" borderId="10" xfId="0" applyNumberFormat="1" applyFont="1" applyFill="1" applyBorder="1" applyAlignment="1">
      <alignment vertical="center"/>
    </xf>
    <xf numFmtId="3" fontId="17" fillId="6" borderId="9" xfId="4" applyNumberFormat="1" applyFont="1" applyFill="1" applyBorder="1" applyAlignment="1">
      <alignment vertical="center"/>
    </xf>
    <xf numFmtId="0" fontId="13" fillId="7" borderId="11" xfId="0" applyFont="1" applyFill="1" applyBorder="1" applyAlignment="1">
      <alignment vertical="center"/>
    </xf>
    <xf numFmtId="3" fontId="17" fillId="6" borderId="9" xfId="0" applyNumberFormat="1" applyFont="1" applyFill="1" applyBorder="1" applyAlignment="1">
      <alignment vertical="center"/>
    </xf>
    <xf numFmtId="3" fontId="17" fillId="6" borderId="10" xfId="0" applyNumberFormat="1" applyFont="1" applyFill="1" applyBorder="1" applyAlignment="1">
      <alignment vertical="center"/>
    </xf>
    <xf numFmtId="3" fontId="18" fillId="0" borderId="0" xfId="0" applyNumberFormat="1" applyFont="1"/>
    <xf numFmtId="3" fontId="19" fillId="6" borderId="11" xfId="1" applyNumberFormat="1" applyFont="1" applyFill="1" applyBorder="1" applyAlignment="1">
      <alignment horizontal="right" vertical="center"/>
    </xf>
    <xf numFmtId="3" fontId="19" fillId="6" borderId="9" xfId="1" applyNumberFormat="1" applyFont="1" applyFill="1" applyBorder="1" applyAlignment="1">
      <alignment horizontal="right" vertical="center"/>
    </xf>
    <xf numFmtId="3" fontId="19" fillId="6" borderId="10" xfId="0" applyNumberFormat="1" applyFont="1" applyFill="1" applyBorder="1" applyAlignment="1">
      <alignment vertical="center"/>
    </xf>
    <xf numFmtId="3" fontId="17" fillId="6" borderId="10" xfId="2" applyNumberFormat="1" applyFont="1" applyFill="1" applyBorder="1" applyAlignment="1">
      <alignment horizontal="center" vertical="center"/>
    </xf>
    <xf numFmtId="3" fontId="17" fillId="6" borderId="12" xfId="0" applyNumberFormat="1" applyFont="1" applyFill="1" applyBorder="1" applyAlignment="1">
      <alignment horizontal="center" vertical="center"/>
    </xf>
    <xf numFmtId="3" fontId="17" fillId="6" borderId="12" xfId="0" applyNumberFormat="1" applyFont="1" applyFill="1" applyBorder="1" applyAlignment="1">
      <alignment vertical="center"/>
    </xf>
    <xf numFmtId="0" fontId="18" fillId="0" borderId="0" xfId="0" applyFont="1"/>
    <xf numFmtId="3" fontId="14" fillId="7" borderId="0" xfId="0" applyNumberFormat="1" applyFont="1" applyFill="1" applyAlignment="1">
      <alignment vertical="center"/>
    </xf>
    <xf numFmtId="3" fontId="14" fillId="6" borderId="0" xfId="0" applyNumberFormat="1" applyFont="1" applyFill="1" applyAlignment="1">
      <alignment vertical="center"/>
    </xf>
    <xf numFmtId="166" fontId="15" fillId="6" borderId="6" xfId="1" applyNumberFormat="1" applyFont="1" applyFill="1" applyBorder="1" applyAlignment="1">
      <alignment horizontal="right" vertical="center"/>
    </xf>
    <xf numFmtId="166" fontId="15" fillId="6" borderId="7" xfId="1" applyNumberFormat="1" applyFont="1" applyFill="1" applyBorder="1" applyAlignment="1">
      <alignment horizontal="right" vertical="center"/>
    </xf>
    <xf numFmtId="0" fontId="15" fillId="6" borderId="10" xfId="0" applyFont="1" applyFill="1" applyBorder="1" applyAlignment="1">
      <alignment vertical="center"/>
    </xf>
    <xf numFmtId="167" fontId="14" fillId="6" borderId="8" xfId="2" applyNumberFormat="1" applyFont="1" applyFill="1" applyBorder="1" applyAlignment="1">
      <alignment horizontal="center" vertical="center"/>
    </xf>
    <xf numFmtId="167" fontId="14" fillId="6" borderId="13" xfId="0" applyNumberFormat="1" applyFont="1" applyFill="1" applyBorder="1" applyAlignment="1">
      <alignment horizontal="center" vertical="center"/>
    </xf>
    <xf numFmtId="167" fontId="14" fillId="6" borderId="13" xfId="0" applyNumberFormat="1" applyFont="1" applyFill="1" applyBorder="1" applyAlignment="1">
      <alignment vertical="center"/>
    </xf>
    <xf numFmtId="0" fontId="13" fillId="7" borderId="12" xfId="0" applyFont="1" applyFill="1" applyBorder="1" applyAlignment="1">
      <alignment vertical="center"/>
    </xf>
    <xf numFmtId="0" fontId="14" fillId="7" borderId="12" xfId="0" applyFont="1" applyFill="1" applyBorder="1" applyAlignment="1">
      <alignment vertical="center"/>
    </xf>
    <xf numFmtId="0" fontId="15" fillId="7" borderId="12" xfId="0" applyFont="1" applyFill="1" applyBorder="1" applyAlignment="1">
      <alignment vertical="center"/>
    </xf>
    <xf numFmtId="166" fontId="15" fillId="7" borderId="12" xfId="1" applyNumberFormat="1" applyFont="1" applyFill="1" applyBorder="1" applyAlignment="1">
      <alignment horizontal="right" vertical="center"/>
    </xf>
    <xf numFmtId="167" fontId="14" fillId="7" borderId="10" xfId="2" applyNumberFormat="1" applyFont="1" applyFill="1" applyBorder="1" applyAlignment="1">
      <alignment horizontal="center" vertical="center"/>
    </xf>
    <xf numFmtId="167" fontId="14" fillId="7" borderId="12" xfId="2" applyNumberFormat="1" applyFont="1" applyFill="1" applyBorder="1" applyAlignment="1">
      <alignment horizontal="center" vertical="center"/>
    </xf>
    <xf numFmtId="167" fontId="14" fillId="7" borderId="12" xfId="0" applyNumberFormat="1" applyFont="1" applyFill="1" applyBorder="1" applyAlignment="1">
      <alignment horizontal="center" vertical="center"/>
    </xf>
    <xf numFmtId="167" fontId="14" fillId="7" borderId="12" xfId="0" applyNumberFormat="1" applyFont="1" applyFill="1" applyBorder="1" applyAlignment="1">
      <alignment vertical="center"/>
    </xf>
    <xf numFmtId="3" fontId="15" fillId="7" borderId="12" xfId="0" applyNumberFormat="1" applyFont="1" applyFill="1" applyBorder="1" applyAlignment="1">
      <alignment vertical="center"/>
    </xf>
    <xf numFmtId="166" fontId="15" fillId="6" borderId="12" xfId="1" applyNumberFormat="1" applyFont="1" applyFill="1" applyBorder="1" applyAlignment="1">
      <alignment horizontal="right" vertical="center"/>
    </xf>
    <xf numFmtId="167" fontId="14" fillId="6" borderId="10" xfId="2" applyNumberFormat="1" applyFont="1" applyFill="1" applyBorder="1" applyAlignment="1">
      <alignment horizontal="center" vertical="center"/>
    </xf>
    <xf numFmtId="167" fontId="14" fillId="6" borderId="12" xfId="2" applyNumberFormat="1" applyFont="1" applyFill="1" applyBorder="1" applyAlignment="1">
      <alignment horizontal="center" vertical="center"/>
    </xf>
    <xf numFmtId="167" fontId="14" fillId="6" borderId="12" xfId="0" applyNumberFormat="1" applyFont="1" applyFill="1" applyBorder="1" applyAlignment="1">
      <alignment horizontal="center" vertical="center"/>
    </xf>
    <xf numFmtId="167" fontId="14" fillId="6" borderId="12" xfId="0" applyNumberFormat="1" applyFont="1" applyFill="1" applyBorder="1" applyAlignment="1">
      <alignment vertical="center"/>
    </xf>
    <xf numFmtId="0" fontId="14" fillId="6" borderId="12" xfId="0" applyFont="1" applyFill="1" applyBorder="1" applyAlignment="1">
      <alignment vertical="center"/>
    </xf>
    <xf numFmtId="3" fontId="15" fillId="6" borderId="12" xfId="0" applyNumberFormat="1" applyFont="1" applyFill="1" applyBorder="1" applyAlignment="1">
      <alignment vertical="center"/>
    </xf>
    <xf numFmtId="0" fontId="17" fillId="7" borderId="12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7" fillId="6" borderId="12" xfId="0" applyFont="1" applyFill="1" applyBorder="1" applyAlignment="1">
      <alignment vertical="center"/>
    </xf>
    <xf numFmtId="3" fontId="17" fillId="7" borderId="12" xfId="0" applyNumberFormat="1" applyFont="1" applyFill="1" applyBorder="1" applyAlignment="1">
      <alignment vertical="center"/>
    </xf>
    <xf numFmtId="0" fontId="17" fillId="6" borderId="14" xfId="0" applyFont="1" applyFill="1" applyBorder="1" applyAlignment="1">
      <alignment vertical="center"/>
    </xf>
    <xf numFmtId="0" fontId="14" fillId="6" borderId="15" xfId="0" applyFont="1" applyFill="1" applyBorder="1" applyAlignment="1">
      <alignment vertical="center"/>
    </xf>
    <xf numFmtId="0" fontId="14" fillId="6" borderId="0" xfId="0" applyFont="1" applyFill="1" applyAlignment="1">
      <alignment vertical="center"/>
    </xf>
    <xf numFmtId="167" fontId="14" fillId="7" borderId="16" xfId="2" applyNumberFormat="1" applyFont="1" applyFill="1" applyBorder="1" applyAlignment="1">
      <alignment horizontal="center" vertical="center"/>
    </xf>
    <xf numFmtId="167" fontId="14" fillId="7" borderId="17" xfId="0" applyNumberFormat="1" applyFont="1" applyFill="1" applyBorder="1" applyAlignment="1">
      <alignment horizontal="center" vertical="center"/>
    </xf>
    <xf numFmtId="167" fontId="14" fillId="7" borderId="17" xfId="0" applyNumberFormat="1" applyFont="1" applyFill="1" applyBorder="1" applyAlignment="1">
      <alignment vertical="center"/>
    </xf>
    <xf numFmtId="0" fontId="14" fillId="6" borderId="9" xfId="0" applyFont="1" applyFill="1" applyBorder="1" applyAlignment="1">
      <alignment vertical="center"/>
    </xf>
    <xf numFmtId="0" fontId="14" fillId="7" borderId="6" xfId="0" applyFont="1" applyFill="1" applyBorder="1" applyAlignment="1">
      <alignment vertical="center"/>
    </xf>
    <xf numFmtId="0" fontId="14" fillId="7" borderId="7" xfId="0" applyFont="1" applyFill="1" applyBorder="1" applyAlignment="1">
      <alignment vertical="center"/>
    </xf>
    <xf numFmtId="0" fontId="14" fillId="7" borderId="8" xfId="0" applyFont="1" applyFill="1" applyBorder="1" applyAlignment="1">
      <alignment vertical="center"/>
    </xf>
    <xf numFmtId="0" fontId="14" fillId="7" borderId="0" xfId="0" applyFont="1" applyFill="1" applyAlignment="1">
      <alignment vertical="center"/>
    </xf>
    <xf numFmtId="168" fontId="14" fillId="7" borderId="18" xfId="2" applyNumberFormat="1" applyFont="1" applyFill="1" applyBorder="1" applyAlignment="1">
      <alignment horizontal="center" vertical="center"/>
    </xf>
    <xf numFmtId="167" fontId="20" fillId="4" borderId="0" xfId="0" applyNumberFormat="1" applyFont="1" applyFill="1"/>
    <xf numFmtId="0" fontId="10" fillId="5" borderId="11" xfId="0" applyFont="1" applyFill="1" applyBorder="1" applyAlignment="1">
      <alignment vertical="center"/>
    </xf>
    <xf numFmtId="167" fontId="10" fillId="5" borderId="9" xfId="0" applyNumberFormat="1" applyFont="1" applyFill="1" applyBorder="1" applyAlignment="1">
      <alignment vertical="center"/>
    </xf>
    <xf numFmtId="0" fontId="10" fillId="5" borderId="9" xfId="0" applyFont="1" applyFill="1" applyBorder="1" applyAlignment="1">
      <alignment vertical="center"/>
    </xf>
    <xf numFmtId="0" fontId="10" fillId="5" borderId="10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9" fontId="10" fillId="5" borderId="10" xfId="0" applyNumberFormat="1" applyFont="1" applyFill="1" applyBorder="1" applyAlignment="1">
      <alignment vertical="center"/>
    </xf>
    <xf numFmtId="0" fontId="14" fillId="6" borderId="11" xfId="5" applyFont="1" applyFill="1" applyBorder="1" applyAlignment="1">
      <alignment vertical="center"/>
    </xf>
    <xf numFmtId="167" fontId="14" fillId="6" borderId="9" xfId="5" applyNumberFormat="1" applyFont="1" applyFill="1" applyBorder="1" applyAlignment="1">
      <alignment vertical="center"/>
    </xf>
    <xf numFmtId="167" fontId="14" fillId="6" borderId="9" xfId="0" applyNumberFormat="1" applyFont="1" applyFill="1" applyBorder="1" applyAlignment="1">
      <alignment vertical="center"/>
    </xf>
    <xf numFmtId="167" fontId="14" fillId="6" borderId="9" xfId="0" applyNumberFormat="1" applyFont="1" applyFill="1" applyBorder="1" applyAlignment="1">
      <alignment horizontal="right" vertical="center"/>
    </xf>
    <xf numFmtId="167" fontId="14" fillId="6" borderId="10" xfId="0" applyNumberFormat="1" applyFont="1" applyFill="1" applyBorder="1" applyAlignment="1">
      <alignment horizontal="right" vertical="center"/>
    </xf>
    <xf numFmtId="3" fontId="14" fillId="6" borderId="10" xfId="0" applyNumberFormat="1" applyFont="1" applyFill="1" applyBorder="1" applyAlignment="1">
      <alignment horizontal="right" vertical="center"/>
    </xf>
    <xf numFmtId="167" fontId="22" fillId="0" borderId="0" xfId="0" applyNumberFormat="1" applyFont="1" applyAlignment="1">
      <alignment horizontal="right"/>
    </xf>
    <xf numFmtId="166" fontId="15" fillId="6" borderId="11" xfId="1" applyNumberFormat="1" applyFont="1" applyFill="1" applyBorder="1" applyAlignment="1">
      <alignment horizontal="right" vertical="center"/>
    </xf>
    <xf numFmtId="166" fontId="15" fillId="6" borderId="9" xfId="1" applyNumberFormat="1" applyFont="1" applyFill="1" applyBorder="1" applyAlignment="1">
      <alignment horizontal="right" vertical="center"/>
    </xf>
    <xf numFmtId="166" fontId="15" fillId="6" borderId="10" xfId="1" applyNumberFormat="1" applyFont="1" applyFill="1" applyBorder="1" applyAlignment="1">
      <alignment horizontal="right" vertical="center"/>
    </xf>
    <xf numFmtId="167" fontId="14" fillId="6" borderId="19" xfId="2" applyNumberFormat="1" applyFont="1" applyFill="1" applyBorder="1" applyAlignment="1">
      <alignment horizontal="center" vertical="center"/>
    </xf>
    <xf numFmtId="167" fontId="14" fillId="6" borderId="9" xfId="2" applyNumberFormat="1" applyFont="1" applyFill="1" applyBorder="1" applyAlignment="1">
      <alignment horizontal="center" vertical="center"/>
    </xf>
    <xf numFmtId="167" fontId="14" fillId="6" borderId="9" xfId="0" applyNumberFormat="1" applyFont="1" applyFill="1" applyBorder="1" applyAlignment="1">
      <alignment horizontal="center" vertical="center"/>
    </xf>
    <xf numFmtId="167" fontId="14" fillId="6" borderId="10" xfId="0" applyNumberFormat="1" applyFont="1" applyFill="1" applyBorder="1" applyAlignment="1">
      <alignment vertical="center"/>
    </xf>
    <xf numFmtId="0" fontId="14" fillId="7" borderId="11" xfId="5" applyFont="1" applyFill="1" applyBorder="1" applyAlignment="1">
      <alignment vertical="center"/>
    </xf>
    <xf numFmtId="167" fontId="14" fillId="7" borderId="9" xfId="5" applyNumberFormat="1" applyFont="1" applyFill="1" applyBorder="1" applyAlignment="1">
      <alignment vertical="center"/>
    </xf>
    <xf numFmtId="167" fontId="14" fillId="7" borderId="9" xfId="0" applyNumberFormat="1" applyFont="1" applyFill="1" applyBorder="1" applyAlignment="1">
      <alignment vertical="center"/>
    </xf>
    <xf numFmtId="0" fontId="14" fillId="7" borderId="9" xfId="0" applyFont="1" applyFill="1" applyBorder="1" applyAlignment="1">
      <alignment vertical="center"/>
    </xf>
    <xf numFmtId="167" fontId="14" fillId="7" borderId="9" xfId="0" applyNumberFormat="1" applyFont="1" applyFill="1" applyBorder="1" applyAlignment="1">
      <alignment horizontal="right" vertical="center"/>
    </xf>
    <xf numFmtId="167" fontId="14" fillId="7" borderId="10" xfId="0" applyNumberFormat="1" applyFont="1" applyFill="1" applyBorder="1" applyAlignment="1">
      <alignment horizontal="right" vertical="center"/>
    </xf>
    <xf numFmtId="3" fontId="14" fillId="7" borderId="10" xfId="0" applyNumberFormat="1" applyFont="1" applyFill="1" applyBorder="1" applyAlignment="1">
      <alignment horizontal="right" vertical="center"/>
    </xf>
    <xf numFmtId="166" fontId="15" fillId="7" borderId="11" xfId="1" applyNumberFormat="1" applyFont="1" applyFill="1" applyBorder="1" applyAlignment="1">
      <alignment horizontal="right" vertical="center"/>
    </xf>
    <xf numFmtId="166" fontId="15" fillId="7" borderId="9" xfId="1" applyNumberFormat="1" applyFont="1" applyFill="1" applyBorder="1" applyAlignment="1">
      <alignment horizontal="right" vertical="center"/>
    </xf>
    <xf numFmtId="166" fontId="15" fillId="7" borderId="10" xfId="1" applyNumberFormat="1" applyFont="1" applyFill="1" applyBorder="1" applyAlignment="1">
      <alignment horizontal="right" vertical="center"/>
    </xf>
    <xf numFmtId="0" fontId="15" fillId="7" borderId="10" xfId="0" applyFont="1" applyFill="1" applyBorder="1" applyAlignment="1">
      <alignment vertical="center"/>
    </xf>
    <xf numFmtId="167" fontId="14" fillId="7" borderId="9" xfId="2" applyNumberFormat="1" applyFont="1" applyFill="1" applyBorder="1" applyAlignment="1">
      <alignment horizontal="center" vertical="center"/>
    </xf>
    <xf numFmtId="167" fontId="14" fillId="7" borderId="9" xfId="0" applyNumberFormat="1" applyFont="1" applyFill="1" applyBorder="1" applyAlignment="1">
      <alignment horizontal="center" vertical="center"/>
    </xf>
    <xf numFmtId="167" fontId="14" fillId="7" borderId="10" xfId="0" applyNumberFormat="1" applyFont="1" applyFill="1" applyBorder="1" applyAlignment="1">
      <alignment vertical="center"/>
    </xf>
    <xf numFmtId="0" fontId="15" fillId="6" borderId="9" xfId="0" applyFont="1" applyFill="1" applyBorder="1" applyAlignment="1">
      <alignment vertical="center"/>
    </xf>
    <xf numFmtId="0" fontId="15" fillId="6" borderId="9" xfId="0" applyFont="1" applyFill="1" applyBorder="1" applyAlignment="1">
      <alignment horizontal="right" vertical="center"/>
    </xf>
    <xf numFmtId="0" fontId="15" fillId="6" borderId="10" xfId="0" applyFont="1" applyFill="1" applyBorder="1" applyAlignment="1">
      <alignment horizontal="right" vertical="center"/>
    </xf>
    <xf numFmtId="3" fontId="15" fillId="6" borderId="10" xfId="0" applyNumberFormat="1" applyFont="1" applyFill="1" applyBorder="1" applyAlignment="1">
      <alignment horizontal="right" vertical="center"/>
    </xf>
    <xf numFmtId="0" fontId="15" fillId="7" borderId="9" xfId="0" applyFont="1" applyFill="1" applyBorder="1" applyAlignment="1">
      <alignment horizontal="right" vertical="center"/>
    </xf>
    <xf numFmtId="0" fontId="15" fillId="7" borderId="10" xfId="0" applyFont="1" applyFill="1" applyBorder="1" applyAlignment="1">
      <alignment horizontal="right" vertical="center"/>
    </xf>
    <xf numFmtId="3" fontId="15" fillId="7" borderId="10" xfId="0" applyNumberFormat="1" applyFont="1" applyFill="1" applyBorder="1" applyAlignment="1">
      <alignment horizontal="right" vertical="center"/>
    </xf>
    <xf numFmtId="167" fontId="17" fillId="7" borderId="9" xfId="5" applyNumberFormat="1" applyFont="1" applyFill="1" applyBorder="1" applyAlignment="1">
      <alignment vertical="center"/>
    </xf>
    <xf numFmtId="0" fontId="17" fillId="6" borderId="11" xfId="5" applyFont="1" applyFill="1" applyBorder="1" applyAlignment="1">
      <alignment vertical="center"/>
    </xf>
    <xf numFmtId="167" fontId="17" fillId="6" borderId="9" xfId="5" applyNumberFormat="1" applyFont="1" applyFill="1" applyBorder="1" applyAlignment="1">
      <alignment vertical="center"/>
    </xf>
    <xf numFmtId="167" fontId="17" fillId="6" borderId="9" xfId="0" applyNumberFormat="1" applyFont="1" applyFill="1" applyBorder="1" applyAlignment="1">
      <alignment horizontal="right" vertical="center"/>
    </xf>
    <xf numFmtId="167" fontId="17" fillId="6" borderId="10" xfId="0" applyNumberFormat="1" applyFont="1" applyFill="1" applyBorder="1" applyAlignment="1">
      <alignment horizontal="right" vertical="center"/>
    </xf>
    <xf numFmtId="3" fontId="17" fillId="6" borderId="10" xfId="0" applyNumberFormat="1" applyFont="1" applyFill="1" applyBorder="1" applyAlignment="1">
      <alignment horizontal="right" vertical="center"/>
    </xf>
    <xf numFmtId="166" fontId="19" fillId="6" borderId="11" xfId="1" applyNumberFormat="1" applyFont="1" applyFill="1" applyBorder="1" applyAlignment="1">
      <alignment horizontal="right" vertical="center"/>
    </xf>
    <xf numFmtId="166" fontId="19" fillId="6" borderId="9" xfId="1" applyNumberFormat="1" applyFont="1" applyFill="1" applyBorder="1" applyAlignment="1">
      <alignment horizontal="right" vertical="center"/>
    </xf>
    <xf numFmtId="166" fontId="19" fillId="6" borderId="10" xfId="1" applyNumberFormat="1" applyFont="1" applyFill="1" applyBorder="1" applyAlignment="1">
      <alignment horizontal="right" vertical="center"/>
    </xf>
    <xf numFmtId="0" fontId="19" fillId="6" borderId="10" xfId="0" applyFont="1" applyFill="1" applyBorder="1" applyAlignment="1">
      <alignment vertical="center"/>
    </xf>
    <xf numFmtId="167" fontId="17" fillId="6" borderId="9" xfId="2" applyNumberFormat="1" applyFont="1" applyFill="1" applyBorder="1" applyAlignment="1">
      <alignment horizontal="center" vertical="center"/>
    </xf>
    <xf numFmtId="167" fontId="17" fillId="6" borderId="9" xfId="0" applyNumberFormat="1" applyFont="1" applyFill="1" applyBorder="1" applyAlignment="1">
      <alignment horizontal="center" vertical="center"/>
    </xf>
    <xf numFmtId="167" fontId="17" fillId="6" borderId="9" xfId="0" applyNumberFormat="1" applyFont="1" applyFill="1" applyBorder="1" applyAlignment="1">
      <alignment vertical="center"/>
    </xf>
    <xf numFmtId="167" fontId="17" fillId="6" borderId="10" xfId="0" applyNumberFormat="1" applyFont="1" applyFill="1" applyBorder="1" applyAlignment="1">
      <alignment vertical="center"/>
    </xf>
    <xf numFmtId="0" fontId="23" fillId="0" borderId="0" xfId="0" applyFont="1"/>
    <xf numFmtId="17" fontId="23" fillId="0" borderId="0" xfId="0" applyNumberFormat="1" applyFont="1"/>
    <xf numFmtId="43" fontId="23" fillId="0" borderId="0" xfId="0" applyNumberFormat="1" applyFont="1"/>
    <xf numFmtId="169" fontId="23" fillId="0" borderId="0" xfId="0" applyNumberFormat="1" applyFont="1"/>
    <xf numFmtId="170" fontId="22" fillId="0" borderId="0" xfId="2" applyNumberFormat="1" applyFont="1"/>
    <xf numFmtId="169" fontId="23" fillId="0" borderId="0" xfId="1" applyNumberFormat="1" applyFont="1" applyAlignment="1">
      <alignment horizontal="right"/>
    </xf>
    <xf numFmtId="0" fontId="24" fillId="0" borderId="0" xfId="0" applyFont="1"/>
    <xf numFmtId="170" fontId="23" fillId="0" borderId="0" xfId="2" applyNumberFormat="1" applyFont="1" applyAlignment="1">
      <alignment horizontal="right"/>
    </xf>
    <xf numFmtId="43" fontId="10" fillId="5" borderId="9" xfId="0" applyNumberFormat="1" applyFont="1" applyFill="1" applyBorder="1" applyAlignment="1">
      <alignment vertical="center"/>
    </xf>
    <xf numFmtId="169" fontId="10" fillId="5" borderId="9" xfId="0" applyNumberFormat="1" applyFont="1" applyFill="1" applyBorder="1" applyAlignment="1">
      <alignment vertical="center"/>
    </xf>
    <xf numFmtId="170" fontId="10" fillId="5" borderId="9" xfId="2" applyNumberFormat="1" applyFont="1" applyFill="1" applyBorder="1" applyAlignment="1">
      <alignment vertical="center"/>
    </xf>
    <xf numFmtId="170" fontId="10" fillId="5" borderId="9" xfId="2" applyNumberFormat="1" applyFont="1" applyFill="1" applyBorder="1" applyAlignment="1">
      <alignment horizontal="right" vertical="center"/>
    </xf>
    <xf numFmtId="166" fontId="10" fillId="5" borderId="9" xfId="1" applyNumberFormat="1" applyFont="1" applyFill="1" applyBorder="1" applyAlignment="1">
      <alignment horizontal="right" vertical="center"/>
    </xf>
    <xf numFmtId="166" fontId="10" fillId="5" borderId="10" xfId="1" applyNumberFormat="1" applyFont="1" applyFill="1" applyBorder="1" applyAlignment="1">
      <alignment horizontal="right" vertical="center"/>
    </xf>
    <xf numFmtId="3" fontId="14" fillId="6" borderId="9" xfId="5" applyNumberFormat="1" applyFont="1" applyFill="1" applyBorder="1" applyAlignment="1">
      <alignment vertical="center"/>
    </xf>
    <xf numFmtId="3" fontId="14" fillId="6" borderId="9" xfId="0" applyNumberFormat="1" applyFont="1" applyFill="1" applyBorder="1" applyAlignment="1">
      <alignment horizontal="right" vertical="center"/>
    </xf>
    <xf numFmtId="3" fontId="25" fillId="6" borderId="9" xfId="0" applyNumberFormat="1" applyFont="1" applyFill="1" applyBorder="1" applyAlignment="1">
      <alignment vertical="center"/>
    </xf>
    <xf numFmtId="3" fontId="15" fillId="6" borderId="10" xfId="1" applyNumberFormat="1" applyFont="1" applyFill="1" applyBorder="1" applyAlignment="1">
      <alignment horizontal="right" vertical="center"/>
    </xf>
    <xf numFmtId="3" fontId="14" fillId="6" borderId="9" xfId="2" applyNumberFormat="1" applyFont="1" applyFill="1" applyBorder="1" applyAlignment="1">
      <alignment horizontal="center" vertical="center"/>
    </xf>
    <xf numFmtId="3" fontId="14" fillId="6" borderId="9" xfId="0" applyNumberFormat="1" applyFont="1" applyFill="1" applyBorder="1" applyAlignment="1">
      <alignment horizontal="center" vertical="center"/>
    </xf>
    <xf numFmtId="3" fontId="14" fillId="7" borderId="9" xfId="5" applyNumberFormat="1" applyFont="1" applyFill="1" applyBorder="1" applyAlignment="1">
      <alignment vertical="center"/>
    </xf>
    <xf numFmtId="3" fontId="14" fillId="7" borderId="9" xfId="0" applyNumberFormat="1" applyFont="1" applyFill="1" applyBorder="1" applyAlignment="1">
      <alignment horizontal="right" vertical="center"/>
    </xf>
    <xf numFmtId="3" fontId="15" fillId="7" borderId="10" xfId="1" applyNumberFormat="1" applyFont="1" applyFill="1" applyBorder="1" applyAlignment="1">
      <alignment horizontal="right" vertical="center"/>
    </xf>
    <xf numFmtId="3" fontId="14" fillId="7" borderId="9" xfId="2" applyNumberFormat="1" applyFont="1" applyFill="1" applyBorder="1" applyAlignment="1">
      <alignment horizontal="center" vertical="center"/>
    </xf>
    <xf numFmtId="3" fontId="14" fillId="7" borderId="9" xfId="0" applyNumberFormat="1" applyFont="1" applyFill="1" applyBorder="1" applyAlignment="1">
      <alignment horizontal="center" vertical="center"/>
    </xf>
    <xf numFmtId="3" fontId="15" fillId="6" borderId="9" xfId="0" applyNumberFormat="1" applyFont="1" applyFill="1" applyBorder="1" applyAlignment="1">
      <alignment horizontal="right" vertical="center"/>
    </xf>
    <xf numFmtId="3" fontId="15" fillId="7" borderId="9" xfId="0" applyNumberFormat="1" applyFont="1" applyFill="1" applyBorder="1" applyAlignment="1">
      <alignment horizontal="right" vertical="center"/>
    </xf>
    <xf numFmtId="3" fontId="17" fillId="6" borderId="9" xfId="0" applyNumberFormat="1" applyFont="1" applyFill="1" applyBorder="1" applyAlignment="1">
      <alignment horizontal="right" vertical="center"/>
    </xf>
    <xf numFmtId="17" fontId="26" fillId="6" borderId="15" xfId="0" applyNumberFormat="1" applyFont="1" applyFill="1" applyBorder="1" applyAlignment="1">
      <alignment vertical="center"/>
    </xf>
    <xf numFmtId="167" fontId="17" fillId="6" borderId="15" xfId="0" applyNumberFormat="1" applyFont="1" applyFill="1" applyBorder="1" applyAlignment="1">
      <alignment vertical="center"/>
    </xf>
    <xf numFmtId="170" fontId="14" fillId="6" borderId="15" xfId="2" applyNumberFormat="1" applyFont="1" applyFill="1" applyBorder="1" applyAlignment="1">
      <alignment vertical="center"/>
    </xf>
    <xf numFmtId="170" fontId="17" fillId="6" borderId="15" xfId="2" applyNumberFormat="1" applyFont="1" applyFill="1" applyBorder="1" applyAlignment="1">
      <alignment horizontal="right" vertical="center"/>
    </xf>
    <xf numFmtId="170" fontId="17" fillId="6" borderId="16" xfId="2" applyNumberFormat="1" applyFont="1" applyFill="1" applyBorder="1" applyAlignment="1">
      <alignment horizontal="right" vertical="center"/>
    </xf>
    <xf numFmtId="0" fontId="17" fillId="7" borderId="6" xfId="0" applyFont="1" applyFill="1" applyBorder="1" applyAlignment="1">
      <alignment vertical="center"/>
    </xf>
    <xf numFmtId="17" fontId="26" fillId="7" borderId="7" xfId="0" applyNumberFormat="1" applyFont="1" applyFill="1" applyBorder="1" applyAlignment="1">
      <alignment vertical="center"/>
    </xf>
    <xf numFmtId="43" fontId="26" fillId="7" borderId="7" xfId="0" applyNumberFormat="1" applyFont="1" applyFill="1" applyBorder="1" applyAlignment="1">
      <alignment vertical="center"/>
    </xf>
    <xf numFmtId="169" fontId="26" fillId="7" borderId="7" xfId="0" applyNumberFormat="1" applyFont="1" applyFill="1" applyBorder="1" applyAlignment="1">
      <alignment vertical="center"/>
    </xf>
    <xf numFmtId="0" fontId="26" fillId="7" borderId="7" xfId="0" applyFont="1" applyFill="1" applyBorder="1" applyAlignment="1">
      <alignment vertical="center"/>
    </xf>
    <xf numFmtId="170" fontId="14" fillId="7" borderId="7" xfId="2" applyNumberFormat="1" applyFont="1" applyFill="1" applyBorder="1" applyAlignment="1">
      <alignment vertical="center"/>
    </xf>
    <xf numFmtId="170" fontId="17" fillId="7" borderId="7" xfId="2" applyNumberFormat="1" applyFont="1" applyFill="1" applyBorder="1" applyAlignment="1">
      <alignment horizontal="right" vertical="center"/>
    </xf>
    <xf numFmtId="169" fontId="17" fillId="7" borderId="7" xfId="1" applyNumberFormat="1" applyFont="1" applyFill="1" applyBorder="1" applyAlignment="1">
      <alignment horizontal="right" vertical="center"/>
    </xf>
    <xf numFmtId="170" fontId="17" fillId="7" borderId="8" xfId="2" applyNumberFormat="1" applyFont="1" applyFill="1" applyBorder="1" applyAlignment="1">
      <alignment horizontal="right" vertical="center"/>
    </xf>
    <xf numFmtId="170" fontId="10" fillId="5" borderId="10" xfId="2" applyNumberFormat="1" applyFont="1" applyFill="1" applyBorder="1" applyAlignment="1">
      <alignment horizontal="right" vertical="center"/>
    </xf>
    <xf numFmtId="166" fontId="10" fillId="5" borderId="11" xfId="1" applyNumberFormat="1" applyFont="1" applyFill="1" applyBorder="1" applyAlignment="1">
      <alignment horizontal="right" vertical="center"/>
    </xf>
    <xf numFmtId="3" fontId="22" fillId="0" borderId="0" xfId="4" applyNumberFormat="1" applyFont="1" applyAlignment="1">
      <alignment horizontal="right"/>
    </xf>
    <xf numFmtId="3" fontId="17" fillId="7" borderId="9" xfId="0" applyNumberFormat="1" applyFont="1" applyFill="1" applyBorder="1" applyAlignment="1">
      <alignment horizontal="right" vertical="center"/>
    </xf>
    <xf numFmtId="167" fontId="23" fillId="0" borderId="0" xfId="0" applyNumberFormat="1" applyFont="1"/>
    <xf numFmtId="9" fontId="14" fillId="7" borderId="9" xfId="2" applyFont="1" applyFill="1" applyBorder="1" applyAlignment="1">
      <alignment horizontal="center" vertical="center"/>
    </xf>
    <xf numFmtId="9" fontId="14" fillId="7" borderId="9" xfId="0" applyNumberFormat="1" applyFont="1" applyFill="1" applyBorder="1" applyAlignment="1">
      <alignment horizontal="center" vertical="center"/>
    </xf>
    <xf numFmtId="9" fontId="14" fillId="7" borderId="9" xfId="0" applyNumberFormat="1" applyFont="1" applyFill="1" applyBorder="1" applyAlignment="1">
      <alignment vertical="center"/>
    </xf>
    <xf numFmtId="9" fontId="14" fillId="7" borderId="10" xfId="0" applyNumberFormat="1" applyFont="1" applyFill="1" applyBorder="1" applyAlignment="1">
      <alignment vertical="center"/>
    </xf>
    <xf numFmtId="0" fontId="15" fillId="7" borderId="9" xfId="0" applyFont="1" applyFill="1" applyBorder="1" applyAlignment="1">
      <alignment vertical="center"/>
    </xf>
    <xf numFmtId="0" fontId="17" fillId="7" borderId="11" xfId="5" applyFont="1" applyFill="1" applyBorder="1" applyAlignment="1">
      <alignment vertical="center"/>
    </xf>
    <xf numFmtId="167" fontId="17" fillId="7" borderId="9" xfId="0" applyNumberFormat="1" applyFont="1" applyFill="1" applyBorder="1" applyAlignment="1">
      <alignment horizontal="right" vertical="center"/>
    </xf>
    <xf numFmtId="167" fontId="17" fillId="7" borderId="10" xfId="5" applyNumberFormat="1" applyFont="1" applyFill="1" applyBorder="1" applyAlignment="1">
      <alignment vertical="center"/>
    </xf>
    <xf numFmtId="0" fontId="23" fillId="0" borderId="0" xfId="5" applyFont="1" applyAlignment="1">
      <alignment vertical="center"/>
    </xf>
    <xf numFmtId="167" fontId="23" fillId="0" borderId="0" xfId="5" applyNumberFormat="1" applyFont="1" applyAlignment="1">
      <alignment vertical="center"/>
    </xf>
    <xf numFmtId="167" fontId="23" fillId="0" borderId="0" xfId="5" applyNumberFormat="1" applyFont="1" applyAlignment="1">
      <alignment horizontal="right" vertical="center"/>
    </xf>
    <xf numFmtId="0" fontId="10" fillId="5" borderId="9" xfId="0" applyFont="1" applyFill="1" applyBorder="1" applyAlignment="1">
      <alignment horizontal="right" vertical="center"/>
    </xf>
    <xf numFmtId="0" fontId="10" fillId="5" borderId="10" xfId="0" applyFont="1" applyFill="1" applyBorder="1" applyAlignment="1">
      <alignment horizontal="right" vertical="center"/>
    </xf>
    <xf numFmtId="167" fontId="17" fillId="7" borderId="9" xfId="0" applyNumberFormat="1" applyFont="1" applyFill="1" applyBorder="1" applyAlignment="1">
      <alignment vertical="center"/>
    </xf>
    <xf numFmtId="167" fontId="17" fillId="7" borderId="10" xfId="0" applyNumberFormat="1" applyFont="1" applyFill="1" applyBorder="1" applyAlignment="1">
      <alignment horizontal="right" vertical="center"/>
    </xf>
    <xf numFmtId="167" fontId="23" fillId="0" borderId="0" xfId="0" applyNumberFormat="1" applyFont="1" applyAlignment="1">
      <alignment horizontal="right"/>
    </xf>
    <xf numFmtId="167" fontId="17" fillId="7" borderId="10" xfId="0" applyNumberFormat="1" applyFont="1" applyFill="1" applyBorder="1" applyAlignment="1">
      <alignment vertical="center"/>
    </xf>
    <xf numFmtId="167" fontId="17" fillId="7" borderId="9" xfId="2" applyNumberFormat="1" applyFont="1" applyFill="1" applyBorder="1" applyAlignment="1">
      <alignment horizontal="center" vertical="center"/>
    </xf>
    <xf numFmtId="167" fontId="17" fillId="7" borderId="9" xfId="0" applyNumberFormat="1" applyFont="1" applyFill="1" applyBorder="1" applyAlignment="1">
      <alignment horizontal="center" vertical="center"/>
    </xf>
    <xf numFmtId="2" fontId="27" fillId="7" borderId="12" xfId="6" applyFont="1" applyFill="1" applyBorder="1"/>
    <xf numFmtId="2" fontId="27" fillId="6" borderId="12" xfId="6" applyFont="1" applyFill="1" applyBorder="1"/>
    <xf numFmtId="3" fontId="17" fillId="7" borderId="9" xfId="2" applyNumberFormat="1" applyFont="1" applyFill="1" applyBorder="1" applyAlignment="1">
      <alignment horizontal="center" vertical="center"/>
    </xf>
    <xf numFmtId="3" fontId="17" fillId="7" borderId="9" xfId="0" applyNumberFormat="1" applyFont="1" applyFill="1" applyBorder="1" applyAlignment="1">
      <alignment horizontal="center" vertical="center"/>
    </xf>
    <xf numFmtId="2" fontId="28" fillId="7" borderId="12" xfId="6" applyFont="1" applyFill="1" applyBorder="1"/>
    <xf numFmtId="9" fontId="0" fillId="0" borderId="0" xfId="2" applyFont="1"/>
    <xf numFmtId="2" fontId="27" fillId="0" borderId="0" xfId="6" applyFont="1"/>
    <xf numFmtId="167" fontId="14" fillId="7" borderId="18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31" fillId="8" borderId="20" xfId="7" applyFont="1" applyFill="1" applyBorder="1" applyAlignment="1">
      <alignment vertical="center"/>
    </xf>
    <xf numFmtId="0" fontId="31" fillId="0" borderId="20" xfId="7" applyFont="1" applyBorder="1" applyAlignment="1">
      <alignment horizontal="right" vertical="center"/>
    </xf>
    <xf numFmtId="0" fontId="31" fillId="0" borderId="0" xfId="7" applyFont="1" applyAlignment="1">
      <alignment horizontal="right" vertical="center"/>
    </xf>
    <xf numFmtId="0" fontId="1" fillId="0" borderId="0" xfId="7"/>
    <xf numFmtId="0" fontId="31" fillId="0" borderId="20" xfId="7" applyFont="1" applyBorder="1" applyAlignment="1">
      <alignment vertical="center"/>
    </xf>
    <xf numFmtId="0" fontId="19" fillId="8" borderId="17" xfId="7" applyFont="1" applyFill="1" applyBorder="1" applyAlignment="1">
      <alignment vertical="center"/>
    </xf>
    <xf numFmtId="0" fontId="15" fillId="0" borderId="17" xfId="7" applyFont="1" applyBorder="1" applyAlignment="1">
      <alignment horizontal="right" vertical="center"/>
    </xf>
    <xf numFmtId="0" fontId="15" fillId="0" borderId="0" xfId="7" applyFont="1" applyAlignment="1">
      <alignment horizontal="right" vertical="center"/>
    </xf>
    <xf numFmtId="0" fontId="15" fillId="0" borderId="17" xfId="7" applyFont="1" applyBorder="1" applyAlignment="1">
      <alignment vertical="center"/>
    </xf>
    <xf numFmtId="0" fontId="15" fillId="8" borderId="12" xfId="7" applyFont="1" applyFill="1" applyBorder="1" applyAlignment="1">
      <alignment vertical="center"/>
    </xf>
    <xf numFmtId="3" fontId="15" fillId="0" borderId="12" xfId="7" applyNumberFormat="1" applyFont="1" applyBorder="1" applyAlignment="1">
      <alignment horizontal="right" vertical="center"/>
    </xf>
    <xf numFmtId="3" fontId="15" fillId="0" borderId="0" xfId="7" applyNumberFormat="1" applyFont="1" applyAlignment="1">
      <alignment horizontal="right" vertical="center"/>
    </xf>
    <xf numFmtId="0" fontId="19" fillId="8" borderId="12" xfId="7" applyFont="1" applyFill="1" applyBorder="1" applyAlignment="1">
      <alignment vertical="center"/>
    </xf>
    <xf numFmtId="9" fontId="15" fillId="0" borderId="12" xfId="8" applyFont="1" applyFill="1" applyBorder="1" applyAlignment="1">
      <alignment vertical="center"/>
    </xf>
    <xf numFmtId="3" fontId="19" fillId="0" borderId="12" xfId="7" applyNumberFormat="1" applyFont="1" applyBorder="1" applyAlignment="1">
      <alignment horizontal="right" vertical="center"/>
    </xf>
    <xf numFmtId="0" fontId="2" fillId="0" borderId="0" xfId="7" applyFont="1"/>
    <xf numFmtId="3" fontId="19" fillId="0" borderId="0" xfId="7" applyNumberFormat="1" applyFont="1" applyAlignment="1">
      <alignment horizontal="right" vertical="center"/>
    </xf>
    <xf numFmtId="0" fontId="15" fillId="0" borderId="12" xfId="7" applyFont="1" applyBorder="1" applyAlignment="1">
      <alignment horizontal="right" vertical="center"/>
    </xf>
    <xf numFmtId="0" fontId="15" fillId="0" borderId="12" xfId="7" applyFont="1" applyBorder="1" applyAlignment="1">
      <alignment vertical="center"/>
    </xf>
    <xf numFmtId="0" fontId="19" fillId="0" borderId="12" xfId="7" applyFont="1" applyBorder="1" applyAlignment="1">
      <alignment vertical="center"/>
    </xf>
    <xf numFmtId="0" fontId="1" fillId="0" borderId="0" xfId="7" applyAlignment="1">
      <alignment horizontal="right"/>
    </xf>
    <xf numFmtId="0" fontId="15" fillId="0" borderId="13" xfId="7" applyFont="1" applyBorder="1" applyAlignment="1">
      <alignment horizontal="right" vertical="center"/>
    </xf>
    <xf numFmtId="0" fontId="15" fillId="8" borderId="13" xfId="7" applyFont="1" applyFill="1" applyBorder="1" applyAlignment="1">
      <alignment vertical="center"/>
    </xf>
    <xf numFmtId="3" fontId="15" fillId="0" borderId="13" xfId="7" applyNumberFormat="1" applyFont="1" applyBorder="1" applyAlignment="1">
      <alignment horizontal="right" vertical="center"/>
    </xf>
    <xf numFmtId="0" fontId="19" fillId="8" borderId="13" xfId="7" applyFont="1" applyFill="1" applyBorder="1" applyAlignment="1">
      <alignment vertical="center"/>
    </xf>
    <xf numFmtId="3" fontId="19" fillId="0" borderId="13" xfId="7" applyNumberFormat="1" applyFont="1" applyBorder="1" applyAlignment="1">
      <alignment horizontal="right" vertical="center"/>
    </xf>
    <xf numFmtId="3" fontId="1" fillId="0" borderId="0" xfId="7" applyNumberFormat="1"/>
  </cellXfs>
  <cellStyles count="9">
    <cellStyle name="Comma" xfId="1" builtinId="3"/>
    <cellStyle name="Comma 2 2 3" xfId="4" xr:uid="{923A583E-E439-4C13-81EB-4F790FBF497D}"/>
    <cellStyle name="Comma 3" xfId="3" xr:uid="{85C676E6-522E-4249-AF69-4CE654C785D3}"/>
    <cellStyle name="Normal" xfId="0" builtinId="0"/>
    <cellStyle name="Normal 11" xfId="7" xr:uid="{D8F6C073-9D0D-44AA-A856-38FC52D19FED}"/>
    <cellStyle name="Normal 12" xfId="6" xr:uid="{20CA4770-9874-46F5-9072-FDC2551B32B9}"/>
    <cellStyle name="Normal 7" xfId="5" xr:uid="{E0C7F7E1-0486-46DC-B306-38F6D98CBDF8}"/>
    <cellStyle name="Percent" xfId="2" builtinId="5"/>
    <cellStyle name="Percent 2" xfId="8" xr:uid="{28BC0B94-084A-441A-94E7-F4674DA3469E}"/>
  </cellStyles>
  <dxfs count="10"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4415-327C-43FA-9863-8732B4F0AACB}">
  <dimension ref="A1:IH244"/>
  <sheetViews>
    <sheetView showGridLines="0" tabSelected="1" zoomScale="80" zoomScaleNormal="80" workbookViewId="0">
      <pane xSplit="1" ySplit="2" topLeftCell="HV3" activePane="bottomRight" state="frozen"/>
      <selection activeCell="FL67" sqref="FL67"/>
      <selection pane="topRight" activeCell="FL67" sqref="FL67"/>
      <selection pane="bottomLeft" activeCell="FL67" sqref="FL67"/>
      <selection pane="bottomRight" activeCell="IF9" sqref="IF9"/>
    </sheetView>
  </sheetViews>
  <sheetFormatPr defaultRowHeight="14.4" outlineLevelRow="2" outlineLevelCol="1" x14ac:dyDescent="0.3"/>
  <cols>
    <col min="1" max="1" width="34.44140625" bestFit="1" customWidth="1"/>
    <col min="2" max="2" width="9.44140625" customWidth="1" outlineLevel="1"/>
    <col min="3" max="150" width="9.109375" customWidth="1" outlineLevel="1"/>
    <col min="151" max="151" width="11.88671875" customWidth="1" outlineLevel="1"/>
    <col min="152" max="153" width="12.33203125" customWidth="1" outlineLevel="1"/>
    <col min="154" max="154" width="11.6640625" bestFit="1" customWidth="1" outlineLevel="1"/>
    <col min="155" max="166" width="12.5546875" bestFit="1" customWidth="1" outlineLevel="1"/>
    <col min="170" max="177" width="10.88671875" customWidth="1" outlineLevel="1"/>
    <col min="178" max="184" width="10.109375" customWidth="1" outlineLevel="1"/>
    <col min="185" max="185" width="11.5546875" customWidth="1" outlineLevel="1"/>
    <col min="186" max="203" width="10.109375" customWidth="1" outlineLevel="1"/>
    <col min="204" max="204" width="10.6640625" customWidth="1" outlineLevel="1"/>
    <col min="205" max="218" width="8.6640625" customWidth="1" outlineLevel="1"/>
    <col min="219" max="224" width="10.44140625" customWidth="1" outlineLevel="1"/>
    <col min="229" max="241" width="10.6640625" customWidth="1" outlineLevel="1"/>
  </cols>
  <sheetData>
    <row r="1" spans="1:242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 t="s">
        <v>0</v>
      </c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 t="s">
        <v>1</v>
      </c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 t="s">
        <v>2</v>
      </c>
    </row>
    <row r="2" spans="1:242" x14ac:dyDescent="0.3">
      <c r="A2" s="44"/>
      <c r="B2" s="45">
        <v>41000</v>
      </c>
      <c r="C2" s="45">
        <v>41030</v>
      </c>
      <c r="D2" s="45">
        <v>41061</v>
      </c>
      <c r="E2" s="45">
        <v>41091</v>
      </c>
      <c r="F2" s="45">
        <v>41122</v>
      </c>
      <c r="G2" s="45">
        <v>41153</v>
      </c>
      <c r="H2" s="45">
        <v>41183</v>
      </c>
      <c r="I2" s="45">
        <v>41214</v>
      </c>
      <c r="J2" s="45">
        <v>41244</v>
      </c>
      <c r="K2" s="45">
        <v>41275</v>
      </c>
      <c r="L2" s="45">
        <v>41306</v>
      </c>
      <c r="M2" s="45">
        <v>41334</v>
      </c>
      <c r="N2" s="45">
        <v>41365</v>
      </c>
      <c r="O2" s="45">
        <v>41395</v>
      </c>
      <c r="P2" s="45">
        <v>41426</v>
      </c>
      <c r="Q2" s="45">
        <v>41456</v>
      </c>
      <c r="R2" s="45">
        <v>41487</v>
      </c>
      <c r="S2" s="45">
        <v>41518</v>
      </c>
      <c r="T2" s="45">
        <v>41548</v>
      </c>
      <c r="U2" s="45">
        <v>41579</v>
      </c>
      <c r="V2" s="45">
        <v>41609</v>
      </c>
      <c r="W2" s="45">
        <v>41640</v>
      </c>
      <c r="X2" s="45">
        <v>41671</v>
      </c>
      <c r="Y2" s="45">
        <v>41699</v>
      </c>
      <c r="Z2" s="45">
        <v>41730</v>
      </c>
      <c r="AA2" s="45">
        <v>41760</v>
      </c>
      <c r="AB2" s="45">
        <v>41791</v>
      </c>
      <c r="AC2" s="45">
        <v>41821</v>
      </c>
      <c r="AD2" s="45">
        <v>41852</v>
      </c>
      <c r="AE2" s="45">
        <v>41883</v>
      </c>
      <c r="AF2" s="45">
        <v>41913</v>
      </c>
      <c r="AG2" s="45">
        <v>41944</v>
      </c>
      <c r="AH2" s="45">
        <v>41974</v>
      </c>
      <c r="AI2" s="45">
        <v>42005</v>
      </c>
      <c r="AJ2" s="45">
        <v>42036</v>
      </c>
      <c r="AK2" s="45">
        <v>42064</v>
      </c>
      <c r="AL2" s="45">
        <v>42095</v>
      </c>
      <c r="AM2" s="45">
        <v>42125</v>
      </c>
      <c r="AN2" s="45">
        <v>42156</v>
      </c>
      <c r="AO2" s="45">
        <v>42186</v>
      </c>
      <c r="AP2" s="45">
        <v>42217</v>
      </c>
      <c r="AQ2" s="45">
        <v>42248</v>
      </c>
      <c r="AR2" s="45">
        <v>42278</v>
      </c>
      <c r="AS2" s="45">
        <v>42309</v>
      </c>
      <c r="AT2" s="45">
        <v>42339</v>
      </c>
      <c r="AU2" s="45">
        <v>42370</v>
      </c>
      <c r="AV2" s="45">
        <v>42401</v>
      </c>
      <c r="AW2" s="45">
        <v>42430</v>
      </c>
      <c r="AX2" s="45">
        <v>42461</v>
      </c>
      <c r="AY2" s="45">
        <v>42491</v>
      </c>
      <c r="AZ2" s="45">
        <v>42522</v>
      </c>
      <c r="BA2" s="45">
        <v>42552</v>
      </c>
      <c r="BB2" s="45">
        <v>42583</v>
      </c>
      <c r="BC2" s="45">
        <v>42614</v>
      </c>
      <c r="BD2" s="45">
        <v>42644</v>
      </c>
      <c r="BE2" s="45">
        <v>42675</v>
      </c>
      <c r="BF2" s="45">
        <v>42705</v>
      </c>
      <c r="BG2" s="45">
        <v>42736</v>
      </c>
      <c r="BH2" s="45">
        <v>42767</v>
      </c>
      <c r="BI2" s="45">
        <v>42795</v>
      </c>
      <c r="BJ2" s="45">
        <v>42826</v>
      </c>
      <c r="BK2" s="45">
        <v>42856</v>
      </c>
      <c r="BL2" s="45">
        <v>42887</v>
      </c>
      <c r="BM2" s="45">
        <v>42917</v>
      </c>
      <c r="BN2" s="45">
        <v>42948</v>
      </c>
      <c r="BO2" s="45">
        <v>42979</v>
      </c>
      <c r="BP2" s="45">
        <v>43009</v>
      </c>
      <c r="BQ2" s="45">
        <v>43040</v>
      </c>
      <c r="BR2" s="45">
        <v>43070</v>
      </c>
      <c r="BS2" s="45">
        <v>43101</v>
      </c>
      <c r="BT2" s="45">
        <v>43132</v>
      </c>
      <c r="BU2" s="45">
        <v>43160</v>
      </c>
      <c r="BV2" s="46">
        <v>43191</v>
      </c>
      <c r="BW2" s="46">
        <f t="shared" ref="BW2:CG2" si="0">+BV2+31</f>
        <v>43222</v>
      </c>
      <c r="BX2" s="46">
        <f t="shared" si="0"/>
        <v>43253</v>
      </c>
      <c r="BY2" s="46">
        <f t="shared" si="0"/>
        <v>43284</v>
      </c>
      <c r="BZ2" s="46">
        <f t="shared" si="0"/>
        <v>43315</v>
      </c>
      <c r="CA2" s="46">
        <f t="shared" si="0"/>
        <v>43346</v>
      </c>
      <c r="CB2" s="46">
        <f t="shared" si="0"/>
        <v>43377</v>
      </c>
      <c r="CC2" s="46">
        <f t="shared" si="0"/>
        <v>43408</v>
      </c>
      <c r="CD2" s="46">
        <f t="shared" si="0"/>
        <v>43439</v>
      </c>
      <c r="CE2" s="46">
        <f t="shared" si="0"/>
        <v>43470</v>
      </c>
      <c r="CF2" s="46">
        <f t="shared" si="0"/>
        <v>43501</v>
      </c>
      <c r="CG2" s="46">
        <f t="shared" si="0"/>
        <v>43532</v>
      </c>
      <c r="CH2" s="46">
        <v>43556</v>
      </c>
      <c r="CI2" s="46">
        <v>43586</v>
      </c>
      <c r="CJ2" s="46">
        <v>43617</v>
      </c>
      <c r="CK2" s="46">
        <v>43647</v>
      </c>
      <c r="CL2" s="46">
        <v>43678</v>
      </c>
      <c r="CM2" s="46">
        <v>43709</v>
      </c>
      <c r="CN2" s="46">
        <v>43739</v>
      </c>
      <c r="CO2" s="46">
        <v>43770</v>
      </c>
      <c r="CP2" s="46">
        <v>43800</v>
      </c>
      <c r="CQ2" s="46">
        <v>43831</v>
      </c>
      <c r="CR2" s="46">
        <v>43862</v>
      </c>
      <c r="CS2" s="46">
        <v>43891</v>
      </c>
      <c r="CT2" s="46">
        <v>43922</v>
      </c>
      <c r="CU2" s="46">
        <f t="shared" ref="CU2:FF2" si="1">+EOMONTH(CT2,0)+1</f>
        <v>43952</v>
      </c>
      <c r="CV2" s="46">
        <f t="shared" si="1"/>
        <v>43983</v>
      </c>
      <c r="CW2" s="46">
        <f t="shared" si="1"/>
        <v>44013</v>
      </c>
      <c r="CX2" s="46">
        <f t="shared" si="1"/>
        <v>44044</v>
      </c>
      <c r="CY2" s="46">
        <f t="shared" si="1"/>
        <v>44075</v>
      </c>
      <c r="CZ2" s="46">
        <f t="shared" si="1"/>
        <v>44105</v>
      </c>
      <c r="DA2" s="46">
        <f t="shared" si="1"/>
        <v>44136</v>
      </c>
      <c r="DB2" s="46">
        <f t="shared" si="1"/>
        <v>44166</v>
      </c>
      <c r="DC2" s="46">
        <f t="shared" si="1"/>
        <v>44197</v>
      </c>
      <c r="DD2" s="46">
        <f t="shared" si="1"/>
        <v>44228</v>
      </c>
      <c r="DE2" s="46">
        <f t="shared" si="1"/>
        <v>44256</v>
      </c>
      <c r="DF2" s="46">
        <f t="shared" si="1"/>
        <v>44287</v>
      </c>
      <c r="DG2" s="46">
        <f t="shared" si="1"/>
        <v>44317</v>
      </c>
      <c r="DH2" s="46">
        <f t="shared" si="1"/>
        <v>44348</v>
      </c>
      <c r="DI2" s="46">
        <f t="shared" si="1"/>
        <v>44378</v>
      </c>
      <c r="DJ2" s="46">
        <f t="shared" si="1"/>
        <v>44409</v>
      </c>
      <c r="DK2" s="46">
        <f t="shared" si="1"/>
        <v>44440</v>
      </c>
      <c r="DL2" s="46">
        <f t="shared" si="1"/>
        <v>44470</v>
      </c>
      <c r="DM2" s="46">
        <f t="shared" si="1"/>
        <v>44501</v>
      </c>
      <c r="DN2" s="46">
        <f t="shared" si="1"/>
        <v>44531</v>
      </c>
      <c r="DO2" s="46">
        <f t="shared" si="1"/>
        <v>44562</v>
      </c>
      <c r="DP2" s="46">
        <f t="shared" si="1"/>
        <v>44593</v>
      </c>
      <c r="DQ2" s="46">
        <f t="shared" si="1"/>
        <v>44621</v>
      </c>
      <c r="DR2" s="46">
        <f t="shared" si="1"/>
        <v>44652</v>
      </c>
      <c r="DS2" s="46">
        <f t="shared" si="1"/>
        <v>44682</v>
      </c>
      <c r="DT2" s="46">
        <f t="shared" si="1"/>
        <v>44713</v>
      </c>
      <c r="DU2" s="46">
        <f t="shared" si="1"/>
        <v>44743</v>
      </c>
      <c r="DV2" s="46">
        <f t="shared" si="1"/>
        <v>44774</v>
      </c>
      <c r="DW2" s="46">
        <f t="shared" si="1"/>
        <v>44805</v>
      </c>
      <c r="DX2" s="46">
        <f t="shared" si="1"/>
        <v>44835</v>
      </c>
      <c r="DY2" s="46">
        <f t="shared" si="1"/>
        <v>44866</v>
      </c>
      <c r="DZ2" s="46">
        <f t="shared" si="1"/>
        <v>44896</v>
      </c>
      <c r="EA2" s="46">
        <f t="shared" si="1"/>
        <v>44927</v>
      </c>
      <c r="EB2" s="46">
        <f t="shared" si="1"/>
        <v>44958</v>
      </c>
      <c r="EC2" s="46">
        <f t="shared" si="1"/>
        <v>44986</v>
      </c>
      <c r="ED2" s="46">
        <f t="shared" si="1"/>
        <v>45017</v>
      </c>
      <c r="EE2" s="46">
        <f t="shared" si="1"/>
        <v>45047</v>
      </c>
      <c r="EF2" s="46">
        <f t="shared" si="1"/>
        <v>45078</v>
      </c>
      <c r="EG2" s="46">
        <f t="shared" si="1"/>
        <v>45108</v>
      </c>
      <c r="EH2" s="46">
        <f t="shared" si="1"/>
        <v>45139</v>
      </c>
      <c r="EI2" s="46">
        <f t="shared" si="1"/>
        <v>45170</v>
      </c>
      <c r="EJ2" s="46">
        <f t="shared" si="1"/>
        <v>45200</v>
      </c>
      <c r="EK2" s="46">
        <f t="shared" si="1"/>
        <v>45231</v>
      </c>
      <c r="EL2" s="46">
        <f t="shared" si="1"/>
        <v>45261</v>
      </c>
      <c r="EM2" s="46">
        <f t="shared" si="1"/>
        <v>45292</v>
      </c>
      <c r="EN2" s="46">
        <f t="shared" si="1"/>
        <v>45323</v>
      </c>
      <c r="EO2" s="46">
        <f t="shared" si="1"/>
        <v>45352</v>
      </c>
      <c r="EP2" s="46">
        <f t="shared" si="1"/>
        <v>45383</v>
      </c>
      <c r="EQ2" s="46">
        <f t="shared" si="1"/>
        <v>45413</v>
      </c>
      <c r="ER2" s="46">
        <f t="shared" si="1"/>
        <v>45444</v>
      </c>
      <c r="ES2" s="46">
        <f t="shared" si="1"/>
        <v>45474</v>
      </c>
      <c r="ET2" s="46">
        <f t="shared" si="1"/>
        <v>45505</v>
      </c>
      <c r="EU2" s="46">
        <f t="shared" si="1"/>
        <v>45536</v>
      </c>
      <c r="EV2" s="46">
        <f t="shared" si="1"/>
        <v>45566</v>
      </c>
      <c r="EW2" s="46">
        <f t="shared" si="1"/>
        <v>45597</v>
      </c>
      <c r="EX2" s="46">
        <f t="shared" si="1"/>
        <v>45627</v>
      </c>
      <c r="EY2" s="46">
        <f t="shared" si="1"/>
        <v>45658</v>
      </c>
      <c r="EZ2" s="46">
        <f t="shared" si="1"/>
        <v>45689</v>
      </c>
      <c r="FA2" s="46">
        <f t="shared" si="1"/>
        <v>45717</v>
      </c>
      <c r="FB2" s="46">
        <f t="shared" si="1"/>
        <v>45748</v>
      </c>
      <c r="FC2" s="46">
        <f t="shared" si="1"/>
        <v>45778</v>
      </c>
      <c r="FD2" s="46">
        <f t="shared" si="1"/>
        <v>45809</v>
      </c>
      <c r="FE2" s="46">
        <f t="shared" si="1"/>
        <v>45839</v>
      </c>
      <c r="FF2" s="46">
        <f t="shared" si="1"/>
        <v>45870</v>
      </c>
      <c r="FG2" s="46">
        <f t="shared" ref="FG2:FJ2" si="2">+EOMONTH(FF2,0)+1</f>
        <v>45901</v>
      </c>
      <c r="FH2" s="46">
        <f t="shared" si="2"/>
        <v>45931</v>
      </c>
      <c r="FI2" s="46">
        <f t="shared" si="2"/>
        <v>45962</v>
      </c>
      <c r="FJ2" s="46">
        <f t="shared" si="2"/>
        <v>45992</v>
      </c>
      <c r="FN2" s="7" t="s">
        <v>5</v>
      </c>
      <c r="FO2" s="7" t="s">
        <v>6</v>
      </c>
      <c r="FP2" s="7" t="s">
        <v>7</v>
      </c>
      <c r="FQ2" s="7" t="s">
        <v>8</v>
      </c>
      <c r="FR2" s="7" t="s">
        <v>9</v>
      </c>
      <c r="FS2" s="7" t="s">
        <v>10</v>
      </c>
      <c r="FT2" s="7" t="s">
        <v>11</v>
      </c>
      <c r="FU2" s="7" t="s">
        <v>12</v>
      </c>
      <c r="FV2" s="7" t="s">
        <v>13</v>
      </c>
      <c r="FW2" s="7" t="s">
        <v>14</v>
      </c>
      <c r="FX2" s="7" t="s">
        <v>15</v>
      </c>
      <c r="FY2" s="7" t="s">
        <v>16</v>
      </c>
      <c r="FZ2" s="7" t="s">
        <v>17</v>
      </c>
      <c r="GA2" s="7" t="s">
        <v>18</v>
      </c>
      <c r="GB2" s="7" t="s">
        <v>19</v>
      </c>
      <c r="GC2" s="7" t="s">
        <v>20</v>
      </c>
      <c r="GD2" s="7" t="s">
        <v>21</v>
      </c>
      <c r="GE2" s="7" t="s">
        <v>22</v>
      </c>
      <c r="GF2" s="7" t="s">
        <v>23</v>
      </c>
      <c r="GG2" s="7" t="s">
        <v>24</v>
      </c>
      <c r="GH2" s="7" t="s">
        <v>25</v>
      </c>
      <c r="GI2" s="7" t="s">
        <v>26</v>
      </c>
      <c r="GJ2" s="7" t="s">
        <v>27</v>
      </c>
      <c r="GK2" s="7" t="s">
        <v>28</v>
      </c>
      <c r="GL2" s="7" t="s">
        <v>29</v>
      </c>
      <c r="GM2" s="7" t="s">
        <v>30</v>
      </c>
      <c r="GN2" s="7" t="s">
        <v>31</v>
      </c>
      <c r="GO2" s="7" t="s">
        <v>32</v>
      </c>
      <c r="GP2" s="7" t="s">
        <v>33</v>
      </c>
      <c r="GQ2" s="7" t="s">
        <v>34</v>
      </c>
      <c r="GR2" s="7" t="s">
        <v>35</v>
      </c>
      <c r="GS2" s="7" t="s">
        <v>36</v>
      </c>
      <c r="GT2" s="7" t="s">
        <v>37</v>
      </c>
      <c r="GU2" s="7" t="s">
        <v>38</v>
      </c>
      <c r="GV2" s="7" t="s">
        <v>39</v>
      </c>
      <c r="GW2" s="7" t="s">
        <v>40</v>
      </c>
      <c r="GX2" s="7" t="s">
        <v>41</v>
      </c>
      <c r="GY2" s="7" t="s">
        <v>42</v>
      </c>
      <c r="GZ2" s="7" t="s">
        <v>43</v>
      </c>
      <c r="HA2" s="7" t="s">
        <v>44</v>
      </c>
      <c r="HB2" s="7" t="s">
        <v>45</v>
      </c>
      <c r="HC2" s="7" t="s">
        <v>46</v>
      </c>
      <c r="HD2" s="7" t="s">
        <v>47</v>
      </c>
      <c r="HE2" s="7" t="s">
        <v>48</v>
      </c>
      <c r="HF2" s="7" t="s">
        <v>49</v>
      </c>
      <c r="HG2" s="7" t="s">
        <v>50</v>
      </c>
      <c r="HH2" s="7" t="s">
        <v>51</v>
      </c>
      <c r="HI2" s="7" t="s">
        <v>52</v>
      </c>
      <c r="HJ2" s="7" t="s">
        <v>53</v>
      </c>
      <c r="HK2" s="7" t="s">
        <v>54</v>
      </c>
      <c r="HL2" s="7" t="s">
        <v>55</v>
      </c>
      <c r="HM2" s="7" t="s">
        <v>56</v>
      </c>
      <c r="HN2" s="7" t="s">
        <v>57</v>
      </c>
      <c r="HO2" s="7" t="s">
        <v>58</v>
      </c>
      <c r="HP2" s="7" t="s">
        <v>59</v>
      </c>
      <c r="HQ2" s="7"/>
      <c r="HU2" s="47" t="s">
        <v>60</v>
      </c>
      <c r="HV2" s="47" t="s">
        <v>61</v>
      </c>
      <c r="HW2" s="47" t="s">
        <v>62</v>
      </c>
      <c r="HX2" s="47" t="s">
        <v>63</v>
      </c>
      <c r="HY2" s="47" t="s">
        <v>64</v>
      </c>
      <c r="HZ2" s="47" t="s">
        <v>65</v>
      </c>
      <c r="IA2" s="47" t="s">
        <v>66</v>
      </c>
      <c r="IB2" s="48" t="s">
        <v>67</v>
      </c>
      <c r="IC2" s="48" t="s">
        <v>68</v>
      </c>
      <c r="ID2" s="48" t="s">
        <v>69</v>
      </c>
      <c r="IE2" s="48" t="s">
        <v>70</v>
      </c>
      <c r="IF2" s="48" t="s">
        <v>71</v>
      </c>
      <c r="IG2" s="48" t="s">
        <v>72</v>
      </c>
    </row>
    <row r="3" spans="1:242" ht="17.399999999999999" x14ac:dyDescent="0.3">
      <c r="A3" s="49" t="s">
        <v>112</v>
      </c>
      <c r="B3" s="50">
        <f t="shared" ref="B3:BM3" si="3">+B35+B85</f>
        <v>1349097</v>
      </c>
      <c r="C3" s="50">
        <f t="shared" si="3"/>
        <v>1350420</v>
      </c>
      <c r="D3" s="50">
        <f t="shared" si="3"/>
        <v>1318265</v>
      </c>
      <c r="E3" s="50">
        <f t="shared" si="3"/>
        <v>1290882</v>
      </c>
      <c r="F3" s="50">
        <f t="shared" si="3"/>
        <v>1218540</v>
      </c>
      <c r="G3" s="50">
        <f t="shared" si="3"/>
        <v>1229182</v>
      </c>
      <c r="H3" s="50">
        <f t="shared" si="3"/>
        <v>1439617</v>
      </c>
      <c r="I3" s="50">
        <f t="shared" si="3"/>
        <v>1327699</v>
      </c>
      <c r="J3" s="50">
        <f t="shared" si="3"/>
        <v>1308840</v>
      </c>
      <c r="K3" s="50">
        <f t="shared" si="3"/>
        <v>1360630</v>
      </c>
      <c r="L3" s="50">
        <f t="shared" si="3"/>
        <v>1281823</v>
      </c>
      <c r="M3" s="50">
        <f t="shared" si="3"/>
        <v>1251478</v>
      </c>
      <c r="N3" s="50">
        <f t="shared" si="3"/>
        <v>1322884</v>
      </c>
      <c r="O3" s="50">
        <f t="shared" si="3"/>
        <v>1351801</v>
      </c>
      <c r="P3" s="50">
        <f t="shared" si="3"/>
        <v>1264871</v>
      </c>
      <c r="Q3" s="50">
        <f t="shared" si="3"/>
        <v>1286565</v>
      </c>
      <c r="R3" s="50">
        <f t="shared" si="3"/>
        <v>1324101</v>
      </c>
      <c r="S3" s="50">
        <f t="shared" si="3"/>
        <v>1451510</v>
      </c>
      <c r="T3" s="50">
        <f t="shared" si="3"/>
        <v>1692419</v>
      </c>
      <c r="U3" s="50">
        <f t="shared" si="3"/>
        <v>1417145</v>
      </c>
      <c r="V3" s="50">
        <f t="shared" si="3"/>
        <v>1354078</v>
      </c>
      <c r="W3" s="50">
        <f t="shared" si="3"/>
        <v>1482224</v>
      </c>
      <c r="X3" s="50">
        <f t="shared" si="3"/>
        <v>1400114</v>
      </c>
      <c r="Y3" s="50">
        <f t="shared" si="3"/>
        <v>1514346</v>
      </c>
      <c r="Z3" s="50">
        <f t="shared" si="3"/>
        <v>1501890</v>
      </c>
      <c r="AA3" s="50">
        <f t="shared" si="3"/>
        <v>1615851</v>
      </c>
      <c r="AB3" s="50">
        <f t="shared" si="3"/>
        <v>1443397</v>
      </c>
      <c r="AC3" s="50">
        <f t="shared" si="3"/>
        <v>1510045</v>
      </c>
      <c r="AD3" s="50">
        <f t="shared" si="3"/>
        <v>1579057</v>
      </c>
      <c r="AE3" s="50">
        <f t="shared" si="3"/>
        <v>1796688</v>
      </c>
      <c r="AF3" s="50">
        <f t="shared" si="3"/>
        <v>1676623</v>
      </c>
      <c r="AG3" s="50">
        <f t="shared" si="3"/>
        <v>1530086</v>
      </c>
      <c r="AH3" s="50">
        <f t="shared" si="3"/>
        <v>1435957</v>
      </c>
      <c r="AI3" s="50">
        <f t="shared" si="3"/>
        <v>1508624</v>
      </c>
      <c r="AJ3" s="50">
        <f t="shared" si="3"/>
        <v>1383922</v>
      </c>
      <c r="AK3" s="50">
        <f t="shared" si="3"/>
        <v>1482008</v>
      </c>
      <c r="AL3" s="50">
        <f t="shared" si="3"/>
        <v>1471725</v>
      </c>
      <c r="AM3" s="50">
        <f t="shared" si="3"/>
        <v>1592770</v>
      </c>
      <c r="AN3" s="50">
        <f t="shared" si="3"/>
        <v>1538718</v>
      </c>
      <c r="AO3" s="50">
        <f t="shared" si="3"/>
        <v>1538165</v>
      </c>
      <c r="AP3" s="50">
        <f t="shared" si="3"/>
        <v>1556532</v>
      </c>
      <c r="AQ3" s="50">
        <f t="shared" si="3"/>
        <v>1770439</v>
      </c>
      <c r="AR3" s="50">
        <f t="shared" si="3"/>
        <v>1845933</v>
      </c>
      <c r="AS3" s="50">
        <f t="shared" si="3"/>
        <v>1510051</v>
      </c>
      <c r="AT3" s="50">
        <f t="shared" si="3"/>
        <v>1382221</v>
      </c>
      <c r="AU3" s="50">
        <f t="shared" si="3"/>
        <v>1561069</v>
      </c>
      <c r="AV3" s="50">
        <f t="shared" si="3"/>
        <v>1527813</v>
      </c>
      <c r="AW3" s="50">
        <f t="shared" si="3"/>
        <v>1641668</v>
      </c>
      <c r="AX3" s="50">
        <f t="shared" si="3"/>
        <v>1725764</v>
      </c>
      <c r="AY3" s="50">
        <f t="shared" si="3"/>
        <v>1734013</v>
      </c>
      <c r="AZ3" s="50">
        <f t="shared" si="3"/>
        <v>1660495</v>
      </c>
      <c r="BA3" s="50">
        <f t="shared" si="3"/>
        <v>1679175</v>
      </c>
      <c r="BB3" s="50">
        <f t="shared" si="3"/>
        <v>1846232</v>
      </c>
      <c r="BC3" s="50">
        <f t="shared" si="3"/>
        <v>2078105</v>
      </c>
      <c r="BD3" s="50">
        <f t="shared" si="3"/>
        <v>1984915</v>
      </c>
      <c r="BE3" s="50">
        <f t="shared" si="3"/>
        <v>1432152</v>
      </c>
      <c r="BF3" s="50">
        <f t="shared" si="3"/>
        <v>1110459</v>
      </c>
      <c r="BG3" s="50">
        <f t="shared" si="3"/>
        <v>1440535</v>
      </c>
      <c r="BH3" s="50">
        <f t="shared" si="3"/>
        <v>1559574</v>
      </c>
      <c r="BI3" s="50">
        <f t="shared" si="3"/>
        <v>1678596</v>
      </c>
      <c r="BJ3" s="50">
        <f t="shared" si="3"/>
        <v>1906448</v>
      </c>
      <c r="BK3" s="50">
        <f t="shared" si="3"/>
        <v>1924769</v>
      </c>
      <c r="BL3" s="50">
        <f t="shared" si="3"/>
        <v>1727487</v>
      </c>
      <c r="BM3" s="50">
        <f t="shared" si="3"/>
        <v>1892646</v>
      </c>
      <c r="BN3" s="50">
        <f t="shared" ref="BN3:DY3" si="4">+BN35+BN85</f>
        <v>2127567</v>
      </c>
      <c r="BO3" s="50">
        <f t="shared" si="4"/>
        <v>2292707</v>
      </c>
      <c r="BP3" s="50">
        <f t="shared" si="4"/>
        <v>1972151</v>
      </c>
      <c r="BQ3" s="50">
        <f t="shared" si="4"/>
        <v>1779160</v>
      </c>
      <c r="BR3" s="50">
        <f t="shared" si="4"/>
        <v>1527611</v>
      </c>
      <c r="BS3" s="50">
        <f t="shared" si="4"/>
        <v>1924484</v>
      </c>
      <c r="BT3" s="50">
        <f t="shared" si="4"/>
        <v>1942340</v>
      </c>
      <c r="BU3" s="50">
        <f t="shared" si="4"/>
        <v>1990321</v>
      </c>
      <c r="BV3" s="50">
        <f t="shared" si="4"/>
        <v>2252098</v>
      </c>
      <c r="BW3" s="50">
        <f t="shared" si="4"/>
        <v>2134666</v>
      </c>
      <c r="BX3" s="50">
        <f t="shared" si="4"/>
        <v>2148044</v>
      </c>
      <c r="BY3" s="50">
        <f t="shared" si="4"/>
        <v>2095710</v>
      </c>
      <c r="BZ3" s="50">
        <f t="shared" si="4"/>
        <v>2235691</v>
      </c>
      <c r="CA3" s="50">
        <f t="shared" si="4"/>
        <v>2423661</v>
      </c>
      <c r="CB3" s="50">
        <f t="shared" si="4"/>
        <v>2326830</v>
      </c>
      <c r="CC3" s="50">
        <f t="shared" si="4"/>
        <v>1891866</v>
      </c>
      <c r="CD3" s="50">
        <f t="shared" si="4"/>
        <v>1529527</v>
      </c>
      <c r="CE3" s="50">
        <f t="shared" si="4"/>
        <v>1844318</v>
      </c>
      <c r="CF3" s="50">
        <f t="shared" si="4"/>
        <v>1884674</v>
      </c>
      <c r="CG3" s="50">
        <f t="shared" si="4"/>
        <v>1691966</v>
      </c>
      <c r="CH3" s="50">
        <f t="shared" si="4"/>
        <v>1932358</v>
      </c>
      <c r="CI3" s="50">
        <f t="shared" si="4"/>
        <v>2020193</v>
      </c>
      <c r="CJ3" s="50">
        <f t="shared" si="4"/>
        <v>1947106</v>
      </c>
      <c r="CK3" s="50">
        <f t="shared" si="4"/>
        <v>1818399</v>
      </c>
      <c r="CL3" s="50">
        <f t="shared" si="4"/>
        <v>1812622</v>
      </c>
      <c r="CM3" s="50">
        <f t="shared" si="4"/>
        <v>1960192</v>
      </c>
      <c r="CN3" s="50">
        <f t="shared" si="4"/>
        <v>2052556</v>
      </c>
      <c r="CO3" s="50">
        <f t="shared" si="4"/>
        <v>1710086</v>
      </c>
      <c r="CP3" s="50">
        <f t="shared" si="4"/>
        <v>1347342</v>
      </c>
      <c r="CQ3" s="50">
        <f t="shared" si="4"/>
        <v>1645492</v>
      </c>
      <c r="CR3" s="50">
        <f t="shared" si="4"/>
        <v>1606550</v>
      </c>
      <c r="CS3" s="50">
        <f t="shared" si="4"/>
        <v>1085177</v>
      </c>
      <c r="CT3" s="50">
        <f t="shared" si="4"/>
        <v>0</v>
      </c>
      <c r="CU3" s="50">
        <f t="shared" si="4"/>
        <v>376218</v>
      </c>
      <c r="CV3" s="50">
        <f t="shared" si="4"/>
        <v>1208997</v>
      </c>
      <c r="CW3" s="50">
        <f t="shared" si="4"/>
        <v>1462375</v>
      </c>
      <c r="CX3" s="50">
        <f t="shared" si="4"/>
        <v>1815507</v>
      </c>
      <c r="CY3" s="50">
        <f t="shared" si="4"/>
        <v>2180779</v>
      </c>
      <c r="CZ3" s="50">
        <f t="shared" si="4"/>
        <v>2424827</v>
      </c>
      <c r="DA3" s="50">
        <f t="shared" si="4"/>
        <v>1927782</v>
      </c>
      <c r="DB3" s="50">
        <f t="shared" si="4"/>
        <v>1495377</v>
      </c>
      <c r="DC3" s="50">
        <f t="shared" si="4"/>
        <v>1814578</v>
      </c>
      <c r="DD3" s="50">
        <f t="shared" si="4"/>
        <v>1791511</v>
      </c>
      <c r="DE3" s="50">
        <f t="shared" si="4"/>
        <v>1852978</v>
      </c>
      <c r="DF3" s="50">
        <f t="shared" si="4"/>
        <v>1426408</v>
      </c>
      <c r="DG3" s="50">
        <f t="shared" si="4"/>
        <v>711473</v>
      </c>
      <c r="DH3" s="50">
        <f t="shared" si="4"/>
        <v>1402812</v>
      </c>
      <c r="DI3" s="50">
        <f t="shared" si="4"/>
        <v>1631135</v>
      </c>
      <c r="DJ3" s="50">
        <f t="shared" si="4"/>
        <v>1703729</v>
      </c>
      <c r="DK3" s="50">
        <f t="shared" si="4"/>
        <v>1885692</v>
      </c>
      <c r="DL3" s="50">
        <f t="shared" si="4"/>
        <v>1915693</v>
      </c>
      <c r="DM3" s="50">
        <f t="shared" si="4"/>
        <v>1407275</v>
      </c>
      <c r="DN3" s="50">
        <f t="shared" si="4"/>
        <v>1371232</v>
      </c>
      <c r="DO3" s="50">
        <f t="shared" si="4"/>
        <v>1503259</v>
      </c>
      <c r="DP3" s="50">
        <f t="shared" si="4"/>
        <v>1413683</v>
      </c>
      <c r="DQ3" s="50">
        <f t="shared" si="4"/>
        <v>1535451</v>
      </c>
      <c r="DR3" s="50">
        <f t="shared" si="4"/>
        <v>1554135</v>
      </c>
      <c r="DS3" s="50">
        <f t="shared" si="4"/>
        <v>1603571</v>
      </c>
      <c r="DT3" s="50">
        <f t="shared" si="4"/>
        <v>1708839</v>
      </c>
      <c r="DU3" s="50">
        <f t="shared" si="4"/>
        <v>1845857</v>
      </c>
      <c r="DV3" s="50">
        <f t="shared" si="4"/>
        <v>1861121</v>
      </c>
      <c r="DW3" s="50">
        <f t="shared" si="4"/>
        <v>2030260</v>
      </c>
      <c r="DX3" s="50">
        <f t="shared" si="4"/>
        <v>1865013</v>
      </c>
      <c r="DY3" s="50">
        <f t="shared" si="4"/>
        <v>1523227</v>
      </c>
      <c r="DZ3" s="50">
        <f t="shared" ref="DZ3:FJ3" si="5">+DZ35+DZ85</f>
        <v>1317209</v>
      </c>
      <c r="EA3" s="50">
        <f t="shared" si="5"/>
        <v>1404482</v>
      </c>
      <c r="EB3" s="50">
        <f t="shared" si="5"/>
        <v>1364748</v>
      </c>
      <c r="EC3" s="50">
        <f t="shared" si="5"/>
        <v>1536127</v>
      </c>
      <c r="ED3" s="50">
        <f t="shared" si="5"/>
        <v>1596775</v>
      </c>
      <c r="EE3" s="50">
        <f t="shared" si="5"/>
        <v>1731495</v>
      </c>
      <c r="EF3" s="50">
        <f t="shared" si="5"/>
        <v>1604010</v>
      </c>
      <c r="EG3" s="50">
        <f t="shared" si="5"/>
        <v>1583570</v>
      </c>
      <c r="EH3" s="50">
        <f t="shared" si="5"/>
        <v>1857449</v>
      </c>
      <c r="EI3" s="50">
        <f t="shared" si="5"/>
        <v>2052014</v>
      </c>
      <c r="EJ3" s="50">
        <f t="shared" si="5"/>
        <v>2187075</v>
      </c>
      <c r="EK3" s="50">
        <f t="shared" si="5"/>
        <v>1901613</v>
      </c>
      <c r="EL3" s="50">
        <f t="shared" si="5"/>
        <v>1499478</v>
      </c>
      <c r="EM3" s="50">
        <f t="shared" si="5"/>
        <v>1755491</v>
      </c>
      <c r="EN3" s="50">
        <f t="shared" si="5"/>
        <v>1848843</v>
      </c>
      <c r="EO3" s="50">
        <f t="shared" si="5"/>
        <v>1814696</v>
      </c>
      <c r="EP3" s="50">
        <f t="shared" si="5"/>
        <v>2072270</v>
      </c>
      <c r="EQ3" s="50">
        <f t="shared" si="5"/>
        <v>1932502</v>
      </c>
      <c r="ER3" s="50">
        <f t="shared" si="5"/>
        <v>1903121</v>
      </c>
      <c r="ES3" s="50">
        <f t="shared" si="5"/>
        <v>1766602</v>
      </c>
      <c r="ET3" s="50">
        <f t="shared" si="5"/>
        <v>2050270</v>
      </c>
      <c r="EU3" s="50">
        <f t="shared" si="5"/>
        <v>2398474</v>
      </c>
      <c r="EV3" s="50">
        <f t="shared" si="5"/>
        <v>2529618</v>
      </c>
      <c r="EW3" s="50">
        <f t="shared" si="5"/>
        <v>1966906</v>
      </c>
      <c r="EX3" s="50">
        <f t="shared" si="5"/>
        <v>1480576</v>
      </c>
      <c r="EY3" s="50">
        <f t="shared" si="5"/>
        <v>1906746</v>
      </c>
      <c r="EZ3" s="50">
        <f t="shared" si="5"/>
        <v>1776013</v>
      </c>
      <c r="FA3" s="50">
        <f t="shared" si="5"/>
        <v>2021751</v>
      </c>
      <c r="FB3" s="50">
        <f t="shared" si="5"/>
        <v>1826985</v>
      </c>
      <c r="FC3" s="50">
        <f t="shared" si="5"/>
        <v>2036906</v>
      </c>
      <c r="FD3" s="50">
        <f t="shared" si="5"/>
        <v>1947613</v>
      </c>
      <c r="FE3" s="50">
        <f t="shared" si="5"/>
        <v>2001140</v>
      </c>
      <c r="FF3" s="50">
        <f t="shared" si="5"/>
        <v>2265954</v>
      </c>
      <c r="FG3" s="50">
        <f t="shared" si="5"/>
        <v>2590451</v>
      </c>
      <c r="FH3" s="50">
        <f t="shared" si="5"/>
        <v>2640762</v>
      </c>
      <c r="FI3" s="50">
        <f t="shared" si="5"/>
        <v>2415487</v>
      </c>
      <c r="FJ3" s="50">
        <f t="shared" si="5"/>
        <v>2010537</v>
      </c>
      <c r="FK3" s="43"/>
      <c r="FL3" s="43"/>
      <c r="FM3" s="43"/>
      <c r="FN3" s="50">
        <f t="shared" ref="FN3:HP3" si="6">+FN35+FN85</f>
        <v>4017782</v>
      </c>
      <c r="FO3" s="50">
        <f t="shared" si="6"/>
        <v>3738604</v>
      </c>
      <c r="FP3" s="50">
        <f t="shared" si="6"/>
        <v>4076156</v>
      </c>
      <c r="FQ3" s="50">
        <f t="shared" si="6"/>
        <v>3893931</v>
      </c>
      <c r="FR3" s="50">
        <f t="shared" si="6"/>
        <v>3939556</v>
      </c>
      <c r="FS3" s="50">
        <f t="shared" si="6"/>
        <v>4062176</v>
      </c>
      <c r="FT3" s="50">
        <f t="shared" si="6"/>
        <v>4463642</v>
      </c>
      <c r="FU3" s="50">
        <f t="shared" si="6"/>
        <v>4396684</v>
      </c>
      <c r="FV3" s="50">
        <f t="shared" si="6"/>
        <v>4561138</v>
      </c>
      <c r="FW3" s="50">
        <f t="shared" si="6"/>
        <v>4885790</v>
      </c>
      <c r="FX3" s="50">
        <f t="shared" si="6"/>
        <v>4642666</v>
      </c>
      <c r="FY3" s="50">
        <f t="shared" si="6"/>
        <v>4374554</v>
      </c>
      <c r="FZ3" s="50">
        <f t="shared" si="6"/>
        <v>4603213</v>
      </c>
      <c r="GA3" s="50">
        <f t="shared" si="6"/>
        <v>4865136</v>
      </c>
      <c r="GB3" s="50">
        <f t="shared" si="6"/>
        <v>4738205</v>
      </c>
      <c r="GC3" s="50">
        <f t="shared" si="6"/>
        <v>4730550</v>
      </c>
      <c r="GD3" s="50">
        <f t="shared" si="6"/>
        <v>5120272</v>
      </c>
      <c r="GE3" s="50">
        <f t="shared" si="6"/>
        <v>5603512</v>
      </c>
      <c r="GF3" s="50">
        <f t="shared" si="6"/>
        <v>4527526</v>
      </c>
      <c r="GG3" s="50">
        <f t="shared" si="6"/>
        <v>4678705</v>
      </c>
      <c r="GH3" s="50">
        <f t="shared" si="6"/>
        <v>5558704</v>
      </c>
      <c r="GI3" s="50">
        <f t="shared" si="6"/>
        <v>6312920</v>
      </c>
      <c r="GJ3" s="50">
        <f t="shared" si="6"/>
        <v>5278922</v>
      </c>
      <c r="GK3" s="50">
        <f t="shared" si="6"/>
        <v>5857145</v>
      </c>
      <c r="GL3" s="50">
        <f t="shared" si="6"/>
        <v>6534808</v>
      </c>
      <c r="GM3" s="50">
        <f t="shared" si="6"/>
        <v>6755062</v>
      </c>
      <c r="GN3" s="50">
        <f t="shared" si="6"/>
        <v>5748223</v>
      </c>
      <c r="GO3" s="50">
        <f t="shared" si="6"/>
        <v>5420958</v>
      </c>
      <c r="GP3" s="50">
        <f t="shared" si="6"/>
        <v>5899657</v>
      </c>
      <c r="GQ3" s="50">
        <f t="shared" si="6"/>
        <v>5591213</v>
      </c>
      <c r="GR3" s="50">
        <f t="shared" si="6"/>
        <v>5109984</v>
      </c>
      <c r="GS3" s="50">
        <f t="shared" si="6"/>
        <v>4337219</v>
      </c>
      <c r="GT3" s="50">
        <f t="shared" si="6"/>
        <v>1585215</v>
      </c>
      <c r="GU3" s="50">
        <f t="shared" si="6"/>
        <v>5458661</v>
      </c>
      <c r="GV3" s="50">
        <f t="shared" si="6"/>
        <v>5847986</v>
      </c>
      <c r="GW3" s="50">
        <f t="shared" si="6"/>
        <v>5459067</v>
      </c>
      <c r="GX3" s="50">
        <f t="shared" si="6"/>
        <v>3540693</v>
      </c>
      <c r="GY3" s="50">
        <f t="shared" si="6"/>
        <v>5220556</v>
      </c>
      <c r="GZ3" s="50">
        <f t="shared" si="6"/>
        <v>4694200</v>
      </c>
      <c r="HA3" s="50">
        <f t="shared" si="6"/>
        <v>4452393</v>
      </c>
      <c r="HB3" s="50">
        <f t="shared" si="6"/>
        <v>4866545</v>
      </c>
      <c r="HC3" s="50">
        <f t="shared" si="6"/>
        <v>5737238</v>
      </c>
      <c r="HD3" s="50">
        <f t="shared" si="6"/>
        <v>4705449</v>
      </c>
      <c r="HE3" s="50">
        <f t="shared" si="6"/>
        <v>4305357</v>
      </c>
      <c r="HF3" s="50">
        <f t="shared" si="6"/>
        <v>4932280</v>
      </c>
      <c r="HG3" s="50">
        <f t="shared" si="6"/>
        <v>5493033</v>
      </c>
      <c r="HH3" s="50">
        <f t="shared" si="6"/>
        <v>5588166</v>
      </c>
      <c r="HI3" s="50">
        <f t="shared" si="6"/>
        <v>5419030</v>
      </c>
      <c r="HJ3" s="50">
        <f t="shared" si="6"/>
        <v>5907893</v>
      </c>
      <c r="HK3" s="50">
        <f t="shared" si="6"/>
        <v>6215346</v>
      </c>
      <c r="HL3" s="50">
        <f t="shared" si="6"/>
        <v>5977100</v>
      </c>
      <c r="HM3" s="50">
        <f t="shared" si="6"/>
        <v>5704510</v>
      </c>
      <c r="HN3" s="50">
        <f t="shared" si="6"/>
        <v>5811504</v>
      </c>
      <c r="HO3" s="50">
        <f t="shared" si="6"/>
        <v>6857545</v>
      </c>
      <c r="HP3" s="50">
        <f t="shared" si="6"/>
        <v>7066786</v>
      </c>
      <c r="HQ3" s="50"/>
      <c r="HR3" s="43"/>
      <c r="HS3" s="43"/>
      <c r="HT3" s="43"/>
      <c r="HU3" s="50">
        <f>+HU35+HU85</f>
        <v>15726473</v>
      </c>
      <c r="HV3" s="50">
        <f t="shared" ref="HU3:IB3" si="7">+HV35+HV85</f>
        <v>16862058</v>
      </c>
      <c r="HW3" s="50">
        <f t="shared" si="7"/>
        <v>18464148</v>
      </c>
      <c r="HX3" s="50">
        <f t="shared" si="7"/>
        <v>18937104</v>
      </c>
      <c r="HY3" s="50">
        <f t="shared" si="7"/>
        <v>19930015</v>
      </c>
      <c r="HZ3" s="50">
        <f t="shared" si="7"/>
        <v>23007691</v>
      </c>
      <c r="IA3" s="50">
        <f t="shared" si="7"/>
        <v>24459051</v>
      </c>
      <c r="IB3" s="50">
        <f t="shared" si="7"/>
        <v>20938073</v>
      </c>
      <c r="IC3" s="50">
        <f>+IC35+IC85+IC44</f>
        <v>18353385</v>
      </c>
      <c r="ID3" s="50">
        <f>+ID35+ID85+ID44</f>
        <v>18027294</v>
      </c>
      <c r="IE3" s="50">
        <f>+IE35+IE85+IE44</f>
        <v>19942151</v>
      </c>
      <c r="IF3" s="50">
        <f>+IF35+IF85+IF44</f>
        <v>21892767</v>
      </c>
      <c r="IG3" s="50">
        <f>+IG35+IG85+IG44</f>
        <v>24577942</v>
      </c>
      <c r="IH3" s="51"/>
    </row>
    <row r="4" spans="1:242" outlineLevel="1" x14ac:dyDescent="0.3">
      <c r="A4" s="52" t="s">
        <v>113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4"/>
      <c r="EF4" s="54"/>
      <c r="EG4" s="54"/>
      <c r="EH4" s="54"/>
      <c r="EI4" s="54"/>
      <c r="EJ4" s="54"/>
      <c r="EK4" s="54"/>
      <c r="EL4" s="54"/>
      <c r="EM4" s="54"/>
      <c r="EN4" s="54"/>
      <c r="EO4" s="54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43"/>
      <c r="FL4" s="43"/>
      <c r="FM4" s="43"/>
      <c r="FN4" s="56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4"/>
      <c r="HM4" s="54"/>
      <c r="HN4" s="54"/>
      <c r="HO4" s="54"/>
      <c r="HP4" s="54"/>
      <c r="HQ4" s="54"/>
      <c r="HR4" s="43"/>
      <c r="HS4" s="43"/>
      <c r="HT4" s="43"/>
      <c r="HU4" s="54"/>
      <c r="HV4" s="54">
        <f t="shared" ref="HV4:IE4" si="8">+HV3/HU3-1</f>
        <v>7.2208498370867957E-2</v>
      </c>
      <c r="HW4" s="54">
        <f t="shared" si="8"/>
        <v>9.5011534179279877E-2</v>
      </c>
      <c r="HX4" s="54">
        <f t="shared" si="8"/>
        <v>2.561482934387227E-2</v>
      </c>
      <c r="HY4" s="54">
        <f t="shared" si="8"/>
        <v>5.2432040295073534E-2</v>
      </c>
      <c r="HZ4" s="54">
        <f t="shared" si="8"/>
        <v>0.15442416877257736</v>
      </c>
      <c r="IA4" s="54">
        <f t="shared" si="8"/>
        <v>6.3081514785642723E-2</v>
      </c>
      <c r="IB4" s="54">
        <f t="shared" si="8"/>
        <v>-0.14395399069244341</v>
      </c>
      <c r="IC4" s="54">
        <f t="shared" si="8"/>
        <v>-0.12344440675128032</v>
      </c>
      <c r="ID4" s="54">
        <f t="shared" si="8"/>
        <v>-1.7767349183815395E-2</v>
      </c>
      <c r="IE4" s="54">
        <f t="shared" si="8"/>
        <v>0.10621987970019231</v>
      </c>
      <c r="IF4" s="54">
        <f>+IF3/IE3-1</f>
        <v>9.7813721298168899E-2</v>
      </c>
      <c r="IG4" s="54">
        <f>+IG3/IF3-1</f>
        <v>0.12265123910559139</v>
      </c>
    </row>
    <row r="5" spans="1:242" outlineLevel="2" x14ac:dyDescent="0.3">
      <c r="A5" s="57" t="s">
        <v>114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9"/>
      <c r="CL5" s="59"/>
      <c r="CM5" s="59"/>
      <c r="CN5" s="59"/>
      <c r="CO5" s="59"/>
      <c r="CP5" s="59"/>
      <c r="CQ5" s="59"/>
      <c r="CR5" s="59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43"/>
      <c r="FL5" s="43"/>
      <c r="FM5" s="43"/>
      <c r="FN5" s="62"/>
      <c r="FO5" s="59"/>
      <c r="FP5" s="59"/>
      <c r="FQ5" s="59"/>
      <c r="FR5" s="59"/>
      <c r="FS5" s="59"/>
      <c r="FT5" s="59"/>
      <c r="FU5" s="59"/>
      <c r="FV5" s="59"/>
      <c r="FW5" s="59"/>
      <c r="FX5" s="59"/>
      <c r="FY5" s="59"/>
      <c r="FZ5" s="59"/>
      <c r="GA5" s="59"/>
      <c r="GB5" s="59"/>
      <c r="GC5" s="59"/>
      <c r="GD5" s="59"/>
      <c r="GE5" s="59"/>
      <c r="GF5" s="59"/>
      <c r="GG5" s="59"/>
      <c r="GH5" s="59"/>
      <c r="GI5" s="59"/>
      <c r="GJ5" s="59"/>
      <c r="GK5" s="59"/>
      <c r="GL5" s="59"/>
      <c r="GM5" s="59"/>
      <c r="GN5" s="59"/>
      <c r="GO5" s="59"/>
      <c r="GP5" s="59"/>
      <c r="GQ5" s="59"/>
      <c r="GR5" s="59"/>
      <c r="GS5" s="59"/>
      <c r="GT5" s="59"/>
      <c r="GU5" s="59"/>
      <c r="GV5" s="59"/>
      <c r="GW5" s="59"/>
      <c r="GX5" s="59"/>
      <c r="GY5" s="59"/>
      <c r="GZ5" s="59"/>
      <c r="HA5" s="59"/>
      <c r="HB5" s="59"/>
      <c r="HC5" s="59"/>
      <c r="HD5" s="59"/>
      <c r="HE5" s="59"/>
      <c r="HF5" s="59"/>
      <c r="HG5" s="59"/>
      <c r="HH5" s="59"/>
      <c r="HI5" s="59"/>
      <c r="HJ5" s="59"/>
      <c r="HK5" s="59"/>
      <c r="HL5" s="60"/>
      <c r="HM5" s="60"/>
      <c r="HN5" s="60"/>
      <c r="HO5" s="60"/>
      <c r="HP5" s="60"/>
      <c r="HQ5" s="60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</row>
    <row r="6" spans="1:242" outlineLevel="2" x14ac:dyDescent="0.3">
      <c r="A6" s="63" t="s">
        <v>115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>
        <v>0</v>
      </c>
      <c r="EE6" s="64">
        <v>0</v>
      </c>
      <c r="EF6" s="64">
        <v>0</v>
      </c>
      <c r="EG6" s="64">
        <v>0</v>
      </c>
      <c r="EH6" s="64">
        <v>0</v>
      </c>
      <c r="EI6" s="64">
        <v>0</v>
      </c>
      <c r="EJ6" s="64">
        <v>0</v>
      </c>
      <c r="EK6" s="64">
        <v>0</v>
      </c>
      <c r="EL6" s="65">
        <v>0</v>
      </c>
      <c r="EM6" s="64">
        <v>0</v>
      </c>
      <c r="EN6" s="64">
        <v>0</v>
      </c>
      <c r="EO6" s="64">
        <v>0</v>
      </c>
      <c r="EP6" s="64">
        <v>0</v>
      </c>
      <c r="EQ6" s="64">
        <v>0</v>
      </c>
      <c r="ER6" s="64">
        <v>0</v>
      </c>
      <c r="ES6" s="64">
        <v>0</v>
      </c>
      <c r="ET6" s="64">
        <v>0</v>
      </c>
      <c r="EU6" s="64">
        <v>0</v>
      </c>
      <c r="EV6" s="64">
        <v>0</v>
      </c>
      <c r="EW6" s="64">
        <v>0</v>
      </c>
      <c r="EX6" s="64">
        <v>0</v>
      </c>
      <c r="EY6" s="64">
        <v>0</v>
      </c>
      <c r="EZ6" s="64">
        <v>0</v>
      </c>
      <c r="FA6" s="64">
        <v>0</v>
      </c>
      <c r="FB6" s="64">
        <v>0</v>
      </c>
      <c r="FC6" s="64">
        <v>0</v>
      </c>
      <c r="FD6" s="64">
        <v>0</v>
      </c>
      <c r="FE6" s="64">
        <v>0</v>
      </c>
      <c r="FF6" s="64">
        <v>0</v>
      </c>
      <c r="FG6" s="64">
        <v>0</v>
      </c>
      <c r="FH6" s="64">
        <v>0</v>
      </c>
      <c r="FI6" s="64">
        <v>0</v>
      </c>
      <c r="FJ6" s="64">
        <v>0</v>
      </c>
      <c r="FK6" s="43"/>
      <c r="FL6" s="43"/>
      <c r="FM6" s="43"/>
      <c r="FN6" s="66">
        <f t="shared" ref="FN6" si="9">+SUM(B6:D6)</f>
        <v>0</v>
      </c>
      <c r="FO6" s="67">
        <f t="shared" ref="FO6" si="10">+SUM(E6:G6)</f>
        <v>0</v>
      </c>
      <c r="FP6" s="67">
        <f t="shared" ref="FP6:FP69" si="11">+SUM(H6:J6)</f>
        <v>0</v>
      </c>
      <c r="FQ6" s="67">
        <f t="shared" ref="FQ6:FQ69" si="12">+SUM(K6:M6)</f>
        <v>0</v>
      </c>
      <c r="FR6" s="67">
        <f t="shared" ref="FR6:FR69" si="13">+SUM(N6:P6)</f>
        <v>0</v>
      </c>
      <c r="FS6" s="67">
        <f t="shared" ref="FS6:FS69" si="14">+SUM(Q6:S6)</f>
        <v>0</v>
      </c>
      <c r="FT6" s="67">
        <f t="shared" ref="FT6:FT69" si="15">+SUM(T6:V6)</f>
        <v>0</v>
      </c>
      <c r="FU6" s="67">
        <f t="shared" ref="FU6:FU69" si="16">+SUM(W6:Y6)</f>
        <v>0</v>
      </c>
      <c r="FV6" s="67">
        <f t="shared" ref="FV6:FV69" si="17">+SUM(Z6:AB6)</f>
        <v>0</v>
      </c>
      <c r="FW6" s="67">
        <f t="shared" ref="FW6:FW69" si="18">+SUM(AC6:AE6)</f>
        <v>0</v>
      </c>
      <c r="FX6" s="67">
        <f t="shared" ref="FX6:FX69" si="19">+SUM(AF6:AH6)</f>
        <v>0</v>
      </c>
      <c r="FY6" s="67">
        <f t="shared" ref="FY6:FY69" si="20">+SUM(AI6:AK6)</f>
        <v>0</v>
      </c>
      <c r="FZ6" s="67">
        <f t="shared" ref="FZ6:FZ69" si="21">+SUM(AL6:AN6)</f>
        <v>0</v>
      </c>
      <c r="GA6" s="67">
        <f t="shared" ref="GA6:GA69" si="22">+SUM(AO6:AQ6)</f>
        <v>0</v>
      </c>
      <c r="GB6" s="67">
        <f t="shared" ref="GB6:GB69" si="23">+SUM(AR6:AT6)</f>
        <v>0</v>
      </c>
      <c r="GC6" s="67">
        <f t="shared" ref="GC6:GC69" si="24">+SUM(AU6:AW6)</f>
        <v>0</v>
      </c>
      <c r="GD6" s="67">
        <f t="shared" ref="GD6:GD69" si="25">+SUM(AX6:AZ6)</f>
        <v>0</v>
      </c>
      <c r="GE6" s="67">
        <f t="shared" ref="GE6:GE69" si="26">+SUM(BA6:BC6)</f>
        <v>0</v>
      </c>
      <c r="GF6" s="67">
        <f t="shared" ref="GF6:GF69" si="27">+SUM(BD6:BF6)</f>
        <v>0</v>
      </c>
      <c r="GG6" s="67">
        <f t="shared" ref="GG6:GG69" si="28">+SUM(BG6:BI6)</f>
        <v>0</v>
      </c>
      <c r="GH6" s="67">
        <f t="shared" ref="GH6:GH69" si="29">+SUM(BJ6:BL6)</f>
        <v>0</v>
      </c>
      <c r="GI6" s="67">
        <f t="shared" ref="GI6:GI69" si="30">+SUM(BM6:BO6)</f>
        <v>0</v>
      </c>
      <c r="GJ6" s="67">
        <f t="shared" ref="GJ6:GJ69" si="31">+SUM(BP6:BR6)</f>
        <v>0</v>
      </c>
      <c r="GK6" s="67">
        <f t="shared" ref="GK6:GK69" si="32">+SUM(BS6:BU6)</f>
        <v>0</v>
      </c>
      <c r="GL6" s="67">
        <f t="shared" ref="GL6:GL69" si="33">+SUM(BV6:BX6)</f>
        <v>0</v>
      </c>
      <c r="GM6" s="67">
        <f t="shared" ref="GM6:GM69" si="34">+SUM(BY6:CA6)</f>
        <v>0</v>
      </c>
      <c r="GN6" s="67">
        <f t="shared" ref="GN6:GN69" si="35">+SUM(CB6:CD6)</f>
        <v>0</v>
      </c>
      <c r="GO6" s="67">
        <f t="shared" ref="GO6:GO69" si="36">+SUM(CE6:CG6)</f>
        <v>0</v>
      </c>
      <c r="GP6" s="67">
        <f t="shared" ref="GP6:GP69" si="37">+SUM(CH6:CJ6)</f>
        <v>0</v>
      </c>
      <c r="GQ6" s="67">
        <f t="shared" ref="GQ6:GQ69" si="38">+SUM(CK6:CM6)</f>
        <v>0</v>
      </c>
      <c r="GR6" s="67">
        <f t="shared" ref="GR6:GR69" si="39">+SUM(CN6:CP6)</f>
        <v>0</v>
      </c>
      <c r="GS6" s="67">
        <f t="shared" ref="GS6:GS69" si="40">+SUM(CQ6:CS6)</f>
        <v>0</v>
      </c>
      <c r="GT6" s="67">
        <f t="shared" ref="GT6:GT69" si="41">+SUM(CT6:CV6)</f>
        <v>0</v>
      </c>
      <c r="GU6" s="67">
        <f t="shared" ref="GU6:GU69" si="42">+SUM(CW6:CY6)</f>
        <v>0</v>
      </c>
      <c r="GV6" s="67">
        <f t="shared" ref="GV6:GV69" si="43">+SUM(CZ6:DB6)</f>
        <v>0</v>
      </c>
      <c r="GW6" s="67">
        <f t="shared" ref="GW6:GW69" si="44">+SUM(DC6:DE6)</f>
        <v>0</v>
      </c>
      <c r="GX6" s="67">
        <f t="shared" ref="GX6:GX69" si="45">+SUM(DF6:DH6)</f>
        <v>0</v>
      </c>
      <c r="GY6" s="67">
        <f t="shared" ref="GY6:GY69" si="46">+SUM(DI6:DK6)</f>
        <v>0</v>
      </c>
      <c r="GZ6" s="67">
        <f t="shared" ref="GZ6:GZ24" si="47">+SUM(DL6:DN6)</f>
        <v>0</v>
      </c>
      <c r="HA6" s="67">
        <f t="shared" ref="HA6:HA24" si="48">+SUM(DO6:DQ6)</f>
        <v>0</v>
      </c>
      <c r="HB6" s="67">
        <f t="shared" ref="HB6:HB24" si="49">+SUM(DR6:DT6)</f>
        <v>0</v>
      </c>
      <c r="HC6" s="67">
        <f t="shared" ref="HC6:HC24" si="50">+SUM(DU6:DW6)</f>
        <v>0</v>
      </c>
      <c r="HD6" s="67">
        <f t="shared" ref="HD6:HD24" si="51">+SUM(DX6:DZ6)</f>
        <v>0</v>
      </c>
      <c r="HE6" s="67">
        <f t="shared" ref="HE6:HE24" si="52">+SUM(EA6:EC6)</f>
        <v>0</v>
      </c>
      <c r="HF6" s="67">
        <f t="shared" ref="HF6:HF24" si="53">+SUM(ED6:EF6)</f>
        <v>0</v>
      </c>
      <c r="HG6" s="67">
        <f t="shared" ref="HG6:HG24" si="54">+SUM(EG6:EI6)</f>
        <v>0</v>
      </c>
      <c r="HH6" s="67">
        <f t="shared" ref="HH6:HH24" si="55">+SUM(EJ6:EL6)</f>
        <v>0</v>
      </c>
      <c r="HI6" s="67">
        <f t="shared" ref="HI6:HI24" si="56">+SUM(EM6:EO6)</f>
        <v>0</v>
      </c>
      <c r="HJ6" s="67">
        <f>SUM(EP6:ER6)</f>
        <v>0</v>
      </c>
      <c r="HK6" s="67">
        <f t="shared" ref="HK6:HK24" si="57">SUM(ES6:EU6)</f>
        <v>0</v>
      </c>
      <c r="HL6" s="67">
        <f t="shared" ref="HL6:HL24" si="58">SUM(EV6:EX6)</f>
        <v>0</v>
      </c>
      <c r="HM6" s="67">
        <f t="shared" ref="HM6:HM24" si="59">SUM(EY6:FA6)</f>
        <v>0</v>
      </c>
      <c r="HN6" s="67">
        <f t="shared" ref="HN6:HN24" si="60">SUM(FB6:FD6)</f>
        <v>0</v>
      </c>
      <c r="HO6" s="67">
        <f t="shared" ref="HO6:HO24" si="61">SUM(FE6:FG6)</f>
        <v>0</v>
      </c>
      <c r="HP6" s="67">
        <f t="shared" ref="HP6:HP24" si="62">SUM(FH6:FJ6)</f>
        <v>0</v>
      </c>
      <c r="HQ6" s="60"/>
      <c r="HR6" s="43"/>
      <c r="HS6" s="43"/>
      <c r="HT6" s="43"/>
      <c r="HU6" s="68">
        <f t="shared" ref="HU6:HU69" si="63">SUM(B6:M6)</f>
        <v>0</v>
      </c>
      <c r="HV6" s="68">
        <f t="shared" ref="HV6:HV69" si="64">SUM(N6:Y6)</f>
        <v>0</v>
      </c>
      <c r="HW6" s="68">
        <f t="shared" ref="HW6:HW69" si="65">SUM(Z6:AK6)</f>
        <v>0</v>
      </c>
      <c r="HX6" s="69">
        <f t="shared" ref="HX6:HX69" si="66">SUM(AL6:AW6)</f>
        <v>0</v>
      </c>
      <c r="HY6" s="70">
        <f t="shared" ref="HY6:HY69" si="67">SUM(AX6:BI6)</f>
        <v>0</v>
      </c>
      <c r="HZ6" s="70">
        <f t="shared" ref="HZ6:HZ69" si="68">SUM(BJ6:BU6)</f>
        <v>0</v>
      </c>
      <c r="IA6" s="70">
        <f t="shared" ref="IA6:IA69" si="69">SUM(BV6:CG6)</f>
        <v>0</v>
      </c>
      <c r="IB6" s="70">
        <f t="shared" ref="IB6:IB69" si="70">SUM(CH6:CS6)</f>
        <v>0</v>
      </c>
      <c r="IC6" s="70">
        <f t="shared" ref="IC6:IC69" si="71">SUM(CT6:DE6)</f>
        <v>0</v>
      </c>
      <c r="ID6" s="70">
        <f t="shared" ref="ID6:ID24" si="72">SUM(DF6:DQ6)</f>
        <v>0</v>
      </c>
      <c r="IE6" s="70">
        <f t="shared" ref="IE6:IE24" si="73">SUM(DR6:EC6)</f>
        <v>0</v>
      </c>
      <c r="IF6" s="70">
        <f t="shared" ref="IF6:IF24" si="74">SUM(ED6:EO6)</f>
        <v>0</v>
      </c>
      <c r="IG6" s="70">
        <f t="shared" ref="IG6:IG24" si="75">SUM(EP6:FA6)</f>
        <v>0</v>
      </c>
    </row>
    <row r="7" spans="1:242" outlineLevel="2" x14ac:dyDescent="0.3">
      <c r="A7" s="71" t="s">
        <v>116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3"/>
      <c r="CL7" s="73"/>
      <c r="CM7" s="73"/>
      <c r="CN7" s="73"/>
      <c r="CO7" s="73"/>
      <c r="CP7" s="73"/>
      <c r="CQ7" s="72"/>
      <c r="CR7" s="72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  <c r="DK7" s="74"/>
      <c r="DL7" s="74"/>
      <c r="DM7" s="74"/>
      <c r="DN7" s="74"/>
      <c r="DO7" s="74"/>
      <c r="DP7" s="74"/>
      <c r="DQ7" s="74"/>
      <c r="DR7" s="74"/>
      <c r="DS7" s="74">
        <v>0</v>
      </c>
      <c r="DT7" s="74">
        <v>0</v>
      </c>
      <c r="DU7" s="74">
        <v>0</v>
      </c>
      <c r="DV7" s="74">
        <v>0</v>
      </c>
      <c r="DW7" s="74">
        <v>0</v>
      </c>
      <c r="DX7" s="74">
        <v>0</v>
      </c>
      <c r="DY7" s="74">
        <v>0</v>
      </c>
      <c r="DZ7" s="74">
        <v>0</v>
      </c>
      <c r="EA7" s="74">
        <v>0</v>
      </c>
      <c r="EB7" s="74">
        <v>0</v>
      </c>
      <c r="EC7" s="74">
        <v>0</v>
      </c>
      <c r="ED7" s="74">
        <v>0</v>
      </c>
      <c r="EE7" s="74">
        <v>0</v>
      </c>
      <c r="EF7" s="74"/>
      <c r="EG7" s="74"/>
      <c r="EH7" s="74"/>
      <c r="EI7" s="74">
        <v>0</v>
      </c>
      <c r="EJ7" s="74">
        <v>0</v>
      </c>
      <c r="EK7" s="74">
        <v>0</v>
      </c>
      <c r="EL7" s="74">
        <v>0</v>
      </c>
      <c r="EM7" s="74">
        <v>0</v>
      </c>
      <c r="EN7" s="74">
        <v>0</v>
      </c>
      <c r="EO7" s="74">
        <v>0</v>
      </c>
      <c r="EP7" s="74">
        <v>0</v>
      </c>
      <c r="EQ7" s="74">
        <v>0</v>
      </c>
      <c r="ER7" s="74">
        <v>0</v>
      </c>
      <c r="ES7" s="74">
        <v>0</v>
      </c>
      <c r="ET7" s="74">
        <v>0</v>
      </c>
      <c r="EU7" s="74">
        <v>0</v>
      </c>
      <c r="EV7" s="74">
        <v>0</v>
      </c>
      <c r="EW7" s="74">
        <v>0</v>
      </c>
      <c r="EX7" s="74">
        <v>0</v>
      </c>
      <c r="EY7" s="74">
        <v>0</v>
      </c>
      <c r="EZ7" s="74">
        <v>0</v>
      </c>
      <c r="FA7" s="74">
        <v>0</v>
      </c>
      <c r="FB7" s="74">
        <v>0</v>
      </c>
      <c r="FC7" s="74">
        <v>0</v>
      </c>
      <c r="FD7" s="74">
        <v>0</v>
      </c>
      <c r="FE7" s="74">
        <v>0</v>
      </c>
      <c r="FF7" s="74">
        <v>0</v>
      </c>
      <c r="FG7" s="74">
        <v>0</v>
      </c>
      <c r="FH7" s="74">
        <v>0</v>
      </c>
      <c r="FI7" s="74">
        <v>0</v>
      </c>
      <c r="FJ7" s="74">
        <v>0</v>
      </c>
      <c r="FK7" s="43"/>
      <c r="FL7" s="43"/>
      <c r="FM7" s="43"/>
      <c r="FN7" s="75">
        <f t="shared" ref="FN7:FN70" si="76">+SUM(B7:D7)</f>
        <v>0</v>
      </c>
      <c r="FO7" s="76">
        <f t="shared" ref="FO7:FO70" si="77">+SUM(E7:G7)</f>
        <v>0</v>
      </c>
      <c r="FP7" s="76">
        <f t="shared" si="11"/>
        <v>0</v>
      </c>
      <c r="FQ7" s="76">
        <f t="shared" si="12"/>
        <v>0</v>
      </c>
      <c r="FR7" s="76">
        <f t="shared" si="13"/>
        <v>0</v>
      </c>
      <c r="FS7" s="76">
        <f t="shared" si="14"/>
        <v>0</v>
      </c>
      <c r="FT7" s="76">
        <f t="shared" si="15"/>
        <v>0</v>
      </c>
      <c r="FU7" s="76">
        <f t="shared" si="16"/>
        <v>0</v>
      </c>
      <c r="FV7" s="76">
        <f t="shared" si="17"/>
        <v>0</v>
      </c>
      <c r="FW7" s="76">
        <f t="shared" si="18"/>
        <v>0</v>
      </c>
      <c r="FX7" s="76">
        <f t="shared" si="19"/>
        <v>0</v>
      </c>
      <c r="FY7" s="76">
        <f t="shared" si="20"/>
        <v>0</v>
      </c>
      <c r="FZ7" s="76">
        <f t="shared" si="21"/>
        <v>0</v>
      </c>
      <c r="GA7" s="76">
        <f t="shared" si="22"/>
        <v>0</v>
      </c>
      <c r="GB7" s="76">
        <f t="shared" si="23"/>
        <v>0</v>
      </c>
      <c r="GC7" s="76">
        <f t="shared" si="24"/>
        <v>0</v>
      </c>
      <c r="GD7" s="76">
        <f t="shared" si="25"/>
        <v>0</v>
      </c>
      <c r="GE7" s="76">
        <f t="shared" si="26"/>
        <v>0</v>
      </c>
      <c r="GF7" s="76">
        <f t="shared" si="27"/>
        <v>0</v>
      </c>
      <c r="GG7" s="76">
        <f t="shared" si="28"/>
        <v>0</v>
      </c>
      <c r="GH7" s="76">
        <f t="shared" si="29"/>
        <v>0</v>
      </c>
      <c r="GI7" s="76">
        <f t="shared" si="30"/>
        <v>0</v>
      </c>
      <c r="GJ7" s="76">
        <f t="shared" si="31"/>
        <v>0</v>
      </c>
      <c r="GK7" s="76">
        <f t="shared" si="32"/>
        <v>0</v>
      </c>
      <c r="GL7" s="76">
        <f t="shared" si="33"/>
        <v>0</v>
      </c>
      <c r="GM7" s="76">
        <f t="shared" si="34"/>
        <v>0</v>
      </c>
      <c r="GN7" s="76">
        <f t="shared" si="35"/>
        <v>0</v>
      </c>
      <c r="GO7" s="76">
        <f t="shared" si="36"/>
        <v>0</v>
      </c>
      <c r="GP7" s="76">
        <f t="shared" si="37"/>
        <v>0</v>
      </c>
      <c r="GQ7" s="76">
        <f t="shared" si="38"/>
        <v>0</v>
      </c>
      <c r="GR7" s="76">
        <f t="shared" si="39"/>
        <v>0</v>
      </c>
      <c r="GS7" s="76">
        <f t="shared" si="40"/>
        <v>0</v>
      </c>
      <c r="GT7" s="76">
        <f t="shared" si="41"/>
        <v>0</v>
      </c>
      <c r="GU7" s="76">
        <f t="shared" si="42"/>
        <v>0</v>
      </c>
      <c r="GV7" s="76">
        <f t="shared" si="43"/>
        <v>0</v>
      </c>
      <c r="GW7" s="76">
        <f t="shared" si="44"/>
        <v>0</v>
      </c>
      <c r="GX7" s="76">
        <f t="shared" si="45"/>
        <v>0</v>
      </c>
      <c r="GY7" s="76">
        <f t="shared" si="46"/>
        <v>0</v>
      </c>
      <c r="GZ7" s="76">
        <f t="shared" si="47"/>
        <v>0</v>
      </c>
      <c r="HA7" s="76">
        <f t="shared" si="48"/>
        <v>0</v>
      </c>
      <c r="HB7" s="76">
        <f t="shared" si="49"/>
        <v>0</v>
      </c>
      <c r="HC7" s="76">
        <f t="shared" si="50"/>
        <v>0</v>
      </c>
      <c r="HD7" s="76">
        <f t="shared" si="51"/>
        <v>0</v>
      </c>
      <c r="HE7" s="76">
        <f t="shared" si="52"/>
        <v>0</v>
      </c>
      <c r="HF7" s="76">
        <f t="shared" si="53"/>
        <v>0</v>
      </c>
      <c r="HG7" s="76">
        <f t="shared" si="54"/>
        <v>0</v>
      </c>
      <c r="HH7" s="76">
        <f t="shared" si="55"/>
        <v>0</v>
      </c>
      <c r="HI7" s="76">
        <f t="shared" si="56"/>
        <v>0</v>
      </c>
      <c r="HJ7" s="76">
        <f t="shared" ref="HJ7:HJ37" si="78">SUM(EP7:ER7)</f>
        <v>0</v>
      </c>
      <c r="HK7" s="76">
        <f t="shared" si="57"/>
        <v>0</v>
      </c>
      <c r="HL7" s="76">
        <f t="shared" si="58"/>
        <v>0</v>
      </c>
      <c r="HM7" s="76">
        <f t="shared" si="59"/>
        <v>0</v>
      </c>
      <c r="HN7" s="76">
        <f t="shared" si="60"/>
        <v>0</v>
      </c>
      <c r="HO7" s="76">
        <f t="shared" si="61"/>
        <v>0</v>
      </c>
      <c r="HP7" s="76">
        <f t="shared" si="62"/>
        <v>0</v>
      </c>
      <c r="HQ7" s="77"/>
      <c r="HR7" s="43"/>
      <c r="HS7" s="43"/>
      <c r="HT7" s="43"/>
      <c r="HU7" s="78">
        <f t="shared" si="63"/>
        <v>0</v>
      </c>
      <c r="HV7" s="78">
        <f t="shared" si="64"/>
        <v>0</v>
      </c>
      <c r="HW7" s="78">
        <f t="shared" si="65"/>
        <v>0</v>
      </c>
      <c r="HX7" s="79">
        <f t="shared" si="66"/>
        <v>0</v>
      </c>
      <c r="HY7" s="80">
        <f t="shared" si="67"/>
        <v>0</v>
      </c>
      <c r="HZ7" s="80">
        <f t="shared" si="68"/>
        <v>0</v>
      </c>
      <c r="IA7" s="80">
        <f t="shared" si="69"/>
        <v>0</v>
      </c>
      <c r="IB7" s="80">
        <f t="shared" si="70"/>
        <v>0</v>
      </c>
      <c r="IC7" s="80">
        <f t="shared" si="71"/>
        <v>0</v>
      </c>
      <c r="ID7" s="80">
        <f t="shared" si="72"/>
        <v>0</v>
      </c>
      <c r="IE7" s="80">
        <f t="shared" si="73"/>
        <v>0</v>
      </c>
      <c r="IF7" s="80">
        <f t="shared" si="74"/>
        <v>0</v>
      </c>
      <c r="IG7" s="80">
        <f t="shared" si="75"/>
        <v>0</v>
      </c>
    </row>
    <row r="8" spans="1:242" outlineLevel="2" x14ac:dyDescent="0.3">
      <c r="A8" s="63" t="s">
        <v>117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>
        <v>62855</v>
      </c>
      <c r="AA8" s="58">
        <v>63911</v>
      </c>
      <c r="AB8" s="58">
        <v>59012</v>
      </c>
      <c r="AC8" s="58">
        <v>52792</v>
      </c>
      <c r="AD8" s="58">
        <v>46764</v>
      </c>
      <c r="AE8" s="58">
        <v>66996</v>
      </c>
      <c r="AF8" s="58">
        <v>59498</v>
      </c>
      <c r="AG8" s="58">
        <v>62520</v>
      </c>
      <c r="AH8" s="58">
        <v>74509</v>
      </c>
      <c r="AI8" s="58">
        <v>77033</v>
      </c>
      <c r="AJ8" s="58">
        <v>67442</v>
      </c>
      <c r="AK8" s="58">
        <v>58720</v>
      </c>
      <c r="AL8" s="58">
        <v>56352</v>
      </c>
      <c r="AM8" s="58">
        <v>50795</v>
      </c>
      <c r="AN8" s="58">
        <v>41761</v>
      </c>
      <c r="AO8" s="58">
        <v>45151</v>
      </c>
      <c r="AP8" s="58">
        <v>47388</v>
      </c>
      <c r="AQ8" s="58">
        <v>62986</v>
      </c>
      <c r="AR8" s="58">
        <v>103913</v>
      </c>
      <c r="AS8" s="58">
        <v>66299</v>
      </c>
      <c r="AT8" s="58">
        <v>82517</v>
      </c>
      <c r="AU8" s="58">
        <v>86649</v>
      </c>
      <c r="AV8" s="58">
        <v>88156</v>
      </c>
      <c r="AW8" s="58">
        <v>86810</v>
      </c>
      <c r="AX8" s="58">
        <v>83506</v>
      </c>
      <c r="AY8" s="58">
        <v>66846</v>
      </c>
      <c r="AZ8" s="58">
        <v>60524</v>
      </c>
      <c r="BA8" s="58">
        <v>72440</v>
      </c>
      <c r="BB8" s="58">
        <v>81015</v>
      </c>
      <c r="BC8" s="58">
        <v>83990</v>
      </c>
      <c r="BD8" s="58">
        <v>88790</v>
      </c>
      <c r="BE8" s="58">
        <v>53410</v>
      </c>
      <c r="BF8" s="58">
        <v>32785</v>
      </c>
      <c r="BG8" s="58">
        <v>34949</v>
      </c>
      <c r="BH8" s="58">
        <v>61732</v>
      </c>
      <c r="BI8" s="58">
        <v>69987</v>
      </c>
      <c r="BJ8" s="58">
        <v>63746</v>
      </c>
      <c r="BK8" s="58">
        <v>70562</v>
      </c>
      <c r="BL8" s="58">
        <v>75482</v>
      </c>
      <c r="BM8" s="58">
        <v>67369</v>
      </c>
      <c r="BN8" s="58">
        <v>77638</v>
      </c>
      <c r="BO8" s="58">
        <v>88524</v>
      </c>
      <c r="BP8" s="58">
        <v>80535</v>
      </c>
      <c r="BQ8" s="58">
        <v>77783</v>
      </c>
      <c r="BR8" s="58">
        <v>57054</v>
      </c>
      <c r="BS8" s="58">
        <v>76062</v>
      </c>
      <c r="BT8" s="58">
        <v>70123</v>
      </c>
      <c r="BU8" s="58">
        <v>78789</v>
      </c>
      <c r="BV8" s="58">
        <v>70072</v>
      </c>
      <c r="BW8" s="58">
        <v>55398</v>
      </c>
      <c r="BX8" s="58">
        <v>63755</v>
      </c>
      <c r="BY8" s="58">
        <v>53086</v>
      </c>
      <c r="BZ8" s="58">
        <v>71639</v>
      </c>
      <c r="CA8" s="58">
        <v>77069</v>
      </c>
      <c r="CB8" s="58">
        <v>73685</v>
      </c>
      <c r="CC8" s="58">
        <v>64852</v>
      </c>
      <c r="CD8" s="58">
        <v>35881</v>
      </c>
      <c r="CE8" s="58">
        <v>53511</v>
      </c>
      <c r="CF8" s="58">
        <v>56543</v>
      </c>
      <c r="CG8" s="58">
        <v>43596</v>
      </c>
      <c r="CH8" s="58">
        <v>33771</v>
      </c>
      <c r="CI8" s="58">
        <v>44548</v>
      </c>
      <c r="CJ8" s="58">
        <v>32919</v>
      </c>
      <c r="CK8" s="58">
        <v>43684</v>
      </c>
      <c r="CL8" s="58">
        <v>42367</v>
      </c>
      <c r="CM8" s="58">
        <v>52076</v>
      </c>
      <c r="CN8" s="58">
        <v>45316</v>
      </c>
      <c r="CO8" s="58">
        <v>36093</v>
      </c>
      <c r="CP8" s="58">
        <v>20802</v>
      </c>
      <c r="CQ8" s="58">
        <v>6140</v>
      </c>
      <c r="CR8" s="58">
        <v>17844</v>
      </c>
      <c r="CS8" s="64">
        <v>27116</v>
      </c>
      <c r="CT8" s="64"/>
      <c r="CU8" s="64">
        <v>5944</v>
      </c>
      <c r="CV8" s="64">
        <v>33187</v>
      </c>
      <c r="CW8" s="64">
        <v>35675</v>
      </c>
      <c r="CX8" s="64">
        <v>39065</v>
      </c>
      <c r="CY8" s="64">
        <v>53741</v>
      </c>
      <c r="CZ8" s="64">
        <v>73346</v>
      </c>
      <c r="DA8" s="64">
        <v>47634</v>
      </c>
      <c r="DB8" s="64">
        <v>28790</v>
      </c>
      <c r="DC8" s="64">
        <v>34475</v>
      </c>
      <c r="DD8" s="64">
        <v>41036</v>
      </c>
      <c r="DE8" s="64">
        <v>50565</v>
      </c>
      <c r="DF8" s="64">
        <v>32099</v>
      </c>
      <c r="DG8" s="64">
        <v>3364</v>
      </c>
      <c r="DH8" s="64">
        <v>25990</v>
      </c>
      <c r="DI8" s="64">
        <v>29414</v>
      </c>
      <c r="DJ8" s="64">
        <v>31580</v>
      </c>
      <c r="DK8" s="64">
        <v>40143</v>
      </c>
      <c r="DL8" s="64">
        <v>41528</v>
      </c>
      <c r="DM8" s="64">
        <v>19790</v>
      </c>
      <c r="DN8" s="64">
        <v>17438</v>
      </c>
      <c r="DO8" s="64">
        <v>21987</v>
      </c>
      <c r="DP8" s="64">
        <v>19298</v>
      </c>
      <c r="DQ8" s="64">
        <v>23261</v>
      </c>
      <c r="DR8" s="64">
        <v>25438</v>
      </c>
      <c r="DS8" s="64">
        <v>33912</v>
      </c>
      <c r="DT8" s="64">
        <v>21989</v>
      </c>
      <c r="DU8" s="64">
        <v>23546</v>
      </c>
      <c r="DV8" s="64">
        <v>31125</v>
      </c>
      <c r="DW8" s="64">
        <v>38974</v>
      </c>
      <c r="DX8" s="64">
        <v>34564</v>
      </c>
      <c r="DY8" s="64">
        <v>37127</v>
      </c>
      <c r="DZ8" s="64">
        <v>35400</v>
      </c>
      <c r="EA8" s="64">
        <v>22970</v>
      </c>
      <c r="EB8" s="64">
        <v>22152</v>
      </c>
      <c r="EC8" s="64">
        <v>31250</v>
      </c>
      <c r="ED8" s="64">
        <v>25024</v>
      </c>
      <c r="EE8" s="64">
        <v>29040</v>
      </c>
      <c r="EF8" s="64">
        <v>26948</v>
      </c>
      <c r="EG8" s="64">
        <v>26475</v>
      </c>
      <c r="EH8" s="64">
        <v>31779</v>
      </c>
      <c r="EI8" s="64">
        <v>36942</v>
      </c>
      <c r="EJ8" s="64">
        <v>39086</v>
      </c>
      <c r="EK8" s="64">
        <v>42930</v>
      </c>
      <c r="EL8" s="64">
        <v>37180</v>
      </c>
      <c r="EM8" s="64">
        <v>29062</v>
      </c>
      <c r="EN8" s="64">
        <v>28988</v>
      </c>
      <c r="EO8" s="64">
        <v>27194</v>
      </c>
      <c r="EP8" s="64">
        <v>28832</v>
      </c>
      <c r="EQ8" s="64">
        <v>21166</v>
      </c>
      <c r="ER8" s="64">
        <v>24832</v>
      </c>
      <c r="ES8" s="64">
        <v>22563</v>
      </c>
      <c r="ET8" s="64">
        <v>25683</v>
      </c>
      <c r="EU8" s="64">
        <v>33144</v>
      </c>
      <c r="EV8" s="64">
        <v>33051</v>
      </c>
      <c r="EW8" s="64">
        <v>28358</v>
      </c>
      <c r="EX8" s="64">
        <v>23906</v>
      </c>
      <c r="EY8" s="64">
        <v>31530</v>
      </c>
      <c r="EZ8" s="64">
        <v>27915</v>
      </c>
      <c r="FA8" s="64">
        <v>31936</v>
      </c>
      <c r="FB8" s="64">
        <v>10862</v>
      </c>
      <c r="FC8" s="64">
        <v>24175</v>
      </c>
      <c r="FD8" s="64">
        <v>31594</v>
      </c>
      <c r="FE8" s="64">
        <v>34764</v>
      </c>
      <c r="FF8" s="64">
        <v>36031</v>
      </c>
      <c r="FG8" s="64">
        <v>42333</v>
      </c>
      <c r="FH8" s="64">
        <v>47703</v>
      </c>
      <c r="FI8" s="64">
        <v>43679</v>
      </c>
      <c r="FJ8" s="64">
        <v>32146</v>
      </c>
      <c r="FK8" s="43"/>
      <c r="FL8" s="43"/>
      <c r="FM8" s="43"/>
      <c r="FN8" s="66">
        <f t="shared" si="76"/>
        <v>0</v>
      </c>
      <c r="FO8" s="67">
        <f t="shared" si="77"/>
        <v>0</v>
      </c>
      <c r="FP8" s="67">
        <f t="shared" si="11"/>
        <v>0</v>
      </c>
      <c r="FQ8" s="67">
        <f t="shared" si="12"/>
        <v>0</v>
      </c>
      <c r="FR8" s="67">
        <f t="shared" si="13"/>
        <v>0</v>
      </c>
      <c r="FS8" s="67">
        <f t="shared" si="14"/>
        <v>0</v>
      </c>
      <c r="FT8" s="67">
        <f t="shared" si="15"/>
        <v>0</v>
      </c>
      <c r="FU8" s="67">
        <f t="shared" si="16"/>
        <v>0</v>
      </c>
      <c r="FV8" s="67">
        <f t="shared" si="17"/>
        <v>185778</v>
      </c>
      <c r="FW8" s="67">
        <f t="shared" si="18"/>
        <v>166552</v>
      </c>
      <c r="FX8" s="67">
        <f t="shared" si="19"/>
        <v>196527</v>
      </c>
      <c r="FY8" s="67">
        <f t="shared" si="20"/>
        <v>203195</v>
      </c>
      <c r="FZ8" s="67">
        <f t="shared" si="21"/>
        <v>148908</v>
      </c>
      <c r="GA8" s="67">
        <f t="shared" si="22"/>
        <v>155525</v>
      </c>
      <c r="GB8" s="67">
        <f t="shared" si="23"/>
        <v>252729</v>
      </c>
      <c r="GC8" s="67">
        <f>+SUM(AU8:AW8)</f>
        <v>261615</v>
      </c>
      <c r="GD8" s="67">
        <f t="shared" si="25"/>
        <v>210876</v>
      </c>
      <c r="GE8" s="67">
        <f t="shared" si="26"/>
        <v>237445</v>
      </c>
      <c r="GF8" s="67">
        <f t="shared" si="27"/>
        <v>174985</v>
      </c>
      <c r="GG8" s="67">
        <f t="shared" si="28"/>
        <v>166668</v>
      </c>
      <c r="GH8" s="67">
        <f t="shared" si="29"/>
        <v>209790</v>
      </c>
      <c r="GI8" s="67">
        <f t="shared" si="30"/>
        <v>233531</v>
      </c>
      <c r="GJ8" s="67">
        <f t="shared" si="31"/>
        <v>215372</v>
      </c>
      <c r="GK8" s="67">
        <f t="shared" si="32"/>
        <v>224974</v>
      </c>
      <c r="GL8" s="67">
        <f t="shared" si="33"/>
        <v>189225</v>
      </c>
      <c r="GM8" s="67">
        <f t="shared" si="34"/>
        <v>201794</v>
      </c>
      <c r="GN8" s="67">
        <f t="shared" si="35"/>
        <v>174418</v>
      </c>
      <c r="GO8" s="67">
        <f t="shared" si="36"/>
        <v>153650</v>
      </c>
      <c r="GP8" s="67">
        <f t="shared" si="37"/>
        <v>111238</v>
      </c>
      <c r="GQ8" s="67">
        <f t="shared" si="38"/>
        <v>138127</v>
      </c>
      <c r="GR8" s="67">
        <f t="shared" si="39"/>
        <v>102211</v>
      </c>
      <c r="GS8" s="67">
        <f t="shared" si="40"/>
        <v>51100</v>
      </c>
      <c r="GT8" s="67">
        <f t="shared" si="41"/>
        <v>39131</v>
      </c>
      <c r="GU8" s="67">
        <f t="shared" si="42"/>
        <v>128481</v>
      </c>
      <c r="GV8" s="67">
        <f t="shared" si="43"/>
        <v>149770</v>
      </c>
      <c r="GW8" s="67">
        <f t="shared" si="44"/>
        <v>126076</v>
      </c>
      <c r="GX8" s="67">
        <f t="shared" si="45"/>
        <v>61453</v>
      </c>
      <c r="GY8" s="67">
        <f t="shared" si="46"/>
        <v>101137</v>
      </c>
      <c r="GZ8" s="67">
        <f t="shared" si="47"/>
        <v>78756</v>
      </c>
      <c r="HA8" s="67">
        <f t="shared" si="48"/>
        <v>64546</v>
      </c>
      <c r="HB8" s="67">
        <f t="shared" si="49"/>
        <v>81339</v>
      </c>
      <c r="HC8" s="67">
        <f t="shared" si="50"/>
        <v>93645</v>
      </c>
      <c r="HD8" s="67">
        <f t="shared" si="51"/>
        <v>107091</v>
      </c>
      <c r="HE8" s="67">
        <f t="shared" si="52"/>
        <v>76372</v>
      </c>
      <c r="HF8" s="67">
        <f t="shared" si="53"/>
        <v>81012</v>
      </c>
      <c r="HG8" s="67">
        <f t="shared" si="54"/>
        <v>95196</v>
      </c>
      <c r="HH8" s="67">
        <f t="shared" si="55"/>
        <v>119196</v>
      </c>
      <c r="HI8" s="67">
        <f t="shared" si="56"/>
        <v>85244</v>
      </c>
      <c r="HJ8" s="67">
        <f t="shared" si="78"/>
        <v>74830</v>
      </c>
      <c r="HK8" s="67">
        <f t="shared" si="57"/>
        <v>81390</v>
      </c>
      <c r="HL8" s="67">
        <f t="shared" si="58"/>
        <v>85315</v>
      </c>
      <c r="HM8" s="67">
        <f t="shared" si="59"/>
        <v>91381</v>
      </c>
      <c r="HN8" s="67">
        <f t="shared" si="60"/>
        <v>66631</v>
      </c>
      <c r="HO8" s="67">
        <f t="shared" si="61"/>
        <v>113128</v>
      </c>
      <c r="HP8" s="67">
        <f t="shared" si="62"/>
        <v>123528</v>
      </c>
      <c r="HQ8" s="60"/>
      <c r="HR8" s="43"/>
      <c r="HS8" s="43"/>
      <c r="HT8" s="43"/>
      <c r="HU8" s="68">
        <f t="shared" si="63"/>
        <v>0</v>
      </c>
      <c r="HV8" s="68">
        <f t="shared" si="64"/>
        <v>0</v>
      </c>
      <c r="HW8" s="68">
        <f t="shared" si="65"/>
        <v>752052</v>
      </c>
      <c r="HX8" s="69">
        <f t="shared" si="66"/>
        <v>818777</v>
      </c>
      <c r="HY8" s="70">
        <f t="shared" si="67"/>
        <v>789974</v>
      </c>
      <c r="HZ8" s="70">
        <f t="shared" si="68"/>
        <v>883667</v>
      </c>
      <c r="IA8" s="70">
        <f t="shared" si="69"/>
        <v>719087</v>
      </c>
      <c r="IB8" s="70">
        <f t="shared" si="70"/>
        <v>402676</v>
      </c>
      <c r="IC8" s="70">
        <f t="shared" si="71"/>
        <v>443458</v>
      </c>
      <c r="ID8" s="70">
        <f t="shared" si="72"/>
        <v>305892</v>
      </c>
      <c r="IE8" s="70">
        <f t="shared" si="73"/>
        <v>358447</v>
      </c>
      <c r="IF8" s="70">
        <f t="shared" si="74"/>
        <v>380648</v>
      </c>
      <c r="IG8" s="70">
        <f t="shared" si="75"/>
        <v>332916</v>
      </c>
    </row>
    <row r="9" spans="1:242" outlineLevel="2" x14ac:dyDescent="0.3">
      <c r="A9" s="71" t="s">
        <v>118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>
        <v>170600</v>
      </c>
      <c r="AA9" s="72">
        <v>189422</v>
      </c>
      <c r="AB9" s="72">
        <v>166594</v>
      </c>
      <c r="AC9" s="72">
        <v>215965</v>
      </c>
      <c r="AD9" s="72">
        <v>217751</v>
      </c>
      <c r="AE9" s="72">
        <v>241128</v>
      </c>
      <c r="AF9" s="72">
        <v>199466</v>
      </c>
      <c r="AG9" s="72">
        <v>216954</v>
      </c>
      <c r="AH9" s="72">
        <v>208465</v>
      </c>
      <c r="AI9" s="72">
        <v>228479</v>
      </c>
      <c r="AJ9" s="72">
        <v>208573</v>
      </c>
      <c r="AK9" s="72">
        <v>238950</v>
      </c>
      <c r="AL9" s="72">
        <v>197790</v>
      </c>
      <c r="AM9" s="72">
        <v>215259</v>
      </c>
      <c r="AN9" s="72">
        <v>219720</v>
      </c>
      <c r="AO9" s="72">
        <v>259237</v>
      </c>
      <c r="AP9" s="72">
        <v>246791</v>
      </c>
      <c r="AQ9" s="72">
        <v>264416</v>
      </c>
      <c r="AR9" s="72">
        <v>270302</v>
      </c>
      <c r="AS9" s="72">
        <v>207814</v>
      </c>
      <c r="AT9" s="72">
        <v>198260</v>
      </c>
      <c r="AU9" s="72">
        <v>235967</v>
      </c>
      <c r="AV9" s="72">
        <v>229316</v>
      </c>
      <c r="AW9" s="72">
        <v>244665</v>
      </c>
      <c r="AX9" s="72">
        <v>263324</v>
      </c>
      <c r="AY9" s="72">
        <v>268429</v>
      </c>
      <c r="AZ9" s="72">
        <v>265361</v>
      </c>
      <c r="BA9" s="72">
        <v>309170</v>
      </c>
      <c r="BB9" s="72">
        <v>336363</v>
      </c>
      <c r="BC9" s="72">
        <v>355688</v>
      </c>
      <c r="BD9" s="72">
        <v>302862</v>
      </c>
      <c r="BE9" s="72">
        <v>203076</v>
      </c>
      <c r="BF9" s="72">
        <v>151758</v>
      </c>
      <c r="BG9" s="72">
        <v>228811</v>
      </c>
      <c r="BH9" s="72">
        <v>249952</v>
      </c>
      <c r="BI9" s="72">
        <v>254218</v>
      </c>
      <c r="BJ9" s="72">
        <v>368550</v>
      </c>
      <c r="BK9" s="72">
        <v>334168</v>
      </c>
      <c r="BL9" s="72">
        <v>271007</v>
      </c>
      <c r="BM9" s="72">
        <v>343885</v>
      </c>
      <c r="BN9" s="72">
        <v>394288</v>
      </c>
      <c r="BO9" s="72">
        <v>386456</v>
      </c>
      <c r="BP9" s="72">
        <v>293117</v>
      </c>
      <c r="BQ9" s="72">
        <v>281704</v>
      </c>
      <c r="BR9" s="72">
        <v>238820</v>
      </c>
      <c r="BS9" s="72">
        <v>319318</v>
      </c>
      <c r="BT9" s="72">
        <v>325204</v>
      </c>
      <c r="BU9" s="72">
        <v>265025</v>
      </c>
      <c r="BV9" s="72">
        <v>423532</v>
      </c>
      <c r="BW9" s="72">
        <v>327167</v>
      </c>
      <c r="BX9" s="72">
        <v>361236</v>
      </c>
      <c r="BY9" s="72">
        <v>345602</v>
      </c>
      <c r="BZ9" s="72">
        <v>375901</v>
      </c>
      <c r="CA9" s="72">
        <v>349422</v>
      </c>
      <c r="CB9" s="72">
        <v>322115</v>
      </c>
      <c r="CC9" s="72">
        <v>266350</v>
      </c>
      <c r="CD9" s="72">
        <v>215212</v>
      </c>
      <c r="CE9" s="72">
        <v>272170</v>
      </c>
      <c r="CF9" s="72">
        <v>263299</v>
      </c>
      <c r="CG9" s="72">
        <v>158397</v>
      </c>
      <c r="CH9" s="72">
        <v>275198</v>
      </c>
      <c r="CI9" s="72">
        <v>282560</v>
      </c>
      <c r="CJ9" s="72">
        <v>296468</v>
      </c>
      <c r="CK9" s="72">
        <v>294568</v>
      </c>
      <c r="CL9" s="72">
        <v>283076</v>
      </c>
      <c r="CM9" s="72">
        <v>300709</v>
      </c>
      <c r="CN9" s="72">
        <v>331000</v>
      </c>
      <c r="CO9" s="72">
        <v>264711</v>
      </c>
      <c r="CP9" s="72">
        <v>156562</v>
      </c>
      <c r="CQ9" s="72">
        <v>269077</v>
      </c>
      <c r="CR9" s="72">
        <v>249705</v>
      </c>
      <c r="CS9" s="74">
        <v>144285</v>
      </c>
      <c r="CT9" s="74"/>
      <c r="CU9" s="74">
        <v>34940</v>
      </c>
      <c r="CV9" s="74">
        <v>135055</v>
      </c>
      <c r="CW9" s="74">
        <v>166056</v>
      </c>
      <c r="CX9" s="74">
        <v>249152</v>
      </c>
      <c r="CY9" s="74">
        <v>301393</v>
      </c>
      <c r="CZ9" s="74">
        <v>295097</v>
      </c>
      <c r="DA9" s="74">
        <v>265309</v>
      </c>
      <c r="DB9" s="74">
        <v>159449</v>
      </c>
      <c r="DC9" s="74">
        <v>248092</v>
      </c>
      <c r="DD9" s="74">
        <v>245471</v>
      </c>
      <c r="DE9" s="74">
        <v>228764</v>
      </c>
      <c r="DF9" s="74">
        <v>131547</v>
      </c>
      <c r="DG9" s="74">
        <v>19341</v>
      </c>
      <c r="DH9" s="74">
        <v>116591</v>
      </c>
      <c r="DI9" s="74">
        <v>187735</v>
      </c>
      <c r="DJ9" s="74">
        <v>240174</v>
      </c>
      <c r="DK9" s="74">
        <v>288974</v>
      </c>
      <c r="DL9" s="74">
        <v>230661</v>
      </c>
      <c r="DM9" s="74">
        <v>138052</v>
      </c>
      <c r="DN9" s="74">
        <v>116664</v>
      </c>
      <c r="DO9" s="74">
        <v>175832</v>
      </c>
      <c r="DP9" s="74">
        <v>163650</v>
      </c>
      <c r="DQ9" s="74">
        <v>177530</v>
      </c>
      <c r="DR9" s="74">
        <v>180781</v>
      </c>
      <c r="DS9" s="74">
        <v>170383</v>
      </c>
      <c r="DT9" s="74">
        <v>210886</v>
      </c>
      <c r="DU9" s="74">
        <v>250036</v>
      </c>
      <c r="DV9" s="74">
        <v>250857</v>
      </c>
      <c r="DW9" s="74">
        <v>279402</v>
      </c>
      <c r="DX9" s="74">
        <v>239598</v>
      </c>
      <c r="DY9" s="74">
        <v>193765</v>
      </c>
      <c r="DZ9" s="74">
        <v>118042</v>
      </c>
      <c r="EA9" s="74">
        <v>150243</v>
      </c>
      <c r="EB9" s="74">
        <v>189127</v>
      </c>
      <c r="EC9" s="74">
        <v>185839</v>
      </c>
      <c r="ED9" s="74">
        <v>246016</v>
      </c>
      <c r="EE9" s="74">
        <v>203365</v>
      </c>
      <c r="EF9" s="74">
        <v>140019</v>
      </c>
      <c r="EG9" s="74">
        <v>164172</v>
      </c>
      <c r="EH9" s="74">
        <v>256870</v>
      </c>
      <c r="EI9" s="74">
        <v>273759</v>
      </c>
      <c r="EJ9" s="74">
        <v>251241</v>
      </c>
      <c r="EK9" s="74">
        <v>220034</v>
      </c>
      <c r="EL9" s="74">
        <v>167424</v>
      </c>
      <c r="EM9" s="74">
        <v>198874</v>
      </c>
      <c r="EN9" s="74">
        <v>229783</v>
      </c>
      <c r="EO9" s="74">
        <v>179110</v>
      </c>
      <c r="EP9" s="74">
        <v>283482</v>
      </c>
      <c r="EQ9" s="74">
        <v>245393</v>
      </c>
      <c r="ER9" s="74">
        <v>265960</v>
      </c>
      <c r="ES9" s="74">
        <v>229076</v>
      </c>
      <c r="ET9" s="74">
        <v>262163</v>
      </c>
      <c r="EU9" s="74">
        <v>297686</v>
      </c>
      <c r="EV9" s="74">
        <v>299985</v>
      </c>
      <c r="EW9" s="74">
        <v>234623</v>
      </c>
      <c r="EX9" s="74">
        <v>135148</v>
      </c>
      <c r="EY9" s="74">
        <v>191621</v>
      </c>
      <c r="EZ9" s="74">
        <v>190037</v>
      </c>
      <c r="FA9" s="74">
        <v>206566</v>
      </c>
      <c r="FB9" s="74">
        <v>215342</v>
      </c>
      <c r="FC9" s="74">
        <v>216933</v>
      </c>
      <c r="FD9" s="74">
        <v>207543</v>
      </c>
      <c r="FE9" s="74">
        <v>265364</v>
      </c>
      <c r="FF9" s="74">
        <v>269903</v>
      </c>
      <c r="FG9" s="74">
        <v>261545</v>
      </c>
      <c r="FH9" s="74">
        <v>362891</v>
      </c>
      <c r="FI9" s="74">
        <v>288330</v>
      </c>
      <c r="FJ9" s="74">
        <v>200213</v>
      </c>
      <c r="FK9" s="43"/>
      <c r="FL9" s="43"/>
      <c r="FM9" s="43"/>
      <c r="FN9" s="75">
        <f t="shared" si="76"/>
        <v>0</v>
      </c>
      <c r="FO9" s="76">
        <f t="shared" si="77"/>
        <v>0</v>
      </c>
      <c r="FP9" s="76">
        <f t="shared" si="11"/>
        <v>0</v>
      </c>
      <c r="FQ9" s="76">
        <f t="shared" si="12"/>
        <v>0</v>
      </c>
      <c r="FR9" s="76">
        <f t="shared" si="13"/>
        <v>0</v>
      </c>
      <c r="FS9" s="76">
        <f t="shared" si="14"/>
        <v>0</v>
      </c>
      <c r="FT9" s="76">
        <f t="shared" si="15"/>
        <v>0</v>
      </c>
      <c r="FU9" s="76">
        <f t="shared" si="16"/>
        <v>0</v>
      </c>
      <c r="FV9" s="76">
        <f t="shared" si="17"/>
        <v>526616</v>
      </c>
      <c r="FW9" s="76">
        <f t="shared" si="18"/>
        <v>674844</v>
      </c>
      <c r="FX9" s="76">
        <f t="shared" si="19"/>
        <v>624885</v>
      </c>
      <c r="FY9" s="76">
        <f t="shared" si="20"/>
        <v>676002</v>
      </c>
      <c r="FZ9" s="76">
        <f t="shared" si="21"/>
        <v>632769</v>
      </c>
      <c r="GA9" s="76">
        <f t="shared" si="22"/>
        <v>770444</v>
      </c>
      <c r="GB9" s="76">
        <f t="shared" si="23"/>
        <v>676376</v>
      </c>
      <c r="GC9" s="76">
        <f t="shared" si="24"/>
        <v>709948</v>
      </c>
      <c r="GD9" s="76">
        <f t="shared" si="25"/>
        <v>797114</v>
      </c>
      <c r="GE9" s="76">
        <f t="shared" si="26"/>
        <v>1001221</v>
      </c>
      <c r="GF9" s="76">
        <f t="shared" si="27"/>
        <v>657696</v>
      </c>
      <c r="GG9" s="76">
        <f t="shared" si="28"/>
        <v>732981</v>
      </c>
      <c r="GH9" s="76">
        <f t="shared" si="29"/>
        <v>973725</v>
      </c>
      <c r="GI9" s="76">
        <f t="shared" si="30"/>
        <v>1124629</v>
      </c>
      <c r="GJ9" s="76">
        <f t="shared" si="31"/>
        <v>813641</v>
      </c>
      <c r="GK9" s="76">
        <f t="shared" si="32"/>
        <v>909547</v>
      </c>
      <c r="GL9" s="76">
        <f t="shared" si="33"/>
        <v>1111935</v>
      </c>
      <c r="GM9" s="76">
        <f t="shared" si="34"/>
        <v>1070925</v>
      </c>
      <c r="GN9" s="76">
        <f t="shared" si="35"/>
        <v>803677</v>
      </c>
      <c r="GO9" s="76">
        <f t="shared" si="36"/>
        <v>693866</v>
      </c>
      <c r="GP9" s="76">
        <f t="shared" si="37"/>
        <v>854226</v>
      </c>
      <c r="GQ9" s="76">
        <f t="shared" si="38"/>
        <v>878353</v>
      </c>
      <c r="GR9" s="76">
        <f t="shared" si="39"/>
        <v>752273</v>
      </c>
      <c r="GS9" s="76">
        <f t="shared" si="40"/>
        <v>663067</v>
      </c>
      <c r="GT9" s="76">
        <f t="shared" si="41"/>
        <v>169995</v>
      </c>
      <c r="GU9" s="76">
        <f t="shared" si="42"/>
        <v>716601</v>
      </c>
      <c r="GV9" s="76">
        <f t="shared" si="43"/>
        <v>719855</v>
      </c>
      <c r="GW9" s="76">
        <f t="shared" si="44"/>
        <v>722327</v>
      </c>
      <c r="GX9" s="76">
        <f t="shared" si="45"/>
        <v>267479</v>
      </c>
      <c r="GY9" s="76">
        <f t="shared" si="46"/>
        <v>716883</v>
      </c>
      <c r="GZ9" s="76">
        <f t="shared" si="47"/>
        <v>485377</v>
      </c>
      <c r="HA9" s="76">
        <f t="shared" si="48"/>
        <v>517012</v>
      </c>
      <c r="HB9" s="76">
        <f t="shared" si="49"/>
        <v>562050</v>
      </c>
      <c r="HC9" s="76">
        <f t="shared" si="50"/>
        <v>780295</v>
      </c>
      <c r="HD9" s="76">
        <f t="shared" si="51"/>
        <v>551405</v>
      </c>
      <c r="HE9" s="76">
        <f t="shared" si="52"/>
        <v>525209</v>
      </c>
      <c r="HF9" s="76">
        <f t="shared" si="53"/>
        <v>589400</v>
      </c>
      <c r="HG9" s="76">
        <f t="shared" si="54"/>
        <v>694801</v>
      </c>
      <c r="HH9" s="76">
        <f t="shared" si="55"/>
        <v>638699</v>
      </c>
      <c r="HI9" s="76">
        <f t="shared" si="56"/>
        <v>607767</v>
      </c>
      <c r="HJ9" s="76">
        <f t="shared" si="78"/>
        <v>794835</v>
      </c>
      <c r="HK9" s="76">
        <f t="shared" si="57"/>
        <v>788925</v>
      </c>
      <c r="HL9" s="76">
        <f t="shared" si="58"/>
        <v>669756</v>
      </c>
      <c r="HM9" s="76">
        <f t="shared" si="59"/>
        <v>588224</v>
      </c>
      <c r="HN9" s="76">
        <f t="shared" si="60"/>
        <v>639818</v>
      </c>
      <c r="HO9" s="76">
        <f t="shared" si="61"/>
        <v>796812</v>
      </c>
      <c r="HP9" s="76">
        <f t="shared" si="62"/>
        <v>851434</v>
      </c>
      <c r="HQ9" s="77"/>
      <c r="HR9" s="43"/>
      <c r="HS9" s="43"/>
      <c r="HT9" s="43"/>
      <c r="HU9" s="78">
        <f t="shared" si="63"/>
        <v>0</v>
      </c>
      <c r="HV9" s="78">
        <f t="shared" si="64"/>
        <v>0</v>
      </c>
      <c r="HW9" s="78">
        <f t="shared" si="65"/>
        <v>2502347</v>
      </c>
      <c r="HX9" s="79">
        <f t="shared" si="66"/>
        <v>2789537</v>
      </c>
      <c r="HY9" s="80">
        <f t="shared" si="67"/>
        <v>3189012</v>
      </c>
      <c r="HZ9" s="80">
        <f t="shared" si="68"/>
        <v>3821542</v>
      </c>
      <c r="IA9" s="80">
        <f t="shared" si="69"/>
        <v>3680403</v>
      </c>
      <c r="IB9" s="80">
        <f t="shared" si="70"/>
        <v>3147919</v>
      </c>
      <c r="IC9" s="80">
        <f t="shared" si="71"/>
        <v>2328778</v>
      </c>
      <c r="ID9" s="80">
        <f t="shared" si="72"/>
        <v>1986751</v>
      </c>
      <c r="IE9" s="80">
        <f t="shared" si="73"/>
        <v>2418959</v>
      </c>
      <c r="IF9" s="80">
        <f t="shared" si="74"/>
        <v>2530667</v>
      </c>
      <c r="IG9" s="80">
        <f t="shared" si="75"/>
        <v>2841740</v>
      </c>
    </row>
    <row r="10" spans="1:242" outlineLevel="2" x14ac:dyDescent="0.3">
      <c r="A10" s="63" t="s">
        <v>119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>
        <v>23687</v>
      </c>
      <c r="AA10" s="58">
        <v>20906</v>
      </c>
      <c r="AB10" s="58">
        <v>18105</v>
      </c>
      <c r="AC10" s="58">
        <v>18734</v>
      </c>
      <c r="AD10" s="58">
        <v>20085</v>
      </c>
      <c r="AE10" s="58">
        <v>23638</v>
      </c>
      <c r="AF10" s="58">
        <v>21251</v>
      </c>
      <c r="AG10" s="58">
        <v>15590</v>
      </c>
      <c r="AH10" s="58">
        <v>15590</v>
      </c>
      <c r="AI10" s="58">
        <v>11527</v>
      </c>
      <c r="AJ10" s="58">
        <v>12208</v>
      </c>
      <c r="AK10" s="58">
        <v>16399</v>
      </c>
      <c r="AL10" s="58">
        <v>16593</v>
      </c>
      <c r="AM10" s="58">
        <v>19629</v>
      </c>
      <c r="AN10" s="58">
        <v>22224</v>
      </c>
      <c r="AO10" s="58">
        <v>27043</v>
      </c>
      <c r="AP10" s="58">
        <v>32404</v>
      </c>
      <c r="AQ10" s="58">
        <v>33647</v>
      </c>
      <c r="AR10" s="58">
        <v>34814</v>
      </c>
      <c r="AS10" s="58">
        <v>22879</v>
      </c>
      <c r="AT10" s="58">
        <v>21264</v>
      </c>
      <c r="AU10" s="58">
        <v>28740</v>
      </c>
      <c r="AV10" s="58">
        <v>28684</v>
      </c>
      <c r="AW10" s="58">
        <v>30529</v>
      </c>
      <c r="AX10" s="58">
        <v>33931</v>
      </c>
      <c r="AY10" s="58">
        <v>33152</v>
      </c>
      <c r="AZ10" s="58">
        <v>36096</v>
      </c>
      <c r="BA10" s="58">
        <v>37126</v>
      </c>
      <c r="BB10" s="58">
        <v>45988</v>
      </c>
      <c r="BC10" s="58">
        <v>51948</v>
      </c>
      <c r="BD10" s="58">
        <v>50661</v>
      </c>
      <c r="BE10" s="58">
        <v>30567</v>
      </c>
      <c r="BF10" s="58">
        <v>25969</v>
      </c>
      <c r="BG10" s="58">
        <v>9803</v>
      </c>
      <c r="BH10" s="58">
        <v>40463</v>
      </c>
      <c r="BI10" s="58">
        <v>44719</v>
      </c>
      <c r="BJ10" s="58">
        <v>40321</v>
      </c>
      <c r="BK10" s="58">
        <v>36543</v>
      </c>
      <c r="BL10" s="58">
        <v>32612</v>
      </c>
      <c r="BM10" s="58">
        <v>33220</v>
      </c>
      <c r="BN10" s="58">
        <v>43094</v>
      </c>
      <c r="BO10" s="58">
        <v>40459</v>
      </c>
      <c r="BP10" s="58">
        <v>45911</v>
      </c>
      <c r="BQ10" s="58">
        <v>28446</v>
      </c>
      <c r="BR10" s="58">
        <v>24445</v>
      </c>
      <c r="BS10" s="58">
        <v>29941</v>
      </c>
      <c r="BT10" s="58">
        <v>28933</v>
      </c>
      <c r="BU10" s="58">
        <v>31396</v>
      </c>
      <c r="BV10" s="58">
        <v>30392</v>
      </c>
      <c r="BW10" s="58">
        <v>29092</v>
      </c>
      <c r="BX10" s="58">
        <v>31656</v>
      </c>
      <c r="BY10" s="58">
        <v>33694</v>
      </c>
      <c r="BZ10" s="58">
        <v>36940</v>
      </c>
      <c r="CA10" s="58">
        <v>36611</v>
      </c>
      <c r="CB10" s="58">
        <v>35424</v>
      </c>
      <c r="CC10" s="58">
        <v>29395</v>
      </c>
      <c r="CD10" s="58">
        <v>21997</v>
      </c>
      <c r="CE10" s="58">
        <v>21599</v>
      </c>
      <c r="CF10" s="58">
        <v>28051</v>
      </c>
      <c r="CG10" s="58">
        <v>30028</v>
      </c>
      <c r="CH10" s="58">
        <v>26817</v>
      </c>
      <c r="CI10" s="58">
        <v>28163</v>
      </c>
      <c r="CJ10" s="58">
        <v>27835</v>
      </c>
      <c r="CK10" s="58">
        <v>23796</v>
      </c>
      <c r="CL10" s="58">
        <v>26140</v>
      </c>
      <c r="CM10" s="58">
        <v>24732</v>
      </c>
      <c r="CN10" s="58">
        <v>21695</v>
      </c>
      <c r="CO10" s="58">
        <v>15820</v>
      </c>
      <c r="CP10" s="58">
        <v>13093</v>
      </c>
      <c r="CQ10" s="58">
        <v>14015</v>
      </c>
      <c r="CR10" s="58">
        <v>37385</v>
      </c>
      <c r="CS10" s="64">
        <v>26505</v>
      </c>
      <c r="CT10" s="64"/>
      <c r="CU10" s="64">
        <v>6948</v>
      </c>
      <c r="CV10" s="64">
        <v>14948</v>
      </c>
      <c r="CW10" s="64">
        <v>23616</v>
      </c>
      <c r="CX10" s="64">
        <v>31288</v>
      </c>
      <c r="CY10" s="64">
        <v>33180</v>
      </c>
      <c r="CZ10" s="64">
        <v>29108</v>
      </c>
      <c r="DA10" s="64">
        <v>26230</v>
      </c>
      <c r="DB10" s="64">
        <v>14870</v>
      </c>
      <c r="DC10" s="64">
        <v>18920</v>
      </c>
      <c r="DD10" s="64">
        <v>24040</v>
      </c>
      <c r="DE10" s="64">
        <v>15996</v>
      </c>
      <c r="DF10" s="64">
        <v>13124</v>
      </c>
      <c r="DG10" s="64">
        <v>1884</v>
      </c>
      <c r="DH10" s="64">
        <v>4294</v>
      </c>
      <c r="DI10" s="64">
        <v>16578</v>
      </c>
      <c r="DJ10" s="64">
        <v>34101</v>
      </c>
      <c r="DK10" s="64">
        <v>30365</v>
      </c>
      <c r="DL10" s="64">
        <v>27088</v>
      </c>
      <c r="DM10" s="64">
        <v>20552</v>
      </c>
      <c r="DN10" s="64">
        <v>14236</v>
      </c>
      <c r="DO10" s="64">
        <v>13251</v>
      </c>
      <c r="DP10" s="64">
        <v>14771</v>
      </c>
      <c r="DQ10" s="64">
        <v>10413</v>
      </c>
      <c r="DR10" s="64">
        <v>9674</v>
      </c>
      <c r="DS10" s="64">
        <v>14429</v>
      </c>
      <c r="DT10" s="64">
        <v>16006</v>
      </c>
      <c r="DU10" s="64">
        <v>17416</v>
      </c>
      <c r="DV10" s="64">
        <v>19274</v>
      </c>
      <c r="DW10" s="64">
        <v>18491</v>
      </c>
      <c r="DX10" s="64">
        <v>22184</v>
      </c>
      <c r="DY10" s="64">
        <v>20596</v>
      </c>
      <c r="DZ10" s="64">
        <v>13979</v>
      </c>
      <c r="EA10" s="64">
        <v>9183</v>
      </c>
      <c r="EB10" s="64">
        <v>8186</v>
      </c>
      <c r="EC10" s="64">
        <v>10687</v>
      </c>
      <c r="ED10" s="64">
        <v>16245</v>
      </c>
      <c r="EE10" s="64">
        <v>18216</v>
      </c>
      <c r="EF10" s="64">
        <v>23013</v>
      </c>
      <c r="EG10" s="64">
        <v>28723</v>
      </c>
      <c r="EH10" s="64">
        <v>27202</v>
      </c>
      <c r="EI10" s="64">
        <v>29488</v>
      </c>
      <c r="EJ10" s="64">
        <v>28084</v>
      </c>
      <c r="EK10" s="64">
        <v>23569</v>
      </c>
      <c r="EL10" s="64">
        <v>15524</v>
      </c>
      <c r="EM10" s="64">
        <v>22876</v>
      </c>
      <c r="EN10" s="64">
        <v>20774</v>
      </c>
      <c r="EO10" s="64">
        <v>21546</v>
      </c>
      <c r="EP10" s="64">
        <v>24781</v>
      </c>
      <c r="EQ10" s="64">
        <v>24795</v>
      </c>
      <c r="ER10" s="64">
        <v>26031</v>
      </c>
      <c r="ES10" s="64">
        <v>26290</v>
      </c>
      <c r="ET10" s="64">
        <v>29390</v>
      </c>
      <c r="EU10" s="64">
        <v>30175</v>
      </c>
      <c r="EV10" s="64">
        <v>32606</v>
      </c>
      <c r="EW10" s="64">
        <v>24368</v>
      </c>
      <c r="EX10" s="64">
        <v>18725</v>
      </c>
      <c r="EY10" s="64">
        <v>25240</v>
      </c>
      <c r="EZ10" s="64">
        <v>24168</v>
      </c>
      <c r="FA10" s="64">
        <v>23135</v>
      </c>
      <c r="FB10" s="64">
        <v>21345</v>
      </c>
      <c r="FC10" s="64">
        <v>20034</v>
      </c>
      <c r="FD10" s="64">
        <v>22142</v>
      </c>
      <c r="FE10" s="64">
        <v>24110</v>
      </c>
      <c r="FF10" s="64">
        <v>27944</v>
      </c>
      <c r="FG10" s="64">
        <v>36136</v>
      </c>
      <c r="FH10" s="64">
        <v>30988</v>
      </c>
      <c r="FI10" s="64">
        <v>27471</v>
      </c>
      <c r="FJ10" s="64">
        <v>19814</v>
      </c>
      <c r="FK10" s="43"/>
      <c r="FL10" s="43"/>
      <c r="FM10" s="43"/>
      <c r="FN10" s="66">
        <f t="shared" si="76"/>
        <v>0</v>
      </c>
      <c r="FO10" s="67">
        <f t="shared" si="77"/>
        <v>0</v>
      </c>
      <c r="FP10" s="67">
        <f t="shared" si="11"/>
        <v>0</v>
      </c>
      <c r="FQ10" s="67">
        <f t="shared" si="12"/>
        <v>0</v>
      </c>
      <c r="FR10" s="67">
        <f t="shared" si="13"/>
        <v>0</v>
      </c>
      <c r="FS10" s="67">
        <f t="shared" si="14"/>
        <v>0</v>
      </c>
      <c r="FT10" s="67">
        <f t="shared" si="15"/>
        <v>0</v>
      </c>
      <c r="FU10" s="67">
        <f t="shared" si="16"/>
        <v>0</v>
      </c>
      <c r="FV10" s="67">
        <f t="shared" si="17"/>
        <v>62698</v>
      </c>
      <c r="FW10" s="67">
        <f t="shared" si="18"/>
        <v>62457</v>
      </c>
      <c r="FX10" s="67">
        <f t="shared" si="19"/>
        <v>52431</v>
      </c>
      <c r="FY10" s="67">
        <f t="shared" si="20"/>
        <v>40134</v>
      </c>
      <c r="FZ10" s="67">
        <f t="shared" si="21"/>
        <v>58446</v>
      </c>
      <c r="GA10" s="67">
        <f t="shared" si="22"/>
        <v>93094</v>
      </c>
      <c r="GB10" s="67">
        <f t="shared" si="23"/>
        <v>78957</v>
      </c>
      <c r="GC10" s="67">
        <f t="shared" si="24"/>
        <v>87953</v>
      </c>
      <c r="GD10" s="67">
        <f t="shared" si="25"/>
        <v>103179</v>
      </c>
      <c r="GE10" s="67">
        <f t="shared" si="26"/>
        <v>135062</v>
      </c>
      <c r="GF10" s="67">
        <f t="shared" si="27"/>
        <v>107197</v>
      </c>
      <c r="GG10" s="67">
        <f t="shared" si="28"/>
        <v>94985</v>
      </c>
      <c r="GH10" s="67">
        <f t="shared" si="29"/>
        <v>109476</v>
      </c>
      <c r="GI10" s="67">
        <f t="shared" si="30"/>
        <v>116773</v>
      </c>
      <c r="GJ10" s="67">
        <f t="shared" si="31"/>
        <v>98802</v>
      </c>
      <c r="GK10" s="67">
        <f t="shared" si="32"/>
        <v>90270</v>
      </c>
      <c r="GL10" s="67">
        <f t="shared" si="33"/>
        <v>91140</v>
      </c>
      <c r="GM10" s="67">
        <f t="shared" si="34"/>
        <v>107245</v>
      </c>
      <c r="GN10" s="67">
        <f t="shared" si="35"/>
        <v>86816</v>
      </c>
      <c r="GO10" s="67">
        <f t="shared" si="36"/>
        <v>79678</v>
      </c>
      <c r="GP10" s="67">
        <f t="shared" si="37"/>
        <v>82815</v>
      </c>
      <c r="GQ10" s="67">
        <f t="shared" si="38"/>
        <v>74668</v>
      </c>
      <c r="GR10" s="67">
        <f t="shared" si="39"/>
        <v>50608</v>
      </c>
      <c r="GS10" s="67">
        <f t="shared" si="40"/>
        <v>77905</v>
      </c>
      <c r="GT10" s="67">
        <f t="shared" si="41"/>
        <v>21896</v>
      </c>
      <c r="GU10" s="67">
        <f t="shared" si="42"/>
        <v>88084</v>
      </c>
      <c r="GV10" s="67">
        <f t="shared" si="43"/>
        <v>70208</v>
      </c>
      <c r="GW10" s="67">
        <f t="shared" si="44"/>
        <v>58956</v>
      </c>
      <c r="GX10" s="67">
        <f t="shared" si="45"/>
        <v>19302</v>
      </c>
      <c r="GY10" s="67">
        <f t="shared" si="46"/>
        <v>81044</v>
      </c>
      <c r="GZ10" s="67">
        <f t="shared" si="47"/>
        <v>61876</v>
      </c>
      <c r="HA10" s="67">
        <f t="shared" si="48"/>
        <v>38435</v>
      </c>
      <c r="HB10" s="67">
        <f t="shared" si="49"/>
        <v>40109</v>
      </c>
      <c r="HC10" s="67">
        <f t="shared" si="50"/>
        <v>55181</v>
      </c>
      <c r="HD10" s="67">
        <f t="shared" si="51"/>
        <v>56759</v>
      </c>
      <c r="HE10" s="67">
        <f t="shared" si="52"/>
        <v>28056</v>
      </c>
      <c r="HF10" s="67">
        <f t="shared" si="53"/>
        <v>57474</v>
      </c>
      <c r="HG10" s="67">
        <f t="shared" si="54"/>
        <v>85413</v>
      </c>
      <c r="HH10" s="67">
        <f t="shared" si="55"/>
        <v>67177</v>
      </c>
      <c r="HI10" s="67">
        <f t="shared" si="56"/>
        <v>65196</v>
      </c>
      <c r="HJ10" s="67">
        <f t="shared" si="78"/>
        <v>75607</v>
      </c>
      <c r="HK10" s="67">
        <f t="shared" si="57"/>
        <v>85855</v>
      </c>
      <c r="HL10" s="67">
        <f t="shared" si="58"/>
        <v>75699</v>
      </c>
      <c r="HM10" s="67">
        <f t="shared" si="59"/>
        <v>72543</v>
      </c>
      <c r="HN10" s="67">
        <f t="shared" si="60"/>
        <v>63521</v>
      </c>
      <c r="HO10" s="67">
        <f t="shared" si="61"/>
        <v>88190</v>
      </c>
      <c r="HP10" s="67">
        <f t="shared" si="62"/>
        <v>78273</v>
      </c>
      <c r="HQ10" s="60"/>
      <c r="HR10" s="43"/>
      <c r="HS10" s="43"/>
      <c r="HT10" s="43"/>
      <c r="HU10" s="68">
        <f t="shared" si="63"/>
        <v>0</v>
      </c>
      <c r="HV10" s="68">
        <f t="shared" si="64"/>
        <v>0</v>
      </c>
      <c r="HW10" s="68">
        <f t="shared" si="65"/>
        <v>217720</v>
      </c>
      <c r="HX10" s="69">
        <f t="shared" si="66"/>
        <v>318450</v>
      </c>
      <c r="HY10" s="70">
        <f t="shared" si="67"/>
        <v>440423</v>
      </c>
      <c r="HZ10" s="70">
        <f t="shared" si="68"/>
        <v>415321</v>
      </c>
      <c r="IA10" s="70">
        <f t="shared" si="69"/>
        <v>364879</v>
      </c>
      <c r="IB10" s="70">
        <f t="shared" si="70"/>
        <v>285996</v>
      </c>
      <c r="IC10" s="70">
        <f t="shared" si="71"/>
        <v>239144</v>
      </c>
      <c r="ID10" s="70">
        <f t="shared" si="72"/>
        <v>200657</v>
      </c>
      <c r="IE10" s="70">
        <f t="shared" si="73"/>
        <v>180105</v>
      </c>
      <c r="IF10" s="70">
        <f t="shared" si="74"/>
        <v>275260</v>
      </c>
      <c r="IG10" s="70">
        <f t="shared" si="75"/>
        <v>309704</v>
      </c>
    </row>
    <row r="11" spans="1:242" outlineLevel="2" x14ac:dyDescent="0.3">
      <c r="A11" s="71" t="s">
        <v>120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>
        <v>2807</v>
      </c>
      <c r="AA11" s="72">
        <v>2470</v>
      </c>
      <c r="AB11" s="72">
        <v>2062</v>
      </c>
      <c r="AC11" s="72">
        <v>2</v>
      </c>
      <c r="AD11" s="72">
        <v>1756</v>
      </c>
      <c r="AE11" s="72">
        <v>3043</v>
      </c>
      <c r="AF11" s="72">
        <v>6304</v>
      </c>
      <c r="AG11" s="72">
        <v>4141</v>
      </c>
      <c r="AH11" s="72">
        <v>4136</v>
      </c>
      <c r="AI11" s="72">
        <v>5866</v>
      </c>
      <c r="AJ11" s="72">
        <v>5213</v>
      </c>
      <c r="AK11" s="72">
        <v>6751</v>
      </c>
      <c r="AL11" s="72">
        <v>6096</v>
      </c>
      <c r="AM11" s="72">
        <v>5803</v>
      </c>
      <c r="AN11" s="72">
        <v>5260</v>
      </c>
      <c r="AO11" s="72">
        <v>8989</v>
      </c>
      <c r="AP11" s="72">
        <v>9088</v>
      </c>
      <c r="AQ11" s="72">
        <v>10270</v>
      </c>
      <c r="AR11" s="72">
        <v>6395</v>
      </c>
      <c r="AS11" s="72">
        <v>8944</v>
      </c>
      <c r="AT11" s="72">
        <v>5586</v>
      </c>
      <c r="AU11" s="72">
        <v>6207</v>
      </c>
      <c r="AV11" s="72">
        <v>6160</v>
      </c>
      <c r="AW11" s="72">
        <v>5266</v>
      </c>
      <c r="AX11" s="72">
        <v>5827</v>
      </c>
      <c r="AY11" s="72">
        <v>3782</v>
      </c>
      <c r="AZ11" s="72">
        <v>4274</v>
      </c>
      <c r="BA11" s="72">
        <v>4274</v>
      </c>
      <c r="BB11" s="72">
        <v>2346</v>
      </c>
      <c r="BC11" s="72">
        <v>2630</v>
      </c>
      <c r="BD11" s="72">
        <v>4737</v>
      </c>
      <c r="BE11" s="72">
        <v>1441</v>
      </c>
      <c r="BF11" s="72">
        <v>1034</v>
      </c>
      <c r="BG11" s="72">
        <v>1533</v>
      </c>
      <c r="BH11" s="72">
        <v>1213</v>
      </c>
      <c r="BI11" s="72">
        <v>1217</v>
      </c>
      <c r="BJ11" s="72">
        <v>766</v>
      </c>
      <c r="BK11" s="72">
        <v>1420</v>
      </c>
      <c r="BL11" s="72">
        <v>541</v>
      </c>
      <c r="BM11" s="72">
        <v>1709</v>
      </c>
      <c r="BN11" s="72">
        <v>962</v>
      </c>
      <c r="BO11" s="72">
        <v>1302</v>
      </c>
      <c r="BP11" s="72">
        <v>1816</v>
      </c>
      <c r="BQ11" s="72">
        <v>313</v>
      </c>
      <c r="BR11" s="72">
        <v>361</v>
      </c>
      <c r="BS11" s="72">
        <v>480</v>
      </c>
      <c r="BT11" s="72">
        <v>374</v>
      </c>
      <c r="BU11" s="72">
        <v>494</v>
      </c>
      <c r="BV11" s="72">
        <v>363</v>
      </c>
      <c r="BW11" s="72">
        <v>293</v>
      </c>
      <c r="BX11" s="72">
        <v>305</v>
      </c>
      <c r="BY11" s="72">
        <v>227</v>
      </c>
      <c r="BZ11" s="72">
        <v>205</v>
      </c>
      <c r="CA11" s="72">
        <v>290</v>
      </c>
      <c r="CB11" s="72">
        <v>352</v>
      </c>
      <c r="CC11" s="72">
        <v>142</v>
      </c>
      <c r="CD11" s="72">
        <v>63</v>
      </c>
      <c r="CE11" s="72">
        <v>92</v>
      </c>
      <c r="CF11" s="72">
        <v>47</v>
      </c>
      <c r="CG11" s="72">
        <v>60</v>
      </c>
      <c r="CH11" s="72">
        <v>0</v>
      </c>
      <c r="CI11" s="72">
        <v>36</v>
      </c>
      <c r="CJ11" s="72">
        <v>122</v>
      </c>
      <c r="CK11" s="72">
        <v>25</v>
      </c>
      <c r="CL11" s="72">
        <v>113</v>
      </c>
      <c r="CM11" s="72">
        <v>184</v>
      </c>
      <c r="CN11" s="72">
        <v>222</v>
      </c>
      <c r="CO11" s="72">
        <v>0</v>
      </c>
      <c r="CP11" s="72">
        <v>14</v>
      </c>
      <c r="CQ11" s="72">
        <v>0</v>
      </c>
      <c r="CR11" s="72">
        <v>30</v>
      </c>
      <c r="CS11" s="74">
        <v>42</v>
      </c>
      <c r="CT11" s="74"/>
      <c r="CU11" s="74">
        <v>0</v>
      </c>
      <c r="CV11" s="74">
        <v>0</v>
      </c>
      <c r="CW11" s="74">
        <v>-22</v>
      </c>
      <c r="CX11" s="74">
        <v>0</v>
      </c>
      <c r="CY11" s="74">
        <v>0</v>
      </c>
      <c r="CZ11" s="74">
        <v>0</v>
      </c>
      <c r="DA11" s="74">
        <v>0</v>
      </c>
      <c r="DB11" s="74">
        <v>0</v>
      </c>
      <c r="DC11" s="74">
        <v>0</v>
      </c>
      <c r="DD11" s="74">
        <v>0</v>
      </c>
      <c r="DE11" s="74">
        <v>0</v>
      </c>
      <c r="DF11" s="74">
        <v>0</v>
      </c>
      <c r="DG11" s="74">
        <v>0</v>
      </c>
      <c r="DH11" s="74">
        <v>0</v>
      </c>
      <c r="DI11" s="74">
        <v>0</v>
      </c>
      <c r="DJ11" s="74">
        <v>0</v>
      </c>
      <c r="DK11" s="74">
        <v>0</v>
      </c>
      <c r="DL11" s="74">
        <v>0</v>
      </c>
      <c r="DM11" s="74">
        <v>0</v>
      </c>
      <c r="DN11" s="74">
        <v>0</v>
      </c>
      <c r="DO11" s="74">
        <v>0</v>
      </c>
      <c r="DP11" s="74">
        <v>0</v>
      </c>
      <c r="DQ11" s="74">
        <v>0</v>
      </c>
      <c r="DR11" s="74">
        <v>0</v>
      </c>
      <c r="DS11" s="74"/>
      <c r="DT11" s="74"/>
      <c r="DU11" s="74">
        <v>12762</v>
      </c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43"/>
      <c r="FL11" s="43"/>
      <c r="FM11" s="43"/>
      <c r="FN11" s="75">
        <f t="shared" si="76"/>
        <v>0</v>
      </c>
      <c r="FO11" s="76">
        <f t="shared" si="77"/>
        <v>0</v>
      </c>
      <c r="FP11" s="76">
        <f t="shared" si="11"/>
        <v>0</v>
      </c>
      <c r="FQ11" s="76">
        <f t="shared" si="12"/>
        <v>0</v>
      </c>
      <c r="FR11" s="76">
        <f t="shared" si="13"/>
        <v>0</v>
      </c>
      <c r="FS11" s="76">
        <f t="shared" si="14"/>
        <v>0</v>
      </c>
      <c r="FT11" s="76">
        <f t="shared" si="15"/>
        <v>0</v>
      </c>
      <c r="FU11" s="76">
        <f t="shared" si="16"/>
        <v>0</v>
      </c>
      <c r="FV11" s="76">
        <f t="shared" si="17"/>
        <v>7339</v>
      </c>
      <c r="FW11" s="76">
        <f t="shared" si="18"/>
        <v>4801</v>
      </c>
      <c r="FX11" s="76">
        <f t="shared" si="19"/>
        <v>14581</v>
      </c>
      <c r="FY11" s="76">
        <f t="shared" si="20"/>
        <v>17830</v>
      </c>
      <c r="FZ11" s="76">
        <f t="shared" si="21"/>
        <v>17159</v>
      </c>
      <c r="GA11" s="76">
        <f t="shared" si="22"/>
        <v>28347</v>
      </c>
      <c r="GB11" s="76">
        <f t="shared" si="23"/>
        <v>20925</v>
      </c>
      <c r="GC11" s="76">
        <f t="shared" si="24"/>
        <v>17633</v>
      </c>
      <c r="GD11" s="76">
        <f t="shared" si="25"/>
        <v>13883</v>
      </c>
      <c r="GE11" s="76">
        <f t="shared" si="26"/>
        <v>9250</v>
      </c>
      <c r="GF11" s="76">
        <f t="shared" si="27"/>
        <v>7212</v>
      </c>
      <c r="GG11" s="76">
        <f t="shared" si="28"/>
        <v>3963</v>
      </c>
      <c r="GH11" s="76">
        <f t="shared" si="29"/>
        <v>2727</v>
      </c>
      <c r="GI11" s="76">
        <f t="shared" si="30"/>
        <v>3973</v>
      </c>
      <c r="GJ11" s="76">
        <f t="shared" si="31"/>
        <v>2490</v>
      </c>
      <c r="GK11" s="76">
        <f t="shared" si="32"/>
        <v>1348</v>
      </c>
      <c r="GL11" s="76">
        <f t="shared" si="33"/>
        <v>961</v>
      </c>
      <c r="GM11" s="76">
        <f t="shared" si="34"/>
        <v>722</v>
      </c>
      <c r="GN11" s="76">
        <f t="shared" si="35"/>
        <v>557</v>
      </c>
      <c r="GO11" s="76">
        <f t="shared" si="36"/>
        <v>199</v>
      </c>
      <c r="GP11" s="76">
        <f t="shared" si="37"/>
        <v>158</v>
      </c>
      <c r="GQ11" s="76">
        <f t="shared" si="38"/>
        <v>322</v>
      </c>
      <c r="GR11" s="76">
        <f t="shared" si="39"/>
        <v>236</v>
      </c>
      <c r="GS11" s="76">
        <f t="shared" si="40"/>
        <v>72</v>
      </c>
      <c r="GT11" s="76">
        <f t="shared" si="41"/>
        <v>0</v>
      </c>
      <c r="GU11" s="76">
        <f t="shared" si="42"/>
        <v>-22</v>
      </c>
      <c r="GV11" s="76">
        <f t="shared" si="43"/>
        <v>0</v>
      </c>
      <c r="GW11" s="76">
        <f t="shared" si="44"/>
        <v>0</v>
      </c>
      <c r="GX11" s="76">
        <f t="shared" si="45"/>
        <v>0</v>
      </c>
      <c r="GY11" s="76">
        <f t="shared" si="46"/>
        <v>0</v>
      </c>
      <c r="GZ11" s="76">
        <f t="shared" si="47"/>
        <v>0</v>
      </c>
      <c r="HA11" s="76">
        <f t="shared" si="48"/>
        <v>0</v>
      </c>
      <c r="HB11" s="76">
        <f t="shared" si="49"/>
        <v>0</v>
      </c>
      <c r="HC11" s="76">
        <f t="shared" si="50"/>
        <v>12762</v>
      </c>
      <c r="HD11" s="76">
        <f t="shared" si="51"/>
        <v>0</v>
      </c>
      <c r="HE11" s="76">
        <f t="shared" si="52"/>
        <v>0</v>
      </c>
      <c r="HF11" s="76">
        <f t="shared" si="53"/>
        <v>0</v>
      </c>
      <c r="HG11" s="76">
        <f t="shared" si="54"/>
        <v>0</v>
      </c>
      <c r="HH11" s="76">
        <f t="shared" si="55"/>
        <v>0</v>
      </c>
      <c r="HI11" s="76">
        <f t="shared" si="56"/>
        <v>0</v>
      </c>
      <c r="HJ11" s="76">
        <f t="shared" si="78"/>
        <v>0</v>
      </c>
      <c r="HK11" s="76">
        <f t="shared" si="57"/>
        <v>0</v>
      </c>
      <c r="HL11" s="76">
        <f t="shared" si="58"/>
        <v>0</v>
      </c>
      <c r="HM11" s="76">
        <f t="shared" si="59"/>
        <v>0</v>
      </c>
      <c r="HN11" s="76">
        <f t="shared" si="60"/>
        <v>0</v>
      </c>
      <c r="HO11" s="76">
        <f t="shared" si="61"/>
        <v>0</v>
      </c>
      <c r="HP11" s="76">
        <f t="shared" si="62"/>
        <v>0</v>
      </c>
      <c r="HQ11" s="77"/>
      <c r="HR11" s="43"/>
      <c r="HS11" s="43"/>
      <c r="HT11" s="43"/>
      <c r="HU11" s="78">
        <f t="shared" si="63"/>
        <v>0</v>
      </c>
      <c r="HV11" s="78">
        <f t="shared" si="64"/>
        <v>0</v>
      </c>
      <c r="HW11" s="78">
        <f t="shared" si="65"/>
        <v>44551</v>
      </c>
      <c r="HX11" s="79">
        <f t="shared" si="66"/>
        <v>84064</v>
      </c>
      <c r="HY11" s="80">
        <f t="shared" si="67"/>
        <v>34308</v>
      </c>
      <c r="HZ11" s="80">
        <f t="shared" si="68"/>
        <v>10538</v>
      </c>
      <c r="IA11" s="80">
        <f t="shared" si="69"/>
        <v>2439</v>
      </c>
      <c r="IB11" s="80">
        <f t="shared" si="70"/>
        <v>788</v>
      </c>
      <c r="IC11" s="80">
        <f t="shared" si="71"/>
        <v>-22</v>
      </c>
      <c r="ID11" s="80">
        <f t="shared" si="72"/>
        <v>0</v>
      </c>
      <c r="IE11" s="80">
        <f t="shared" si="73"/>
        <v>12762</v>
      </c>
      <c r="IF11" s="80">
        <f t="shared" si="74"/>
        <v>0</v>
      </c>
      <c r="IG11" s="80">
        <f t="shared" si="75"/>
        <v>0</v>
      </c>
    </row>
    <row r="12" spans="1:242" outlineLevel="2" x14ac:dyDescent="0.3">
      <c r="A12" s="71" t="s">
        <v>121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  <c r="DK12" s="74"/>
      <c r="DL12" s="74"/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4"/>
      <c r="DX12" s="74"/>
      <c r="DY12" s="74"/>
      <c r="DZ12" s="74"/>
      <c r="EA12" s="74"/>
      <c r="EB12" s="74"/>
      <c r="EC12" s="74"/>
      <c r="ED12" s="74">
        <v>0</v>
      </c>
      <c r="EE12" s="74">
        <v>0</v>
      </c>
      <c r="EF12" s="74">
        <v>0</v>
      </c>
      <c r="EG12" s="74">
        <v>0</v>
      </c>
      <c r="EH12" s="74">
        <v>0</v>
      </c>
      <c r="EI12" s="74">
        <v>0</v>
      </c>
      <c r="EJ12" s="74">
        <v>0</v>
      </c>
      <c r="EK12" s="74">
        <v>0</v>
      </c>
      <c r="EL12" s="74">
        <v>0</v>
      </c>
      <c r="EM12" s="74">
        <v>0</v>
      </c>
      <c r="EN12" s="74">
        <v>0</v>
      </c>
      <c r="EO12" s="74">
        <v>0</v>
      </c>
      <c r="EP12" s="74">
        <v>0</v>
      </c>
      <c r="EQ12" s="74"/>
      <c r="ER12" s="74"/>
      <c r="ES12" s="74"/>
      <c r="ET12" s="74"/>
      <c r="EU12" s="74"/>
      <c r="EV12" s="74">
        <v>0</v>
      </c>
      <c r="EW12" s="74">
        <v>0</v>
      </c>
      <c r="EX12" s="74">
        <v>0</v>
      </c>
      <c r="EY12" s="74">
        <v>0</v>
      </c>
      <c r="EZ12" s="74">
        <v>0</v>
      </c>
      <c r="FA12" s="74">
        <v>0</v>
      </c>
      <c r="FB12" s="74">
        <v>0</v>
      </c>
      <c r="FC12" s="74">
        <v>0</v>
      </c>
      <c r="FD12" s="74">
        <v>0</v>
      </c>
      <c r="FE12" s="74">
        <v>0</v>
      </c>
      <c r="FF12" s="74">
        <v>0</v>
      </c>
      <c r="FG12" s="74">
        <v>0</v>
      </c>
      <c r="FH12" s="74">
        <v>0</v>
      </c>
      <c r="FI12" s="74"/>
      <c r="FJ12" s="74"/>
      <c r="FK12" s="43"/>
      <c r="FL12" s="43"/>
      <c r="FM12" s="43"/>
      <c r="FN12" s="75">
        <f t="shared" si="76"/>
        <v>0</v>
      </c>
      <c r="FO12" s="76">
        <f t="shared" si="77"/>
        <v>0</v>
      </c>
      <c r="FP12" s="76">
        <f t="shared" si="11"/>
        <v>0</v>
      </c>
      <c r="FQ12" s="76">
        <f t="shared" si="12"/>
        <v>0</v>
      </c>
      <c r="FR12" s="76">
        <f t="shared" si="13"/>
        <v>0</v>
      </c>
      <c r="FS12" s="76">
        <f t="shared" si="14"/>
        <v>0</v>
      </c>
      <c r="FT12" s="76">
        <f t="shared" si="15"/>
        <v>0</v>
      </c>
      <c r="FU12" s="76">
        <f t="shared" si="16"/>
        <v>0</v>
      </c>
      <c r="FV12" s="76">
        <f t="shared" si="17"/>
        <v>0</v>
      </c>
      <c r="FW12" s="76">
        <f t="shared" si="18"/>
        <v>0</v>
      </c>
      <c r="FX12" s="76">
        <f t="shared" si="19"/>
        <v>0</v>
      </c>
      <c r="FY12" s="76">
        <f t="shared" si="20"/>
        <v>0</v>
      </c>
      <c r="FZ12" s="76">
        <f t="shared" si="21"/>
        <v>0</v>
      </c>
      <c r="GA12" s="76">
        <f t="shared" si="22"/>
        <v>0</v>
      </c>
      <c r="GB12" s="76">
        <f t="shared" si="23"/>
        <v>0</v>
      </c>
      <c r="GC12" s="76">
        <f t="shared" si="24"/>
        <v>0</v>
      </c>
      <c r="GD12" s="76">
        <f t="shared" si="25"/>
        <v>0</v>
      </c>
      <c r="GE12" s="76">
        <f t="shared" si="26"/>
        <v>0</v>
      </c>
      <c r="GF12" s="76">
        <f t="shared" si="27"/>
        <v>0</v>
      </c>
      <c r="GG12" s="76">
        <f t="shared" si="28"/>
        <v>0</v>
      </c>
      <c r="GH12" s="76">
        <f t="shared" si="29"/>
        <v>0</v>
      </c>
      <c r="GI12" s="76">
        <f t="shared" si="30"/>
        <v>0</v>
      </c>
      <c r="GJ12" s="76">
        <f t="shared" si="31"/>
        <v>0</v>
      </c>
      <c r="GK12" s="76">
        <f t="shared" si="32"/>
        <v>0</v>
      </c>
      <c r="GL12" s="76">
        <f t="shared" si="33"/>
        <v>0</v>
      </c>
      <c r="GM12" s="76">
        <f t="shared" si="34"/>
        <v>0</v>
      </c>
      <c r="GN12" s="76">
        <f t="shared" si="35"/>
        <v>0</v>
      </c>
      <c r="GO12" s="76">
        <f t="shared" si="36"/>
        <v>0</v>
      </c>
      <c r="GP12" s="76">
        <f t="shared" si="37"/>
        <v>0</v>
      </c>
      <c r="GQ12" s="76">
        <f t="shared" si="38"/>
        <v>0</v>
      </c>
      <c r="GR12" s="76">
        <f t="shared" si="39"/>
        <v>0</v>
      </c>
      <c r="GS12" s="76">
        <f t="shared" si="40"/>
        <v>0</v>
      </c>
      <c r="GT12" s="76">
        <f t="shared" si="41"/>
        <v>0</v>
      </c>
      <c r="GU12" s="76">
        <f t="shared" si="42"/>
        <v>0</v>
      </c>
      <c r="GV12" s="76">
        <f t="shared" si="43"/>
        <v>0</v>
      </c>
      <c r="GW12" s="76">
        <f t="shared" si="44"/>
        <v>0</v>
      </c>
      <c r="GX12" s="76">
        <f t="shared" si="45"/>
        <v>0</v>
      </c>
      <c r="GY12" s="76">
        <f t="shared" si="46"/>
        <v>0</v>
      </c>
      <c r="GZ12" s="76">
        <f t="shared" si="47"/>
        <v>0</v>
      </c>
      <c r="HA12" s="76">
        <f t="shared" si="48"/>
        <v>0</v>
      </c>
      <c r="HB12" s="76">
        <f t="shared" si="49"/>
        <v>0</v>
      </c>
      <c r="HC12" s="76">
        <f t="shared" si="50"/>
        <v>0</v>
      </c>
      <c r="HD12" s="76">
        <f t="shared" si="51"/>
        <v>0</v>
      </c>
      <c r="HE12" s="76">
        <f t="shared" si="52"/>
        <v>0</v>
      </c>
      <c r="HF12" s="76">
        <f t="shared" si="53"/>
        <v>0</v>
      </c>
      <c r="HG12" s="76">
        <f t="shared" si="54"/>
        <v>0</v>
      </c>
      <c r="HH12" s="76">
        <f t="shared" si="55"/>
        <v>0</v>
      </c>
      <c r="HI12" s="76">
        <f t="shared" si="56"/>
        <v>0</v>
      </c>
      <c r="HJ12" s="76">
        <f t="shared" si="78"/>
        <v>0</v>
      </c>
      <c r="HK12" s="76">
        <f t="shared" si="57"/>
        <v>0</v>
      </c>
      <c r="HL12" s="76">
        <f t="shared" si="58"/>
        <v>0</v>
      </c>
      <c r="HM12" s="76">
        <f t="shared" si="59"/>
        <v>0</v>
      </c>
      <c r="HN12" s="76">
        <f t="shared" si="60"/>
        <v>0</v>
      </c>
      <c r="HO12" s="76">
        <f t="shared" si="61"/>
        <v>0</v>
      </c>
      <c r="HP12" s="76">
        <f t="shared" si="62"/>
        <v>0</v>
      </c>
      <c r="HQ12" s="77"/>
      <c r="HR12" s="43"/>
      <c r="HS12" s="43"/>
      <c r="HT12" s="43"/>
      <c r="HU12" s="78">
        <f t="shared" si="63"/>
        <v>0</v>
      </c>
      <c r="HV12" s="78">
        <f t="shared" si="64"/>
        <v>0</v>
      </c>
      <c r="HW12" s="78">
        <f t="shared" si="65"/>
        <v>0</v>
      </c>
      <c r="HX12" s="79">
        <f t="shared" si="66"/>
        <v>0</v>
      </c>
      <c r="HY12" s="80">
        <f t="shared" si="67"/>
        <v>0</v>
      </c>
      <c r="HZ12" s="80">
        <f t="shared" si="68"/>
        <v>0</v>
      </c>
      <c r="IA12" s="80">
        <f t="shared" si="69"/>
        <v>0</v>
      </c>
      <c r="IB12" s="80">
        <f t="shared" si="70"/>
        <v>0</v>
      </c>
      <c r="IC12" s="80">
        <f t="shared" si="71"/>
        <v>0</v>
      </c>
      <c r="ID12" s="80">
        <f t="shared" si="72"/>
        <v>0</v>
      </c>
      <c r="IE12" s="80">
        <f t="shared" si="73"/>
        <v>0</v>
      </c>
      <c r="IF12" s="80">
        <f t="shared" si="74"/>
        <v>0</v>
      </c>
      <c r="IG12" s="80">
        <f t="shared" si="75"/>
        <v>0</v>
      </c>
    </row>
    <row r="13" spans="1:242" outlineLevel="2" x14ac:dyDescent="0.3">
      <c r="A13" s="63" t="s">
        <v>122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>
        <v>2211</v>
      </c>
      <c r="AA13" s="58">
        <v>2251</v>
      </c>
      <c r="AB13" s="58">
        <v>2128</v>
      </c>
      <c r="AC13" s="58">
        <v>2012</v>
      </c>
      <c r="AD13" s="58">
        <v>2456</v>
      </c>
      <c r="AE13" s="58">
        <v>2692</v>
      </c>
      <c r="AF13" s="58">
        <v>3005</v>
      </c>
      <c r="AG13" s="58">
        <v>2284</v>
      </c>
      <c r="AH13" s="58">
        <v>1901</v>
      </c>
      <c r="AI13" s="58">
        <v>2321</v>
      </c>
      <c r="AJ13" s="58">
        <v>2301</v>
      </c>
      <c r="AK13" s="58">
        <v>2500</v>
      </c>
      <c r="AL13" s="58">
        <v>2118</v>
      </c>
      <c r="AM13" s="58">
        <v>2269</v>
      </c>
      <c r="AN13" s="58">
        <v>2404</v>
      </c>
      <c r="AO13" s="58">
        <v>2393</v>
      </c>
      <c r="AP13" s="58">
        <v>2395</v>
      </c>
      <c r="AQ13" s="58">
        <v>2380</v>
      </c>
      <c r="AR13" s="58">
        <v>2826</v>
      </c>
      <c r="AS13" s="58">
        <v>2305</v>
      </c>
      <c r="AT13" s="58">
        <v>1618</v>
      </c>
      <c r="AU13" s="58">
        <v>1471</v>
      </c>
      <c r="AV13" s="58">
        <v>2339</v>
      </c>
      <c r="AW13" s="58">
        <v>2347</v>
      </c>
      <c r="AX13" s="58">
        <v>2533</v>
      </c>
      <c r="AY13" s="58">
        <v>2247</v>
      </c>
      <c r="AZ13" s="58">
        <v>2327</v>
      </c>
      <c r="BA13" s="58">
        <v>2142</v>
      </c>
      <c r="BB13" s="58">
        <v>2340</v>
      </c>
      <c r="BC13" s="58">
        <v>5144</v>
      </c>
      <c r="BD13" s="58">
        <v>6103</v>
      </c>
      <c r="BE13" s="58">
        <v>4643</v>
      </c>
      <c r="BF13" s="58">
        <v>3482</v>
      </c>
      <c r="BG13" s="58">
        <v>3708</v>
      </c>
      <c r="BH13" s="58">
        <v>4410</v>
      </c>
      <c r="BI13" s="58">
        <v>4731</v>
      </c>
      <c r="BJ13" s="58">
        <v>4811</v>
      </c>
      <c r="BK13" s="58">
        <v>4246</v>
      </c>
      <c r="BL13" s="58">
        <v>4515</v>
      </c>
      <c r="BM13" s="58">
        <v>5266</v>
      </c>
      <c r="BN13" s="58">
        <v>6767</v>
      </c>
      <c r="BO13" s="58">
        <v>8059</v>
      </c>
      <c r="BP13" s="58">
        <v>6987</v>
      </c>
      <c r="BQ13" s="58">
        <v>5712</v>
      </c>
      <c r="BR13" s="58">
        <v>4130</v>
      </c>
      <c r="BS13" s="58">
        <v>5480</v>
      </c>
      <c r="BT13" s="58">
        <v>5508</v>
      </c>
      <c r="BU13" s="58">
        <v>6688</v>
      </c>
      <c r="BV13" s="58">
        <v>6859</v>
      </c>
      <c r="BW13" s="58">
        <v>5692</v>
      </c>
      <c r="BX13" s="58">
        <v>6057</v>
      </c>
      <c r="BY13" s="58">
        <v>6388</v>
      </c>
      <c r="BZ13" s="58">
        <v>8281</v>
      </c>
      <c r="CA13" s="58">
        <v>9012</v>
      </c>
      <c r="CB13" s="58">
        <v>10077</v>
      </c>
      <c r="CC13" s="58">
        <v>5933</v>
      </c>
      <c r="CD13" s="58">
        <v>3654</v>
      </c>
      <c r="CE13" s="58">
        <v>4655</v>
      </c>
      <c r="CF13" s="58">
        <v>4946</v>
      </c>
      <c r="CG13" s="58">
        <v>6221</v>
      </c>
      <c r="CH13" s="58">
        <v>5880</v>
      </c>
      <c r="CI13" s="58">
        <v>5292</v>
      </c>
      <c r="CJ13" s="58">
        <v>5628</v>
      </c>
      <c r="CK13" s="58">
        <v>5893</v>
      </c>
      <c r="CL13" s="58">
        <v>7148</v>
      </c>
      <c r="CM13" s="58">
        <v>7140</v>
      </c>
      <c r="CN13" s="58">
        <v>6464</v>
      </c>
      <c r="CO13" s="58">
        <v>5026</v>
      </c>
      <c r="CP13" s="58">
        <v>3672</v>
      </c>
      <c r="CQ13" s="58">
        <v>4358</v>
      </c>
      <c r="CR13" s="58">
        <v>4129</v>
      </c>
      <c r="CS13" s="64">
        <v>2008</v>
      </c>
      <c r="CT13" s="64"/>
      <c r="CU13" s="64">
        <v>1300</v>
      </c>
      <c r="CV13" s="64">
        <v>2816</v>
      </c>
      <c r="CW13" s="64">
        <v>3373</v>
      </c>
      <c r="CX13" s="64">
        <v>4614</v>
      </c>
      <c r="CY13" s="64">
        <v>5537</v>
      </c>
      <c r="CZ13" s="64">
        <v>7629</v>
      </c>
      <c r="DA13" s="64">
        <v>5798</v>
      </c>
      <c r="DB13" s="64">
        <v>5610</v>
      </c>
      <c r="DC13" s="64">
        <v>6040</v>
      </c>
      <c r="DD13" s="64">
        <v>6336</v>
      </c>
      <c r="DE13" s="64">
        <v>7016</v>
      </c>
      <c r="DF13" s="64">
        <v>4114</v>
      </c>
      <c r="DG13" s="64">
        <v>645</v>
      </c>
      <c r="DH13" s="64">
        <v>2446</v>
      </c>
      <c r="DI13" s="64">
        <v>4707</v>
      </c>
      <c r="DJ13" s="64">
        <v>5500</v>
      </c>
      <c r="DK13" s="64">
        <v>7161</v>
      </c>
      <c r="DL13" s="64">
        <v>6150</v>
      </c>
      <c r="DM13" s="64">
        <v>4460</v>
      </c>
      <c r="DN13" s="64">
        <v>3652</v>
      </c>
      <c r="DO13" s="64">
        <v>4200</v>
      </c>
      <c r="DP13" s="64">
        <v>5100</v>
      </c>
      <c r="DQ13" s="64">
        <v>5550</v>
      </c>
      <c r="DR13" s="64">
        <v>5223</v>
      </c>
      <c r="DS13" s="64">
        <v>4731</v>
      </c>
      <c r="DT13" s="64">
        <v>3752</v>
      </c>
      <c r="DU13" s="64">
        <v>59004</v>
      </c>
      <c r="DV13" s="64">
        <v>3548</v>
      </c>
      <c r="DW13" s="64">
        <v>5228</v>
      </c>
      <c r="DX13" s="64">
        <v>3925</v>
      </c>
      <c r="DY13" s="64">
        <v>2790</v>
      </c>
      <c r="DZ13" s="64">
        <v>2425</v>
      </c>
      <c r="EA13" s="64">
        <v>3001</v>
      </c>
      <c r="EB13" s="64">
        <v>2900</v>
      </c>
      <c r="EC13" s="64">
        <v>3227</v>
      </c>
      <c r="ED13" s="64">
        <v>2990</v>
      </c>
      <c r="EE13" s="64">
        <v>2601</v>
      </c>
      <c r="EF13" s="64">
        <v>3333</v>
      </c>
      <c r="EG13" s="64">
        <v>2988</v>
      </c>
      <c r="EH13" s="64">
        <v>3275</v>
      </c>
      <c r="EI13" s="64">
        <v>3120</v>
      </c>
      <c r="EJ13" s="64">
        <v>3888</v>
      </c>
      <c r="EK13" s="64">
        <v>3653</v>
      </c>
      <c r="EL13" s="64">
        <v>2907</v>
      </c>
      <c r="EM13" s="64">
        <v>3211</v>
      </c>
      <c r="EN13" s="64">
        <v>3036</v>
      </c>
      <c r="EO13" s="64">
        <v>3035</v>
      </c>
      <c r="EP13" s="64">
        <v>2885</v>
      </c>
      <c r="EQ13" s="64">
        <v>3060</v>
      </c>
      <c r="ER13" s="64">
        <v>2559</v>
      </c>
      <c r="ES13" s="64">
        <v>2396</v>
      </c>
      <c r="ET13" s="64">
        <v>2463</v>
      </c>
      <c r="EU13" s="64">
        <v>2737</v>
      </c>
      <c r="EV13" s="64">
        <v>3113</v>
      </c>
      <c r="EW13" s="64">
        <v>2016</v>
      </c>
      <c r="EX13" s="64">
        <v>2150</v>
      </c>
      <c r="EY13" s="64">
        <v>2693</v>
      </c>
      <c r="EZ13" s="64">
        <v>2272</v>
      </c>
      <c r="FA13" s="64">
        <v>2709</v>
      </c>
      <c r="FB13" s="64">
        <v>2569</v>
      </c>
      <c r="FC13" s="64">
        <v>2485</v>
      </c>
      <c r="FD13" s="64">
        <v>2347</v>
      </c>
      <c r="FE13" s="64">
        <v>2350</v>
      </c>
      <c r="FF13" s="64">
        <v>2602</v>
      </c>
      <c r="FG13" s="64">
        <v>2330</v>
      </c>
      <c r="FH13" s="64">
        <v>3568</v>
      </c>
      <c r="FI13" s="64">
        <v>2640</v>
      </c>
      <c r="FJ13" s="64">
        <v>2611</v>
      </c>
      <c r="FK13" s="43"/>
      <c r="FL13" s="43"/>
      <c r="FM13" s="43"/>
      <c r="FN13" s="66">
        <f t="shared" si="76"/>
        <v>0</v>
      </c>
      <c r="FO13" s="67">
        <f t="shared" si="77"/>
        <v>0</v>
      </c>
      <c r="FP13" s="67">
        <f t="shared" si="11"/>
        <v>0</v>
      </c>
      <c r="FQ13" s="67">
        <f t="shared" si="12"/>
        <v>0</v>
      </c>
      <c r="FR13" s="67">
        <f t="shared" si="13"/>
        <v>0</v>
      </c>
      <c r="FS13" s="67">
        <f t="shared" si="14"/>
        <v>0</v>
      </c>
      <c r="FT13" s="67">
        <f t="shared" si="15"/>
        <v>0</v>
      </c>
      <c r="FU13" s="67">
        <f t="shared" si="16"/>
        <v>0</v>
      </c>
      <c r="FV13" s="67">
        <f t="shared" si="17"/>
        <v>6590</v>
      </c>
      <c r="FW13" s="67">
        <f t="shared" si="18"/>
        <v>7160</v>
      </c>
      <c r="FX13" s="67">
        <f t="shared" si="19"/>
        <v>7190</v>
      </c>
      <c r="FY13" s="67">
        <f t="shared" si="20"/>
        <v>7122</v>
      </c>
      <c r="FZ13" s="67">
        <f t="shared" si="21"/>
        <v>6791</v>
      </c>
      <c r="GA13" s="67">
        <f t="shared" si="22"/>
        <v>7168</v>
      </c>
      <c r="GB13" s="67">
        <f t="shared" si="23"/>
        <v>6749</v>
      </c>
      <c r="GC13" s="67">
        <f t="shared" si="24"/>
        <v>6157</v>
      </c>
      <c r="GD13" s="67">
        <f t="shared" si="25"/>
        <v>7107</v>
      </c>
      <c r="GE13" s="67">
        <f t="shared" si="26"/>
        <v>9626</v>
      </c>
      <c r="GF13" s="67">
        <f t="shared" si="27"/>
        <v>14228</v>
      </c>
      <c r="GG13" s="67">
        <f t="shared" si="28"/>
        <v>12849</v>
      </c>
      <c r="GH13" s="67">
        <f t="shared" si="29"/>
        <v>13572</v>
      </c>
      <c r="GI13" s="67">
        <f t="shared" si="30"/>
        <v>20092</v>
      </c>
      <c r="GJ13" s="67">
        <f t="shared" si="31"/>
        <v>16829</v>
      </c>
      <c r="GK13" s="67">
        <f t="shared" si="32"/>
        <v>17676</v>
      </c>
      <c r="GL13" s="67">
        <f t="shared" si="33"/>
        <v>18608</v>
      </c>
      <c r="GM13" s="67">
        <f t="shared" si="34"/>
        <v>23681</v>
      </c>
      <c r="GN13" s="67">
        <f t="shared" si="35"/>
        <v>19664</v>
      </c>
      <c r="GO13" s="67">
        <f t="shared" si="36"/>
        <v>15822</v>
      </c>
      <c r="GP13" s="67">
        <f t="shared" si="37"/>
        <v>16800</v>
      </c>
      <c r="GQ13" s="67">
        <f t="shared" si="38"/>
        <v>20181</v>
      </c>
      <c r="GR13" s="67">
        <f t="shared" si="39"/>
        <v>15162</v>
      </c>
      <c r="GS13" s="67">
        <f t="shared" si="40"/>
        <v>10495</v>
      </c>
      <c r="GT13" s="67">
        <f t="shared" si="41"/>
        <v>4116</v>
      </c>
      <c r="GU13" s="67">
        <f t="shared" si="42"/>
        <v>13524</v>
      </c>
      <c r="GV13" s="67">
        <f t="shared" si="43"/>
        <v>19037</v>
      </c>
      <c r="GW13" s="67">
        <f t="shared" si="44"/>
        <v>19392</v>
      </c>
      <c r="GX13" s="67">
        <f t="shared" si="45"/>
        <v>7205</v>
      </c>
      <c r="GY13" s="67">
        <f t="shared" si="46"/>
        <v>17368</v>
      </c>
      <c r="GZ13" s="67">
        <f t="shared" si="47"/>
        <v>14262</v>
      </c>
      <c r="HA13" s="67">
        <f t="shared" si="48"/>
        <v>14850</v>
      </c>
      <c r="HB13" s="67">
        <f t="shared" si="49"/>
        <v>13706</v>
      </c>
      <c r="HC13" s="67">
        <f t="shared" si="50"/>
        <v>67780</v>
      </c>
      <c r="HD13" s="67">
        <f t="shared" si="51"/>
        <v>9140</v>
      </c>
      <c r="HE13" s="67">
        <f t="shared" si="52"/>
        <v>9128</v>
      </c>
      <c r="HF13" s="67">
        <f t="shared" si="53"/>
        <v>8924</v>
      </c>
      <c r="HG13" s="67">
        <f t="shared" si="54"/>
        <v>9383</v>
      </c>
      <c r="HH13" s="67">
        <f t="shared" si="55"/>
        <v>10448</v>
      </c>
      <c r="HI13" s="67">
        <f t="shared" si="56"/>
        <v>9282</v>
      </c>
      <c r="HJ13" s="67">
        <f t="shared" si="78"/>
        <v>8504</v>
      </c>
      <c r="HK13" s="67">
        <f t="shared" si="57"/>
        <v>7596</v>
      </c>
      <c r="HL13" s="67">
        <f t="shared" si="58"/>
        <v>7279</v>
      </c>
      <c r="HM13" s="67">
        <f t="shared" si="59"/>
        <v>7674</v>
      </c>
      <c r="HN13" s="67">
        <f t="shared" si="60"/>
        <v>7401</v>
      </c>
      <c r="HO13" s="67">
        <f t="shared" si="61"/>
        <v>7282</v>
      </c>
      <c r="HP13" s="67">
        <f t="shared" si="62"/>
        <v>8819</v>
      </c>
      <c r="HQ13" s="60"/>
      <c r="HR13" s="43"/>
      <c r="HS13" s="43"/>
      <c r="HT13" s="43"/>
      <c r="HU13" s="68">
        <f t="shared" si="63"/>
        <v>0</v>
      </c>
      <c r="HV13" s="68">
        <f t="shared" si="64"/>
        <v>0</v>
      </c>
      <c r="HW13" s="68">
        <f t="shared" si="65"/>
        <v>28062</v>
      </c>
      <c r="HX13" s="69">
        <f t="shared" si="66"/>
        <v>26865</v>
      </c>
      <c r="HY13" s="70">
        <f t="shared" si="67"/>
        <v>43810</v>
      </c>
      <c r="HZ13" s="70">
        <f t="shared" si="68"/>
        <v>68169</v>
      </c>
      <c r="IA13" s="70">
        <f t="shared" si="69"/>
        <v>77775</v>
      </c>
      <c r="IB13" s="70">
        <f t="shared" si="70"/>
        <v>62638</v>
      </c>
      <c r="IC13" s="70">
        <f t="shared" si="71"/>
        <v>56069</v>
      </c>
      <c r="ID13" s="70">
        <f t="shared" si="72"/>
        <v>53685</v>
      </c>
      <c r="IE13" s="70">
        <f t="shared" si="73"/>
        <v>99754</v>
      </c>
      <c r="IF13" s="70">
        <f t="shared" si="74"/>
        <v>38037</v>
      </c>
      <c r="IG13" s="70">
        <f t="shared" si="75"/>
        <v>31053</v>
      </c>
    </row>
    <row r="14" spans="1:242" outlineLevel="2" x14ac:dyDescent="0.3">
      <c r="A14" s="71" t="s">
        <v>123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>
        <v>23048</v>
      </c>
      <c r="AA14" s="72">
        <v>26443</v>
      </c>
      <c r="AB14" s="72">
        <v>20257</v>
      </c>
      <c r="AC14" s="72">
        <v>23421</v>
      </c>
      <c r="AD14" s="72">
        <v>16139</v>
      </c>
      <c r="AE14" s="72">
        <v>32882</v>
      </c>
      <c r="AF14" s="72">
        <v>27113</v>
      </c>
      <c r="AG14" s="72">
        <v>23722</v>
      </c>
      <c r="AH14" s="72">
        <v>17983</v>
      </c>
      <c r="AI14" s="72">
        <v>23804</v>
      </c>
      <c r="AJ14" s="72">
        <v>20135</v>
      </c>
      <c r="AK14" s="72">
        <v>20243</v>
      </c>
      <c r="AL14" s="72">
        <v>17960</v>
      </c>
      <c r="AM14" s="72">
        <v>18930</v>
      </c>
      <c r="AN14" s="72">
        <v>21597</v>
      </c>
      <c r="AO14" s="72">
        <v>23519</v>
      </c>
      <c r="AP14" s="72">
        <v>20753</v>
      </c>
      <c r="AQ14" s="72">
        <v>17339</v>
      </c>
      <c r="AR14" s="72">
        <v>20429</v>
      </c>
      <c r="AS14" s="72">
        <v>16063</v>
      </c>
      <c r="AT14" s="72">
        <v>14887</v>
      </c>
      <c r="AU14" s="72">
        <v>17510</v>
      </c>
      <c r="AV14" s="72">
        <v>16693</v>
      </c>
      <c r="AW14" s="72">
        <v>14708</v>
      </c>
      <c r="AX14" s="72">
        <v>18792</v>
      </c>
      <c r="AY14" s="72">
        <v>20810</v>
      </c>
      <c r="AZ14" s="72">
        <v>16822</v>
      </c>
      <c r="BA14" s="72">
        <v>14402</v>
      </c>
      <c r="BB14" s="72">
        <v>25969</v>
      </c>
      <c r="BC14" s="72">
        <v>28523</v>
      </c>
      <c r="BD14" s="72">
        <v>27447</v>
      </c>
      <c r="BE14" s="72">
        <v>25796</v>
      </c>
      <c r="BF14" s="72">
        <v>17240</v>
      </c>
      <c r="BG14" s="72">
        <v>27844</v>
      </c>
      <c r="BH14" s="72">
        <v>27859</v>
      </c>
      <c r="BI14" s="72">
        <v>29279</v>
      </c>
      <c r="BJ14" s="72">
        <v>29249</v>
      </c>
      <c r="BK14" s="72">
        <v>33049</v>
      </c>
      <c r="BL14" s="72">
        <v>27025</v>
      </c>
      <c r="BM14" s="72">
        <v>28714</v>
      </c>
      <c r="BN14" s="72">
        <v>41230</v>
      </c>
      <c r="BO14" s="72">
        <v>43504</v>
      </c>
      <c r="BP14" s="72">
        <v>40045</v>
      </c>
      <c r="BQ14" s="72">
        <v>36225</v>
      </c>
      <c r="BR14" s="72">
        <v>27479</v>
      </c>
      <c r="BS14" s="72">
        <v>38274</v>
      </c>
      <c r="BT14" s="72">
        <v>39456</v>
      </c>
      <c r="BU14" s="72">
        <v>37289</v>
      </c>
      <c r="BV14" s="72">
        <v>44203</v>
      </c>
      <c r="BW14" s="72">
        <v>47088</v>
      </c>
      <c r="BX14" s="72">
        <v>39645</v>
      </c>
      <c r="BY14" s="72">
        <v>47741</v>
      </c>
      <c r="BZ14" s="72">
        <v>56252</v>
      </c>
      <c r="CA14" s="72">
        <v>56918</v>
      </c>
      <c r="CB14" s="72">
        <v>55992</v>
      </c>
      <c r="CC14" s="72">
        <v>49294</v>
      </c>
      <c r="CD14" s="72">
        <v>42367</v>
      </c>
      <c r="CE14" s="72">
        <v>61348</v>
      </c>
      <c r="CF14" s="72">
        <v>56547</v>
      </c>
      <c r="CG14" s="72">
        <v>58125</v>
      </c>
      <c r="CH14" s="72">
        <v>55935</v>
      </c>
      <c r="CI14" s="72">
        <v>57427</v>
      </c>
      <c r="CJ14" s="72">
        <v>54147</v>
      </c>
      <c r="CK14" s="72">
        <v>58232</v>
      </c>
      <c r="CL14" s="72">
        <v>57834</v>
      </c>
      <c r="CM14" s="72">
        <v>58353</v>
      </c>
      <c r="CN14" s="72">
        <v>61408</v>
      </c>
      <c r="CO14" s="72">
        <v>56952</v>
      </c>
      <c r="CP14" s="72">
        <v>42683</v>
      </c>
      <c r="CQ14" s="72">
        <v>55198</v>
      </c>
      <c r="CR14" s="72">
        <v>57729</v>
      </c>
      <c r="CS14" s="74">
        <v>31485</v>
      </c>
      <c r="CT14" s="74"/>
      <c r="CU14" s="74">
        <v>4424</v>
      </c>
      <c r="CV14" s="74">
        <v>19003</v>
      </c>
      <c r="CW14" s="74">
        <v>28644</v>
      </c>
      <c r="CX14" s="74">
        <v>49699</v>
      </c>
      <c r="CY14" s="74">
        <v>62897</v>
      </c>
      <c r="CZ14" s="74">
        <v>63054</v>
      </c>
      <c r="DA14" s="74">
        <v>54660</v>
      </c>
      <c r="DB14" s="74">
        <v>42820</v>
      </c>
      <c r="DC14" s="74">
        <v>54218</v>
      </c>
      <c r="DD14" s="74">
        <v>57029</v>
      </c>
      <c r="DE14" s="74">
        <v>57709</v>
      </c>
      <c r="DF14" s="74">
        <v>61439</v>
      </c>
      <c r="DG14" s="74">
        <v>12451</v>
      </c>
      <c r="DH14" s="74">
        <v>39334</v>
      </c>
      <c r="DI14" s="74">
        <v>57089</v>
      </c>
      <c r="DJ14" s="74">
        <v>60146</v>
      </c>
      <c r="DK14" s="74">
        <v>53709</v>
      </c>
      <c r="DL14" s="74">
        <v>53649</v>
      </c>
      <c r="DM14" s="74">
        <v>53729</v>
      </c>
      <c r="DN14" s="74">
        <v>31124</v>
      </c>
      <c r="DO14" s="74">
        <v>57966</v>
      </c>
      <c r="DP14" s="74">
        <v>56530</v>
      </c>
      <c r="DQ14" s="74">
        <v>49887</v>
      </c>
      <c r="DR14" s="74">
        <v>53098</v>
      </c>
      <c r="DS14" s="74">
        <v>57621</v>
      </c>
      <c r="DT14" s="74">
        <v>52208</v>
      </c>
      <c r="DU14" s="74">
        <v>107056</v>
      </c>
      <c r="DV14" s="74">
        <v>61009</v>
      </c>
      <c r="DW14" s="74">
        <v>69072</v>
      </c>
      <c r="DX14" s="74">
        <v>68226</v>
      </c>
      <c r="DY14" s="74">
        <v>62147</v>
      </c>
      <c r="DZ14" s="74">
        <v>40587</v>
      </c>
      <c r="EA14" s="74">
        <v>65991</v>
      </c>
      <c r="EB14" s="74">
        <v>50486</v>
      </c>
      <c r="EC14" s="74">
        <v>73060</v>
      </c>
      <c r="ED14" s="74">
        <v>66694</v>
      </c>
      <c r="EE14" s="74">
        <v>63009</v>
      </c>
      <c r="EF14" s="74">
        <v>59872</v>
      </c>
      <c r="EG14" s="74">
        <v>76996</v>
      </c>
      <c r="EH14" s="74">
        <v>79920</v>
      </c>
      <c r="EI14" s="74">
        <v>81325</v>
      </c>
      <c r="EJ14" s="74">
        <v>81720</v>
      </c>
      <c r="EK14" s="74">
        <v>70921</v>
      </c>
      <c r="EL14" s="74">
        <v>67825</v>
      </c>
      <c r="EM14" s="74">
        <v>78477</v>
      </c>
      <c r="EN14" s="74">
        <v>81460</v>
      </c>
      <c r="EO14" s="74">
        <v>84451</v>
      </c>
      <c r="EP14" s="74">
        <v>86106</v>
      </c>
      <c r="EQ14" s="74">
        <v>90305</v>
      </c>
      <c r="ER14" s="74">
        <v>69853</v>
      </c>
      <c r="ES14" s="74">
        <v>98376</v>
      </c>
      <c r="ET14" s="74">
        <v>85378</v>
      </c>
      <c r="EU14" s="74">
        <v>75263</v>
      </c>
      <c r="EV14" s="74">
        <v>102484</v>
      </c>
      <c r="EW14" s="74">
        <v>77133</v>
      </c>
      <c r="EX14" s="74">
        <v>78558</v>
      </c>
      <c r="EY14" s="74">
        <v>85588</v>
      </c>
      <c r="EZ14" s="74">
        <v>71399</v>
      </c>
      <c r="FA14" s="74">
        <v>104225</v>
      </c>
      <c r="FB14" s="74">
        <v>93855</v>
      </c>
      <c r="FC14" s="74">
        <v>106428</v>
      </c>
      <c r="FD14" s="74">
        <v>72399</v>
      </c>
      <c r="FE14" s="74">
        <v>94296</v>
      </c>
      <c r="FF14" s="74">
        <v>91065</v>
      </c>
      <c r="FG14" s="74">
        <v>105344</v>
      </c>
      <c r="FH14" s="74">
        <v>101347</v>
      </c>
      <c r="FI14" s="74">
        <v>95040</v>
      </c>
      <c r="FJ14" s="74">
        <v>96761</v>
      </c>
      <c r="FK14" s="43"/>
      <c r="FL14" s="43"/>
      <c r="FM14" s="43"/>
      <c r="FN14" s="75">
        <f t="shared" si="76"/>
        <v>0</v>
      </c>
      <c r="FO14" s="76">
        <f t="shared" si="77"/>
        <v>0</v>
      </c>
      <c r="FP14" s="76">
        <f t="shared" si="11"/>
        <v>0</v>
      </c>
      <c r="FQ14" s="76">
        <f t="shared" si="12"/>
        <v>0</v>
      </c>
      <c r="FR14" s="76">
        <f t="shared" si="13"/>
        <v>0</v>
      </c>
      <c r="FS14" s="76">
        <f t="shared" si="14"/>
        <v>0</v>
      </c>
      <c r="FT14" s="76">
        <f t="shared" si="15"/>
        <v>0</v>
      </c>
      <c r="FU14" s="76">
        <f t="shared" si="16"/>
        <v>0</v>
      </c>
      <c r="FV14" s="76">
        <f t="shared" si="17"/>
        <v>69748</v>
      </c>
      <c r="FW14" s="76">
        <f t="shared" si="18"/>
        <v>72442</v>
      </c>
      <c r="FX14" s="76">
        <f t="shared" si="19"/>
        <v>68818</v>
      </c>
      <c r="FY14" s="76">
        <f t="shared" si="20"/>
        <v>64182</v>
      </c>
      <c r="FZ14" s="76">
        <f t="shared" si="21"/>
        <v>58487</v>
      </c>
      <c r="GA14" s="76">
        <f t="shared" si="22"/>
        <v>61611</v>
      </c>
      <c r="GB14" s="76">
        <f t="shared" si="23"/>
        <v>51379</v>
      </c>
      <c r="GC14" s="76">
        <f t="shared" si="24"/>
        <v>48911</v>
      </c>
      <c r="GD14" s="76">
        <f t="shared" si="25"/>
        <v>56424</v>
      </c>
      <c r="GE14" s="76">
        <f t="shared" si="26"/>
        <v>68894</v>
      </c>
      <c r="GF14" s="76">
        <f t="shared" si="27"/>
        <v>70483</v>
      </c>
      <c r="GG14" s="76">
        <f t="shared" si="28"/>
        <v>84982</v>
      </c>
      <c r="GH14" s="76">
        <f t="shared" si="29"/>
        <v>89323</v>
      </c>
      <c r="GI14" s="76">
        <f t="shared" si="30"/>
        <v>113448</v>
      </c>
      <c r="GJ14" s="76">
        <f t="shared" si="31"/>
        <v>103749</v>
      </c>
      <c r="GK14" s="76">
        <f t="shared" si="32"/>
        <v>115019</v>
      </c>
      <c r="GL14" s="76">
        <f t="shared" si="33"/>
        <v>130936</v>
      </c>
      <c r="GM14" s="76">
        <f t="shared" si="34"/>
        <v>160911</v>
      </c>
      <c r="GN14" s="76">
        <f t="shared" si="35"/>
        <v>147653</v>
      </c>
      <c r="GO14" s="76">
        <f t="shared" si="36"/>
        <v>176020</v>
      </c>
      <c r="GP14" s="76">
        <f t="shared" si="37"/>
        <v>167509</v>
      </c>
      <c r="GQ14" s="76">
        <f t="shared" si="38"/>
        <v>174419</v>
      </c>
      <c r="GR14" s="76">
        <f t="shared" si="39"/>
        <v>161043</v>
      </c>
      <c r="GS14" s="76">
        <f t="shared" si="40"/>
        <v>144412</v>
      </c>
      <c r="GT14" s="76">
        <f t="shared" si="41"/>
        <v>23427</v>
      </c>
      <c r="GU14" s="76">
        <f t="shared" si="42"/>
        <v>141240</v>
      </c>
      <c r="GV14" s="76">
        <f t="shared" si="43"/>
        <v>160534</v>
      </c>
      <c r="GW14" s="76">
        <f t="shared" si="44"/>
        <v>168956</v>
      </c>
      <c r="GX14" s="76">
        <f t="shared" si="45"/>
        <v>113224</v>
      </c>
      <c r="GY14" s="76">
        <f t="shared" si="46"/>
        <v>170944</v>
      </c>
      <c r="GZ14" s="76">
        <f t="shared" si="47"/>
        <v>138502</v>
      </c>
      <c r="HA14" s="76">
        <f t="shared" si="48"/>
        <v>164383</v>
      </c>
      <c r="HB14" s="76">
        <f t="shared" si="49"/>
        <v>162927</v>
      </c>
      <c r="HC14" s="76">
        <f t="shared" si="50"/>
        <v>237137</v>
      </c>
      <c r="HD14" s="76">
        <f t="shared" si="51"/>
        <v>170960</v>
      </c>
      <c r="HE14" s="76">
        <f t="shared" si="52"/>
        <v>189537</v>
      </c>
      <c r="HF14" s="76">
        <f t="shared" si="53"/>
        <v>189575</v>
      </c>
      <c r="HG14" s="76">
        <f t="shared" si="54"/>
        <v>238241</v>
      </c>
      <c r="HH14" s="76">
        <f t="shared" si="55"/>
        <v>220466</v>
      </c>
      <c r="HI14" s="76">
        <f t="shared" si="56"/>
        <v>244388</v>
      </c>
      <c r="HJ14" s="76">
        <f t="shared" si="78"/>
        <v>246264</v>
      </c>
      <c r="HK14" s="76">
        <f t="shared" si="57"/>
        <v>259017</v>
      </c>
      <c r="HL14" s="76">
        <f t="shared" si="58"/>
        <v>258175</v>
      </c>
      <c r="HM14" s="76">
        <f t="shared" si="59"/>
        <v>261212</v>
      </c>
      <c r="HN14" s="76">
        <f t="shared" si="60"/>
        <v>272682</v>
      </c>
      <c r="HO14" s="76">
        <f t="shared" si="61"/>
        <v>290705</v>
      </c>
      <c r="HP14" s="76">
        <f t="shared" si="62"/>
        <v>293148</v>
      </c>
      <c r="HQ14" s="77"/>
      <c r="HR14" s="43"/>
      <c r="HS14" s="43"/>
      <c r="HT14" s="43"/>
      <c r="HU14" s="78">
        <f t="shared" si="63"/>
        <v>0</v>
      </c>
      <c r="HV14" s="78">
        <f t="shared" si="64"/>
        <v>0</v>
      </c>
      <c r="HW14" s="78">
        <f t="shared" si="65"/>
        <v>275190</v>
      </c>
      <c r="HX14" s="79">
        <f t="shared" si="66"/>
        <v>220388</v>
      </c>
      <c r="HY14" s="80">
        <f t="shared" si="67"/>
        <v>280783</v>
      </c>
      <c r="HZ14" s="80">
        <f t="shared" si="68"/>
        <v>421539</v>
      </c>
      <c r="IA14" s="80">
        <f t="shared" si="69"/>
        <v>615520</v>
      </c>
      <c r="IB14" s="80">
        <f t="shared" si="70"/>
        <v>647383</v>
      </c>
      <c r="IC14" s="80">
        <f t="shared" si="71"/>
        <v>494157</v>
      </c>
      <c r="ID14" s="80">
        <f t="shared" si="72"/>
        <v>587053</v>
      </c>
      <c r="IE14" s="80">
        <f t="shared" si="73"/>
        <v>760561</v>
      </c>
      <c r="IF14" s="80">
        <f t="shared" si="74"/>
        <v>892670</v>
      </c>
      <c r="IG14" s="80">
        <f t="shared" si="75"/>
        <v>1024668</v>
      </c>
    </row>
    <row r="15" spans="1:242" outlineLevel="2" x14ac:dyDescent="0.3">
      <c r="A15" s="63" t="s">
        <v>124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>
        <v>44472</v>
      </c>
      <c r="AA15" s="58">
        <v>52161</v>
      </c>
      <c r="AB15" s="58">
        <v>55020</v>
      </c>
      <c r="AC15" s="58">
        <v>57412</v>
      </c>
      <c r="AD15" s="58">
        <v>64372</v>
      </c>
      <c r="AE15" s="58">
        <v>68091</v>
      </c>
      <c r="AF15" s="58">
        <v>67248</v>
      </c>
      <c r="AG15" s="58">
        <v>61336</v>
      </c>
      <c r="AH15" s="58">
        <v>51575</v>
      </c>
      <c r="AI15" s="58">
        <v>55889</v>
      </c>
      <c r="AJ15" s="58">
        <v>54655</v>
      </c>
      <c r="AK15" s="58">
        <v>52338</v>
      </c>
      <c r="AL15" s="58">
        <v>47843</v>
      </c>
      <c r="AM15" s="58">
        <v>51388</v>
      </c>
      <c r="AN15" s="58">
        <v>57744</v>
      </c>
      <c r="AO15" s="58">
        <v>65930</v>
      </c>
      <c r="AP15" s="58">
        <v>68346</v>
      </c>
      <c r="AQ15" s="58">
        <v>71303</v>
      </c>
      <c r="AR15" s="58">
        <v>86459</v>
      </c>
      <c r="AS15" s="58">
        <v>71720</v>
      </c>
      <c r="AT15" s="58">
        <v>62173</v>
      </c>
      <c r="AU15" s="58">
        <v>60163</v>
      </c>
      <c r="AV15" s="58">
        <v>64815</v>
      </c>
      <c r="AW15" s="58">
        <v>65713</v>
      </c>
      <c r="AX15" s="58">
        <v>60455</v>
      </c>
      <c r="AY15" s="58">
        <v>58947</v>
      </c>
      <c r="AZ15" s="58">
        <v>64403</v>
      </c>
      <c r="BA15" s="58">
        <v>64704</v>
      </c>
      <c r="BB15" s="58">
        <v>73761</v>
      </c>
      <c r="BC15" s="58">
        <v>78534</v>
      </c>
      <c r="BD15" s="58">
        <v>87810</v>
      </c>
      <c r="BE15" s="58">
        <v>69759</v>
      </c>
      <c r="BF15" s="58">
        <v>52137</v>
      </c>
      <c r="BG15" s="58">
        <v>66734</v>
      </c>
      <c r="BH15" s="58">
        <v>66666</v>
      </c>
      <c r="BI15" s="58">
        <v>82453</v>
      </c>
      <c r="BJ15" s="58">
        <v>79443</v>
      </c>
      <c r="BK15" s="58">
        <v>83338</v>
      </c>
      <c r="BL15" s="58">
        <v>86296</v>
      </c>
      <c r="BM15" s="58">
        <v>89646</v>
      </c>
      <c r="BN15" s="58">
        <v>109465</v>
      </c>
      <c r="BO15" s="58">
        <v>118174</v>
      </c>
      <c r="BP15" s="58">
        <v>103020</v>
      </c>
      <c r="BQ15" s="58">
        <v>76084</v>
      </c>
      <c r="BR15" s="58">
        <v>80140</v>
      </c>
      <c r="BS15" s="58">
        <v>84140</v>
      </c>
      <c r="BT15" s="58">
        <v>91055</v>
      </c>
      <c r="BU15" s="58">
        <v>98334</v>
      </c>
      <c r="BV15" s="58">
        <v>85586</v>
      </c>
      <c r="BW15" s="58">
        <v>90737</v>
      </c>
      <c r="BX15" s="58">
        <v>99107</v>
      </c>
      <c r="BY15" s="58">
        <v>112238</v>
      </c>
      <c r="BZ15" s="58">
        <v>120198</v>
      </c>
      <c r="CA15" s="58">
        <v>137154</v>
      </c>
      <c r="CB15" s="58">
        <v>145737</v>
      </c>
      <c r="CC15" s="58">
        <v>105576</v>
      </c>
      <c r="CD15" s="58">
        <v>86963</v>
      </c>
      <c r="CE15" s="58">
        <v>83794</v>
      </c>
      <c r="CF15" s="58">
        <v>83151</v>
      </c>
      <c r="CG15" s="58">
        <v>91125</v>
      </c>
      <c r="CH15" s="58">
        <v>92251</v>
      </c>
      <c r="CI15" s="58">
        <v>93698</v>
      </c>
      <c r="CJ15" s="58">
        <v>95507</v>
      </c>
      <c r="CK15" s="58">
        <v>100306</v>
      </c>
      <c r="CL15" s="58">
        <v>104220</v>
      </c>
      <c r="CM15" s="58">
        <v>112635</v>
      </c>
      <c r="CN15" s="58">
        <v>114015</v>
      </c>
      <c r="CO15" s="58">
        <v>81249</v>
      </c>
      <c r="CP15" s="58">
        <v>69724</v>
      </c>
      <c r="CQ15" s="58">
        <v>67785</v>
      </c>
      <c r="CR15" s="58">
        <v>55388</v>
      </c>
      <c r="CS15" s="64">
        <v>31649</v>
      </c>
      <c r="CT15" s="64"/>
      <c r="CU15" s="64">
        <v>15640</v>
      </c>
      <c r="CV15" s="64">
        <v>64802</v>
      </c>
      <c r="CW15" s="64">
        <v>76946</v>
      </c>
      <c r="CX15" s="64">
        <v>83030</v>
      </c>
      <c r="CY15" s="64">
        <v>99457</v>
      </c>
      <c r="CZ15" s="64">
        <v>122273</v>
      </c>
      <c r="DA15" s="64">
        <v>102930</v>
      </c>
      <c r="DB15" s="64">
        <v>72157</v>
      </c>
      <c r="DC15" s="64">
        <v>92570</v>
      </c>
      <c r="DD15" s="64">
        <v>90832</v>
      </c>
      <c r="DE15" s="64">
        <v>97627</v>
      </c>
      <c r="DF15" s="64">
        <v>58139</v>
      </c>
      <c r="DG15" s="64">
        <v>12609</v>
      </c>
      <c r="DH15" s="64">
        <v>53034</v>
      </c>
      <c r="DI15" s="64">
        <v>70769</v>
      </c>
      <c r="DJ15" s="64">
        <v>80466</v>
      </c>
      <c r="DK15" s="64">
        <v>96887</v>
      </c>
      <c r="DL15" s="64">
        <v>108085</v>
      </c>
      <c r="DM15" s="64">
        <v>70316</v>
      </c>
      <c r="DN15" s="64">
        <f>62238-DN46</f>
        <v>62238</v>
      </c>
      <c r="DO15" s="64">
        <f>74200-DO46</f>
        <v>74200</v>
      </c>
      <c r="DP15" s="64">
        <f>83678-DP46</f>
        <v>83678</v>
      </c>
      <c r="DQ15" s="64">
        <v>90636</v>
      </c>
      <c r="DR15" s="64">
        <v>97676</v>
      </c>
      <c r="DS15" s="64">
        <v>100270</v>
      </c>
      <c r="DT15" s="64">
        <v>101614</v>
      </c>
      <c r="DU15" s="64">
        <v>100752</v>
      </c>
      <c r="DV15" s="64">
        <v>111004</v>
      </c>
      <c r="DW15" s="64">
        <v>129322</v>
      </c>
      <c r="DX15" s="64">
        <v>117793</v>
      </c>
      <c r="DY15" s="64">
        <v>70266</v>
      </c>
      <c r="DZ15" s="64">
        <v>60942</v>
      </c>
      <c r="EA15" s="64">
        <v>88185</v>
      </c>
      <c r="EB15" s="64">
        <v>81130</v>
      </c>
      <c r="EC15" s="64">
        <v>97689</v>
      </c>
      <c r="ED15" s="64">
        <v>89367</v>
      </c>
      <c r="EE15" s="64">
        <v>92503</v>
      </c>
      <c r="EF15" s="64">
        <v>99597</v>
      </c>
      <c r="EG15" s="64">
        <v>99574</v>
      </c>
      <c r="EH15" s="64">
        <v>106696</v>
      </c>
      <c r="EI15" s="64">
        <v>122322</v>
      </c>
      <c r="EJ15" s="64">
        <v>133710</v>
      </c>
      <c r="EK15" s="64">
        <v>111177</v>
      </c>
      <c r="EL15" s="64">
        <v>83664</v>
      </c>
      <c r="EM15" s="64">
        <v>109012</v>
      </c>
      <c r="EN15" s="64">
        <v>106350</v>
      </c>
      <c r="EO15" s="64">
        <v>107541</v>
      </c>
      <c r="EP15" s="64">
        <v>115626</v>
      </c>
      <c r="EQ15" s="64">
        <v>113152</v>
      </c>
      <c r="ER15" s="64">
        <v>108691</v>
      </c>
      <c r="ES15" s="64">
        <v>111835</v>
      </c>
      <c r="ET15" s="64">
        <v>131796</v>
      </c>
      <c r="EU15" s="64">
        <v>149890</v>
      </c>
      <c r="EV15" s="64">
        <v>159227</v>
      </c>
      <c r="EW15" s="64">
        <v>134138</v>
      </c>
      <c r="EX15" s="64">
        <v>108035</v>
      </c>
      <c r="EY15" s="64">
        <v>140742</v>
      </c>
      <c r="EZ15" s="64">
        <v>131358</v>
      </c>
      <c r="FA15" s="64">
        <v>135550</v>
      </c>
      <c r="FB15" s="64">
        <v>135875</v>
      </c>
      <c r="FC15" s="64">
        <v>130880</v>
      </c>
      <c r="FD15" s="64">
        <v>139951</v>
      </c>
      <c r="FE15" s="64">
        <v>160578</v>
      </c>
      <c r="FF15" s="64">
        <v>182164</v>
      </c>
      <c r="FG15" s="64">
        <v>183451</v>
      </c>
      <c r="FH15" s="64">
        <v>170769</v>
      </c>
      <c r="FI15" s="64">
        <v>164120</v>
      </c>
      <c r="FJ15" s="64">
        <v>156395</v>
      </c>
      <c r="FK15" s="43"/>
      <c r="FL15" s="43"/>
      <c r="FM15" s="43"/>
      <c r="FN15" s="66">
        <f t="shared" si="76"/>
        <v>0</v>
      </c>
      <c r="FO15" s="67">
        <f t="shared" si="77"/>
        <v>0</v>
      </c>
      <c r="FP15" s="67">
        <f t="shared" si="11"/>
        <v>0</v>
      </c>
      <c r="FQ15" s="67">
        <f t="shared" si="12"/>
        <v>0</v>
      </c>
      <c r="FR15" s="67">
        <f t="shared" si="13"/>
        <v>0</v>
      </c>
      <c r="FS15" s="67">
        <f t="shared" si="14"/>
        <v>0</v>
      </c>
      <c r="FT15" s="67">
        <f t="shared" si="15"/>
        <v>0</v>
      </c>
      <c r="FU15" s="67">
        <f t="shared" si="16"/>
        <v>0</v>
      </c>
      <c r="FV15" s="67">
        <f t="shared" si="17"/>
        <v>151653</v>
      </c>
      <c r="FW15" s="67">
        <f t="shared" si="18"/>
        <v>189875</v>
      </c>
      <c r="FX15" s="67">
        <f t="shared" si="19"/>
        <v>180159</v>
      </c>
      <c r="FY15" s="67">
        <f t="shared" si="20"/>
        <v>162882</v>
      </c>
      <c r="FZ15" s="67">
        <f t="shared" si="21"/>
        <v>156975</v>
      </c>
      <c r="GA15" s="67">
        <f t="shared" si="22"/>
        <v>205579</v>
      </c>
      <c r="GB15" s="67">
        <f t="shared" si="23"/>
        <v>220352</v>
      </c>
      <c r="GC15" s="67">
        <f t="shared" si="24"/>
        <v>190691</v>
      </c>
      <c r="GD15" s="67">
        <f t="shared" si="25"/>
        <v>183805</v>
      </c>
      <c r="GE15" s="67">
        <f t="shared" si="26"/>
        <v>216999</v>
      </c>
      <c r="GF15" s="67">
        <f t="shared" si="27"/>
        <v>209706</v>
      </c>
      <c r="GG15" s="67">
        <f t="shared" si="28"/>
        <v>215853</v>
      </c>
      <c r="GH15" s="67">
        <f t="shared" si="29"/>
        <v>249077</v>
      </c>
      <c r="GI15" s="67">
        <f t="shared" si="30"/>
        <v>317285</v>
      </c>
      <c r="GJ15" s="67">
        <f t="shared" si="31"/>
        <v>259244</v>
      </c>
      <c r="GK15" s="67">
        <f t="shared" si="32"/>
        <v>273529</v>
      </c>
      <c r="GL15" s="67">
        <f t="shared" si="33"/>
        <v>275430</v>
      </c>
      <c r="GM15" s="67">
        <f t="shared" si="34"/>
        <v>369590</v>
      </c>
      <c r="GN15" s="67">
        <f t="shared" si="35"/>
        <v>338276</v>
      </c>
      <c r="GO15" s="67">
        <f t="shared" si="36"/>
        <v>258070</v>
      </c>
      <c r="GP15" s="67">
        <f t="shared" si="37"/>
        <v>281456</v>
      </c>
      <c r="GQ15" s="67">
        <f t="shared" si="38"/>
        <v>317161</v>
      </c>
      <c r="GR15" s="67">
        <f t="shared" si="39"/>
        <v>264988</v>
      </c>
      <c r="GS15" s="67">
        <f t="shared" si="40"/>
        <v>154822</v>
      </c>
      <c r="GT15" s="67">
        <f t="shared" si="41"/>
        <v>80442</v>
      </c>
      <c r="GU15" s="67">
        <f t="shared" si="42"/>
        <v>259433</v>
      </c>
      <c r="GV15" s="67">
        <f t="shared" si="43"/>
        <v>297360</v>
      </c>
      <c r="GW15" s="67">
        <f t="shared" si="44"/>
        <v>281029</v>
      </c>
      <c r="GX15" s="67">
        <f t="shared" si="45"/>
        <v>123782</v>
      </c>
      <c r="GY15" s="67">
        <f t="shared" si="46"/>
        <v>248122</v>
      </c>
      <c r="GZ15" s="67">
        <f t="shared" si="47"/>
        <v>240639</v>
      </c>
      <c r="HA15" s="67">
        <f t="shared" si="48"/>
        <v>248514</v>
      </c>
      <c r="HB15" s="67">
        <f t="shared" si="49"/>
        <v>299560</v>
      </c>
      <c r="HC15" s="67">
        <f t="shared" si="50"/>
        <v>341078</v>
      </c>
      <c r="HD15" s="67">
        <f t="shared" si="51"/>
        <v>249001</v>
      </c>
      <c r="HE15" s="67">
        <f t="shared" si="52"/>
        <v>267004</v>
      </c>
      <c r="HF15" s="67">
        <f t="shared" si="53"/>
        <v>281467</v>
      </c>
      <c r="HG15" s="67">
        <f t="shared" si="54"/>
        <v>328592</v>
      </c>
      <c r="HH15" s="67">
        <f t="shared" si="55"/>
        <v>328551</v>
      </c>
      <c r="HI15" s="67">
        <f t="shared" si="56"/>
        <v>322903</v>
      </c>
      <c r="HJ15" s="67">
        <f t="shared" si="78"/>
        <v>337469</v>
      </c>
      <c r="HK15" s="67">
        <f t="shared" si="57"/>
        <v>393521</v>
      </c>
      <c r="HL15" s="67">
        <f t="shared" si="58"/>
        <v>401400</v>
      </c>
      <c r="HM15" s="67">
        <f t="shared" si="59"/>
        <v>407650</v>
      </c>
      <c r="HN15" s="67">
        <f t="shared" si="60"/>
        <v>406706</v>
      </c>
      <c r="HO15" s="67">
        <f t="shared" si="61"/>
        <v>526193</v>
      </c>
      <c r="HP15" s="67">
        <f t="shared" si="62"/>
        <v>491284</v>
      </c>
      <c r="HQ15" s="60"/>
      <c r="HR15" s="43"/>
      <c r="HS15" s="43"/>
      <c r="HT15" s="43"/>
      <c r="HU15" s="68">
        <f t="shared" si="63"/>
        <v>0</v>
      </c>
      <c r="HV15" s="68">
        <f t="shared" si="64"/>
        <v>0</v>
      </c>
      <c r="HW15" s="68">
        <f t="shared" si="65"/>
        <v>684569</v>
      </c>
      <c r="HX15" s="69">
        <f t="shared" si="66"/>
        <v>773597</v>
      </c>
      <c r="HY15" s="70">
        <f t="shared" si="67"/>
        <v>826363</v>
      </c>
      <c r="HZ15" s="70">
        <f t="shared" si="68"/>
        <v>1099135</v>
      </c>
      <c r="IA15" s="70">
        <f t="shared" si="69"/>
        <v>1241366</v>
      </c>
      <c r="IB15" s="70">
        <f t="shared" si="70"/>
        <v>1018427</v>
      </c>
      <c r="IC15" s="70">
        <f t="shared" si="71"/>
        <v>918264</v>
      </c>
      <c r="ID15" s="70">
        <f t="shared" si="72"/>
        <v>861057</v>
      </c>
      <c r="IE15" s="70">
        <f t="shared" si="73"/>
        <v>1156643</v>
      </c>
      <c r="IF15" s="70">
        <f t="shared" si="74"/>
        <v>1261513</v>
      </c>
      <c r="IG15" s="70">
        <f t="shared" si="75"/>
        <v>1540040</v>
      </c>
    </row>
    <row r="16" spans="1:242" outlineLevel="2" x14ac:dyDescent="0.3">
      <c r="A16" s="81" t="s">
        <v>125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>
        <v>329680</v>
      </c>
      <c r="AA16" s="72">
        <v>357564</v>
      </c>
      <c r="AB16" s="72">
        <v>323178</v>
      </c>
      <c r="AC16" s="72">
        <v>372136</v>
      </c>
      <c r="AD16" s="72">
        <v>369323</v>
      </c>
      <c r="AE16" s="72">
        <v>438470</v>
      </c>
      <c r="AF16" s="72">
        <v>383885</v>
      </c>
      <c r="AG16" s="72">
        <v>386547</v>
      </c>
      <c r="AH16" s="72">
        <v>374159</v>
      </c>
      <c r="AI16" s="72">
        <v>404919</v>
      </c>
      <c r="AJ16" s="72">
        <v>370527</v>
      </c>
      <c r="AK16" s="72">
        <v>395901</v>
      </c>
      <c r="AL16" s="72">
        <v>344752</v>
      </c>
      <c r="AM16" s="72">
        <v>364073</v>
      </c>
      <c r="AN16" s="72">
        <v>370710</v>
      </c>
      <c r="AO16" s="72">
        <v>432262</v>
      </c>
      <c r="AP16" s="72">
        <v>427165</v>
      </c>
      <c r="AQ16" s="72">
        <v>462341</v>
      </c>
      <c r="AR16" s="72">
        <v>525138</v>
      </c>
      <c r="AS16" s="72">
        <v>396024</v>
      </c>
      <c r="AT16" s="72">
        <v>386305</v>
      </c>
      <c r="AU16" s="72">
        <v>436707</v>
      </c>
      <c r="AV16" s="72">
        <v>436163</v>
      </c>
      <c r="AW16" s="72">
        <v>450038</v>
      </c>
      <c r="AX16" s="72">
        <v>468368</v>
      </c>
      <c r="AY16" s="72">
        <v>454213</v>
      </c>
      <c r="AZ16" s="72">
        <v>449807</v>
      </c>
      <c r="BA16" s="72">
        <v>504258</v>
      </c>
      <c r="BB16" s="72">
        <v>567782</v>
      </c>
      <c r="BC16" s="72">
        <v>606457</v>
      </c>
      <c r="BD16" s="72">
        <v>568410</v>
      </c>
      <c r="BE16" s="72">
        <v>388692</v>
      </c>
      <c r="BF16" s="72">
        <v>284405</v>
      </c>
      <c r="BG16" s="72">
        <v>373382</v>
      </c>
      <c r="BH16" s="72">
        <v>452295</v>
      </c>
      <c r="BI16" s="72">
        <v>486604</v>
      </c>
      <c r="BJ16" s="72">
        <v>586886</v>
      </c>
      <c r="BK16" s="72">
        <v>563326</v>
      </c>
      <c r="BL16" s="72">
        <v>497478</v>
      </c>
      <c r="BM16" s="72">
        <v>569809</v>
      </c>
      <c r="BN16" s="72">
        <v>673444</v>
      </c>
      <c r="BO16" s="72">
        <v>686478</v>
      </c>
      <c r="BP16" s="72">
        <v>571431</v>
      </c>
      <c r="BQ16" s="72">
        <v>506267</v>
      </c>
      <c r="BR16" s="72">
        <v>432429</v>
      </c>
      <c r="BS16" s="72">
        <v>553695</v>
      </c>
      <c r="BT16" s="72">
        <v>560653</v>
      </c>
      <c r="BU16" s="72">
        <v>518015</v>
      </c>
      <c r="BV16" s="72">
        <v>661007</v>
      </c>
      <c r="BW16" s="72">
        <v>555467</v>
      </c>
      <c r="BX16" s="72">
        <v>601761</v>
      </c>
      <c r="BY16" s="72">
        <v>598976</v>
      </c>
      <c r="BZ16" s="72">
        <v>669416</v>
      </c>
      <c r="CA16" s="72">
        <v>666476</v>
      </c>
      <c r="CB16" s="72">
        <v>643382</v>
      </c>
      <c r="CC16" s="72">
        <v>521542</v>
      </c>
      <c r="CD16" s="72">
        <v>406137</v>
      </c>
      <c r="CE16" s="72">
        <v>497169</v>
      </c>
      <c r="CF16" s="72">
        <v>492584</v>
      </c>
      <c r="CG16" s="72">
        <v>387552</v>
      </c>
      <c r="CH16" s="72">
        <f>SUM(CH8:CH15)</f>
        <v>489852</v>
      </c>
      <c r="CI16" s="72">
        <f>SUM(CI8:CI15)</f>
        <v>511724</v>
      </c>
      <c r="CJ16" s="72">
        <f>SUM(CJ8:CJ15)</f>
        <v>512626</v>
      </c>
      <c r="CK16" s="72">
        <f>SUM(CK8:CK15)</f>
        <v>526504</v>
      </c>
      <c r="CL16" s="72">
        <f>SUM(CL8:CL15)</f>
        <v>520898</v>
      </c>
      <c r="CM16" s="72">
        <v>555829</v>
      </c>
      <c r="CN16" s="72">
        <v>580120</v>
      </c>
      <c r="CO16" s="72">
        <v>459851</v>
      </c>
      <c r="CP16" s="72">
        <v>306550</v>
      </c>
      <c r="CQ16" s="72">
        <v>416594</v>
      </c>
      <c r="CR16" s="72">
        <v>422310</v>
      </c>
      <c r="CS16" s="74">
        <f>SUM(CS7:CS15)</f>
        <v>263090</v>
      </c>
      <c r="CT16" s="74"/>
      <c r="CU16" s="74">
        <v>69196</v>
      </c>
      <c r="CV16" s="74">
        <v>269811</v>
      </c>
      <c r="CW16" s="74">
        <v>334288</v>
      </c>
      <c r="CX16" s="74">
        <v>456848</v>
      </c>
      <c r="CY16" s="74">
        <v>556205</v>
      </c>
      <c r="CZ16" s="74">
        <v>590507</v>
      </c>
      <c r="DA16" s="74">
        <v>502561</v>
      </c>
      <c r="DB16" s="74">
        <v>323696</v>
      </c>
      <c r="DC16" s="74">
        <v>454315</v>
      </c>
      <c r="DD16" s="74">
        <v>464744</v>
      </c>
      <c r="DE16" s="74">
        <v>457677</v>
      </c>
      <c r="DF16" s="74">
        <v>300462</v>
      </c>
      <c r="DG16" s="74">
        <v>50294</v>
      </c>
      <c r="DH16" s="74">
        <v>241689</v>
      </c>
      <c r="DI16" s="74">
        <v>366292</v>
      </c>
      <c r="DJ16" s="74">
        <v>451967</v>
      </c>
      <c r="DK16" s="74">
        <v>517239</v>
      </c>
      <c r="DL16" s="74">
        <v>467161</v>
      </c>
      <c r="DM16" s="74">
        <v>306899</v>
      </c>
      <c r="DN16" s="74">
        <f>+SUM(DN7:DN15)</f>
        <v>245352</v>
      </c>
      <c r="DO16" s="74">
        <f>+SUM(DO7:DO15)</f>
        <v>347436</v>
      </c>
      <c r="DP16" s="74">
        <f>+SUM(DP7:DP15)</f>
        <v>343027</v>
      </c>
      <c r="DQ16" s="74">
        <f>+SUM(DQ6:DQ15)</f>
        <v>357277</v>
      </c>
      <c r="DR16" s="74">
        <f t="shared" ref="DR16:DT16" si="79">+SUM(DR6:DR15)</f>
        <v>371890</v>
      </c>
      <c r="DS16" s="74">
        <f t="shared" si="79"/>
        <v>381346</v>
      </c>
      <c r="DT16" s="74">
        <f t="shared" si="79"/>
        <v>406455</v>
      </c>
      <c r="DU16" s="74">
        <v>576909</v>
      </c>
      <c r="DV16" s="74">
        <v>496966</v>
      </c>
      <c r="DW16" s="74">
        <v>563961</v>
      </c>
      <c r="DX16" s="74">
        <v>500902</v>
      </c>
      <c r="DY16" s="74">
        <v>399430</v>
      </c>
      <c r="DZ16" s="74">
        <v>280983</v>
      </c>
      <c r="EA16" s="74">
        <v>360355</v>
      </c>
      <c r="EB16" s="74">
        <v>372854</v>
      </c>
      <c r="EC16" s="74">
        <v>418735</v>
      </c>
      <c r="ED16" s="74">
        <v>446336</v>
      </c>
      <c r="EE16" s="74">
        <v>408734</v>
      </c>
      <c r="EF16" s="74">
        <v>352782</v>
      </c>
      <c r="EG16" s="74">
        <v>398928</v>
      </c>
      <c r="EH16" s="74">
        <v>505742</v>
      </c>
      <c r="EI16" s="74">
        <v>546956</v>
      </c>
      <c r="EJ16" s="74">
        <v>537729</v>
      </c>
      <c r="EK16" s="74">
        <v>472284</v>
      </c>
      <c r="EL16" s="74">
        <v>374524</v>
      </c>
      <c r="EM16" s="74">
        <v>441512</v>
      </c>
      <c r="EN16" s="74">
        <v>470391</v>
      </c>
      <c r="EO16" s="74">
        <v>422877</v>
      </c>
      <c r="EP16" s="74">
        <v>541712</v>
      </c>
      <c r="EQ16" s="74">
        <v>497871</v>
      </c>
      <c r="ER16" s="74">
        <v>497926</v>
      </c>
      <c r="ES16" s="74">
        <v>490536</v>
      </c>
      <c r="ET16" s="74">
        <v>536873</v>
      </c>
      <c r="EU16" s="74">
        <v>588895</v>
      </c>
      <c r="EV16" s="74">
        <v>630466</v>
      </c>
      <c r="EW16" s="74">
        <v>500636</v>
      </c>
      <c r="EX16" s="74">
        <v>366522</v>
      </c>
      <c r="EY16" s="74">
        <v>477414</v>
      </c>
      <c r="EZ16" s="74">
        <v>447149</v>
      </c>
      <c r="FA16" s="74">
        <v>504121</v>
      </c>
      <c r="FB16" s="74">
        <v>479848</v>
      </c>
      <c r="FC16" s="74">
        <v>500935</v>
      </c>
      <c r="FD16" s="74">
        <v>475976</v>
      </c>
      <c r="FE16" s="74">
        <v>581462</v>
      </c>
      <c r="FF16" s="74">
        <v>609709</v>
      </c>
      <c r="FG16" s="74">
        <v>631139</v>
      </c>
      <c r="FH16" s="74">
        <v>717266</v>
      </c>
      <c r="FI16" s="74">
        <v>621280</v>
      </c>
      <c r="FJ16" s="74">
        <v>507940</v>
      </c>
      <c r="FK16" s="43"/>
      <c r="FL16" s="43"/>
      <c r="FM16" s="43"/>
      <c r="FN16" s="75">
        <f t="shared" si="76"/>
        <v>0</v>
      </c>
      <c r="FO16" s="76">
        <f t="shared" si="77"/>
        <v>0</v>
      </c>
      <c r="FP16" s="76">
        <f t="shared" si="11"/>
        <v>0</v>
      </c>
      <c r="FQ16" s="76">
        <f t="shared" si="12"/>
        <v>0</v>
      </c>
      <c r="FR16" s="76">
        <f t="shared" si="13"/>
        <v>0</v>
      </c>
      <c r="FS16" s="76">
        <f t="shared" si="14"/>
        <v>0</v>
      </c>
      <c r="FT16" s="76">
        <f t="shared" si="15"/>
        <v>0</v>
      </c>
      <c r="FU16" s="76">
        <f t="shared" si="16"/>
        <v>0</v>
      </c>
      <c r="FV16" s="76">
        <f t="shared" si="17"/>
        <v>1010422</v>
      </c>
      <c r="FW16" s="76">
        <f t="shared" si="18"/>
        <v>1179929</v>
      </c>
      <c r="FX16" s="76">
        <f t="shared" si="19"/>
        <v>1144591</v>
      </c>
      <c r="FY16" s="76">
        <f t="shared" si="20"/>
        <v>1171347</v>
      </c>
      <c r="FZ16" s="76">
        <f t="shared" si="21"/>
        <v>1079535</v>
      </c>
      <c r="GA16" s="76">
        <f t="shared" si="22"/>
        <v>1321768</v>
      </c>
      <c r="GB16" s="76">
        <f t="shared" si="23"/>
        <v>1307467</v>
      </c>
      <c r="GC16" s="76">
        <f t="shared" si="24"/>
        <v>1322908</v>
      </c>
      <c r="GD16" s="76">
        <f t="shared" si="25"/>
        <v>1372388</v>
      </c>
      <c r="GE16" s="76">
        <f t="shared" si="26"/>
        <v>1678497</v>
      </c>
      <c r="GF16" s="76">
        <f t="shared" si="27"/>
        <v>1241507</v>
      </c>
      <c r="GG16" s="76">
        <f t="shared" si="28"/>
        <v>1312281</v>
      </c>
      <c r="GH16" s="76">
        <f t="shared" si="29"/>
        <v>1647690</v>
      </c>
      <c r="GI16" s="76">
        <f t="shared" si="30"/>
        <v>1929731</v>
      </c>
      <c r="GJ16" s="76">
        <f t="shared" si="31"/>
        <v>1510127</v>
      </c>
      <c r="GK16" s="76">
        <f t="shared" si="32"/>
        <v>1632363</v>
      </c>
      <c r="GL16" s="76">
        <f t="shared" si="33"/>
        <v>1818235</v>
      </c>
      <c r="GM16" s="76">
        <f t="shared" si="34"/>
        <v>1934868</v>
      </c>
      <c r="GN16" s="76">
        <f t="shared" si="35"/>
        <v>1571061</v>
      </c>
      <c r="GO16" s="76">
        <f t="shared" si="36"/>
        <v>1377305</v>
      </c>
      <c r="GP16" s="76">
        <f t="shared" si="37"/>
        <v>1514202</v>
      </c>
      <c r="GQ16" s="76">
        <f t="shared" si="38"/>
        <v>1603231</v>
      </c>
      <c r="GR16" s="76">
        <f t="shared" si="39"/>
        <v>1346521</v>
      </c>
      <c r="GS16" s="76">
        <f t="shared" si="40"/>
        <v>1101994</v>
      </c>
      <c r="GT16" s="76">
        <f t="shared" si="41"/>
        <v>339007</v>
      </c>
      <c r="GU16" s="76">
        <f t="shared" si="42"/>
        <v>1347341</v>
      </c>
      <c r="GV16" s="76">
        <f t="shared" si="43"/>
        <v>1416764</v>
      </c>
      <c r="GW16" s="76">
        <f t="shared" si="44"/>
        <v>1376736</v>
      </c>
      <c r="GX16" s="76">
        <f t="shared" si="45"/>
        <v>592445</v>
      </c>
      <c r="GY16" s="76">
        <f t="shared" si="46"/>
        <v>1335498</v>
      </c>
      <c r="GZ16" s="76">
        <f t="shared" si="47"/>
        <v>1019412</v>
      </c>
      <c r="HA16" s="76">
        <f t="shared" si="48"/>
        <v>1047740</v>
      </c>
      <c r="HB16" s="76">
        <f t="shared" si="49"/>
        <v>1159691</v>
      </c>
      <c r="HC16" s="76">
        <f t="shared" si="50"/>
        <v>1637836</v>
      </c>
      <c r="HD16" s="76">
        <f t="shared" si="51"/>
        <v>1181315</v>
      </c>
      <c r="HE16" s="76">
        <f t="shared" si="52"/>
        <v>1151944</v>
      </c>
      <c r="HF16" s="76">
        <f t="shared" si="53"/>
        <v>1207852</v>
      </c>
      <c r="HG16" s="76">
        <f t="shared" si="54"/>
        <v>1451626</v>
      </c>
      <c r="HH16" s="76">
        <f t="shared" si="55"/>
        <v>1384537</v>
      </c>
      <c r="HI16" s="76">
        <f t="shared" si="56"/>
        <v>1334780</v>
      </c>
      <c r="HJ16" s="76">
        <f t="shared" si="78"/>
        <v>1537509</v>
      </c>
      <c r="HK16" s="76">
        <f t="shared" si="57"/>
        <v>1616304</v>
      </c>
      <c r="HL16" s="76">
        <f t="shared" si="58"/>
        <v>1497624</v>
      </c>
      <c r="HM16" s="76">
        <f t="shared" si="59"/>
        <v>1428684</v>
      </c>
      <c r="HN16" s="76">
        <f t="shared" si="60"/>
        <v>1456759</v>
      </c>
      <c r="HO16" s="76">
        <f t="shared" si="61"/>
        <v>1822310</v>
      </c>
      <c r="HP16" s="76">
        <f t="shared" si="62"/>
        <v>1846486</v>
      </c>
      <c r="HQ16" s="77"/>
      <c r="HR16" s="43"/>
      <c r="HS16" s="43"/>
      <c r="HT16" s="43"/>
      <c r="HU16" s="78">
        <f t="shared" si="63"/>
        <v>0</v>
      </c>
      <c r="HV16" s="78">
        <f t="shared" si="64"/>
        <v>0</v>
      </c>
      <c r="HW16" s="78">
        <f t="shared" si="65"/>
        <v>4506289</v>
      </c>
      <c r="HX16" s="79">
        <f t="shared" si="66"/>
        <v>5031678</v>
      </c>
      <c r="HY16" s="80">
        <f t="shared" si="67"/>
        <v>5604673</v>
      </c>
      <c r="HZ16" s="80">
        <f t="shared" si="68"/>
        <v>6719911</v>
      </c>
      <c r="IA16" s="80">
        <f t="shared" si="69"/>
        <v>6701469</v>
      </c>
      <c r="IB16" s="80">
        <f t="shared" si="70"/>
        <v>5565948</v>
      </c>
      <c r="IC16" s="80">
        <f t="shared" si="71"/>
        <v>4479848</v>
      </c>
      <c r="ID16" s="80">
        <f t="shared" si="72"/>
        <v>3995095</v>
      </c>
      <c r="IE16" s="80">
        <f t="shared" si="73"/>
        <v>5130786</v>
      </c>
      <c r="IF16" s="80">
        <f t="shared" si="74"/>
        <v>5378795</v>
      </c>
      <c r="IG16" s="80">
        <f t="shared" si="75"/>
        <v>6080121</v>
      </c>
    </row>
    <row r="17" spans="1:241" outlineLevel="2" x14ac:dyDescent="0.3">
      <c r="A17" s="57" t="s">
        <v>126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9"/>
      <c r="CL17" s="59"/>
      <c r="CM17" s="59"/>
      <c r="CN17" s="59"/>
      <c r="CO17" s="59"/>
      <c r="CP17" s="59"/>
      <c r="CQ17" s="59"/>
      <c r="CR17" s="59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  <c r="FA17" s="60"/>
      <c r="FB17" s="60"/>
      <c r="FC17" s="60"/>
      <c r="FD17" s="60"/>
      <c r="FE17" s="60"/>
      <c r="FF17" s="60"/>
      <c r="FG17" s="60"/>
      <c r="FH17" s="60"/>
      <c r="FI17" s="60"/>
      <c r="FJ17" s="60"/>
      <c r="FK17" s="43"/>
      <c r="FL17" s="43"/>
      <c r="FM17" s="43"/>
      <c r="FN17" s="66">
        <f t="shared" si="76"/>
        <v>0</v>
      </c>
      <c r="FO17" s="67">
        <f t="shared" si="77"/>
        <v>0</v>
      </c>
      <c r="FP17" s="67">
        <f t="shared" si="11"/>
        <v>0</v>
      </c>
      <c r="FQ17" s="67">
        <f t="shared" si="12"/>
        <v>0</v>
      </c>
      <c r="FR17" s="67">
        <f t="shared" si="13"/>
        <v>0</v>
      </c>
      <c r="FS17" s="67">
        <f t="shared" si="14"/>
        <v>0</v>
      </c>
      <c r="FT17" s="67">
        <f t="shared" si="15"/>
        <v>0</v>
      </c>
      <c r="FU17" s="67">
        <f t="shared" si="16"/>
        <v>0</v>
      </c>
      <c r="FV17" s="67">
        <f t="shared" si="17"/>
        <v>0</v>
      </c>
      <c r="FW17" s="67">
        <f t="shared" si="18"/>
        <v>0</v>
      </c>
      <c r="FX17" s="67">
        <f t="shared" si="19"/>
        <v>0</v>
      </c>
      <c r="FY17" s="67">
        <f t="shared" si="20"/>
        <v>0</v>
      </c>
      <c r="FZ17" s="67">
        <f t="shared" si="21"/>
        <v>0</v>
      </c>
      <c r="GA17" s="67">
        <f t="shared" si="22"/>
        <v>0</v>
      </c>
      <c r="GB17" s="67">
        <f t="shared" si="23"/>
        <v>0</v>
      </c>
      <c r="GC17" s="67">
        <f t="shared" si="24"/>
        <v>0</v>
      </c>
      <c r="GD17" s="67">
        <f t="shared" si="25"/>
        <v>0</v>
      </c>
      <c r="GE17" s="67">
        <f t="shared" si="26"/>
        <v>0</v>
      </c>
      <c r="GF17" s="67">
        <f t="shared" si="27"/>
        <v>0</v>
      </c>
      <c r="GG17" s="67">
        <f t="shared" si="28"/>
        <v>0</v>
      </c>
      <c r="GH17" s="67">
        <f t="shared" si="29"/>
        <v>0</v>
      </c>
      <c r="GI17" s="67">
        <f t="shared" si="30"/>
        <v>0</v>
      </c>
      <c r="GJ17" s="67">
        <f t="shared" si="31"/>
        <v>0</v>
      </c>
      <c r="GK17" s="67">
        <f t="shared" si="32"/>
        <v>0</v>
      </c>
      <c r="GL17" s="67">
        <f t="shared" si="33"/>
        <v>0</v>
      </c>
      <c r="GM17" s="67">
        <f t="shared" si="34"/>
        <v>0</v>
      </c>
      <c r="GN17" s="67">
        <f t="shared" si="35"/>
        <v>0</v>
      </c>
      <c r="GO17" s="67">
        <f t="shared" si="36"/>
        <v>0</v>
      </c>
      <c r="GP17" s="67">
        <f t="shared" si="37"/>
        <v>0</v>
      </c>
      <c r="GQ17" s="67">
        <f t="shared" si="38"/>
        <v>0</v>
      </c>
      <c r="GR17" s="67">
        <f t="shared" si="39"/>
        <v>0</v>
      </c>
      <c r="GS17" s="67">
        <f t="shared" si="40"/>
        <v>0</v>
      </c>
      <c r="GT17" s="67">
        <f t="shared" si="41"/>
        <v>0</v>
      </c>
      <c r="GU17" s="67">
        <f t="shared" si="42"/>
        <v>0</v>
      </c>
      <c r="GV17" s="67">
        <f t="shared" si="43"/>
        <v>0</v>
      </c>
      <c r="GW17" s="67">
        <f t="shared" si="44"/>
        <v>0</v>
      </c>
      <c r="GX17" s="67">
        <f t="shared" si="45"/>
        <v>0</v>
      </c>
      <c r="GY17" s="67">
        <f t="shared" si="46"/>
        <v>0</v>
      </c>
      <c r="GZ17" s="67">
        <f t="shared" si="47"/>
        <v>0</v>
      </c>
      <c r="HA17" s="67">
        <f t="shared" si="48"/>
        <v>0</v>
      </c>
      <c r="HB17" s="67">
        <f t="shared" si="49"/>
        <v>0</v>
      </c>
      <c r="HC17" s="67">
        <f t="shared" si="50"/>
        <v>0</v>
      </c>
      <c r="HD17" s="67">
        <f t="shared" si="51"/>
        <v>0</v>
      </c>
      <c r="HE17" s="67">
        <f t="shared" si="52"/>
        <v>0</v>
      </c>
      <c r="HF17" s="67">
        <f t="shared" si="53"/>
        <v>0</v>
      </c>
      <c r="HG17" s="67">
        <f t="shared" si="54"/>
        <v>0</v>
      </c>
      <c r="HH17" s="67">
        <f t="shared" si="55"/>
        <v>0</v>
      </c>
      <c r="HI17" s="67">
        <f t="shared" si="56"/>
        <v>0</v>
      </c>
      <c r="HJ17" s="67">
        <f t="shared" si="78"/>
        <v>0</v>
      </c>
      <c r="HK17" s="67">
        <f t="shared" si="57"/>
        <v>0</v>
      </c>
      <c r="HL17" s="67">
        <f t="shared" si="58"/>
        <v>0</v>
      </c>
      <c r="HM17" s="67">
        <f t="shared" si="59"/>
        <v>0</v>
      </c>
      <c r="HN17" s="67">
        <f t="shared" si="60"/>
        <v>0</v>
      </c>
      <c r="HO17" s="67">
        <f t="shared" si="61"/>
        <v>0</v>
      </c>
      <c r="HP17" s="67">
        <f t="shared" si="62"/>
        <v>0</v>
      </c>
      <c r="HQ17" s="60"/>
      <c r="HR17" s="43"/>
      <c r="HS17" s="43"/>
      <c r="HT17" s="43"/>
      <c r="HU17" s="68">
        <f t="shared" si="63"/>
        <v>0</v>
      </c>
      <c r="HV17" s="68">
        <f t="shared" si="64"/>
        <v>0</v>
      </c>
      <c r="HW17" s="68">
        <f t="shared" si="65"/>
        <v>0</v>
      </c>
      <c r="HX17" s="69">
        <f t="shared" si="66"/>
        <v>0</v>
      </c>
      <c r="HY17" s="70">
        <f t="shared" si="67"/>
        <v>0</v>
      </c>
      <c r="HZ17" s="70">
        <f t="shared" si="68"/>
        <v>0</v>
      </c>
      <c r="IA17" s="70">
        <f t="shared" si="69"/>
        <v>0</v>
      </c>
      <c r="IB17" s="70">
        <f t="shared" si="70"/>
        <v>0</v>
      </c>
      <c r="IC17" s="70">
        <f t="shared" si="71"/>
        <v>0</v>
      </c>
      <c r="ID17" s="70">
        <f t="shared" si="72"/>
        <v>0</v>
      </c>
      <c r="IE17" s="70">
        <f t="shared" si="73"/>
        <v>0</v>
      </c>
      <c r="IF17" s="70">
        <f t="shared" si="74"/>
        <v>0</v>
      </c>
      <c r="IG17" s="70">
        <f t="shared" si="75"/>
        <v>0</v>
      </c>
    </row>
    <row r="18" spans="1:241" outlineLevel="2" x14ac:dyDescent="0.3">
      <c r="A18" s="71" t="s">
        <v>116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>
        <v>166874</v>
      </c>
      <c r="AA18" s="72">
        <v>176277</v>
      </c>
      <c r="AB18" s="72">
        <v>147690</v>
      </c>
      <c r="AC18" s="72">
        <v>125053</v>
      </c>
      <c r="AD18" s="72">
        <v>137347</v>
      </c>
      <c r="AE18" s="72">
        <v>199251</v>
      </c>
      <c r="AF18" s="72">
        <v>204281</v>
      </c>
      <c r="AG18" s="72">
        <v>127649</v>
      </c>
      <c r="AH18" s="72">
        <v>106919</v>
      </c>
      <c r="AI18" s="72">
        <v>128937</v>
      </c>
      <c r="AJ18" s="72">
        <v>115840</v>
      </c>
      <c r="AK18" s="72">
        <v>134660</v>
      </c>
      <c r="AL18" s="72">
        <v>160554</v>
      </c>
      <c r="AM18" s="72">
        <v>170668</v>
      </c>
      <c r="AN18" s="72">
        <v>154596</v>
      </c>
      <c r="AO18" s="72">
        <v>143671</v>
      </c>
      <c r="AP18" s="72">
        <v>137948</v>
      </c>
      <c r="AQ18" s="72">
        <v>187711</v>
      </c>
      <c r="AR18" s="72">
        <v>202042</v>
      </c>
      <c r="AS18" s="72">
        <v>152663</v>
      </c>
      <c r="AT18" s="72">
        <v>120322</v>
      </c>
      <c r="AU18" s="72">
        <v>140853</v>
      </c>
      <c r="AV18" s="72">
        <v>151141</v>
      </c>
      <c r="AW18" s="72">
        <v>176788</v>
      </c>
      <c r="AX18" s="72">
        <v>200433</v>
      </c>
      <c r="AY18" s="72">
        <v>179822</v>
      </c>
      <c r="AZ18" s="72">
        <v>168625</v>
      </c>
      <c r="BA18" s="72">
        <v>174324</v>
      </c>
      <c r="BB18" s="72">
        <v>174719</v>
      </c>
      <c r="BC18" s="72">
        <v>230502</v>
      </c>
      <c r="BD18" s="72">
        <v>212997</v>
      </c>
      <c r="BE18" s="72">
        <v>139765</v>
      </c>
      <c r="BF18" s="72">
        <v>106665</v>
      </c>
      <c r="BG18" s="72">
        <v>119803</v>
      </c>
      <c r="BH18" s="72">
        <v>142287</v>
      </c>
      <c r="BI18" s="72">
        <v>151449</v>
      </c>
      <c r="BJ18" s="72">
        <v>161930</v>
      </c>
      <c r="BK18" s="72">
        <v>156523</v>
      </c>
      <c r="BL18" s="72">
        <v>108109</v>
      </c>
      <c r="BM18" s="72">
        <v>164915</v>
      </c>
      <c r="BN18" s="72">
        <v>171664</v>
      </c>
      <c r="BO18" s="72">
        <v>247418</v>
      </c>
      <c r="BP18" s="72">
        <v>211553</v>
      </c>
      <c r="BQ18" s="72">
        <v>141948</v>
      </c>
      <c r="BR18" s="72">
        <v>112930</v>
      </c>
      <c r="BS18" s="72">
        <v>163111</v>
      </c>
      <c r="BT18" s="72">
        <v>175489</v>
      </c>
      <c r="BU18" s="72">
        <v>158987</v>
      </c>
      <c r="BV18" s="72">
        <v>200742</v>
      </c>
      <c r="BW18" s="72">
        <v>192543</v>
      </c>
      <c r="BX18" s="72">
        <v>200949</v>
      </c>
      <c r="BY18" s="72">
        <v>201433</v>
      </c>
      <c r="BZ18" s="72">
        <v>218437</v>
      </c>
      <c r="CA18" s="72">
        <v>273029</v>
      </c>
      <c r="CB18" s="72">
        <v>281582</v>
      </c>
      <c r="CC18" s="72">
        <v>205259</v>
      </c>
      <c r="CD18" s="72">
        <v>157252</v>
      </c>
      <c r="CE18" s="72">
        <v>203358</v>
      </c>
      <c r="CF18" s="72">
        <v>186523</v>
      </c>
      <c r="CG18" s="72">
        <v>220213</v>
      </c>
      <c r="CH18" s="72">
        <v>205875</v>
      </c>
      <c r="CI18" s="72">
        <v>205721</v>
      </c>
      <c r="CJ18" s="72">
        <v>199340</v>
      </c>
      <c r="CK18" s="72">
        <v>170978</v>
      </c>
      <c r="CL18" s="72">
        <v>173024</v>
      </c>
      <c r="CM18" s="72">
        <v>177348</v>
      </c>
      <c r="CN18" s="72">
        <v>242516</v>
      </c>
      <c r="CO18" s="72">
        <v>176337</v>
      </c>
      <c r="CP18" s="72">
        <v>124125</v>
      </c>
      <c r="CQ18" s="72">
        <v>157775</v>
      </c>
      <c r="CR18" s="72">
        <v>146776</v>
      </c>
      <c r="CS18" s="74">
        <v>98321</v>
      </c>
      <c r="CT18" s="74"/>
      <c r="CU18" s="74">
        <v>39286</v>
      </c>
      <c r="CV18" s="74">
        <v>146695</v>
      </c>
      <c r="CW18" s="74">
        <v>152354</v>
      </c>
      <c r="CX18" s="74">
        <v>178028</v>
      </c>
      <c r="CY18" s="74">
        <v>219212</v>
      </c>
      <c r="CZ18" s="74">
        <v>268373</v>
      </c>
      <c r="DA18" s="74">
        <v>187932</v>
      </c>
      <c r="DB18" s="74">
        <v>128639</v>
      </c>
      <c r="DC18" s="74">
        <v>157374</v>
      </c>
      <c r="DD18" s="74">
        <v>148784</v>
      </c>
      <c r="DE18" s="74">
        <v>181303</v>
      </c>
      <c r="DF18" s="74">
        <v>126060</v>
      </c>
      <c r="DG18" s="74">
        <v>60311</v>
      </c>
      <c r="DH18" s="74">
        <v>155188</v>
      </c>
      <c r="DI18" s="74">
        <v>155502</v>
      </c>
      <c r="DJ18" s="74">
        <v>157607</v>
      </c>
      <c r="DK18" s="74">
        <v>173303</v>
      </c>
      <c r="DL18" s="74">
        <v>197903</v>
      </c>
      <c r="DM18" s="74">
        <v>144442</v>
      </c>
      <c r="DN18" s="74">
        <v>126865</v>
      </c>
      <c r="DO18" s="74">
        <v>134228</v>
      </c>
      <c r="DP18" s="74">
        <v>95413</v>
      </c>
      <c r="DQ18" s="74">
        <v>106075</v>
      </c>
      <c r="DR18" s="74">
        <v>91987</v>
      </c>
      <c r="DS18" s="74">
        <v>93558</v>
      </c>
      <c r="DT18" s="74">
        <v>122614</v>
      </c>
      <c r="DU18" s="74">
        <v>161382</v>
      </c>
      <c r="DV18" s="74">
        <v>231076</v>
      </c>
      <c r="DW18" s="74">
        <v>218877</v>
      </c>
      <c r="DX18" s="74">
        <v>202375</v>
      </c>
      <c r="DY18" s="74">
        <v>120144</v>
      </c>
      <c r="DZ18" s="74">
        <v>122276</v>
      </c>
      <c r="EA18" s="74">
        <v>138860</v>
      </c>
      <c r="EB18" s="74">
        <v>117657</v>
      </c>
      <c r="EC18" s="74">
        <v>148769</v>
      </c>
      <c r="ED18" s="74">
        <v>177144</v>
      </c>
      <c r="EE18" s="74">
        <v>185476</v>
      </c>
      <c r="EF18" s="74">
        <v>159161</v>
      </c>
      <c r="EG18" s="74">
        <v>136862</v>
      </c>
      <c r="EH18" s="74">
        <v>152765</v>
      </c>
      <c r="EI18" s="74">
        <v>191167</v>
      </c>
      <c r="EJ18" s="74">
        <v>262774</v>
      </c>
      <c r="EK18" s="74">
        <v>210027</v>
      </c>
      <c r="EL18" s="74">
        <v>145012</v>
      </c>
      <c r="EM18" s="74">
        <v>178056</v>
      </c>
      <c r="EN18" s="74">
        <v>155107</v>
      </c>
      <c r="EO18" s="74">
        <v>167940</v>
      </c>
      <c r="EP18" s="74">
        <v>205829</v>
      </c>
      <c r="EQ18" s="74">
        <v>173298</v>
      </c>
      <c r="ER18" s="74">
        <v>159516</v>
      </c>
      <c r="ES18" s="74">
        <v>142533</v>
      </c>
      <c r="ET18" s="74">
        <v>182865</v>
      </c>
      <c r="EU18" s="74">
        <v>227316</v>
      </c>
      <c r="EV18" s="74">
        <v>225265</v>
      </c>
      <c r="EW18" s="74">
        <v>177701</v>
      </c>
      <c r="EX18" s="74">
        <v>107315</v>
      </c>
      <c r="EY18" s="74">
        <v>150154</v>
      </c>
      <c r="EZ18" s="74">
        <v>124698</v>
      </c>
      <c r="FA18" s="74">
        <v>154576</v>
      </c>
      <c r="FB18" s="74">
        <v>169349</v>
      </c>
      <c r="FC18" s="74">
        <v>165622</v>
      </c>
      <c r="FD18" s="74">
        <v>130753</v>
      </c>
      <c r="FE18" s="74">
        <v>127145</v>
      </c>
      <c r="FF18" s="74">
        <v>169945</v>
      </c>
      <c r="FG18" s="74">
        <v>242230</v>
      </c>
      <c r="FH18" s="74">
        <v>231570</v>
      </c>
      <c r="FI18" s="74">
        <v>164138</v>
      </c>
      <c r="FJ18" s="74">
        <v>111838</v>
      </c>
      <c r="FK18" s="43"/>
      <c r="FL18" s="43"/>
      <c r="FM18" s="43"/>
      <c r="FN18" s="75">
        <f t="shared" si="76"/>
        <v>0</v>
      </c>
      <c r="FO18" s="76">
        <f t="shared" si="77"/>
        <v>0</v>
      </c>
      <c r="FP18" s="76">
        <f t="shared" si="11"/>
        <v>0</v>
      </c>
      <c r="FQ18" s="76">
        <f t="shared" si="12"/>
        <v>0</v>
      </c>
      <c r="FR18" s="76">
        <f t="shared" si="13"/>
        <v>0</v>
      </c>
      <c r="FS18" s="76">
        <f t="shared" si="14"/>
        <v>0</v>
      </c>
      <c r="FT18" s="76">
        <f t="shared" si="15"/>
        <v>0</v>
      </c>
      <c r="FU18" s="76">
        <f t="shared" si="16"/>
        <v>0</v>
      </c>
      <c r="FV18" s="76">
        <f t="shared" si="17"/>
        <v>490841</v>
      </c>
      <c r="FW18" s="76">
        <f t="shared" si="18"/>
        <v>461651</v>
      </c>
      <c r="FX18" s="76">
        <f t="shared" si="19"/>
        <v>438849</v>
      </c>
      <c r="FY18" s="76">
        <f t="shared" si="20"/>
        <v>379437</v>
      </c>
      <c r="FZ18" s="76">
        <f t="shared" si="21"/>
        <v>485818</v>
      </c>
      <c r="GA18" s="76">
        <f t="shared" si="22"/>
        <v>469330</v>
      </c>
      <c r="GB18" s="76">
        <f t="shared" si="23"/>
        <v>475027</v>
      </c>
      <c r="GC18" s="76">
        <f t="shared" si="24"/>
        <v>468782</v>
      </c>
      <c r="GD18" s="76">
        <f t="shared" si="25"/>
        <v>548880</v>
      </c>
      <c r="GE18" s="76">
        <f t="shared" si="26"/>
        <v>579545</v>
      </c>
      <c r="GF18" s="76">
        <f t="shared" si="27"/>
        <v>459427</v>
      </c>
      <c r="GG18" s="76">
        <f t="shared" si="28"/>
        <v>413539</v>
      </c>
      <c r="GH18" s="76">
        <f t="shared" si="29"/>
        <v>426562</v>
      </c>
      <c r="GI18" s="76">
        <f t="shared" si="30"/>
        <v>583997</v>
      </c>
      <c r="GJ18" s="76">
        <f t="shared" si="31"/>
        <v>466431</v>
      </c>
      <c r="GK18" s="76">
        <f t="shared" si="32"/>
        <v>497587</v>
      </c>
      <c r="GL18" s="76">
        <f t="shared" si="33"/>
        <v>594234</v>
      </c>
      <c r="GM18" s="76">
        <f t="shared" si="34"/>
        <v>692899</v>
      </c>
      <c r="GN18" s="76">
        <f t="shared" si="35"/>
        <v>644093</v>
      </c>
      <c r="GO18" s="76">
        <f t="shared" si="36"/>
        <v>610094</v>
      </c>
      <c r="GP18" s="76">
        <f t="shared" si="37"/>
        <v>610936</v>
      </c>
      <c r="GQ18" s="76">
        <f t="shared" si="38"/>
        <v>521350</v>
      </c>
      <c r="GR18" s="76">
        <f t="shared" si="39"/>
        <v>542978</v>
      </c>
      <c r="GS18" s="76">
        <f t="shared" si="40"/>
        <v>402872</v>
      </c>
      <c r="GT18" s="76">
        <f t="shared" si="41"/>
        <v>185981</v>
      </c>
      <c r="GU18" s="76">
        <f t="shared" si="42"/>
        <v>549594</v>
      </c>
      <c r="GV18" s="76">
        <f t="shared" si="43"/>
        <v>584944</v>
      </c>
      <c r="GW18" s="76">
        <f t="shared" si="44"/>
        <v>487461</v>
      </c>
      <c r="GX18" s="76">
        <f t="shared" si="45"/>
        <v>341559</v>
      </c>
      <c r="GY18" s="76">
        <f t="shared" si="46"/>
        <v>486412</v>
      </c>
      <c r="GZ18" s="76">
        <f t="shared" si="47"/>
        <v>469210</v>
      </c>
      <c r="HA18" s="76">
        <f t="shared" si="48"/>
        <v>335716</v>
      </c>
      <c r="HB18" s="76">
        <f t="shared" si="49"/>
        <v>308159</v>
      </c>
      <c r="HC18" s="76">
        <f t="shared" si="50"/>
        <v>611335</v>
      </c>
      <c r="HD18" s="76">
        <f t="shared" si="51"/>
        <v>444795</v>
      </c>
      <c r="HE18" s="76">
        <f t="shared" si="52"/>
        <v>405286</v>
      </c>
      <c r="HF18" s="76">
        <f t="shared" si="53"/>
        <v>521781</v>
      </c>
      <c r="HG18" s="76">
        <f t="shared" si="54"/>
        <v>480794</v>
      </c>
      <c r="HH18" s="76">
        <f t="shared" si="55"/>
        <v>617813</v>
      </c>
      <c r="HI18" s="76">
        <f t="shared" si="56"/>
        <v>501103</v>
      </c>
      <c r="HJ18" s="76">
        <f t="shared" si="78"/>
        <v>538643</v>
      </c>
      <c r="HK18" s="76">
        <f t="shared" si="57"/>
        <v>552714</v>
      </c>
      <c r="HL18" s="76">
        <f t="shared" si="58"/>
        <v>510281</v>
      </c>
      <c r="HM18" s="76">
        <f t="shared" si="59"/>
        <v>429428</v>
      </c>
      <c r="HN18" s="76">
        <f t="shared" si="60"/>
        <v>465724</v>
      </c>
      <c r="HO18" s="76">
        <f t="shared" si="61"/>
        <v>539320</v>
      </c>
      <c r="HP18" s="76">
        <f t="shared" si="62"/>
        <v>507546</v>
      </c>
      <c r="HQ18" s="77"/>
      <c r="HR18" s="43"/>
      <c r="HS18" s="43"/>
      <c r="HT18" s="43"/>
      <c r="HU18" s="78">
        <f t="shared" si="63"/>
        <v>0</v>
      </c>
      <c r="HV18" s="78">
        <f t="shared" si="64"/>
        <v>0</v>
      </c>
      <c r="HW18" s="78">
        <f t="shared" si="65"/>
        <v>1770778</v>
      </c>
      <c r="HX18" s="79">
        <f t="shared" si="66"/>
        <v>1898957</v>
      </c>
      <c r="HY18" s="80">
        <f t="shared" si="67"/>
        <v>2001391</v>
      </c>
      <c r="HZ18" s="80">
        <f t="shared" si="68"/>
        <v>1974577</v>
      </c>
      <c r="IA18" s="80">
        <f t="shared" si="69"/>
        <v>2541320</v>
      </c>
      <c r="IB18" s="80">
        <f t="shared" si="70"/>
        <v>2078136</v>
      </c>
      <c r="IC18" s="80">
        <f t="shared" si="71"/>
        <v>1807980</v>
      </c>
      <c r="ID18" s="80">
        <f t="shared" si="72"/>
        <v>1632897</v>
      </c>
      <c r="IE18" s="80">
        <f t="shared" si="73"/>
        <v>1769575</v>
      </c>
      <c r="IF18" s="80">
        <f t="shared" si="74"/>
        <v>2121491</v>
      </c>
      <c r="IG18" s="80">
        <f t="shared" si="75"/>
        <v>2031066</v>
      </c>
    </row>
    <row r="19" spans="1:241" outlineLevel="2" x14ac:dyDescent="0.3">
      <c r="A19" s="63" t="s">
        <v>127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>
        <v>361</v>
      </c>
      <c r="AA19" s="58">
        <v>273</v>
      </c>
      <c r="AB19" s="58">
        <v>261</v>
      </c>
      <c r="AC19" s="58">
        <v>524</v>
      </c>
      <c r="AD19" s="58">
        <v>416</v>
      </c>
      <c r="AE19" s="58">
        <v>472</v>
      </c>
      <c r="AF19" s="58">
        <v>432</v>
      </c>
      <c r="AG19" s="58">
        <v>384</v>
      </c>
      <c r="AH19" s="58">
        <v>370</v>
      </c>
      <c r="AI19" s="58">
        <v>377</v>
      </c>
      <c r="AJ19" s="58">
        <v>383</v>
      </c>
      <c r="AK19" s="58">
        <v>388</v>
      </c>
      <c r="AL19" s="58">
        <v>355</v>
      </c>
      <c r="AM19" s="58">
        <v>380</v>
      </c>
      <c r="AN19" s="58">
        <v>374</v>
      </c>
      <c r="AO19" s="58">
        <v>309</v>
      </c>
      <c r="AP19" s="58">
        <v>266</v>
      </c>
      <c r="AQ19" s="58">
        <v>492</v>
      </c>
      <c r="AR19" s="58">
        <v>449</v>
      </c>
      <c r="AS19" s="58">
        <v>342</v>
      </c>
      <c r="AT19" s="58">
        <v>330</v>
      </c>
      <c r="AU19" s="58">
        <v>417</v>
      </c>
      <c r="AV19" s="58">
        <v>442</v>
      </c>
      <c r="AW19" s="58">
        <v>552</v>
      </c>
      <c r="AX19" s="58">
        <v>418</v>
      </c>
      <c r="AY19" s="58">
        <v>360</v>
      </c>
      <c r="AZ19" s="58">
        <v>323</v>
      </c>
      <c r="BA19" s="58">
        <v>319</v>
      </c>
      <c r="BB19" s="58">
        <v>218</v>
      </c>
      <c r="BC19" s="58">
        <v>510</v>
      </c>
      <c r="BD19" s="58">
        <v>300</v>
      </c>
      <c r="BE19" s="58">
        <v>150</v>
      </c>
      <c r="BF19" s="58">
        <v>210</v>
      </c>
      <c r="BG19" s="58">
        <v>277</v>
      </c>
      <c r="BH19" s="58">
        <v>266</v>
      </c>
      <c r="BI19" s="58">
        <v>317</v>
      </c>
      <c r="BJ19" s="58">
        <v>355</v>
      </c>
      <c r="BK19" s="58">
        <v>326</v>
      </c>
      <c r="BL19" s="58">
        <v>220</v>
      </c>
      <c r="BM19" s="58">
        <v>261</v>
      </c>
      <c r="BN19" s="58">
        <v>283</v>
      </c>
      <c r="BO19" s="58">
        <v>309</v>
      </c>
      <c r="BP19" s="58">
        <v>255</v>
      </c>
      <c r="BQ19" s="58">
        <v>266</v>
      </c>
      <c r="BR19" s="58">
        <v>204</v>
      </c>
      <c r="BS19" s="58">
        <v>207</v>
      </c>
      <c r="BT19" s="58">
        <v>273</v>
      </c>
      <c r="BU19" s="58">
        <v>454</v>
      </c>
      <c r="BV19" s="58">
        <v>163</v>
      </c>
      <c r="BW19" s="58">
        <v>258</v>
      </c>
      <c r="BX19" s="58">
        <v>286</v>
      </c>
      <c r="BY19" s="58">
        <v>264</v>
      </c>
      <c r="BZ19" s="58">
        <v>320</v>
      </c>
      <c r="CA19" s="58">
        <v>270</v>
      </c>
      <c r="CB19" s="58">
        <v>284</v>
      </c>
      <c r="CC19" s="58">
        <v>286</v>
      </c>
      <c r="CD19" s="58">
        <v>92</v>
      </c>
      <c r="CE19" s="58">
        <v>107</v>
      </c>
      <c r="CF19" s="58">
        <v>141</v>
      </c>
      <c r="CG19" s="58">
        <v>205</v>
      </c>
      <c r="CH19" s="58">
        <v>274</v>
      </c>
      <c r="CI19" s="58">
        <v>301</v>
      </c>
      <c r="CJ19" s="58">
        <v>210</v>
      </c>
      <c r="CK19" s="58">
        <v>175</v>
      </c>
      <c r="CL19" s="58">
        <v>175</v>
      </c>
      <c r="CM19" s="58">
        <v>240</v>
      </c>
      <c r="CN19" s="58">
        <v>240</v>
      </c>
      <c r="CO19" s="58">
        <v>224</v>
      </c>
      <c r="CP19" s="58">
        <v>203</v>
      </c>
      <c r="CQ19" s="58">
        <v>210</v>
      </c>
      <c r="CR19" s="58">
        <v>185</v>
      </c>
      <c r="CS19" s="64">
        <v>33</v>
      </c>
      <c r="CT19" s="64"/>
      <c r="CU19" s="64">
        <v>20</v>
      </c>
      <c r="CV19" s="64">
        <v>86</v>
      </c>
      <c r="CW19" s="64">
        <v>130</v>
      </c>
      <c r="CX19" s="64">
        <v>176</v>
      </c>
      <c r="CY19" s="64">
        <v>176</v>
      </c>
      <c r="CZ19" s="64">
        <v>12</v>
      </c>
      <c r="DA19" s="64">
        <v>5</v>
      </c>
      <c r="DB19" s="64">
        <v>4</v>
      </c>
      <c r="DC19" s="64">
        <v>23</v>
      </c>
      <c r="DD19" s="64">
        <v>28</v>
      </c>
      <c r="DE19" s="64">
        <v>20</v>
      </c>
      <c r="DF19" s="64"/>
      <c r="DG19" s="64"/>
      <c r="DH19" s="64"/>
      <c r="DI19" s="64"/>
      <c r="DJ19" s="64"/>
      <c r="DK19" s="64">
        <v>0</v>
      </c>
      <c r="DL19" s="64">
        <v>0</v>
      </c>
      <c r="DM19" s="64">
        <v>0</v>
      </c>
      <c r="DN19" s="64">
        <v>0</v>
      </c>
      <c r="DO19" s="64">
        <v>0</v>
      </c>
      <c r="DP19" s="64">
        <v>0</v>
      </c>
      <c r="DQ19" s="64">
        <v>0</v>
      </c>
      <c r="DR19" s="64">
        <v>0</v>
      </c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43"/>
      <c r="FL19" s="43"/>
      <c r="FM19" s="43"/>
      <c r="FN19" s="66">
        <f t="shared" si="76"/>
        <v>0</v>
      </c>
      <c r="FO19" s="67">
        <f t="shared" si="77"/>
        <v>0</v>
      </c>
      <c r="FP19" s="67">
        <f t="shared" si="11"/>
        <v>0</v>
      </c>
      <c r="FQ19" s="67">
        <f t="shared" si="12"/>
        <v>0</v>
      </c>
      <c r="FR19" s="67">
        <f t="shared" si="13"/>
        <v>0</v>
      </c>
      <c r="FS19" s="67">
        <f t="shared" si="14"/>
        <v>0</v>
      </c>
      <c r="FT19" s="67">
        <f t="shared" si="15"/>
        <v>0</v>
      </c>
      <c r="FU19" s="67">
        <f t="shared" si="16"/>
        <v>0</v>
      </c>
      <c r="FV19" s="67">
        <f t="shared" si="17"/>
        <v>895</v>
      </c>
      <c r="FW19" s="67">
        <f t="shared" si="18"/>
        <v>1412</v>
      </c>
      <c r="FX19" s="67">
        <f t="shared" si="19"/>
        <v>1186</v>
      </c>
      <c r="FY19" s="67">
        <f t="shared" si="20"/>
        <v>1148</v>
      </c>
      <c r="FZ19" s="67">
        <f t="shared" si="21"/>
        <v>1109</v>
      </c>
      <c r="GA19" s="67">
        <f t="shared" si="22"/>
        <v>1067</v>
      </c>
      <c r="GB19" s="67">
        <f t="shared" si="23"/>
        <v>1121</v>
      </c>
      <c r="GC19" s="67">
        <f t="shared" si="24"/>
        <v>1411</v>
      </c>
      <c r="GD19" s="67">
        <f t="shared" si="25"/>
        <v>1101</v>
      </c>
      <c r="GE19" s="67">
        <f t="shared" si="26"/>
        <v>1047</v>
      </c>
      <c r="GF19" s="67">
        <f t="shared" si="27"/>
        <v>660</v>
      </c>
      <c r="GG19" s="67">
        <f t="shared" si="28"/>
        <v>860</v>
      </c>
      <c r="GH19" s="67">
        <f t="shared" si="29"/>
        <v>901</v>
      </c>
      <c r="GI19" s="67">
        <f t="shared" si="30"/>
        <v>853</v>
      </c>
      <c r="GJ19" s="67">
        <f t="shared" si="31"/>
        <v>725</v>
      </c>
      <c r="GK19" s="67">
        <f t="shared" si="32"/>
        <v>934</v>
      </c>
      <c r="GL19" s="67">
        <f t="shared" si="33"/>
        <v>707</v>
      </c>
      <c r="GM19" s="67">
        <f t="shared" si="34"/>
        <v>854</v>
      </c>
      <c r="GN19" s="67">
        <f t="shared" si="35"/>
        <v>662</v>
      </c>
      <c r="GO19" s="67">
        <f t="shared" si="36"/>
        <v>453</v>
      </c>
      <c r="GP19" s="67">
        <f t="shared" si="37"/>
        <v>785</v>
      </c>
      <c r="GQ19" s="67">
        <f t="shared" si="38"/>
        <v>590</v>
      </c>
      <c r="GR19" s="67">
        <f t="shared" si="39"/>
        <v>667</v>
      </c>
      <c r="GS19" s="67">
        <f t="shared" si="40"/>
        <v>428</v>
      </c>
      <c r="GT19" s="67">
        <f t="shared" si="41"/>
        <v>106</v>
      </c>
      <c r="GU19" s="67">
        <f t="shared" si="42"/>
        <v>482</v>
      </c>
      <c r="GV19" s="67">
        <f t="shared" si="43"/>
        <v>21</v>
      </c>
      <c r="GW19" s="67">
        <f t="shared" si="44"/>
        <v>71</v>
      </c>
      <c r="GX19" s="67">
        <f t="shared" si="45"/>
        <v>0</v>
      </c>
      <c r="GY19" s="67">
        <f t="shared" si="46"/>
        <v>0</v>
      </c>
      <c r="GZ19" s="67">
        <f t="shared" si="47"/>
        <v>0</v>
      </c>
      <c r="HA19" s="67">
        <f t="shared" si="48"/>
        <v>0</v>
      </c>
      <c r="HB19" s="67">
        <f t="shared" si="49"/>
        <v>0</v>
      </c>
      <c r="HC19" s="67">
        <f t="shared" si="50"/>
        <v>0</v>
      </c>
      <c r="HD19" s="67">
        <f t="shared" si="51"/>
        <v>0</v>
      </c>
      <c r="HE19" s="67">
        <f t="shared" si="52"/>
        <v>0</v>
      </c>
      <c r="HF19" s="67">
        <f t="shared" si="53"/>
        <v>0</v>
      </c>
      <c r="HG19" s="67">
        <f t="shared" si="54"/>
        <v>0</v>
      </c>
      <c r="HH19" s="67">
        <f t="shared" si="55"/>
        <v>0</v>
      </c>
      <c r="HI19" s="67">
        <f t="shared" si="56"/>
        <v>0</v>
      </c>
      <c r="HJ19" s="67">
        <f t="shared" si="78"/>
        <v>0</v>
      </c>
      <c r="HK19" s="67">
        <f t="shared" si="57"/>
        <v>0</v>
      </c>
      <c r="HL19" s="67">
        <f t="shared" si="58"/>
        <v>0</v>
      </c>
      <c r="HM19" s="67">
        <f t="shared" si="59"/>
        <v>0</v>
      </c>
      <c r="HN19" s="67">
        <f t="shared" si="60"/>
        <v>0</v>
      </c>
      <c r="HO19" s="67">
        <f t="shared" si="61"/>
        <v>0</v>
      </c>
      <c r="HP19" s="67">
        <f t="shared" si="62"/>
        <v>0</v>
      </c>
      <c r="HQ19" s="60"/>
      <c r="HR19" s="43"/>
      <c r="HS19" s="43"/>
      <c r="HT19" s="43"/>
      <c r="HU19" s="68">
        <f t="shared" si="63"/>
        <v>0</v>
      </c>
      <c r="HV19" s="68">
        <f t="shared" si="64"/>
        <v>0</v>
      </c>
      <c r="HW19" s="68">
        <f t="shared" si="65"/>
        <v>4641</v>
      </c>
      <c r="HX19" s="69">
        <f t="shared" si="66"/>
        <v>4708</v>
      </c>
      <c r="HY19" s="70">
        <f t="shared" si="67"/>
        <v>3668</v>
      </c>
      <c r="HZ19" s="70">
        <f t="shared" si="68"/>
        <v>3413</v>
      </c>
      <c r="IA19" s="70">
        <f t="shared" si="69"/>
        <v>2676</v>
      </c>
      <c r="IB19" s="70">
        <f t="shared" si="70"/>
        <v>2470</v>
      </c>
      <c r="IC19" s="70">
        <f t="shared" si="71"/>
        <v>680</v>
      </c>
      <c r="ID19" s="70">
        <f t="shared" si="72"/>
        <v>0</v>
      </c>
      <c r="IE19" s="70">
        <f t="shared" si="73"/>
        <v>0</v>
      </c>
      <c r="IF19" s="70">
        <f t="shared" si="74"/>
        <v>0</v>
      </c>
      <c r="IG19" s="70">
        <f t="shared" si="75"/>
        <v>0</v>
      </c>
    </row>
    <row r="20" spans="1:241" outlineLevel="2" x14ac:dyDescent="0.3">
      <c r="A20" s="71" t="s">
        <v>117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>
        <v>495701</v>
      </c>
      <c r="AA20" s="72">
        <v>525449</v>
      </c>
      <c r="AB20" s="72">
        <v>471548</v>
      </c>
      <c r="AC20" s="72">
        <v>463869</v>
      </c>
      <c r="AD20" s="72">
        <v>488739</v>
      </c>
      <c r="AE20" s="72">
        <v>513886</v>
      </c>
      <c r="AF20" s="72">
        <v>491190</v>
      </c>
      <c r="AG20" s="72">
        <v>458481</v>
      </c>
      <c r="AH20" s="72">
        <v>432123</v>
      </c>
      <c r="AI20" s="72">
        <v>469136</v>
      </c>
      <c r="AJ20" s="72">
        <v>407809</v>
      </c>
      <c r="AK20" s="72">
        <v>461703</v>
      </c>
      <c r="AL20" s="72">
        <v>468699</v>
      </c>
      <c r="AM20" s="72">
        <v>509427</v>
      </c>
      <c r="AN20" s="72">
        <v>473518</v>
      </c>
      <c r="AO20" s="72">
        <v>419950</v>
      </c>
      <c r="AP20" s="72">
        <v>413169</v>
      </c>
      <c r="AQ20" s="72">
        <v>526658</v>
      </c>
      <c r="AR20" s="72">
        <v>521118</v>
      </c>
      <c r="AS20" s="72">
        <v>471881</v>
      </c>
      <c r="AT20" s="72">
        <v>393495</v>
      </c>
      <c r="AU20" s="72">
        <v>460066</v>
      </c>
      <c r="AV20" s="72">
        <v>448772</v>
      </c>
      <c r="AW20" s="72">
        <v>496383</v>
      </c>
      <c r="AX20" s="72">
        <v>517019</v>
      </c>
      <c r="AY20" s="72">
        <v>501009</v>
      </c>
      <c r="AZ20" s="72">
        <v>477540</v>
      </c>
      <c r="BA20" s="72">
        <v>448119</v>
      </c>
      <c r="BB20" s="72">
        <v>520226</v>
      </c>
      <c r="BC20" s="72">
        <v>570591</v>
      </c>
      <c r="BD20" s="72">
        <v>561427</v>
      </c>
      <c r="BE20" s="72">
        <v>414709</v>
      </c>
      <c r="BF20" s="72">
        <v>279448</v>
      </c>
      <c r="BG20" s="72">
        <v>436771</v>
      </c>
      <c r="BH20" s="72">
        <v>450222</v>
      </c>
      <c r="BI20" s="72">
        <v>516600</v>
      </c>
      <c r="BJ20" s="72">
        <v>521909</v>
      </c>
      <c r="BK20" s="72">
        <v>542457</v>
      </c>
      <c r="BL20" s="72">
        <v>537187</v>
      </c>
      <c r="BM20" s="72">
        <v>543938</v>
      </c>
      <c r="BN20" s="72">
        <v>583852</v>
      </c>
      <c r="BO20" s="72">
        <v>614949</v>
      </c>
      <c r="BP20" s="72">
        <v>540552</v>
      </c>
      <c r="BQ20" s="72">
        <v>510749</v>
      </c>
      <c r="BR20" s="72">
        <v>398816</v>
      </c>
      <c r="BS20" s="72">
        <v>543325</v>
      </c>
      <c r="BT20" s="72">
        <v>535232</v>
      </c>
      <c r="BU20" s="72">
        <v>626085</v>
      </c>
      <c r="BV20" s="72">
        <v>607720</v>
      </c>
      <c r="BW20" s="72">
        <v>637203</v>
      </c>
      <c r="BX20" s="72">
        <v>626194</v>
      </c>
      <c r="BY20" s="72">
        <v>610197</v>
      </c>
      <c r="BZ20" s="72">
        <v>591401</v>
      </c>
      <c r="CA20" s="72">
        <v>671466</v>
      </c>
      <c r="CB20" s="72">
        <v>642374</v>
      </c>
      <c r="CC20" s="72">
        <v>536193</v>
      </c>
      <c r="CD20" s="72">
        <v>400710</v>
      </c>
      <c r="CE20" s="72">
        <v>516451</v>
      </c>
      <c r="CF20" s="72">
        <v>544073</v>
      </c>
      <c r="CG20" s="72">
        <v>509706</v>
      </c>
      <c r="CH20" s="72">
        <v>534161</v>
      </c>
      <c r="CI20" s="72">
        <v>592771</v>
      </c>
      <c r="CJ20" s="72">
        <v>567641</v>
      </c>
      <c r="CK20" s="72">
        <v>467690</v>
      </c>
      <c r="CL20" s="72">
        <v>481636</v>
      </c>
      <c r="CM20" s="72">
        <v>548433</v>
      </c>
      <c r="CN20" s="72">
        <v>541672</v>
      </c>
      <c r="CO20" s="72">
        <v>469901</v>
      </c>
      <c r="CP20" s="72">
        <v>391207</v>
      </c>
      <c r="CQ20" s="72">
        <v>481929</v>
      </c>
      <c r="CR20" s="72">
        <v>462352</v>
      </c>
      <c r="CS20" s="74">
        <v>289569</v>
      </c>
      <c r="CT20" s="74"/>
      <c r="CU20" s="74">
        <v>102904</v>
      </c>
      <c r="CV20" s="74">
        <v>396306</v>
      </c>
      <c r="CW20" s="74">
        <v>471271</v>
      </c>
      <c r="CX20" s="74">
        <v>529609</v>
      </c>
      <c r="CY20" s="74">
        <v>643552</v>
      </c>
      <c r="CZ20" s="74">
        <v>717791</v>
      </c>
      <c r="DA20" s="74">
        <v>528323</v>
      </c>
      <c r="DB20" s="74">
        <v>396243</v>
      </c>
      <c r="DC20" s="74">
        <v>433278</v>
      </c>
      <c r="DD20" s="74">
        <v>443369</v>
      </c>
      <c r="DE20" s="74">
        <v>493755</v>
      </c>
      <c r="DF20" s="74">
        <v>310515</v>
      </c>
      <c r="DG20" s="74">
        <v>156174</v>
      </c>
      <c r="DH20" s="74">
        <v>412455</v>
      </c>
      <c r="DI20" s="74">
        <v>399724</v>
      </c>
      <c r="DJ20" s="74">
        <v>399557</v>
      </c>
      <c r="DK20" s="74">
        <v>465319</v>
      </c>
      <c r="DL20" s="74">
        <v>486251</v>
      </c>
      <c r="DM20" s="74">
        <v>309072</v>
      </c>
      <c r="DN20" s="74">
        <v>357047</v>
      </c>
      <c r="DO20" s="74">
        <v>336673</v>
      </c>
      <c r="DP20" s="74">
        <v>312164</v>
      </c>
      <c r="DQ20" s="74">
        <v>392503</v>
      </c>
      <c r="DR20" s="74">
        <v>373052</v>
      </c>
      <c r="DS20" s="74">
        <v>432554</v>
      </c>
      <c r="DT20" s="74">
        <v>441221</v>
      </c>
      <c r="DU20" s="74">
        <v>407138</v>
      </c>
      <c r="DV20" s="74">
        <v>419615</v>
      </c>
      <c r="DW20" s="74">
        <v>468716</v>
      </c>
      <c r="DX20" s="74">
        <v>408259</v>
      </c>
      <c r="DY20" s="74">
        <v>342620</v>
      </c>
      <c r="DZ20" s="74">
        <v>345965</v>
      </c>
      <c r="EA20" s="74">
        <v>326467</v>
      </c>
      <c r="EB20" s="74">
        <v>360165</v>
      </c>
      <c r="EC20" s="74">
        <v>471480</v>
      </c>
      <c r="ED20" s="74">
        <v>360800</v>
      </c>
      <c r="EE20" s="74">
        <v>478909</v>
      </c>
      <c r="EF20" s="74">
        <v>393049</v>
      </c>
      <c r="EG20" s="74">
        <v>344569</v>
      </c>
      <c r="EH20" s="74">
        <v>440168</v>
      </c>
      <c r="EI20" s="74">
        <v>481687</v>
      </c>
      <c r="EJ20" s="74">
        <v>516840</v>
      </c>
      <c r="EK20" s="74">
        <v>430070</v>
      </c>
      <c r="EL20" s="74">
        <v>339542</v>
      </c>
      <c r="EM20" s="74">
        <v>389752</v>
      </c>
      <c r="EN20" s="74">
        <v>414708</v>
      </c>
      <c r="EO20" s="74">
        <v>429823</v>
      </c>
      <c r="EP20" s="74">
        <v>481584</v>
      </c>
      <c r="EQ20" s="74">
        <v>454644</v>
      </c>
      <c r="ER20" s="74">
        <v>462545</v>
      </c>
      <c r="ES20" s="74">
        <v>320372</v>
      </c>
      <c r="ET20" s="74">
        <v>460556</v>
      </c>
      <c r="EU20" s="74">
        <v>578210</v>
      </c>
      <c r="EV20" s="74">
        <v>614683</v>
      </c>
      <c r="EW20" s="74">
        <v>409292</v>
      </c>
      <c r="EX20" s="74">
        <v>269606</v>
      </c>
      <c r="EY20" s="74">
        <v>374179</v>
      </c>
      <c r="EZ20" s="74">
        <v>323235</v>
      </c>
      <c r="FA20" s="74">
        <v>469495</v>
      </c>
      <c r="FB20" s="74">
        <v>270546</v>
      </c>
      <c r="FC20" s="74">
        <v>456461</v>
      </c>
      <c r="FD20" s="74">
        <v>486364</v>
      </c>
      <c r="FE20" s="74">
        <v>366408</v>
      </c>
      <c r="FF20" s="74">
        <v>470835</v>
      </c>
      <c r="FG20" s="74">
        <v>589929</v>
      </c>
      <c r="FH20" s="74">
        <v>543098</v>
      </c>
      <c r="FI20" s="74">
        <v>512645</v>
      </c>
      <c r="FJ20" s="74">
        <v>373581</v>
      </c>
      <c r="FK20" s="43"/>
      <c r="FL20" s="43"/>
      <c r="FM20" s="43"/>
      <c r="FN20" s="75">
        <f t="shared" si="76"/>
        <v>0</v>
      </c>
      <c r="FO20" s="76">
        <f t="shared" si="77"/>
        <v>0</v>
      </c>
      <c r="FP20" s="76">
        <f t="shared" si="11"/>
        <v>0</v>
      </c>
      <c r="FQ20" s="76">
        <f t="shared" si="12"/>
        <v>0</v>
      </c>
      <c r="FR20" s="76">
        <f t="shared" si="13"/>
        <v>0</v>
      </c>
      <c r="FS20" s="76">
        <f t="shared" si="14"/>
        <v>0</v>
      </c>
      <c r="FT20" s="76">
        <f t="shared" si="15"/>
        <v>0</v>
      </c>
      <c r="FU20" s="76">
        <f t="shared" si="16"/>
        <v>0</v>
      </c>
      <c r="FV20" s="76">
        <f t="shared" si="17"/>
        <v>1492698</v>
      </c>
      <c r="FW20" s="76">
        <f t="shared" si="18"/>
        <v>1466494</v>
      </c>
      <c r="FX20" s="76">
        <f t="shared" si="19"/>
        <v>1381794</v>
      </c>
      <c r="FY20" s="76">
        <f t="shared" si="20"/>
        <v>1338648</v>
      </c>
      <c r="FZ20" s="76">
        <f t="shared" si="21"/>
        <v>1451644</v>
      </c>
      <c r="GA20" s="76">
        <f t="shared" si="22"/>
        <v>1359777</v>
      </c>
      <c r="GB20" s="76">
        <f t="shared" si="23"/>
        <v>1386494</v>
      </c>
      <c r="GC20" s="76">
        <f t="shared" si="24"/>
        <v>1405221</v>
      </c>
      <c r="GD20" s="76">
        <f t="shared" si="25"/>
        <v>1495568</v>
      </c>
      <c r="GE20" s="76">
        <f t="shared" si="26"/>
        <v>1538936</v>
      </c>
      <c r="GF20" s="76">
        <f t="shared" si="27"/>
        <v>1255584</v>
      </c>
      <c r="GG20" s="76">
        <f t="shared" si="28"/>
        <v>1403593</v>
      </c>
      <c r="GH20" s="76">
        <f t="shared" si="29"/>
        <v>1601553</v>
      </c>
      <c r="GI20" s="76">
        <f t="shared" si="30"/>
        <v>1742739</v>
      </c>
      <c r="GJ20" s="76">
        <f t="shared" si="31"/>
        <v>1450117</v>
      </c>
      <c r="GK20" s="76">
        <f t="shared" si="32"/>
        <v>1704642</v>
      </c>
      <c r="GL20" s="76">
        <f t="shared" si="33"/>
        <v>1871117</v>
      </c>
      <c r="GM20" s="76">
        <f t="shared" si="34"/>
        <v>1873064</v>
      </c>
      <c r="GN20" s="76">
        <f t="shared" si="35"/>
        <v>1579277</v>
      </c>
      <c r="GO20" s="76">
        <f t="shared" si="36"/>
        <v>1570230</v>
      </c>
      <c r="GP20" s="76">
        <f t="shared" si="37"/>
        <v>1694573</v>
      </c>
      <c r="GQ20" s="76">
        <f t="shared" si="38"/>
        <v>1497759</v>
      </c>
      <c r="GR20" s="76">
        <f t="shared" si="39"/>
        <v>1402780</v>
      </c>
      <c r="GS20" s="76">
        <f t="shared" si="40"/>
        <v>1233850</v>
      </c>
      <c r="GT20" s="76">
        <f t="shared" si="41"/>
        <v>499210</v>
      </c>
      <c r="GU20" s="76">
        <f t="shared" si="42"/>
        <v>1644432</v>
      </c>
      <c r="GV20" s="76">
        <f t="shared" si="43"/>
        <v>1642357</v>
      </c>
      <c r="GW20" s="76">
        <f t="shared" si="44"/>
        <v>1370402</v>
      </c>
      <c r="GX20" s="76">
        <f t="shared" si="45"/>
        <v>879144</v>
      </c>
      <c r="GY20" s="76">
        <f t="shared" si="46"/>
        <v>1264600</v>
      </c>
      <c r="GZ20" s="76">
        <f t="shared" si="47"/>
        <v>1152370</v>
      </c>
      <c r="HA20" s="76">
        <f t="shared" si="48"/>
        <v>1041340</v>
      </c>
      <c r="HB20" s="76">
        <f t="shared" si="49"/>
        <v>1246827</v>
      </c>
      <c r="HC20" s="76">
        <f t="shared" si="50"/>
        <v>1295469</v>
      </c>
      <c r="HD20" s="76">
        <f t="shared" si="51"/>
        <v>1096844</v>
      </c>
      <c r="HE20" s="76">
        <f t="shared" si="52"/>
        <v>1158112</v>
      </c>
      <c r="HF20" s="76">
        <f t="shared" si="53"/>
        <v>1232758</v>
      </c>
      <c r="HG20" s="76">
        <f t="shared" si="54"/>
        <v>1266424</v>
      </c>
      <c r="HH20" s="76">
        <f t="shared" si="55"/>
        <v>1286452</v>
      </c>
      <c r="HI20" s="76">
        <f t="shared" si="56"/>
        <v>1234283</v>
      </c>
      <c r="HJ20" s="76">
        <f t="shared" si="78"/>
        <v>1398773</v>
      </c>
      <c r="HK20" s="76">
        <f t="shared" si="57"/>
        <v>1359138</v>
      </c>
      <c r="HL20" s="76">
        <f t="shared" si="58"/>
        <v>1293581</v>
      </c>
      <c r="HM20" s="76">
        <f t="shared" si="59"/>
        <v>1166909</v>
      </c>
      <c r="HN20" s="76">
        <f t="shared" si="60"/>
        <v>1213371</v>
      </c>
      <c r="HO20" s="76">
        <f t="shared" si="61"/>
        <v>1427172</v>
      </c>
      <c r="HP20" s="76">
        <f t="shared" si="62"/>
        <v>1429324</v>
      </c>
      <c r="HQ20" s="77"/>
      <c r="HR20" s="43"/>
      <c r="HS20" s="43"/>
      <c r="HT20" s="43"/>
      <c r="HU20" s="78">
        <f t="shared" si="63"/>
        <v>0</v>
      </c>
      <c r="HV20" s="78">
        <f t="shared" si="64"/>
        <v>0</v>
      </c>
      <c r="HW20" s="78">
        <f t="shared" si="65"/>
        <v>5679634</v>
      </c>
      <c r="HX20" s="79">
        <f t="shared" si="66"/>
        <v>5603136</v>
      </c>
      <c r="HY20" s="80">
        <f t="shared" si="67"/>
        <v>5693681</v>
      </c>
      <c r="HZ20" s="80">
        <f t="shared" si="68"/>
        <v>6499051</v>
      </c>
      <c r="IA20" s="80">
        <f t="shared" si="69"/>
        <v>6893688</v>
      </c>
      <c r="IB20" s="80">
        <f t="shared" si="70"/>
        <v>5828962</v>
      </c>
      <c r="IC20" s="80">
        <f t="shared" si="71"/>
        <v>5156401</v>
      </c>
      <c r="ID20" s="80">
        <f t="shared" si="72"/>
        <v>4337454</v>
      </c>
      <c r="IE20" s="80">
        <f t="shared" si="73"/>
        <v>4797252</v>
      </c>
      <c r="IF20" s="80">
        <f t="shared" si="74"/>
        <v>5019917</v>
      </c>
      <c r="IG20" s="80">
        <f t="shared" si="75"/>
        <v>5218401</v>
      </c>
    </row>
    <row r="21" spans="1:241" outlineLevel="2" x14ac:dyDescent="0.3">
      <c r="A21" s="63" t="s">
        <v>118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>
        <v>131378</v>
      </c>
      <c r="AA21" s="58">
        <v>152714</v>
      </c>
      <c r="AB21" s="58">
        <v>142793</v>
      </c>
      <c r="AC21" s="58">
        <v>148012</v>
      </c>
      <c r="AD21" s="58">
        <v>153120</v>
      </c>
      <c r="AE21" s="58">
        <v>179472</v>
      </c>
      <c r="AF21" s="58">
        <v>162204</v>
      </c>
      <c r="AG21" s="58">
        <v>136789</v>
      </c>
      <c r="AH21" s="58">
        <v>121380</v>
      </c>
      <c r="AI21" s="58">
        <v>149023</v>
      </c>
      <c r="AJ21" s="58">
        <v>139233</v>
      </c>
      <c r="AK21" s="58">
        <v>145502</v>
      </c>
      <c r="AL21" s="58">
        <v>131204</v>
      </c>
      <c r="AM21" s="58">
        <v>138150</v>
      </c>
      <c r="AN21" s="58">
        <v>112139</v>
      </c>
      <c r="AO21" s="58">
        <v>112112</v>
      </c>
      <c r="AP21" s="58">
        <v>126378</v>
      </c>
      <c r="AQ21" s="58">
        <v>147229</v>
      </c>
      <c r="AR21" s="58">
        <v>161585</v>
      </c>
      <c r="AS21" s="58">
        <v>104132</v>
      </c>
      <c r="AT21" s="58">
        <v>92280</v>
      </c>
      <c r="AU21" s="58">
        <v>125772</v>
      </c>
      <c r="AV21" s="58">
        <v>122108</v>
      </c>
      <c r="AW21" s="58">
        <v>121064</v>
      </c>
      <c r="AX21" s="58">
        <v>150711</v>
      </c>
      <c r="AY21" s="58">
        <v>147431</v>
      </c>
      <c r="AZ21" s="58">
        <v>142618</v>
      </c>
      <c r="BA21" s="58">
        <v>120381</v>
      </c>
      <c r="BB21" s="58">
        <v>129926</v>
      </c>
      <c r="BC21" s="58">
        <v>183785</v>
      </c>
      <c r="BD21" s="58">
        <v>167496</v>
      </c>
      <c r="BE21" s="58">
        <v>96338</v>
      </c>
      <c r="BF21" s="58">
        <v>53400</v>
      </c>
      <c r="BG21" s="58">
        <v>139161</v>
      </c>
      <c r="BH21" s="58">
        <v>120170</v>
      </c>
      <c r="BI21" s="58">
        <v>84638</v>
      </c>
      <c r="BJ21" s="58">
        <v>183182</v>
      </c>
      <c r="BK21" s="58">
        <v>176213</v>
      </c>
      <c r="BL21" s="58">
        <v>145358</v>
      </c>
      <c r="BM21" s="58">
        <v>168075</v>
      </c>
      <c r="BN21" s="58">
        <v>191949</v>
      </c>
      <c r="BO21" s="58">
        <v>183366</v>
      </c>
      <c r="BP21" s="58">
        <v>144431</v>
      </c>
      <c r="BQ21" s="58">
        <v>150420</v>
      </c>
      <c r="BR21" s="58">
        <v>124425</v>
      </c>
      <c r="BS21" s="58">
        <v>169537</v>
      </c>
      <c r="BT21" s="58">
        <v>164434</v>
      </c>
      <c r="BU21" s="58">
        <v>152355</v>
      </c>
      <c r="BV21" s="58">
        <v>212292</v>
      </c>
      <c r="BW21" s="58">
        <v>191920</v>
      </c>
      <c r="BX21" s="58">
        <v>174276</v>
      </c>
      <c r="BY21" s="58">
        <v>162987</v>
      </c>
      <c r="BZ21" s="58">
        <v>201348</v>
      </c>
      <c r="CA21" s="58">
        <v>170978</v>
      </c>
      <c r="CB21" s="58">
        <v>168020</v>
      </c>
      <c r="CC21" s="58">
        <v>127896</v>
      </c>
      <c r="CD21" s="58">
        <v>92784</v>
      </c>
      <c r="CE21" s="58">
        <v>128525</v>
      </c>
      <c r="CF21" s="58">
        <v>145260</v>
      </c>
      <c r="CG21" s="58">
        <v>63928</v>
      </c>
      <c r="CH21" s="58">
        <v>157569</v>
      </c>
      <c r="CI21" s="58">
        <v>177363</v>
      </c>
      <c r="CJ21" s="58">
        <v>154421</v>
      </c>
      <c r="CK21" s="58">
        <v>160468</v>
      </c>
      <c r="CL21" s="58">
        <v>142588</v>
      </c>
      <c r="CM21" s="58">
        <v>155187</v>
      </c>
      <c r="CN21" s="58">
        <v>156819</v>
      </c>
      <c r="CO21" s="58">
        <v>108572</v>
      </c>
      <c r="CP21" s="58">
        <v>73635</v>
      </c>
      <c r="CQ21" s="58">
        <v>105037</v>
      </c>
      <c r="CR21" s="58">
        <v>65580</v>
      </c>
      <c r="CS21" s="64">
        <v>101431</v>
      </c>
      <c r="CT21" s="64"/>
      <c r="CU21" s="64">
        <v>19060</v>
      </c>
      <c r="CV21" s="64">
        <v>67782</v>
      </c>
      <c r="CW21" s="64">
        <v>143276</v>
      </c>
      <c r="CX21" s="64">
        <v>179086</v>
      </c>
      <c r="CY21" s="64">
        <v>199495</v>
      </c>
      <c r="CZ21" s="64">
        <v>199362</v>
      </c>
      <c r="DA21" s="64">
        <v>147333</v>
      </c>
      <c r="DB21" s="64">
        <v>82597</v>
      </c>
      <c r="DC21" s="64">
        <v>168624</v>
      </c>
      <c r="DD21" s="64">
        <v>166151</v>
      </c>
      <c r="DE21" s="64">
        <v>166273</v>
      </c>
      <c r="DF21" s="64">
        <v>108575</v>
      </c>
      <c r="DG21" s="64">
        <v>19423</v>
      </c>
      <c r="DH21" s="64">
        <v>95862</v>
      </c>
      <c r="DI21" s="64">
        <v>152685</v>
      </c>
      <c r="DJ21" s="64">
        <v>161306</v>
      </c>
      <c r="DK21" s="64">
        <v>174709</v>
      </c>
      <c r="DL21" s="64">
        <v>163984</v>
      </c>
      <c r="DM21" s="64">
        <v>118122</v>
      </c>
      <c r="DN21" s="64">
        <v>93974</v>
      </c>
      <c r="DO21" s="64">
        <v>139384</v>
      </c>
      <c r="DP21" s="64">
        <v>122056</v>
      </c>
      <c r="DQ21" s="64">
        <v>132020</v>
      </c>
      <c r="DR21" s="64">
        <v>137953</v>
      </c>
      <c r="DS21" s="64">
        <v>150474</v>
      </c>
      <c r="DT21" s="64">
        <v>144679</v>
      </c>
      <c r="DU21" s="64">
        <v>152682</v>
      </c>
      <c r="DV21" s="64">
        <v>172369</v>
      </c>
      <c r="DW21" s="64">
        <v>209548</v>
      </c>
      <c r="DX21" s="64">
        <v>186394</v>
      </c>
      <c r="DY21" s="64">
        <v>159788</v>
      </c>
      <c r="DZ21" s="64">
        <v>115109</v>
      </c>
      <c r="EA21" s="64">
        <v>127912</v>
      </c>
      <c r="EB21" s="64">
        <v>37957</v>
      </c>
      <c r="EC21" s="64">
        <v>11703</v>
      </c>
      <c r="ED21" s="64">
        <v>92274</v>
      </c>
      <c r="EE21" s="64">
        <v>107779</v>
      </c>
      <c r="EF21" s="64">
        <v>162737</v>
      </c>
      <c r="EG21" s="64">
        <v>146700</v>
      </c>
      <c r="EH21" s="64">
        <v>194330</v>
      </c>
      <c r="EI21" s="64">
        <v>218043</v>
      </c>
      <c r="EJ21" s="64">
        <v>211506</v>
      </c>
      <c r="EK21" s="64">
        <v>200643</v>
      </c>
      <c r="EL21" s="64">
        <v>118654</v>
      </c>
      <c r="EM21" s="64">
        <v>183638</v>
      </c>
      <c r="EN21" s="64">
        <v>184184</v>
      </c>
      <c r="EO21" s="64">
        <v>179041</v>
      </c>
      <c r="EP21" s="64">
        <v>197564</v>
      </c>
      <c r="EQ21" s="64">
        <v>205196</v>
      </c>
      <c r="ER21" s="64">
        <v>216637</v>
      </c>
      <c r="ES21" s="64">
        <v>210042</v>
      </c>
      <c r="ET21" s="64">
        <v>229515</v>
      </c>
      <c r="EU21" s="64">
        <v>238705</v>
      </c>
      <c r="EV21" s="64">
        <v>253135</v>
      </c>
      <c r="EW21" s="64">
        <v>198265</v>
      </c>
      <c r="EX21" s="64">
        <v>135771</v>
      </c>
      <c r="EY21" s="64">
        <v>211356</v>
      </c>
      <c r="EZ21" s="64">
        <v>193321</v>
      </c>
      <c r="FA21" s="64">
        <v>192743</v>
      </c>
      <c r="FB21" s="64">
        <v>206749</v>
      </c>
      <c r="FC21" s="64">
        <v>199641</v>
      </c>
      <c r="FD21" s="64">
        <v>180497</v>
      </c>
      <c r="FE21" s="64">
        <v>200744</v>
      </c>
      <c r="FF21" s="64">
        <v>211098</v>
      </c>
      <c r="FG21" s="64">
        <v>244140</v>
      </c>
      <c r="FH21" s="64">
        <v>236055</v>
      </c>
      <c r="FI21" s="64">
        <v>245333</v>
      </c>
      <c r="FJ21" s="64">
        <v>192073</v>
      </c>
      <c r="FK21" s="43"/>
      <c r="FL21" s="43"/>
      <c r="FM21" s="43"/>
      <c r="FN21" s="66">
        <f t="shared" si="76"/>
        <v>0</v>
      </c>
      <c r="FO21" s="67">
        <f t="shared" si="77"/>
        <v>0</v>
      </c>
      <c r="FP21" s="67">
        <f t="shared" si="11"/>
        <v>0</v>
      </c>
      <c r="FQ21" s="67">
        <f t="shared" si="12"/>
        <v>0</v>
      </c>
      <c r="FR21" s="67">
        <f t="shared" si="13"/>
        <v>0</v>
      </c>
      <c r="FS21" s="67">
        <f t="shared" si="14"/>
        <v>0</v>
      </c>
      <c r="FT21" s="67">
        <f t="shared" si="15"/>
        <v>0</v>
      </c>
      <c r="FU21" s="67">
        <f t="shared" si="16"/>
        <v>0</v>
      </c>
      <c r="FV21" s="67">
        <f t="shared" si="17"/>
        <v>426885</v>
      </c>
      <c r="FW21" s="67">
        <f t="shared" si="18"/>
        <v>480604</v>
      </c>
      <c r="FX21" s="67">
        <f t="shared" si="19"/>
        <v>420373</v>
      </c>
      <c r="FY21" s="67">
        <f t="shared" si="20"/>
        <v>433758</v>
      </c>
      <c r="FZ21" s="67">
        <f t="shared" si="21"/>
        <v>381493</v>
      </c>
      <c r="GA21" s="67">
        <f t="shared" si="22"/>
        <v>385719</v>
      </c>
      <c r="GB21" s="67">
        <f t="shared" si="23"/>
        <v>357997</v>
      </c>
      <c r="GC21" s="67">
        <f t="shared" si="24"/>
        <v>368944</v>
      </c>
      <c r="GD21" s="67">
        <f t="shared" si="25"/>
        <v>440760</v>
      </c>
      <c r="GE21" s="67">
        <f t="shared" si="26"/>
        <v>434092</v>
      </c>
      <c r="GF21" s="67">
        <f t="shared" si="27"/>
        <v>317234</v>
      </c>
      <c r="GG21" s="67">
        <f t="shared" si="28"/>
        <v>343969</v>
      </c>
      <c r="GH21" s="67">
        <f t="shared" si="29"/>
        <v>504753</v>
      </c>
      <c r="GI21" s="67">
        <f t="shared" si="30"/>
        <v>543390</v>
      </c>
      <c r="GJ21" s="67">
        <f t="shared" si="31"/>
        <v>419276</v>
      </c>
      <c r="GK21" s="67">
        <f t="shared" si="32"/>
        <v>486326</v>
      </c>
      <c r="GL21" s="67">
        <f t="shared" si="33"/>
        <v>578488</v>
      </c>
      <c r="GM21" s="67">
        <f t="shared" si="34"/>
        <v>535313</v>
      </c>
      <c r="GN21" s="67">
        <f t="shared" si="35"/>
        <v>388700</v>
      </c>
      <c r="GO21" s="67">
        <f t="shared" si="36"/>
        <v>337713</v>
      </c>
      <c r="GP21" s="67">
        <f t="shared" si="37"/>
        <v>489353</v>
      </c>
      <c r="GQ21" s="67">
        <f t="shared" si="38"/>
        <v>458243</v>
      </c>
      <c r="GR21" s="67">
        <f t="shared" si="39"/>
        <v>339026</v>
      </c>
      <c r="GS21" s="67">
        <f t="shared" si="40"/>
        <v>272048</v>
      </c>
      <c r="GT21" s="67">
        <f t="shared" si="41"/>
        <v>86842</v>
      </c>
      <c r="GU21" s="67">
        <f t="shared" si="42"/>
        <v>521857</v>
      </c>
      <c r="GV21" s="67">
        <f t="shared" si="43"/>
        <v>429292</v>
      </c>
      <c r="GW21" s="67">
        <f t="shared" si="44"/>
        <v>501048</v>
      </c>
      <c r="GX21" s="67">
        <f t="shared" si="45"/>
        <v>223860</v>
      </c>
      <c r="GY21" s="67">
        <f t="shared" si="46"/>
        <v>488700</v>
      </c>
      <c r="GZ21" s="67">
        <f t="shared" si="47"/>
        <v>376080</v>
      </c>
      <c r="HA21" s="67">
        <f t="shared" si="48"/>
        <v>393460</v>
      </c>
      <c r="HB21" s="67">
        <f t="shared" si="49"/>
        <v>433106</v>
      </c>
      <c r="HC21" s="67">
        <f t="shared" si="50"/>
        <v>534599</v>
      </c>
      <c r="HD21" s="67">
        <f t="shared" si="51"/>
        <v>461291</v>
      </c>
      <c r="HE21" s="67">
        <f t="shared" si="52"/>
        <v>177572</v>
      </c>
      <c r="HF21" s="67">
        <f t="shared" si="53"/>
        <v>362790</v>
      </c>
      <c r="HG21" s="67">
        <f t="shared" si="54"/>
        <v>559073</v>
      </c>
      <c r="HH21" s="67">
        <f t="shared" si="55"/>
        <v>530803</v>
      </c>
      <c r="HI21" s="67">
        <f t="shared" si="56"/>
        <v>546863</v>
      </c>
      <c r="HJ21" s="67">
        <f t="shared" si="78"/>
        <v>619397</v>
      </c>
      <c r="HK21" s="67">
        <f t="shared" si="57"/>
        <v>678262</v>
      </c>
      <c r="HL21" s="67">
        <f t="shared" si="58"/>
        <v>587171</v>
      </c>
      <c r="HM21" s="67">
        <f t="shared" si="59"/>
        <v>597420</v>
      </c>
      <c r="HN21" s="67">
        <f t="shared" si="60"/>
        <v>586887</v>
      </c>
      <c r="HO21" s="67">
        <f t="shared" si="61"/>
        <v>655982</v>
      </c>
      <c r="HP21" s="67">
        <f t="shared" si="62"/>
        <v>673461</v>
      </c>
      <c r="HQ21" s="60"/>
      <c r="HR21" s="43"/>
      <c r="HS21" s="43"/>
      <c r="HT21" s="43"/>
      <c r="HU21" s="68">
        <f t="shared" si="63"/>
        <v>0</v>
      </c>
      <c r="HV21" s="68">
        <f t="shared" si="64"/>
        <v>0</v>
      </c>
      <c r="HW21" s="68">
        <f t="shared" si="65"/>
        <v>1761620</v>
      </c>
      <c r="HX21" s="69">
        <f t="shared" si="66"/>
        <v>1494153</v>
      </c>
      <c r="HY21" s="70">
        <f t="shared" si="67"/>
        <v>1536055</v>
      </c>
      <c r="HZ21" s="70">
        <f t="shared" si="68"/>
        <v>1953745</v>
      </c>
      <c r="IA21" s="70">
        <f t="shared" si="69"/>
        <v>1840214</v>
      </c>
      <c r="IB21" s="70">
        <f t="shared" si="70"/>
        <v>1558670</v>
      </c>
      <c r="IC21" s="70">
        <f t="shared" si="71"/>
        <v>1539039</v>
      </c>
      <c r="ID21" s="70">
        <f t="shared" si="72"/>
        <v>1482100</v>
      </c>
      <c r="IE21" s="70">
        <f t="shared" si="73"/>
        <v>1606568</v>
      </c>
      <c r="IF21" s="70">
        <f t="shared" si="74"/>
        <v>1999529</v>
      </c>
      <c r="IG21" s="70">
        <f t="shared" si="75"/>
        <v>2482250</v>
      </c>
    </row>
    <row r="22" spans="1:241" outlineLevel="2" x14ac:dyDescent="0.3">
      <c r="A22" s="71" t="s">
        <v>128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>
        <v>105</v>
      </c>
      <c r="AA22" s="72">
        <v>34</v>
      </c>
      <c r="AB22" s="72">
        <v>118</v>
      </c>
      <c r="AC22" s="72">
        <v>126</v>
      </c>
      <c r="AD22" s="72">
        <v>84</v>
      </c>
      <c r="AE22" s="72">
        <v>129</v>
      </c>
      <c r="AF22" s="72">
        <v>127</v>
      </c>
      <c r="AG22" s="72">
        <v>133</v>
      </c>
      <c r="AH22" s="72">
        <v>102</v>
      </c>
      <c r="AI22" s="72">
        <v>146</v>
      </c>
      <c r="AJ22" s="72">
        <v>134</v>
      </c>
      <c r="AK22" s="72">
        <v>114</v>
      </c>
      <c r="AL22" s="72">
        <v>156</v>
      </c>
      <c r="AM22" s="72">
        <v>97</v>
      </c>
      <c r="AN22" s="72">
        <v>114</v>
      </c>
      <c r="AO22" s="72">
        <v>83</v>
      </c>
      <c r="AP22" s="72">
        <v>25</v>
      </c>
      <c r="AQ22" s="72">
        <v>103</v>
      </c>
      <c r="AR22" s="72">
        <v>149</v>
      </c>
      <c r="AS22" s="72">
        <v>90</v>
      </c>
      <c r="AT22" s="72">
        <v>99</v>
      </c>
      <c r="AU22" s="72">
        <v>143</v>
      </c>
      <c r="AV22" s="72">
        <v>209</v>
      </c>
      <c r="AW22" s="72">
        <v>151</v>
      </c>
      <c r="AX22" s="72">
        <v>116</v>
      </c>
      <c r="AY22" s="72">
        <v>97</v>
      </c>
      <c r="AZ22" s="72">
        <v>138</v>
      </c>
      <c r="BA22" s="72">
        <v>93</v>
      </c>
      <c r="BB22" s="72">
        <v>111</v>
      </c>
      <c r="BC22" s="72">
        <v>117</v>
      </c>
      <c r="BD22" s="72">
        <v>132</v>
      </c>
      <c r="BE22" s="72">
        <v>45</v>
      </c>
      <c r="BF22" s="72">
        <v>35</v>
      </c>
      <c r="BG22" s="72">
        <v>41</v>
      </c>
      <c r="BH22" s="72">
        <v>86</v>
      </c>
      <c r="BI22" s="72">
        <v>281</v>
      </c>
      <c r="BJ22" s="72">
        <v>59</v>
      </c>
      <c r="BK22" s="72">
        <v>108</v>
      </c>
      <c r="BL22" s="72">
        <v>79</v>
      </c>
      <c r="BM22" s="72">
        <v>162</v>
      </c>
      <c r="BN22" s="72">
        <v>149</v>
      </c>
      <c r="BO22" s="72">
        <v>128</v>
      </c>
      <c r="BP22" s="72">
        <v>184</v>
      </c>
      <c r="BQ22" s="72">
        <v>113</v>
      </c>
      <c r="BR22" s="72">
        <v>142</v>
      </c>
      <c r="BS22" s="72">
        <v>172</v>
      </c>
      <c r="BT22" s="72">
        <v>204</v>
      </c>
      <c r="BU22" s="72">
        <v>299</v>
      </c>
      <c r="BV22" s="72">
        <v>120</v>
      </c>
      <c r="BW22" s="72">
        <v>143</v>
      </c>
      <c r="BX22" s="72">
        <v>175</v>
      </c>
      <c r="BY22" s="72">
        <v>145</v>
      </c>
      <c r="BZ22" s="72">
        <v>140</v>
      </c>
      <c r="CA22" s="72">
        <v>387</v>
      </c>
      <c r="CB22" s="72">
        <v>334</v>
      </c>
      <c r="CC22" s="72">
        <v>203</v>
      </c>
      <c r="CD22" s="72">
        <v>344</v>
      </c>
      <c r="CE22" s="72">
        <v>348</v>
      </c>
      <c r="CF22" s="72">
        <v>309</v>
      </c>
      <c r="CG22" s="72">
        <v>467</v>
      </c>
      <c r="CH22" s="72">
        <v>163</v>
      </c>
      <c r="CI22" s="72">
        <v>273</v>
      </c>
      <c r="CJ22" s="72">
        <v>251</v>
      </c>
      <c r="CK22" s="72">
        <v>218</v>
      </c>
      <c r="CL22" s="72">
        <v>235</v>
      </c>
      <c r="CM22" s="72">
        <v>264</v>
      </c>
      <c r="CN22" s="72">
        <v>406</v>
      </c>
      <c r="CO22" s="72">
        <v>244</v>
      </c>
      <c r="CP22" s="72">
        <v>127</v>
      </c>
      <c r="CQ22" s="72">
        <v>151</v>
      </c>
      <c r="CR22" s="72">
        <v>174</v>
      </c>
      <c r="CS22" s="74">
        <v>122</v>
      </c>
      <c r="CT22" s="74"/>
      <c r="CU22" s="74">
        <v>29</v>
      </c>
      <c r="CV22" s="74">
        <v>67</v>
      </c>
      <c r="CW22" s="74">
        <v>82</v>
      </c>
      <c r="CX22" s="74">
        <v>102</v>
      </c>
      <c r="CY22" s="74">
        <v>125</v>
      </c>
      <c r="CZ22" s="74">
        <v>138</v>
      </c>
      <c r="DA22" s="74">
        <v>145</v>
      </c>
      <c r="DB22" s="74">
        <v>102</v>
      </c>
      <c r="DC22" s="74">
        <v>161</v>
      </c>
      <c r="DD22" s="74">
        <v>197</v>
      </c>
      <c r="DE22" s="74">
        <v>136</v>
      </c>
      <c r="DF22" s="74">
        <v>178</v>
      </c>
      <c r="DG22" s="74">
        <v>143</v>
      </c>
      <c r="DH22" s="74">
        <v>372</v>
      </c>
      <c r="DI22" s="74">
        <v>238</v>
      </c>
      <c r="DJ22" s="74">
        <v>298</v>
      </c>
      <c r="DK22" s="74">
        <v>493</v>
      </c>
      <c r="DL22" s="74">
        <v>455</v>
      </c>
      <c r="DM22" s="74">
        <v>310</v>
      </c>
      <c r="DN22" s="74">
        <v>316</v>
      </c>
      <c r="DO22" s="74">
        <v>325</v>
      </c>
      <c r="DP22" s="74">
        <v>352</v>
      </c>
      <c r="DQ22" s="74">
        <v>294</v>
      </c>
      <c r="DR22" s="74">
        <v>234</v>
      </c>
      <c r="DS22" s="74">
        <v>268</v>
      </c>
      <c r="DT22" s="74">
        <v>250</v>
      </c>
      <c r="DU22" s="74">
        <v>283</v>
      </c>
      <c r="DV22" s="74">
        <v>283</v>
      </c>
      <c r="DW22" s="74">
        <v>365</v>
      </c>
      <c r="DX22" s="74">
        <v>306</v>
      </c>
      <c r="DY22" s="74">
        <v>330</v>
      </c>
      <c r="DZ22" s="74">
        <v>442</v>
      </c>
      <c r="EA22" s="74">
        <v>505</v>
      </c>
      <c r="EB22" s="74">
        <v>375</v>
      </c>
      <c r="EC22" s="74">
        <v>387</v>
      </c>
      <c r="ED22" s="74">
        <v>416</v>
      </c>
      <c r="EE22" s="74">
        <v>304</v>
      </c>
      <c r="EF22" s="74">
        <v>398</v>
      </c>
      <c r="EG22" s="74">
        <v>337</v>
      </c>
      <c r="EH22" s="74">
        <v>283</v>
      </c>
      <c r="EI22" s="74">
        <v>341</v>
      </c>
      <c r="EJ22" s="74">
        <v>460</v>
      </c>
      <c r="EK22" s="74">
        <v>313</v>
      </c>
      <c r="EL22" s="74">
        <v>340</v>
      </c>
      <c r="EM22" s="74">
        <v>440</v>
      </c>
      <c r="EN22" s="74">
        <v>458</v>
      </c>
      <c r="EO22" s="74">
        <v>501</v>
      </c>
      <c r="EP22" s="74">
        <v>351</v>
      </c>
      <c r="EQ22" s="74">
        <v>362</v>
      </c>
      <c r="ER22" s="74">
        <v>354</v>
      </c>
      <c r="ES22" s="74">
        <v>254</v>
      </c>
      <c r="ET22" s="74">
        <v>280</v>
      </c>
      <c r="EU22" s="74">
        <v>411</v>
      </c>
      <c r="EV22" s="74">
        <v>356</v>
      </c>
      <c r="EW22" s="74">
        <v>347</v>
      </c>
      <c r="EX22" s="74">
        <v>612</v>
      </c>
      <c r="EY22" s="74">
        <v>358</v>
      </c>
      <c r="EZ22" s="74">
        <v>266</v>
      </c>
      <c r="FA22" s="74">
        <v>510</v>
      </c>
      <c r="FB22" s="74">
        <v>442</v>
      </c>
      <c r="FC22" s="74">
        <v>442</v>
      </c>
      <c r="FD22" s="74">
        <v>528</v>
      </c>
      <c r="FE22" s="74">
        <v>192</v>
      </c>
      <c r="FF22" s="74">
        <v>230</v>
      </c>
      <c r="FG22" s="74">
        <v>368</v>
      </c>
      <c r="FH22" s="74">
        <v>608</v>
      </c>
      <c r="FI22" s="74">
        <v>477</v>
      </c>
      <c r="FJ22" s="74">
        <v>366</v>
      </c>
      <c r="FK22" s="43"/>
      <c r="FL22" s="43"/>
      <c r="FM22" s="43"/>
      <c r="FN22" s="75">
        <f t="shared" si="76"/>
        <v>0</v>
      </c>
      <c r="FO22" s="76">
        <f t="shared" si="77"/>
        <v>0</v>
      </c>
      <c r="FP22" s="76">
        <f t="shared" si="11"/>
        <v>0</v>
      </c>
      <c r="FQ22" s="76">
        <f t="shared" si="12"/>
        <v>0</v>
      </c>
      <c r="FR22" s="76">
        <f t="shared" si="13"/>
        <v>0</v>
      </c>
      <c r="FS22" s="76">
        <f t="shared" si="14"/>
        <v>0</v>
      </c>
      <c r="FT22" s="76">
        <f t="shared" si="15"/>
        <v>0</v>
      </c>
      <c r="FU22" s="76">
        <f t="shared" si="16"/>
        <v>0</v>
      </c>
      <c r="FV22" s="76">
        <f t="shared" si="17"/>
        <v>257</v>
      </c>
      <c r="FW22" s="76">
        <f t="shared" si="18"/>
        <v>339</v>
      </c>
      <c r="FX22" s="76">
        <f t="shared" si="19"/>
        <v>362</v>
      </c>
      <c r="FY22" s="76">
        <f t="shared" si="20"/>
        <v>394</v>
      </c>
      <c r="FZ22" s="76">
        <f t="shared" si="21"/>
        <v>367</v>
      </c>
      <c r="GA22" s="76">
        <f t="shared" si="22"/>
        <v>211</v>
      </c>
      <c r="GB22" s="76">
        <f t="shared" si="23"/>
        <v>338</v>
      </c>
      <c r="GC22" s="76">
        <f t="shared" si="24"/>
        <v>503</v>
      </c>
      <c r="GD22" s="76">
        <f t="shared" si="25"/>
        <v>351</v>
      </c>
      <c r="GE22" s="76">
        <f t="shared" si="26"/>
        <v>321</v>
      </c>
      <c r="GF22" s="76">
        <f t="shared" si="27"/>
        <v>212</v>
      </c>
      <c r="GG22" s="76">
        <f t="shared" si="28"/>
        <v>408</v>
      </c>
      <c r="GH22" s="76">
        <f t="shared" si="29"/>
        <v>246</v>
      </c>
      <c r="GI22" s="76">
        <f t="shared" si="30"/>
        <v>439</v>
      </c>
      <c r="GJ22" s="76">
        <f t="shared" si="31"/>
        <v>439</v>
      </c>
      <c r="GK22" s="76">
        <f t="shared" si="32"/>
        <v>675</v>
      </c>
      <c r="GL22" s="76">
        <f t="shared" si="33"/>
        <v>438</v>
      </c>
      <c r="GM22" s="76">
        <f t="shared" si="34"/>
        <v>672</v>
      </c>
      <c r="GN22" s="76">
        <f t="shared" si="35"/>
        <v>881</v>
      </c>
      <c r="GO22" s="76">
        <f t="shared" si="36"/>
        <v>1124</v>
      </c>
      <c r="GP22" s="76">
        <f t="shared" si="37"/>
        <v>687</v>
      </c>
      <c r="GQ22" s="76">
        <f t="shared" si="38"/>
        <v>717</v>
      </c>
      <c r="GR22" s="76">
        <f t="shared" si="39"/>
        <v>777</v>
      </c>
      <c r="GS22" s="76">
        <f t="shared" si="40"/>
        <v>447</v>
      </c>
      <c r="GT22" s="76">
        <f t="shared" si="41"/>
        <v>96</v>
      </c>
      <c r="GU22" s="76">
        <f t="shared" si="42"/>
        <v>309</v>
      </c>
      <c r="GV22" s="76">
        <f t="shared" si="43"/>
        <v>385</v>
      </c>
      <c r="GW22" s="76">
        <f t="shared" si="44"/>
        <v>494</v>
      </c>
      <c r="GX22" s="76">
        <f t="shared" si="45"/>
        <v>693</v>
      </c>
      <c r="GY22" s="76">
        <f t="shared" si="46"/>
        <v>1029</v>
      </c>
      <c r="GZ22" s="76">
        <f t="shared" si="47"/>
        <v>1081</v>
      </c>
      <c r="HA22" s="76">
        <f t="shared" si="48"/>
        <v>971</v>
      </c>
      <c r="HB22" s="76">
        <f t="shared" si="49"/>
        <v>752</v>
      </c>
      <c r="HC22" s="76">
        <f t="shared" si="50"/>
        <v>931</v>
      </c>
      <c r="HD22" s="76">
        <f t="shared" si="51"/>
        <v>1078</v>
      </c>
      <c r="HE22" s="76">
        <f t="shared" si="52"/>
        <v>1267</v>
      </c>
      <c r="HF22" s="76">
        <f t="shared" si="53"/>
        <v>1118</v>
      </c>
      <c r="HG22" s="76">
        <f t="shared" si="54"/>
        <v>961</v>
      </c>
      <c r="HH22" s="76">
        <f t="shared" si="55"/>
        <v>1113</v>
      </c>
      <c r="HI22" s="76">
        <f t="shared" si="56"/>
        <v>1399</v>
      </c>
      <c r="HJ22" s="76">
        <f t="shared" si="78"/>
        <v>1067</v>
      </c>
      <c r="HK22" s="76">
        <f t="shared" si="57"/>
        <v>945</v>
      </c>
      <c r="HL22" s="76">
        <f t="shared" si="58"/>
        <v>1315</v>
      </c>
      <c r="HM22" s="76">
        <f t="shared" si="59"/>
        <v>1134</v>
      </c>
      <c r="HN22" s="76">
        <f t="shared" si="60"/>
        <v>1412</v>
      </c>
      <c r="HO22" s="76">
        <f t="shared" si="61"/>
        <v>790</v>
      </c>
      <c r="HP22" s="76">
        <f t="shared" si="62"/>
        <v>1451</v>
      </c>
      <c r="HQ22" s="77"/>
      <c r="HR22" s="43"/>
      <c r="HS22" s="43"/>
      <c r="HT22" s="43"/>
      <c r="HU22" s="78">
        <f t="shared" si="63"/>
        <v>0</v>
      </c>
      <c r="HV22" s="78">
        <f t="shared" si="64"/>
        <v>0</v>
      </c>
      <c r="HW22" s="78">
        <f t="shared" si="65"/>
        <v>1352</v>
      </c>
      <c r="HX22" s="79">
        <f t="shared" si="66"/>
        <v>1419</v>
      </c>
      <c r="HY22" s="80">
        <f t="shared" si="67"/>
        <v>1292</v>
      </c>
      <c r="HZ22" s="80">
        <f t="shared" si="68"/>
        <v>1799</v>
      </c>
      <c r="IA22" s="80">
        <f t="shared" si="69"/>
        <v>3115</v>
      </c>
      <c r="IB22" s="80">
        <f t="shared" si="70"/>
        <v>2628</v>
      </c>
      <c r="IC22" s="80">
        <f t="shared" si="71"/>
        <v>1284</v>
      </c>
      <c r="ID22" s="80">
        <f t="shared" si="72"/>
        <v>3774</v>
      </c>
      <c r="IE22" s="80">
        <f t="shared" si="73"/>
        <v>4028</v>
      </c>
      <c r="IF22" s="80">
        <f t="shared" si="74"/>
        <v>4591</v>
      </c>
      <c r="IG22" s="80">
        <f t="shared" si="75"/>
        <v>4461</v>
      </c>
    </row>
    <row r="23" spans="1:241" outlineLevel="2" x14ac:dyDescent="0.3">
      <c r="A23" s="63" t="s">
        <v>119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>
        <v>27467</v>
      </c>
      <c r="AA23" s="58">
        <v>26774</v>
      </c>
      <c r="AB23" s="58">
        <v>22561</v>
      </c>
      <c r="AC23" s="58">
        <v>31552</v>
      </c>
      <c r="AD23" s="58">
        <v>33157</v>
      </c>
      <c r="AE23" s="58">
        <v>35687</v>
      </c>
      <c r="AF23" s="58">
        <v>33447</v>
      </c>
      <c r="AG23" s="58">
        <v>29088</v>
      </c>
      <c r="AH23" s="58">
        <v>29088</v>
      </c>
      <c r="AI23" s="58">
        <v>27786</v>
      </c>
      <c r="AJ23" s="58">
        <v>25774</v>
      </c>
      <c r="AK23" s="58">
        <v>25241</v>
      </c>
      <c r="AL23" s="58">
        <v>22017</v>
      </c>
      <c r="AM23" s="58">
        <v>26455</v>
      </c>
      <c r="AN23" s="58">
        <v>29208</v>
      </c>
      <c r="AO23" s="58">
        <v>31434</v>
      </c>
      <c r="AP23" s="58">
        <v>29036</v>
      </c>
      <c r="AQ23" s="58">
        <v>33620</v>
      </c>
      <c r="AR23" s="58">
        <v>35998</v>
      </c>
      <c r="AS23" s="58">
        <v>19839</v>
      </c>
      <c r="AT23" s="58">
        <v>17569</v>
      </c>
      <c r="AU23" s="58">
        <v>30003</v>
      </c>
      <c r="AV23" s="58">
        <v>28276</v>
      </c>
      <c r="AW23" s="58">
        <v>29503</v>
      </c>
      <c r="AX23" s="58">
        <v>30011</v>
      </c>
      <c r="AY23" s="58">
        <v>29596</v>
      </c>
      <c r="AZ23" s="58">
        <v>31108</v>
      </c>
      <c r="BA23" s="58">
        <v>28110</v>
      </c>
      <c r="BB23" s="58">
        <v>28880</v>
      </c>
      <c r="BC23" s="58">
        <v>37475</v>
      </c>
      <c r="BD23" s="58">
        <v>35769</v>
      </c>
      <c r="BE23" s="58">
        <v>20539</v>
      </c>
      <c r="BF23" s="58">
        <v>23806</v>
      </c>
      <c r="BG23" s="58">
        <v>24314</v>
      </c>
      <c r="BH23" s="58">
        <v>27641</v>
      </c>
      <c r="BI23" s="58">
        <v>31425</v>
      </c>
      <c r="BJ23" s="58">
        <v>28506</v>
      </c>
      <c r="BK23" s="58">
        <v>32886</v>
      </c>
      <c r="BL23" s="58">
        <v>27860</v>
      </c>
      <c r="BM23" s="58">
        <v>32915</v>
      </c>
      <c r="BN23" s="58">
        <v>34793</v>
      </c>
      <c r="BO23" s="58">
        <v>41985</v>
      </c>
      <c r="BP23" s="58">
        <v>40355</v>
      </c>
      <c r="BQ23" s="58">
        <v>24009</v>
      </c>
      <c r="BR23" s="58">
        <v>20072</v>
      </c>
      <c r="BS23" s="58">
        <v>27612</v>
      </c>
      <c r="BT23" s="58">
        <v>31974</v>
      </c>
      <c r="BU23" s="58">
        <v>34524</v>
      </c>
      <c r="BV23" s="58">
        <v>37276</v>
      </c>
      <c r="BW23" s="58">
        <v>38198</v>
      </c>
      <c r="BX23" s="58">
        <v>36721</v>
      </c>
      <c r="BY23" s="58">
        <v>35403</v>
      </c>
      <c r="BZ23" s="58">
        <v>36232</v>
      </c>
      <c r="CA23" s="58">
        <v>43172</v>
      </c>
      <c r="CB23" s="58">
        <v>47955</v>
      </c>
      <c r="CC23" s="58">
        <v>30721</v>
      </c>
      <c r="CD23" s="58">
        <v>20975</v>
      </c>
      <c r="CE23" s="58">
        <v>33756</v>
      </c>
      <c r="CF23" s="58">
        <v>36746</v>
      </c>
      <c r="CG23" s="58">
        <v>42648</v>
      </c>
      <c r="CH23" s="58">
        <v>33964</v>
      </c>
      <c r="CI23" s="58">
        <v>29447</v>
      </c>
      <c r="CJ23" s="58">
        <v>26380</v>
      </c>
      <c r="CK23" s="58">
        <v>24122</v>
      </c>
      <c r="CL23" s="58">
        <v>26566</v>
      </c>
      <c r="CM23" s="58">
        <v>28995</v>
      </c>
      <c r="CN23" s="58">
        <v>24387</v>
      </c>
      <c r="CO23" s="58">
        <v>23586</v>
      </c>
      <c r="CP23" s="58">
        <v>16393</v>
      </c>
      <c r="CQ23" s="58">
        <v>21898</v>
      </c>
      <c r="CR23" s="58">
        <v>20860</v>
      </c>
      <c r="CS23" s="64">
        <v>16633</v>
      </c>
      <c r="CT23" s="64"/>
      <c r="CU23" s="64">
        <v>4665</v>
      </c>
      <c r="CV23" s="64">
        <v>14591</v>
      </c>
      <c r="CW23" s="64">
        <v>26373</v>
      </c>
      <c r="CX23" s="64">
        <v>29217</v>
      </c>
      <c r="CY23" s="64">
        <v>29872</v>
      </c>
      <c r="CZ23" s="64">
        <v>31068</v>
      </c>
      <c r="DA23" s="64">
        <v>26978</v>
      </c>
      <c r="DB23" s="64">
        <v>24354</v>
      </c>
      <c r="DC23" s="64">
        <v>36231</v>
      </c>
      <c r="DD23" s="64">
        <v>31448</v>
      </c>
      <c r="DE23" s="64">
        <v>30245</v>
      </c>
      <c r="DF23" s="64">
        <v>24194</v>
      </c>
      <c r="DG23" s="64">
        <v>6624</v>
      </c>
      <c r="DH23" s="64">
        <v>20294</v>
      </c>
      <c r="DI23" s="64">
        <v>31493</v>
      </c>
      <c r="DJ23" s="64">
        <v>19941</v>
      </c>
      <c r="DK23" s="64">
        <v>20418</v>
      </c>
      <c r="DL23" s="64">
        <v>30485</v>
      </c>
      <c r="DM23" s="64">
        <v>18757</v>
      </c>
      <c r="DN23" s="64">
        <v>30500</v>
      </c>
      <c r="DO23" s="64">
        <v>22895</v>
      </c>
      <c r="DP23" s="64">
        <v>20046</v>
      </c>
      <c r="DQ23" s="64">
        <v>29284</v>
      </c>
      <c r="DR23" s="64">
        <v>34294</v>
      </c>
      <c r="DS23" s="64">
        <v>30478</v>
      </c>
      <c r="DT23" s="64">
        <v>36093</v>
      </c>
      <c r="DU23" s="64">
        <v>37250</v>
      </c>
      <c r="DV23" s="64">
        <v>39385</v>
      </c>
      <c r="DW23" s="64">
        <v>38448</v>
      </c>
      <c r="DX23" s="64">
        <v>39507</v>
      </c>
      <c r="DY23" s="64">
        <v>22206</v>
      </c>
      <c r="DZ23" s="64">
        <v>16178</v>
      </c>
      <c r="EA23" s="64">
        <v>30505</v>
      </c>
      <c r="EB23" s="64">
        <v>31211</v>
      </c>
      <c r="EC23" s="64">
        <v>32874</v>
      </c>
      <c r="ED23" s="64">
        <v>36694</v>
      </c>
      <c r="EE23" s="64">
        <v>35355</v>
      </c>
      <c r="EF23" s="64">
        <v>35554</v>
      </c>
      <c r="EG23" s="64">
        <v>33161</v>
      </c>
      <c r="EH23" s="64">
        <v>31020</v>
      </c>
      <c r="EI23" s="64">
        <v>34694</v>
      </c>
      <c r="EJ23" s="64">
        <v>39700</v>
      </c>
      <c r="EK23" s="64">
        <v>36643</v>
      </c>
      <c r="EL23" s="64">
        <v>24518</v>
      </c>
      <c r="EM23" s="64">
        <v>39508</v>
      </c>
      <c r="EN23" s="64">
        <v>35764</v>
      </c>
      <c r="EO23" s="64">
        <v>36982</v>
      </c>
      <c r="EP23" s="64">
        <v>38317</v>
      </c>
      <c r="EQ23" s="64">
        <v>39427</v>
      </c>
      <c r="ER23" s="64">
        <v>32440</v>
      </c>
      <c r="ES23" s="64">
        <v>29548</v>
      </c>
      <c r="ET23" s="64">
        <v>30841</v>
      </c>
      <c r="EU23" s="64">
        <v>36530</v>
      </c>
      <c r="EV23" s="64">
        <v>42743</v>
      </c>
      <c r="EW23" s="64">
        <v>31413</v>
      </c>
      <c r="EX23" s="64">
        <v>18055</v>
      </c>
      <c r="EY23" s="64">
        <v>30305</v>
      </c>
      <c r="EZ23" s="64">
        <v>26290</v>
      </c>
      <c r="FA23" s="64">
        <v>27338</v>
      </c>
      <c r="FB23" s="64">
        <v>25481</v>
      </c>
      <c r="FC23" s="64">
        <v>26052</v>
      </c>
      <c r="FD23" s="64">
        <v>22275</v>
      </c>
      <c r="FE23" s="64">
        <v>26255</v>
      </c>
      <c r="FF23" s="64">
        <v>32469</v>
      </c>
      <c r="FG23" s="64">
        <v>37171</v>
      </c>
      <c r="FH23" s="64">
        <v>37396</v>
      </c>
      <c r="FI23" s="64">
        <v>30913</v>
      </c>
      <c r="FJ23" s="64">
        <v>35100</v>
      </c>
      <c r="FK23" s="43"/>
      <c r="FL23" s="43"/>
      <c r="FM23" s="43"/>
      <c r="FN23" s="66">
        <f t="shared" si="76"/>
        <v>0</v>
      </c>
      <c r="FO23" s="67">
        <f t="shared" si="77"/>
        <v>0</v>
      </c>
      <c r="FP23" s="67">
        <f t="shared" si="11"/>
        <v>0</v>
      </c>
      <c r="FQ23" s="67">
        <f t="shared" si="12"/>
        <v>0</v>
      </c>
      <c r="FR23" s="67">
        <f t="shared" si="13"/>
        <v>0</v>
      </c>
      <c r="FS23" s="67">
        <f t="shared" si="14"/>
        <v>0</v>
      </c>
      <c r="FT23" s="67">
        <f t="shared" si="15"/>
        <v>0</v>
      </c>
      <c r="FU23" s="67">
        <f t="shared" si="16"/>
        <v>0</v>
      </c>
      <c r="FV23" s="67">
        <f t="shared" si="17"/>
        <v>76802</v>
      </c>
      <c r="FW23" s="67">
        <f t="shared" si="18"/>
        <v>100396</v>
      </c>
      <c r="FX23" s="67">
        <f t="shared" si="19"/>
        <v>91623</v>
      </c>
      <c r="FY23" s="67">
        <f t="shared" si="20"/>
        <v>78801</v>
      </c>
      <c r="FZ23" s="67">
        <f t="shared" si="21"/>
        <v>77680</v>
      </c>
      <c r="GA23" s="67">
        <f t="shared" si="22"/>
        <v>94090</v>
      </c>
      <c r="GB23" s="67">
        <f t="shared" si="23"/>
        <v>73406</v>
      </c>
      <c r="GC23" s="67">
        <f t="shared" si="24"/>
        <v>87782</v>
      </c>
      <c r="GD23" s="67">
        <f t="shared" si="25"/>
        <v>90715</v>
      </c>
      <c r="GE23" s="67">
        <f t="shared" si="26"/>
        <v>94465</v>
      </c>
      <c r="GF23" s="67">
        <f t="shared" si="27"/>
        <v>80114</v>
      </c>
      <c r="GG23" s="67">
        <f t="shared" si="28"/>
        <v>83380</v>
      </c>
      <c r="GH23" s="67">
        <f t="shared" si="29"/>
        <v>89252</v>
      </c>
      <c r="GI23" s="67">
        <f t="shared" si="30"/>
        <v>109693</v>
      </c>
      <c r="GJ23" s="67">
        <f t="shared" si="31"/>
        <v>84436</v>
      </c>
      <c r="GK23" s="67">
        <f t="shared" si="32"/>
        <v>94110</v>
      </c>
      <c r="GL23" s="67">
        <f t="shared" si="33"/>
        <v>112195</v>
      </c>
      <c r="GM23" s="67">
        <f t="shared" si="34"/>
        <v>114807</v>
      </c>
      <c r="GN23" s="67">
        <f t="shared" si="35"/>
        <v>99651</v>
      </c>
      <c r="GO23" s="67">
        <f t="shared" si="36"/>
        <v>113150</v>
      </c>
      <c r="GP23" s="67">
        <f t="shared" si="37"/>
        <v>89791</v>
      </c>
      <c r="GQ23" s="67">
        <f t="shared" si="38"/>
        <v>79683</v>
      </c>
      <c r="GR23" s="67">
        <f t="shared" si="39"/>
        <v>64366</v>
      </c>
      <c r="GS23" s="67">
        <f t="shared" si="40"/>
        <v>59391</v>
      </c>
      <c r="GT23" s="67">
        <f t="shared" si="41"/>
        <v>19256</v>
      </c>
      <c r="GU23" s="67">
        <f t="shared" si="42"/>
        <v>85462</v>
      </c>
      <c r="GV23" s="67">
        <f t="shared" si="43"/>
        <v>82400</v>
      </c>
      <c r="GW23" s="67">
        <f t="shared" si="44"/>
        <v>97924</v>
      </c>
      <c r="GX23" s="67">
        <f t="shared" si="45"/>
        <v>51112</v>
      </c>
      <c r="GY23" s="67">
        <f t="shared" si="46"/>
        <v>71852</v>
      </c>
      <c r="GZ23" s="67">
        <f t="shared" si="47"/>
        <v>79742</v>
      </c>
      <c r="HA23" s="67">
        <f t="shared" si="48"/>
        <v>72225</v>
      </c>
      <c r="HB23" s="67">
        <f t="shared" si="49"/>
        <v>100865</v>
      </c>
      <c r="HC23" s="67">
        <f t="shared" si="50"/>
        <v>115083</v>
      </c>
      <c r="HD23" s="67">
        <f t="shared" si="51"/>
        <v>77891</v>
      </c>
      <c r="HE23" s="67">
        <f t="shared" si="52"/>
        <v>94590</v>
      </c>
      <c r="HF23" s="67">
        <f t="shared" si="53"/>
        <v>107603</v>
      </c>
      <c r="HG23" s="67">
        <f t="shared" si="54"/>
        <v>98875</v>
      </c>
      <c r="HH23" s="67">
        <f t="shared" si="55"/>
        <v>100861</v>
      </c>
      <c r="HI23" s="67">
        <f t="shared" si="56"/>
        <v>112254</v>
      </c>
      <c r="HJ23" s="67">
        <f t="shared" si="78"/>
        <v>110184</v>
      </c>
      <c r="HK23" s="67">
        <f t="shared" si="57"/>
        <v>96919</v>
      </c>
      <c r="HL23" s="67">
        <f t="shared" si="58"/>
        <v>92211</v>
      </c>
      <c r="HM23" s="67">
        <f t="shared" si="59"/>
        <v>83933</v>
      </c>
      <c r="HN23" s="67">
        <f t="shared" si="60"/>
        <v>73808</v>
      </c>
      <c r="HO23" s="67">
        <f t="shared" si="61"/>
        <v>95895</v>
      </c>
      <c r="HP23" s="67">
        <f t="shared" si="62"/>
        <v>103409</v>
      </c>
      <c r="HQ23" s="60"/>
      <c r="HR23" s="43"/>
      <c r="HS23" s="43"/>
      <c r="HT23" s="43"/>
      <c r="HU23" s="68">
        <f t="shared" si="63"/>
        <v>0</v>
      </c>
      <c r="HV23" s="68">
        <f t="shared" si="64"/>
        <v>0</v>
      </c>
      <c r="HW23" s="68">
        <f t="shared" si="65"/>
        <v>347622</v>
      </c>
      <c r="HX23" s="69">
        <f t="shared" si="66"/>
        <v>332958</v>
      </c>
      <c r="HY23" s="70">
        <f t="shared" si="67"/>
        <v>348674</v>
      </c>
      <c r="HZ23" s="70">
        <f t="shared" si="68"/>
        <v>377491</v>
      </c>
      <c r="IA23" s="70">
        <f t="shared" si="69"/>
        <v>439803</v>
      </c>
      <c r="IB23" s="70">
        <f t="shared" si="70"/>
        <v>293231</v>
      </c>
      <c r="IC23" s="70">
        <f t="shared" si="71"/>
        <v>285042</v>
      </c>
      <c r="ID23" s="70">
        <f t="shared" si="72"/>
        <v>274931</v>
      </c>
      <c r="IE23" s="70">
        <f t="shared" si="73"/>
        <v>388429</v>
      </c>
      <c r="IF23" s="70">
        <f t="shared" si="74"/>
        <v>419593</v>
      </c>
      <c r="IG23" s="70">
        <f t="shared" si="75"/>
        <v>383247</v>
      </c>
    </row>
    <row r="24" spans="1:241" outlineLevel="2" x14ac:dyDescent="0.3">
      <c r="A24" s="71" t="s">
        <v>120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>
        <v>12089</v>
      </c>
      <c r="AA24" s="72">
        <v>13408</v>
      </c>
      <c r="AB24" s="72">
        <v>12307</v>
      </c>
      <c r="AC24" s="72">
        <v>10530</v>
      </c>
      <c r="AD24" s="72">
        <v>9422</v>
      </c>
      <c r="AE24" s="72">
        <v>13576</v>
      </c>
      <c r="AF24" s="72">
        <v>15551</v>
      </c>
      <c r="AG24" s="72">
        <v>8911</v>
      </c>
      <c r="AH24" s="72">
        <v>8699</v>
      </c>
      <c r="AI24" s="72">
        <v>6351</v>
      </c>
      <c r="AJ24" s="72">
        <v>3076</v>
      </c>
      <c r="AK24" s="72">
        <v>5075</v>
      </c>
      <c r="AL24" s="72">
        <v>5406</v>
      </c>
      <c r="AM24" s="72">
        <v>4625</v>
      </c>
      <c r="AN24" s="72">
        <v>3437</v>
      </c>
      <c r="AO24" s="72">
        <v>3719</v>
      </c>
      <c r="AP24" s="72">
        <v>5265</v>
      </c>
      <c r="AQ24" s="72">
        <v>6854</v>
      </c>
      <c r="AR24" s="72">
        <v>8839</v>
      </c>
      <c r="AS24" s="72">
        <v>9117</v>
      </c>
      <c r="AT24" s="72">
        <v>4902</v>
      </c>
      <c r="AU24" s="72">
        <v>3033</v>
      </c>
      <c r="AV24" s="72">
        <v>2483</v>
      </c>
      <c r="AW24" s="72">
        <v>2611</v>
      </c>
      <c r="AX24" s="72">
        <v>2288</v>
      </c>
      <c r="AY24" s="72">
        <v>1654</v>
      </c>
      <c r="AZ24" s="72">
        <v>1917</v>
      </c>
      <c r="BA24" s="72">
        <v>1995</v>
      </c>
      <c r="BB24" s="72">
        <v>1040</v>
      </c>
      <c r="BC24" s="72">
        <v>1140</v>
      </c>
      <c r="BD24" s="72">
        <v>2181</v>
      </c>
      <c r="BE24" s="72">
        <v>324</v>
      </c>
      <c r="BF24" s="72">
        <v>464</v>
      </c>
      <c r="BG24" s="72">
        <v>699</v>
      </c>
      <c r="BH24" s="72">
        <v>522</v>
      </c>
      <c r="BI24" s="72">
        <v>382</v>
      </c>
      <c r="BJ24" s="72">
        <v>90</v>
      </c>
      <c r="BK24" s="72">
        <v>705</v>
      </c>
      <c r="BL24" s="72">
        <v>142</v>
      </c>
      <c r="BM24" s="72">
        <v>692</v>
      </c>
      <c r="BN24" s="72">
        <v>407</v>
      </c>
      <c r="BO24" s="72">
        <v>623</v>
      </c>
      <c r="BP24" s="72">
        <v>757</v>
      </c>
      <c r="BQ24" s="72">
        <v>73</v>
      </c>
      <c r="BR24" s="72">
        <v>157</v>
      </c>
      <c r="BS24" s="72">
        <v>247</v>
      </c>
      <c r="BT24" s="72">
        <v>125</v>
      </c>
      <c r="BU24" s="72">
        <v>196</v>
      </c>
      <c r="BV24" s="72">
        <v>132</v>
      </c>
      <c r="BW24" s="72">
        <v>165</v>
      </c>
      <c r="BX24" s="72">
        <v>132</v>
      </c>
      <c r="BY24" s="72">
        <v>105</v>
      </c>
      <c r="BZ24" s="72">
        <v>117</v>
      </c>
      <c r="CA24" s="72">
        <v>129</v>
      </c>
      <c r="CB24" s="72">
        <v>181</v>
      </c>
      <c r="CC24" s="72">
        <v>35</v>
      </c>
      <c r="CD24" s="72">
        <v>45</v>
      </c>
      <c r="CE24" s="72">
        <v>85</v>
      </c>
      <c r="CF24" s="72">
        <v>162</v>
      </c>
      <c r="CG24" s="72">
        <v>277</v>
      </c>
      <c r="CH24" s="72">
        <v>0</v>
      </c>
      <c r="CI24" s="72">
        <v>1</v>
      </c>
      <c r="CJ24" s="72">
        <v>1</v>
      </c>
      <c r="CK24" s="72">
        <v>1</v>
      </c>
      <c r="CL24" s="72">
        <v>25</v>
      </c>
      <c r="CM24" s="72">
        <v>11</v>
      </c>
      <c r="CN24" s="72">
        <v>40</v>
      </c>
      <c r="CO24" s="72">
        <v>1</v>
      </c>
      <c r="CP24" s="72">
        <v>54</v>
      </c>
      <c r="CQ24" s="72">
        <v>23</v>
      </c>
      <c r="CR24" s="72">
        <v>86</v>
      </c>
      <c r="CS24" s="74">
        <v>7</v>
      </c>
      <c r="CT24" s="74"/>
      <c r="CU24" s="74">
        <v>0</v>
      </c>
      <c r="CV24" s="74">
        <v>0</v>
      </c>
      <c r="CW24" s="74">
        <v>-1</v>
      </c>
      <c r="CX24" s="74">
        <v>32</v>
      </c>
      <c r="CY24" s="74">
        <v>37</v>
      </c>
      <c r="CZ24" s="74">
        <v>77</v>
      </c>
      <c r="DA24" s="74">
        <v>34</v>
      </c>
      <c r="DB24" s="74">
        <v>20</v>
      </c>
      <c r="DC24" s="74">
        <v>26</v>
      </c>
      <c r="DD24" s="74">
        <v>17</v>
      </c>
      <c r="DE24" s="74">
        <v>32</v>
      </c>
      <c r="DF24" s="74"/>
      <c r="DG24" s="74"/>
      <c r="DH24" s="74">
        <v>0</v>
      </c>
      <c r="DI24" s="74">
        <v>0</v>
      </c>
      <c r="DJ24" s="74">
        <v>3</v>
      </c>
      <c r="DK24" s="74">
        <v>0</v>
      </c>
      <c r="DL24" s="74">
        <v>0</v>
      </c>
      <c r="DM24" s="74">
        <v>0</v>
      </c>
      <c r="DN24" s="74">
        <v>0</v>
      </c>
      <c r="DO24" s="74">
        <v>0</v>
      </c>
      <c r="DP24" s="74">
        <v>0</v>
      </c>
      <c r="DQ24" s="74">
        <v>0</v>
      </c>
      <c r="DR24" s="74">
        <v>14</v>
      </c>
      <c r="DS24" s="74">
        <v>34</v>
      </c>
      <c r="DT24" s="74">
        <v>0</v>
      </c>
      <c r="DU24" s="74">
        <v>12</v>
      </c>
      <c r="DV24" s="74">
        <v>23</v>
      </c>
      <c r="DW24" s="74">
        <v>12</v>
      </c>
      <c r="DX24" s="74">
        <v>0</v>
      </c>
      <c r="DY24" s="74">
        <v>1</v>
      </c>
      <c r="DZ24" s="74">
        <v>0</v>
      </c>
      <c r="EA24" s="74">
        <v>0</v>
      </c>
      <c r="EB24" s="74">
        <v>0</v>
      </c>
      <c r="EC24" s="74">
        <v>0</v>
      </c>
      <c r="ED24" s="74">
        <v>0</v>
      </c>
      <c r="EE24" s="74"/>
      <c r="EF24" s="74"/>
      <c r="EG24" s="74"/>
      <c r="EH24" s="74"/>
      <c r="EI24" s="74"/>
      <c r="EJ24" s="74"/>
      <c r="EK24" s="74"/>
      <c r="EL24" s="74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  <c r="FC24" s="74"/>
      <c r="FD24" s="74"/>
      <c r="FE24" s="74"/>
      <c r="FF24" s="74"/>
      <c r="FG24" s="74"/>
      <c r="FH24" s="74"/>
      <c r="FI24" s="74"/>
      <c r="FJ24" s="74"/>
      <c r="FK24" s="43"/>
      <c r="FL24" s="43"/>
      <c r="FM24" s="43"/>
      <c r="FN24" s="75">
        <f t="shared" si="76"/>
        <v>0</v>
      </c>
      <c r="FO24" s="76">
        <f t="shared" si="77"/>
        <v>0</v>
      </c>
      <c r="FP24" s="76">
        <f t="shared" si="11"/>
        <v>0</v>
      </c>
      <c r="FQ24" s="76">
        <f t="shared" si="12"/>
        <v>0</v>
      </c>
      <c r="FR24" s="76">
        <f t="shared" si="13"/>
        <v>0</v>
      </c>
      <c r="FS24" s="76">
        <f t="shared" si="14"/>
        <v>0</v>
      </c>
      <c r="FT24" s="76">
        <f t="shared" si="15"/>
        <v>0</v>
      </c>
      <c r="FU24" s="76">
        <f t="shared" si="16"/>
        <v>0</v>
      </c>
      <c r="FV24" s="76">
        <f t="shared" si="17"/>
        <v>37804</v>
      </c>
      <c r="FW24" s="76">
        <f t="shared" si="18"/>
        <v>33528</v>
      </c>
      <c r="FX24" s="76">
        <f t="shared" si="19"/>
        <v>33161</v>
      </c>
      <c r="FY24" s="76">
        <f t="shared" si="20"/>
        <v>14502</v>
      </c>
      <c r="FZ24" s="76">
        <f t="shared" si="21"/>
        <v>13468</v>
      </c>
      <c r="GA24" s="76">
        <f t="shared" si="22"/>
        <v>15838</v>
      </c>
      <c r="GB24" s="76">
        <f t="shared" si="23"/>
        <v>22858</v>
      </c>
      <c r="GC24" s="76">
        <f t="shared" si="24"/>
        <v>8127</v>
      </c>
      <c r="GD24" s="76">
        <f t="shared" si="25"/>
        <v>5859</v>
      </c>
      <c r="GE24" s="76">
        <f t="shared" si="26"/>
        <v>4175</v>
      </c>
      <c r="GF24" s="76">
        <f t="shared" si="27"/>
        <v>2969</v>
      </c>
      <c r="GG24" s="76">
        <f t="shared" si="28"/>
        <v>1603</v>
      </c>
      <c r="GH24" s="76">
        <f t="shared" si="29"/>
        <v>937</v>
      </c>
      <c r="GI24" s="76">
        <f t="shared" si="30"/>
        <v>1722</v>
      </c>
      <c r="GJ24" s="76">
        <f t="shared" si="31"/>
        <v>987</v>
      </c>
      <c r="GK24" s="76">
        <f t="shared" si="32"/>
        <v>568</v>
      </c>
      <c r="GL24" s="76">
        <f t="shared" si="33"/>
        <v>429</v>
      </c>
      <c r="GM24" s="76">
        <f t="shared" si="34"/>
        <v>351</v>
      </c>
      <c r="GN24" s="76">
        <f t="shared" si="35"/>
        <v>261</v>
      </c>
      <c r="GO24" s="76">
        <f t="shared" si="36"/>
        <v>524</v>
      </c>
      <c r="GP24" s="76">
        <f t="shared" si="37"/>
        <v>2</v>
      </c>
      <c r="GQ24" s="76">
        <f t="shared" si="38"/>
        <v>37</v>
      </c>
      <c r="GR24" s="76">
        <f t="shared" si="39"/>
        <v>95</v>
      </c>
      <c r="GS24" s="76">
        <f t="shared" si="40"/>
        <v>116</v>
      </c>
      <c r="GT24" s="76">
        <f t="shared" si="41"/>
        <v>0</v>
      </c>
      <c r="GU24" s="76">
        <f t="shared" si="42"/>
        <v>68</v>
      </c>
      <c r="GV24" s="76">
        <f t="shared" si="43"/>
        <v>131</v>
      </c>
      <c r="GW24" s="76">
        <f t="shared" si="44"/>
        <v>75</v>
      </c>
      <c r="GX24" s="76">
        <f t="shared" si="45"/>
        <v>0</v>
      </c>
      <c r="GY24" s="76">
        <f t="shared" si="46"/>
        <v>3</v>
      </c>
      <c r="GZ24" s="76">
        <f t="shared" si="47"/>
        <v>0</v>
      </c>
      <c r="HA24" s="76">
        <f t="shared" si="48"/>
        <v>0</v>
      </c>
      <c r="HB24" s="76">
        <f t="shared" si="49"/>
        <v>48</v>
      </c>
      <c r="HC24" s="76">
        <f t="shared" si="50"/>
        <v>47</v>
      </c>
      <c r="HD24" s="76">
        <f t="shared" si="51"/>
        <v>1</v>
      </c>
      <c r="HE24" s="76">
        <f t="shared" si="52"/>
        <v>0</v>
      </c>
      <c r="HF24" s="76">
        <f t="shared" si="53"/>
        <v>0</v>
      </c>
      <c r="HG24" s="76">
        <f t="shared" si="54"/>
        <v>0</v>
      </c>
      <c r="HH24" s="76">
        <f t="shared" si="55"/>
        <v>0</v>
      </c>
      <c r="HI24" s="76">
        <f t="shared" si="56"/>
        <v>0</v>
      </c>
      <c r="HJ24" s="76">
        <f t="shared" si="78"/>
        <v>0</v>
      </c>
      <c r="HK24" s="76">
        <f t="shared" si="57"/>
        <v>0</v>
      </c>
      <c r="HL24" s="76">
        <f t="shared" si="58"/>
        <v>0</v>
      </c>
      <c r="HM24" s="76">
        <f t="shared" si="59"/>
        <v>0</v>
      </c>
      <c r="HN24" s="76">
        <f t="shared" si="60"/>
        <v>0</v>
      </c>
      <c r="HO24" s="76">
        <f t="shared" si="61"/>
        <v>0</v>
      </c>
      <c r="HP24" s="76">
        <f t="shared" si="62"/>
        <v>0</v>
      </c>
      <c r="HQ24" s="77"/>
      <c r="HR24" s="43"/>
      <c r="HS24" s="43"/>
      <c r="HT24" s="43"/>
      <c r="HU24" s="78">
        <f t="shared" si="63"/>
        <v>0</v>
      </c>
      <c r="HV24" s="78">
        <f t="shared" si="64"/>
        <v>0</v>
      </c>
      <c r="HW24" s="78">
        <f t="shared" si="65"/>
        <v>118995</v>
      </c>
      <c r="HX24" s="79">
        <f t="shared" si="66"/>
        <v>60291</v>
      </c>
      <c r="HY24" s="80">
        <f t="shared" si="67"/>
        <v>14606</v>
      </c>
      <c r="HZ24" s="80">
        <f t="shared" si="68"/>
        <v>4214</v>
      </c>
      <c r="IA24" s="80">
        <f t="shared" si="69"/>
        <v>1565</v>
      </c>
      <c r="IB24" s="80">
        <f t="shared" si="70"/>
        <v>250</v>
      </c>
      <c r="IC24" s="80">
        <f t="shared" si="71"/>
        <v>274</v>
      </c>
      <c r="ID24" s="80">
        <f t="shared" si="72"/>
        <v>3</v>
      </c>
      <c r="IE24" s="80">
        <f t="shared" si="73"/>
        <v>96</v>
      </c>
      <c r="IF24" s="80">
        <f t="shared" si="74"/>
        <v>0</v>
      </c>
      <c r="IG24" s="80">
        <f t="shared" si="75"/>
        <v>0</v>
      </c>
    </row>
    <row r="25" spans="1:241" outlineLevel="2" x14ac:dyDescent="0.3">
      <c r="A25" s="71" t="s">
        <v>122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74"/>
      <c r="DI25" s="74"/>
      <c r="DJ25" s="74"/>
      <c r="DK25" s="74"/>
      <c r="DL25" s="74"/>
      <c r="DM25" s="74"/>
      <c r="DN25" s="74">
        <v>0</v>
      </c>
      <c r="DO25" s="74">
        <v>2</v>
      </c>
      <c r="DP25" s="74">
        <v>0</v>
      </c>
      <c r="DQ25" s="74">
        <v>2</v>
      </c>
      <c r="DR25" s="74"/>
      <c r="DS25" s="74"/>
      <c r="DT25" s="74"/>
      <c r="DU25" s="74"/>
      <c r="DV25" s="74"/>
      <c r="DW25" s="74">
        <v>1</v>
      </c>
      <c r="DX25" s="74">
        <v>7</v>
      </c>
      <c r="DY25" s="74">
        <v>0</v>
      </c>
      <c r="DZ25" s="74">
        <v>1</v>
      </c>
      <c r="EA25" s="74">
        <v>0</v>
      </c>
      <c r="EB25" s="74">
        <v>0</v>
      </c>
      <c r="EC25" s="74">
        <v>0</v>
      </c>
      <c r="ED25" s="74">
        <v>0</v>
      </c>
      <c r="EE25" s="74"/>
      <c r="EF25" s="74"/>
      <c r="EG25" s="74"/>
      <c r="EH25" s="74"/>
      <c r="EI25" s="74">
        <v>1</v>
      </c>
      <c r="EJ25" s="74">
        <v>-1</v>
      </c>
      <c r="EK25" s="74"/>
      <c r="EL25" s="74"/>
      <c r="EM25" s="74">
        <v>1</v>
      </c>
      <c r="EN25" s="74">
        <v>5</v>
      </c>
      <c r="EO25" s="74">
        <v>120</v>
      </c>
      <c r="EP25" s="74">
        <v>232</v>
      </c>
      <c r="EQ25" s="74">
        <v>190</v>
      </c>
      <c r="ER25" s="74">
        <v>509</v>
      </c>
      <c r="ES25" s="74">
        <v>452</v>
      </c>
      <c r="ET25" s="74">
        <v>414</v>
      </c>
      <c r="EU25" s="74">
        <v>274</v>
      </c>
      <c r="EV25" s="74">
        <v>347</v>
      </c>
      <c r="EW25" s="74">
        <v>190</v>
      </c>
      <c r="EX25" s="74">
        <v>277</v>
      </c>
      <c r="EY25" s="74">
        <v>204</v>
      </c>
      <c r="EZ25" s="74">
        <v>201</v>
      </c>
      <c r="FA25" s="74">
        <v>363</v>
      </c>
      <c r="FB25" s="74">
        <v>279</v>
      </c>
      <c r="FC25" s="74">
        <v>204</v>
      </c>
      <c r="FD25" s="74">
        <v>166</v>
      </c>
      <c r="FE25" s="74">
        <v>172</v>
      </c>
      <c r="FF25" s="74">
        <v>198</v>
      </c>
      <c r="FG25" s="74">
        <v>472</v>
      </c>
      <c r="FH25" s="74">
        <v>138</v>
      </c>
      <c r="FI25" s="74">
        <v>140</v>
      </c>
      <c r="FJ25" s="74">
        <v>271</v>
      </c>
      <c r="FK25" s="43"/>
      <c r="FL25" s="43"/>
      <c r="FM25" s="43"/>
      <c r="FN25" s="75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  <c r="HN25" s="76"/>
      <c r="HO25" s="76"/>
      <c r="HP25" s="76"/>
      <c r="HQ25" s="77"/>
      <c r="HR25" s="43"/>
      <c r="HS25" s="43"/>
      <c r="HT25" s="43"/>
      <c r="HU25" s="78"/>
      <c r="HV25" s="78"/>
      <c r="HW25" s="78"/>
      <c r="HX25" s="79"/>
      <c r="HY25" s="80"/>
      <c r="HZ25" s="80"/>
      <c r="IA25" s="80"/>
      <c r="IB25" s="80"/>
      <c r="IC25" s="80"/>
      <c r="ID25" s="80"/>
      <c r="IE25" s="80"/>
      <c r="IF25" s="80"/>
      <c r="IG25" s="80"/>
    </row>
    <row r="26" spans="1:241" outlineLevel="2" x14ac:dyDescent="0.3">
      <c r="A26" s="63" t="s">
        <v>129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>
        <v>23180</v>
      </c>
      <c r="AA26" s="58">
        <v>24510</v>
      </c>
      <c r="AB26" s="58">
        <v>24519</v>
      </c>
      <c r="AC26" s="58">
        <v>26796</v>
      </c>
      <c r="AD26" s="58">
        <v>26121</v>
      </c>
      <c r="AE26" s="58">
        <v>27540</v>
      </c>
      <c r="AF26" s="58">
        <v>25510</v>
      </c>
      <c r="AG26" s="58">
        <v>27198</v>
      </c>
      <c r="AH26" s="58">
        <v>28179</v>
      </c>
      <c r="AI26" s="58">
        <v>28157</v>
      </c>
      <c r="AJ26" s="58">
        <v>29491</v>
      </c>
      <c r="AK26" s="58">
        <v>32854</v>
      </c>
      <c r="AL26" s="58">
        <v>33118</v>
      </c>
      <c r="AM26" s="58">
        <v>34615</v>
      </c>
      <c r="AN26" s="58">
        <v>36597</v>
      </c>
      <c r="AO26" s="58">
        <v>39867</v>
      </c>
      <c r="AP26" s="58">
        <v>41600</v>
      </c>
      <c r="AQ26" s="58">
        <v>43741</v>
      </c>
      <c r="AR26" s="58">
        <v>44138</v>
      </c>
      <c r="AS26" s="58">
        <v>40312</v>
      </c>
      <c r="AT26" s="58">
        <v>40037</v>
      </c>
      <c r="AU26" s="58">
        <v>47140</v>
      </c>
      <c r="AV26" s="58">
        <v>47567</v>
      </c>
      <c r="AW26" s="58">
        <v>50059</v>
      </c>
      <c r="AX26" s="58">
        <v>47037</v>
      </c>
      <c r="AY26" s="58">
        <v>47232</v>
      </c>
      <c r="AZ26" s="58">
        <v>49060</v>
      </c>
      <c r="BA26" s="58">
        <v>52128</v>
      </c>
      <c r="BB26" s="58">
        <v>54735</v>
      </c>
      <c r="BC26" s="58">
        <v>56958</v>
      </c>
      <c r="BD26" s="58">
        <v>58379</v>
      </c>
      <c r="BE26" s="58">
        <v>55843</v>
      </c>
      <c r="BF26" s="58">
        <v>56316</v>
      </c>
      <c r="BG26" s="58">
        <v>58133</v>
      </c>
      <c r="BH26" s="58">
        <v>56737</v>
      </c>
      <c r="BI26" s="58">
        <v>58549</v>
      </c>
      <c r="BJ26" s="58">
        <v>58564</v>
      </c>
      <c r="BK26" s="58">
        <v>58647</v>
      </c>
      <c r="BL26" s="58">
        <v>61671</v>
      </c>
      <c r="BM26" s="58">
        <v>63157</v>
      </c>
      <c r="BN26" s="58">
        <v>66872</v>
      </c>
      <c r="BO26" s="58">
        <v>69393</v>
      </c>
      <c r="BP26" s="58">
        <v>68014</v>
      </c>
      <c r="BQ26" s="58">
        <v>67776</v>
      </c>
      <c r="BR26" s="58">
        <v>65367</v>
      </c>
      <c r="BS26" s="58">
        <v>76205</v>
      </c>
      <c r="BT26" s="58">
        <v>71354</v>
      </c>
      <c r="BU26" s="58">
        <v>74209</v>
      </c>
      <c r="BV26" s="58">
        <v>74627</v>
      </c>
      <c r="BW26" s="58">
        <v>72510</v>
      </c>
      <c r="BX26" s="58">
        <v>72588</v>
      </c>
      <c r="BY26" s="58">
        <v>67001</v>
      </c>
      <c r="BZ26" s="58">
        <v>68014</v>
      </c>
      <c r="CA26" s="58">
        <v>70065</v>
      </c>
      <c r="CB26" s="58">
        <v>70044</v>
      </c>
      <c r="CC26" s="58">
        <v>65026</v>
      </c>
      <c r="CD26" s="58">
        <v>56026</v>
      </c>
      <c r="CE26" s="58">
        <v>70872</v>
      </c>
      <c r="CF26" s="58">
        <v>60066</v>
      </c>
      <c r="CG26" s="58">
        <v>58434</v>
      </c>
      <c r="CH26" s="58">
        <v>59137</v>
      </c>
      <c r="CI26" s="58">
        <v>60211</v>
      </c>
      <c r="CJ26" s="58">
        <v>55082</v>
      </c>
      <c r="CK26" s="58">
        <v>49182</v>
      </c>
      <c r="CL26" s="58">
        <v>48752</v>
      </c>
      <c r="CM26" s="58">
        <v>54858</v>
      </c>
      <c r="CN26" s="58">
        <v>67538</v>
      </c>
      <c r="CO26" s="58">
        <v>58292</v>
      </c>
      <c r="CP26" s="58">
        <v>48489</v>
      </c>
      <c r="CQ26" s="58">
        <v>61292</v>
      </c>
      <c r="CR26" s="58">
        <v>61188</v>
      </c>
      <c r="CS26" s="64">
        <v>32630</v>
      </c>
      <c r="CT26" s="64"/>
      <c r="CU26" s="64">
        <v>18429</v>
      </c>
      <c r="CV26" s="64">
        <v>36510</v>
      </c>
      <c r="CW26" s="64">
        <v>37925</v>
      </c>
      <c r="CX26" s="64">
        <v>47571</v>
      </c>
      <c r="CY26" s="64">
        <v>55910</v>
      </c>
      <c r="CZ26" s="64">
        <v>62858</v>
      </c>
      <c r="DA26" s="64">
        <v>59084</v>
      </c>
      <c r="DB26" s="64">
        <v>65492</v>
      </c>
      <c r="DC26" s="64">
        <v>64372</v>
      </c>
      <c r="DD26" s="64">
        <v>65114</v>
      </c>
      <c r="DE26" s="64">
        <v>60173</v>
      </c>
      <c r="DF26" s="64">
        <v>48789</v>
      </c>
      <c r="DG26" s="64">
        <v>20073</v>
      </c>
      <c r="DH26" s="64">
        <v>35815</v>
      </c>
      <c r="DI26" s="64">
        <v>39290</v>
      </c>
      <c r="DJ26" s="64">
        <v>39070</v>
      </c>
      <c r="DK26" s="64">
        <v>27233</v>
      </c>
      <c r="DL26" s="64">
        <v>40611</v>
      </c>
      <c r="DM26" s="64">
        <v>44830</v>
      </c>
      <c r="DN26" s="64">
        <v>65194</v>
      </c>
      <c r="DO26" s="64">
        <v>49726</v>
      </c>
      <c r="DP26" s="64">
        <v>52135</v>
      </c>
      <c r="DQ26" s="64">
        <v>58477</v>
      </c>
      <c r="DR26" s="64">
        <v>53852</v>
      </c>
      <c r="DS26" s="64">
        <v>53525</v>
      </c>
      <c r="DT26" s="64">
        <v>50265</v>
      </c>
      <c r="DU26" s="64">
        <v>46529</v>
      </c>
      <c r="DV26" s="64">
        <v>62892</v>
      </c>
      <c r="DW26" s="64">
        <v>73646</v>
      </c>
      <c r="DX26" s="64">
        <v>76528</v>
      </c>
      <c r="DY26" s="64">
        <v>65760</v>
      </c>
      <c r="DZ26" s="64">
        <v>59821</v>
      </c>
      <c r="EA26" s="64">
        <v>67702</v>
      </c>
      <c r="EB26" s="64">
        <v>64436</v>
      </c>
      <c r="EC26" s="64">
        <v>59884</v>
      </c>
      <c r="ED26" s="64">
        <v>68881</v>
      </c>
      <c r="EE26" s="64">
        <v>70795</v>
      </c>
      <c r="EF26" s="64">
        <v>67495</v>
      </c>
      <c r="EG26" s="64">
        <v>66062</v>
      </c>
      <c r="EH26" s="64">
        <v>69393</v>
      </c>
      <c r="EI26" s="64">
        <v>74261</v>
      </c>
      <c r="EJ26" s="64">
        <v>80958</v>
      </c>
      <c r="EK26" s="64">
        <v>75137</v>
      </c>
      <c r="EL26" s="64">
        <v>57291</v>
      </c>
      <c r="EM26" s="64">
        <v>70556</v>
      </c>
      <c r="EN26" s="64">
        <v>67922</v>
      </c>
      <c r="EO26" s="64">
        <v>66044</v>
      </c>
      <c r="EP26" s="64">
        <v>75038</v>
      </c>
      <c r="EQ26" s="64">
        <v>63531</v>
      </c>
      <c r="ER26" s="64">
        <v>66117</v>
      </c>
      <c r="ES26" s="64">
        <v>61208</v>
      </c>
      <c r="ET26" s="64">
        <v>65623</v>
      </c>
      <c r="EU26" s="64">
        <v>79326</v>
      </c>
      <c r="EV26" s="64">
        <v>101886</v>
      </c>
      <c r="EW26" s="64">
        <v>72236</v>
      </c>
      <c r="EX26" s="64">
        <v>67891</v>
      </c>
      <c r="EY26" s="64">
        <v>81052</v>
      </c>
      <c r="EZ26" s="64">
        <v>80799</v>
      </c>
      <c r="FA26" s="64">
        <v>88050</v>
      </c>
      <c r="FB26" s="64">
        <v>76002</v>
      </c>
      <c r="FC26" s="64">
        <v>75820</v>
      </c>
      <c r="FD26" s="64">
        <v>76957</v>
      </c>
      <c r="FE26" s="64">
        <v>76254</v>
      </c>
      <c r="FF26" s="64">
        <v>102876</v>
      </c>
      <c r="FG26" s="64">
        <v>113573</v>
      </c>
      <c r="FH26" s="64">
        <v>116844</v>
      </c>
      <c r="FI26" s="64">
        <v>90405</v>
      </c>
      <c r="FJ26" s="64">
        <v>93177</v>
      </c>
      <c r="FK26" s="43"/>
      <c r="FL26" s="43"/>
      <c r="FM26" s="43"/>
      <c r="FN26" s="66">
        <f t="shared" si="76"/>
        <v>0</v>
      </c>
      <c r="FO26" s="67">
        <f t="shared" si="77"/>
        <v>0</v>
      </c>
      <c r="FP26" s="67">
        <f t="shared" si="11"/>
        <v>0</v>
      </c>
      <c r="FQ26" s="67">
        <f t="shared" si="12"/>
        <v>0</v>
      </c>
      <c r="FR26" s="67">
        <f t="shared" si="13"/>
        <v>0</v>
      </c>
      <c r="FS26" s="67">
        <f t="shared" si="14"/>
        <v>0</v>
      </c>
      <c r="FT26" s="67">
        <f t="shared" si="15"/>
        <v>0</v>
      </c>
      <c r="FU26" s="67">
        <f t="shared" si="16"/>
        <v>0</v>
      </c>
      <c r="FV26" s="67">
        <f t="shared" si="17"/>
        <v>72209</v>
      </c>
      <c r="FW26" s="67">
        <f t="shared" si="18"/>
        <v>80457</v>
      </c>
      <c r="FX26" s="67">
        <f t="shared" si="19"/>
        <v>80887</v>
      </c>
      <c r="FY26" s="67">
        <f t="shared" si="20"/>
        <v>90502</v>
      </c>
      <c r="FZ26" s="67">
        <f t="shared" si="21"/>
        <v>104330</v>
      </c>
      <c r="GA26" s="67">
        <f t="shared" si="22"/>
        <v>125208</v>
      </c>
      <c r="GB26" s="67">
        <f t="shared" si="23"/>
        <v>124487</v>
      </c>
      <c r="GC26" s="67">
        <f t="shared" si="24"/>
        <v>144766</v>
      </c>
      <c r="GD26" s="67">
        <f t="shared" si="25"/>
        <v>143329</v>
      </c>
      <c r="GE26" s="67">
        <f t="shared" si="26"/>
        <v>163821</v>
      </c>
      <c r="GF26" s="67">
        <f t="shared" si="27"/>
        <v>170538</v>
      </c>
      <c r="GG26" s="67">
        <f t="shared" si="28"/>
        <v>173419</v>
      </c>
      <c r="GH26" s="67">
        <f t="shared" si="29"/>
        <v>178882</v>
      </c>
      <c r="GI26" s="67">
        <f t="shared" si="30"/>
        <v>199422</v>
      </c>
      <c r="GJ26" s="67">
        <f t="shared" si="31"/>
        <v>201157</v>
      </c>
      <c r="GK26" s="67">
        <f t="shared" si="32"/>
        <v>221768</v>
      </c>
      <c r="GL26" s="67">
        <f t="shared" si="33"/>
        <v>219725</v>
      </c>
      <c r="GM26" s="67">
        <f t="shared" si="34"/>
        <v>205080</v>
      </c>
      <c r="GN26" s="67">
        <f t="shared" si="35"/>
        <v>191096</v>
      </c>
      <c r="GO26" s="67">
        <f t="shared" si="36"/>
        <v>189372</v>
      </c>
      <c r="GP26" s="67">
        <f t="shared" si="37"/>
        <v>174430</v>
      </c>
      <c r="GQ26" s="67">
        <f t="shared" si="38"/>
        <v>152792</v>
      </c>
      <c r="GR26" s="67">
        <f t="shared" si="39"/>
        <v>174319</v>
      </c>
      <c r="GS26" s="67">
        <f t="shared" si="40"/>
        <v>155110</v>
      </c>
      <c r="GT26" s="67">
        <f t="shared" si="41"/>
        <v>54939</v>
      </c>
      <c r="GU26" s="67">
        <f t="shared" si="42"/>
        <v>141406</v>
      </c>
      <c r="GV26" s="67">
        <f t="shared" si="43"/>
        <v>187434</v>
      </c>
      <c r="GW26" s="67">
        <f t="shared" si="44"/>
        <v>189659</v>
      </c>
      <c r="GX26" s="67">
        <f t="shared" si="45"/>
        <v>104677</v>
      </c>
      <c r="GY26" s="67">
        <f t="shared" si="46"/>
        <v>105593</v>
      </c>
      <c r="GZ26" s="67">
        <f t="shared" ref="GZ26:GZ85" si="80">+SUM(DL26:DN26)</f>
        <v>150635</v>
      </c>
      <c r="HA26" s="67">
        <f t="shared" ref="HA26:HA85" si="81">+SUM(DO26:DQ26)</f>
        <v>160338</v>
      </c>
      <c r="HB26" s="67">
        <f t="shared" ref="HB26:HB85" si="82">+SUM(DR26:DT26)</f>
        <v>157642</v>
      </c>
      <c r="HC26" s="67">
        <f t="shared" ref="HC26:HC85" si="83">+SUM(DU26:DW26)</f>
        <v>183067</v>
      </c>
      <c r="HD26" s="67">
        <f t="shared" ref="HD26:HD85" si="84">+SUM(DX26:DZ26)</f>
        <v>202109</v>
      </c>
      <c r="HE26" s="67">
        <f t="shared" ref="HE26:HE85" si="85">+SUM(EA26:EC26)</f>
        <v>192022</v>
      </c>
      <c r="HF26" s="67">
        <f t="shared" ref="HF26:HF83" si="86">+SUM(ED26:EF26)</f>
        <v>207171</v>
      </c>
      <c r="HG26" s="67">
        <f t="shared" ref="HG26:HG83" si="87">+SUM(EG26:EI26)</f>
        <v>209716</v>
      </c>
      <c r="HH26" s="67">
        <f t="shared" ref="HH26:HH83" si="88">+SUM(EJ26:EL26)</f>
        <v>213386</v>
      </c>
      <c r="HI26" s="67">
        <f t="shared" ref="HI26:HI83" si="89">+SUM(EM26:EO26)</f>
        <v>204522</v>
      </c>
      <c r="HJ26" s="67">
        <f t="shared" si="78"/>
        <v>204686</v>
      </c>
      <c r="HK26" s="67">
        <f t="shared" ref="HK26:HK37" si="90">SUM(ES26:EU26)</f>
        <v>206157</v>
      </c>
      <c r="HL26" s="67">
        <f t="shared" ref="HL26:HL37" si="91">SUM(EV26:EX26)</f>
        <v>242013</v>
      </c>
      <c r="HM26" s="67">
        <f t="shared" ref="HM26:HM37" si="92">SUM(EY26:FA26)</f>
        <v>249901</v>
      </c>
      <c r="HN26" s="67">
        <f t="shared" ref="HN26:HN37" si="93">SUM(FB26:FD26)</f>
        <v>228779</v>
      </c>
      <c r="HO26" s="67">
        <f t="shared" ref="HO26:HO37" si="94">SUM(FE26:FG26)</f>
        <v>292703</v>
      </c>
      <c r="HP26" s="67">
        <f t="shared" ref="HP26:HP37" si="95">SUM(FH26:FJ26)</f>
        <v>300426</v>
      </c>
      <c r="HQ26" s="60"/>
      <c r="HR26" s="43"/>
      <c r="HS26" s="43"/>
      <c r="HT26" s="43"/>
      <c r="HU26" s="68">
        <f t="shared" si="63"/>
        <v>0</v>
      </c>
      <c r="HV26" s="68">
        <f t="shared" si="64"/>
        <v>0</v>
      </c>
      <c r="HW26" s="68">
        <f t="shared" si="65"/>
        <v>324055</v>
      </c>
      <c r="HX26" s="69">
        <f t="shared" si="66"/>
        <v>498791</v>
      </c>
      <c r="HY26" s="70">
        <f t="shared" si="67"/>
        <v>651107</v>
      </c>
      <c r="HZ26" s="70">
        <f t="shared" si="68"/>
        <v>801229</v>
      </c>
      <c r="IA26" s="70">
        <f t="shared" si="69"/>
        <v>805273</v>
      </c>
      <c r="IB26" s="70">
        <f t="shared" si="70"/>
        <v>656651</v>
      </c>
      <c r="IC26" s="70">
        <f t="shared" si="71"/>
        <v>573438</v>
      </c>
      <c r="ID26" s="70">
        <f t="shared" ref="ID26:ID88" si="96">SUM(DF26:DQ26)</f>
        <v>521243</v>
      </c>
      <c r="IE26" s="70">
        <f t="shared" ref="IE26:IE88" si="97">SUM(DR26:EC26)</f>
        <v>734840</v>
      </c>
      <c r="IF26" s="70">
        <f t="shared" ref="IF26:IF83" si="98">SUM(ED26:EO26)</f>
        <v>834795</v>
      </c>
      <c r="IG26" s="70">
        <f t="shared" ref="IG26:IG83" si="99">SUM(EP26:FA26)</f>
        <v>902757</v>
      </c>
    </row>
    <row r="27" spans="1:241" outlineLevel="2" x14ac:dyDescent="0.3">
      <c r="A27" s="71" t="s">
        <v>123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>
        <v>3296</v>
      </c>
      <c r="AA27" s="72">
        <v>3637</v>
      </c>
      <c r="AB27" s="72">
        <v>2992</v>
      </c>
      <c r="AC27" s="72">
        <v>1596</v>
      </c>
      <c r="AD27" s="72">
        <v>3399</v>
      </c>
      <c r="AE27" s="72">
        <v>9364</v>
      </c>
      <c r="AF27" s="72">
        <v>7925</v>
      </c>
      <c r="AG27" s="72">
        <v>8002</v>
      </c>
      <c r="AH27" s="72">
        <v>6028</v>
      </c>
      <c r="AI27" s="72">
        <v>6640</v>
      </c>
      <c r="AJ27" s="72">
        <v>5878</v>
      </c>
      <c r="AK27" s="72">
        <v>6559</v>
      </c>
      <c r="AL27" s="72">
        <v>6027</v>
      </c>
      <c r="AM27" s="72">
        <v>8205</v>
      </c>
      <c r="AN27" s="72">
        <v>6870</v>
      </c>
      <c r="AO27" s="72">
        <v>8801</v>
      </c>
      <c r="AP27" s="72">
        <v>9117</v>
      </c>
      <c r="AQ27" s="72">
        <v>9496</v>
      </c>
      <c r="AR27" s="72">
        <v>11638</v>
      </c>
      <c r="AS27" s="72">
        <v>7301</v>
      </c>
      <c r="AT27" s="72">
        <v>6232</v>
      </c>
      <c r="AU27" s="72">
        <v>6681</v>
      </c>
      <c r="AV27" s="72">
        <v>6582</v>
      </c>
      <c r="AW27" s="72">
        <v>5962</v>
      </c>
      <c r="AX27" s="72">
        <v>6566</v>
      </c>
      <c r="AY27" s="72">
        <v>4849</v>
      </c>
      <c r="AZ27" s="72">
        <v>4350</v>
      </c>
      <c r="BA27" s="72">
        <v>4637</v>
      </c>
      <c r="BB27" s="72">
        <v>5935</v>
      </c>
      <c r="BC27" s="72">
        <v>8534</v>
      </c>
      <c r="BD27" s="72">
        <v>9067</v>
      </c>
      <c r="BE27" s="72">
        <v>5030</v>
      </c>
      <c r="BF27" s="72">
        <v>4124</v>
      </c>
      <c r="BG27" s="72">
        <v>4113</v>
      </c>
      <c r="BH27" s="72">
        <v>5782</v>
      </c>
      <c r="BI27" s="72">
        <v>6749</v>
      </c>
      <c r="BJ27" s="72">
        <v>7057</v>
      </c>
      <c r="BK27" s="72">
        <v>5874</v>
      </c>
      <c r="BL27" s="72">
        <v>6540</v>
      </c>
      <c r="BM27" s="72">
        <v>5323</v>
      </c>
      <c r="BN27" s="72">
        <v>6515</v>
      </c>
      <c r="BO27" s="72">
        <v>7303</v>
      </c>
      <c r="BP27" s="72">
        <v>5988</v>
      </c>
      <c r="BQ27" s="72">
        <v>6497</v>
      </c>
      <c r="BR27" s="72">
        <v>5307</v>
      </c>
      <c r="BS27" s="72">
        <v>7013</v>
      </c>
      <c r="BT27" s="72">
        <v>6691</v>
      </c>
      <c r="BU27" s="72">
        <v>9559</v>
      </c>
      <c r="BV27" s="72">
        <v>8034</v>
      </c>
      <c r="BW27" s="72">
        <v>6068</v>
      </c>
      <c r="BX27" s="72">
        <v>7072</v>
      </c>
      <c r="BY27" s="72">
        <v>5580</v>
      </c>
      <c r="BZ27" s="72">
        <v>6194</v>
      </c>
      <c r="CA27" s="72">
        <v>6219</v>
      </c>
      <c r="CB27" s="72">
        <v>5774</v>
      </c>
      <c r="CC27" s="72">
        <v>3764</v>
      </c>
      <c r="CD27" s="72">
        <v>1504</v>
      </c>
      <c r="CE27" s="72">
        <v>1861</v>
      </c>
      <c r="CF27" s="72">
        <v>626</v>
      </c>
      <c r="CG27" s="72">
        <v>571</v>
      </c>
      <c r="CH27" s="72">
        <v>1118</v>
      </c>
      <c r="CI27" s="72">
        <v>5165</v>
      </c>
      <c r="CJ27" s="72">
        <v>2876</v>
      </c>
      <c r="CK27" s="72">
        <v>4133</v>
      </c>
      <c r="CL27" s="72">
        <v>4951</v>
      </c>
      <c r="CM27" s="72">
        <v>5025</v>
      </c>
      <c r="CN27" s="72">
        <v>4807</v>
      </c>
      <c r="CO27" s="72">
        <v>3903</v>
      </c>
      <c r="CP27" s="72">
        <v>1685</v>
      </c>
      <c r="CQ27" s="72">
        <v>814</v>
      </c>
      <c r="CR27" s="72">
        <v>918</v>
      </c>
      <c r="CS27" s="74">
        <v>2445</v>
      </c>
      <c r="CT27" s="74"/>
      <c r="CU27" s="74">
        <v>630</v>
      </c>
      <c r="CV27" s="74">
        <v>1479</v>
      </c>
      <c r="CW27" s="74">
        <v>2777</v>
      </c>
      <c r="CX27" s="74">
        <v>3440</v>
      </c>
      <c r="CY27" s="74">
        <v>2298</v>
      </c>
      <c r="CZ27" s="74">
        <v>4171</v>
      </c>
      <c r="DA27" s="74">
        <v>2769</v>
      </c>
      <c r="DB27" s="74">
        <v>1953</v>
      </c>
      <c r="DC27" s="74">
        <v>2786</v>
      </c>
      <c r="DD27" s="74">
        <v>2501</v>
      </c>
      <c r="DE27" s="74">
        <v>2513</v>
      </c>
      <c r="DF27" s="74">
        <v>2440</v>
      </c>
      <c r="DG27" s="74">
        <v>62</v>
      </c>
      <c r="DH27" s="74">
        <v>1140</v>
      </c>
      <c r="DI27" s="74">
        <v>3500</v>
      </c>
      <c r="DJ27" s="74">
        <v>1663</v>
      </c>
      <c r="DK27" s="74">
        <v>1899</v>
      </c>
      <c r="DL27" s="74">
        <v>3136</v>
      </c>
      <c r="DM27" s="74">
        <v>1933</v>
      </c>
      <c r="DN27" s="74">
        <v>1425</v>
      </c>
      <c r="DO27" s="74">
        <v>2657</v>
      </c>
      <c r="DP27" s="74">
        <v>2073</v>
      </c>
      <c r="DQ27" s="74">
        <v>847</v>
      </c>
      <c r="DR27" s="74">
        <v>1229</v>
      </c>
      <c r="DS27" s="74">
        <v>2897</v>
      </c>
      <c r="DT27" s="74">
        <v>720</v>
      </c>
      <c r="DU27" s="74">
        <v>1889</v>
      </c>
      <c r="DV27" s="74">
        <v>3645</v>
      </c>
      <c r="DW27" s="74">
        <v>2940</v>
      </c>
      <c r="DX27" s="74">
        <v>1408</v>
      </c>
      <c r="DY27" s="74">
        <v>1009</v>
      </c>
      <c r="DZ27" s="74">
        <v>318</v>
      </c>
      <c r="EA27" s="74">
        <v>214</v>
      </c>
      <c r="EB27" s="74">
        <v>1969</v>
      </c>
      <c r="EC27" s="74">
        <v>9</v>
      </c>
      <c r="ED27" s="74">
        <v>565</v>
      </c>
      <c r="EE27" s="74">
        <v>4031</v>
      </c>
      <c r="EF27" s="74">
        <v>3187</v>
      </c>
      <c r="EG27" s="74">
        <v>3313</v>
      </c>
      <c r="EH27" s="74">
        <v>3125</v>
      </c>
      <c r="EI27" s="74">
        <v>2531</v>
      </c>
      <c r="EJ27" s="74">
        <v>2582</v>
      </c>
      <c r="EK27" s="74">
        <v>2214</v>
      </c>
      <c r="EL27" s="74">
        <v>1200</v>
      </c>
      <c r="EM27" s="74">
        <v>2034</v>
      </c>
      <c r="EN27" s="74">
        <v>1844</v>
      </c>
      <c r="EO27" s="74">
        <v>1713</v>
      </c>
      <c r="EP27" s="74">
        <v>1961</v>
      </c>
      <c r="EQ27" s="74">
        <v>1727</v>
      </c>
      <c r="ER27" s="74">
        <v>1233</v>
      </c>
      <c r="ES27" s="74">
        <v>2226</v>
      </c>
      <c r="ET27" s="74">
        <v>2102</v>
      </c>
      <c r="EU27" s="74">
        <v>2000</v>
      </c>
      <c r="EV27" s="74">
        <v>2456</v>
      </c>
      <c r="EW27" s="74">
        <v>1200</v>
      </c>
      <c r="EX27" s="74">
        <v>276</v>
      </c>
      <c r="EY27" s="74">
        <v>2246</v>
      </c>
      <c r="EZ27" s="74">
        <v>1816</v>
      </c>
      <c r="FA27" s="74">
        <v>1751</v>
      </c>
      <c r="FB27" s="74">
        <v>1359</v>
      </c>
      <c r="FC27" s="74">
        <v>1352</v>
      </c>
      <c r="FD27" s="74">
        <v>1535</v>
      </c>
      <c r="FE27" s="74">
        <v>1733</v>
      </c>
      <c r="FF27" s="74">
        <v>564</v>
      </c>
      <c r="FG27" s="74">
        <v>542</v>
      </c>
      <c r="FH27" s="74">
        <v>2107</v>
      </c>
      <c r="FI27" s="74">
        <v>1320</v>
      </c>
      <c r="FJ27" s="74">
        <v>1062</v>
      </c>
      <c r="FK27" s="43"/>
      <c r="FL27" s="43"/>
      <c r="FM27" s="43"/>
      <c r="FN27" s="75">
        <f t="shared" si="76"/>
        <v>0</v>
      </c>
      <c r="FO27" s="76">
        <f t="shared" si="77"/>
        <v>0</v>
      </c>
      <c r="FP27" s="76">
        <f t="shared" si="11"/>
        <v>0</v>
      </c>
      <c r="FQ27" s="76">
        <f t="shared" si="12"/>
        <v>0</v>
      </c>
      <c r="FR27" s="76">
        <f t="shared" si="13"/>
        <v>0</v>
      </c>
      <c r="FS27" s="76">
        <f t="shared" si="14"/>
        <v>0</v>
      </c>
      <c r="FT27" s="76">
        <f t="shared" si="15"/>
        <v>0</v>
      </c>
      <c r="FU27" s="76">
        <f t="shared" si="16"/>
        <v>0</v>
      </c>
      <c r="FV27" s="76">
        <f t="shared" si="17"/>
        <v>9925</v>
      </c>
      <c r="FW27" s="76">
        <f t="shared" si="18"/>
        <v>14359</v>
      </c>
      <c r="FX27" s="76">
        <f t="shared" si="19"/>
        <v>21955</v>
      </c>
      <c r="FY27" s="76">
        <f t="shared" si="20"/>
        <v>19077</v>
      </c>
      <c r="FZ27" s="76">
        <f t="shared" si="21"/>
        <v>21102</v>
      </c>
      <c r="GA27" s="76">
        <f t="shared" si="22"/>
        <v>27414</v>
      </c>
      <c r="GB27" s="76">
        <f t="shared" si="23"/>
        <v>25171</v>
      </c>
      <c r="GC27" s="76">
        <f t="shared" si="24"/>
        <v>19225</v>
      </c>
      <c r="GD27" s="76">
        <f t="shared" si="25"/>
        <v>15765</v>
      </c>
      <c r="GE27" s="76">
        <f t="shared" si="26"/>
        <v>19106</v>
      </c>
      <c r="GF27" s="76">
        <f t="shared" si="27"/>
        <v>18221</v>
      </c>
      <c r="GG27" s="76">
        <f t="shared" si="28"/>
        <v>16644</v>
      </c>
      <c r="GH27" s="76">
        <f t="shared" si="29"/>
        <v>19471</v>
      </c>
      <c r="GI27" s="76">
        <f t="shared" si="30"/>
        <v>19141</v>
      </c>
      <c r="GJ27" s="76">
        <f t="shared" si="31"/>
        <v>17792</v>
      </c>
      <c r="GK27" s="76">
        <f t="shared" si="32"/>
        <v>23263</v>
      </c>
      <c r="GL27" s="76">
        <f t="shared" si="33"/>
        <v>21174</v>
      </c>
      <c r="GM27" s="76">
        <f t="shared" si="34"/>
        <v>17993</v>
      </c>
      <c r="GN27" s="76">
        <f t="shared" si="35"/>
        <v>11042</v>
      </c>
      <c r="GO27" s="76">
        <f t="shared" si="36"/>
        <v>3058</v>
      </c>
      <c r="GP27" s="76">
        <f t="shared" si="37"/>
        <v>9159</v>
      </c>
      <c r="GQ27" s="76">
        <f t="shared" si="38"/>
        <v>14109</v>
      </c>
      <c r="GR27" s="76">
        <f t="shared" si="39"/>
        <v>10395</v>
      </c>
      <c r="GS27" s="76">
        <f t="shared" si="40"/>
        <v>4177</v>
      </c>
      <c r="GT27" s="76">
        <f t="shared" si="41"/>
        <v>2109</v>
      </c>
      <c r="GU27" s="76">
        <f t="shared" si="42"/>
        <v>8515</v>
      </c>
      <c r="GV27" s="76">
        <f t="shared" si="43"/>
        <v>8893</v>
      </c>
      <c r="GW27" s="76">
        <f t="shared" si="44"/>
        <v>7800</v>
      </c>
      <c r="GX27" s="76">
        <f t="shared" si="45"/>
        <v>3642</v>
      </c>
      <c r="GY27" s="76">
        <f t="shared" si="46"/>
        <v>7062</v>
      </c>
      <c r="GZ27" s="76">
        <f t="shared" si="80"/>
        <v>6494</v>
      </c>
      <c r="HA27" s="76">
        <f t="shared" si="81"/>
        <v>5577</v>
      </c>
      <c r="HB27" s="76">
        <f t="shared" si="82"/>
        <v>4846</v>
      </c>
      <c r="HC27" s="76">
        <f t="shared" si="83"/>
        <v>8474</v>
      </c>
      <c r="HD27" s="76">
        <f t="shared" si="84"/>
        <v>2735</v>
      </c>
      <c r="HE27" s="76">
        <f t="shared" si="85"/>
        <v>2192</v>
      </c>
      <c r="HF27" s="76">
        <f t="shared" si="86"/>
        <v>7783</v>
      </c>
      <c r="HG27" s="76">
        <f t="shared" si="87"/>
        <v>8969</v>
      </c>
      <c r="HH27" s="76">
        <f t="shared" si="88"/>
        <v>5996</v>
      </c>
      <c r="HI27" s="76">
        <f t="shared" si="89"/>
        <v>5591</v>
      </c>
      <c r="HJ27" s="76">
        <f t="shared" si="78"/>
        <v>4921</v>
      </c>
      <c r="HK27" s="76">
        <f t="shared" si="90"/>
        <v>6328</v>
      </c>
      <c r="HL27" s="76">
        <f t="shared" si="91"/>
        <v>3932</v>
      </c>
      <c r="HM27" s="76">
        <f t="shared" si="92"/>
        <v>5813</v>
      </c>
      <c r="HN27" s="76">
        <f t="shared" si="93"/>
        <v>4246</v>
      </c>
      <c r="HO27" s="76">
        <f t="shared" si="94"/>
        <v>2839</v>
      </c>
      <c r="HP27" s="76">
        <f t="shared" si="95"/>
        <v>4489</v>
      </c>
      <c r="HQ27" s="77"/>
      <c r="HR27" s="43"/>
      <c r="HS27" s="43"/>
      <c r="HT27" s="43"/>
      <c r="HU27" s="78">
        <f t="shared" si="63"/>
        <v>0</v>
      </c>
      <c r="HV27" s="78">
        <f t="shared" si="64"/>
        <v>0</v>
      </c>
      <c r="HW27" s="78">
        <f t="shared" si="65"/>
        <v>65316</v>
      </c>
      <c r="HX27" s="79">
        <f t="shared" si="66"/>
        <v>92912</v>
      </c>
      <c r="HY27" s="80">
        <f t="shared" si="67"/>
        <v>69736</v>
      </c>
      <c r="HZ27" s="80">
        <f t="shared" si="68"/>
        <v>79667</v>
      </c>
      <c r="IA27" s="80">
        <f t="shared" si="69"/>
        <v>53267</v>
      </c>
      <c r="IB27" s="80">
        <f t="shared" si="70"/>
        <v>37840</v>
      </c>
      <c r="IC27" s="80">
        <f t="shared" si="71"/>
        <v>27317</v>
      </c>
      <c r="ID27" s="80">
        <f t="shared" si="96"/>
        <v>22775</v>
      </c>
      <c r="IE27" s="80">
        <f t="shared" si="97"/>
        <v>18247</v>
      </c>
      <c r="IF27" s="80">
        <f t="shared" si="98"/>
        <v>28339</v>
      </c>
      <c r="IG27" s="80">
        <f t="shared" si="99"/>
        <v>20994</v>
      </c>
    </row>
    <row r="28" spans="1:241" outlineLevel="2" x14ac:dyDescent="0.3">
      <c r="A28" s="63" t="s">
        <v>130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>
        <v>90</v>
      </c>
      <c r="AA28" s="58">
        <v>132</v>
      </c>
      <c r="AB28" s="58">
        <v>111</v>
      </c>
      <c r="AC28" s="58">
        <v>109</v>
      </c>
      <c r="AD28" s="58">
        <v>119</v>
      </c>
      <c r="AE28" s="58">
        <v>148</v>
      </c>
      <c r="AF28" s="58">
        <v>114</v>
      </c>
      <c r="AG28" s="58">
        <v>135</v>
      </c>
      <c r="AH28" s="58">
        <v>86</v>
      </c>
      <c r="AI28" s="58">
        <v>88</v>
      </c>
      <c r="AJ28" s="58">
        <v>86</v>
      </c>
      <c r="AK28" s="58">
        <v>97</v>
      </c>
      <c r="AL28" s="58">
        <v>103</v>
      </c>
      <c r="AM28" s="58">
        <v>110</v>
      </c>
      <c r="AN28" s="58">
        <v>122</v>
      </c>
      <c r="AO28" s="58">
        <v>80</v>
      </c>
      <c r="AP28" s="58">
        <v>74</v>
      </c>
      <c r="AQ28" s="58">
        <v>101</v>
      </c>
      <c r="AR28" s="58">
        <v>109</v>
      </c>
      <c r="AS28" s="58">
        <v>90</v>
      </c>
      <c r="AT28" s="58">
        <v>75</v>
      </c>
      <c r="AU28" s="58">
        <v>67</v>
      </c>
      <c r="AV28" s="58">
        <v>92</v>
      </c>
      <c r="AW28" s="58">
        <v>116</v>
      </c>
      <c r="AX28" s="58">
        <v>104</v>
      </c>
      <c r="AY28" s="58">
        <v>132</v>
      </c>
      <c r="AZ28" s="58">
        <v>168</v>
      </c>
      <c r="BA28" s="58">
        <v>67</v>
      </c>
      <c r="BB28" s="58">
        <v>76</v>
      </c>
      <c r="BC28" s="58">
        <v>112</v>
      </c>
      <c r="BD28" s="58">
        <v>91</v>
      </c>
      <c r="BE28" s="58">
        <v>71</v>
      </c>
      <c r="BF28" s="58">
        <v>84</v>
      </c>
      <c r="BG28" s="58">
        <v>79</v>
      </c>
      <c r="BH28" s="58">
        <v>90</v>
      </c>
      <c r="BI28" s="58">
        <v>100</v>
      </c>
      <c r="BJ28" s="58">
        <v>179</v>
      </c>
      <c r="BK28" s="58">
        <v>71</v>
      </c>
      <c r="BL28" s="58">
        <v>183</v>
      </c>
      <c r="BM28" s="58">
        <v>58</v>
      </c>
      <c r="BN28" s="58">
        <v>55</v>
      </c>
      <c r="BO28" s="58">
        <v>86</v>
      </c>
      <c r="BP28" s="58">
        <v>94</v>
      </c>
      <c r="BQ28" s="58">
        <v>105</v>
      </c>
      <c r="BR28" s="58">
        <v>105</v>
      </c>
      <c r="BS28" s="58">
        <v>90</v>
      </c>
      <c r="BT28" s="58">
        <v>87</v>
      </c>
      <c r="BU28" s="58">
        <v>134</v>
      </c>
      <c r="BV28" s="58">
        <v>110</v>
      </c>
      <c r="BW28" s="58">
        <v>124</v>
      </c>
      <c r="BX28" s="58">
        <v>156</v>
      </c>
      <c r="BY28" s="58">
        <v>50</v>
      </c>
      <c r="BZ28" s="58">
        <v>73</v>
      </c>
      <c r="CA28" s="58">
        <v>80</v>
      </c>
      <c r="CB28" s="58">
        <v>52</v>
      </c>
      <c r="CC28" s="58">
        <v>71</v>
      </c>
      <c r="CD28" s="58">
        <v>83</v>
      </c>
      <c r="CE28" s="58">
        <v>54</v>
      </c>
      <c r="CF28" s="58">
        <v>60</v>
      </c>
      <c r="CG28" s="58">
        <v>65</v>
      </c>
      <c r="CH28" s="58">
        <v>70</v>
      </c>
      <c r="CI28" s="58">
        <v>30</v>
      </c>
      <c r="CJ28" s="58">
        <v>57</v>
      </c>
      <c r="CK28" s="58">
        <v>38</v>
      </c>
      <c r="CL28" s="58">
        <v>38</v>
      </c>
      <c r="CM28" s="58">
        <v>56</v>
      </c>
      <c r="CN28" s="58">
        <v>50</v>
      </c>
      <c r="CO28" s="58">
        <v>55</v>
      </c>
      <c r="CP28" s="58">
        <v>50</v>
      </c>
      <c r="CQ28" s="58">
        <v>60</v>
      </c>
      <c r="CR28" s="58">
        <v>66</v>
      </c>
      <c r="CS28" s="64">
        <v>21</v>
      </c>
      <c r="CT28" s="64"/>
      <c r="CU28" s="64">
        <v>36</v>
      </c>
      <c r="CV28" s="64">
        <v>89</v>
      </c>
      <c r="CW28" s="64">
        <v>58</v>
      </c>
      <c r="CX28" s="64">
        <v>56</v>
      </c>
      <c r="CY28" s="64">
        <v>71</v>
      </c>
      <c r="CZ28" s="64">
        <v>92</v>
      </c>
      <c r="DA28" s="64">
        <v>92</v>
      </c>
      <c r="DB28" s="64">
        <v>59</v>
      </c>
      <c r="DC28" s="64">
        <v>62</v>
      </c>
      <c r="DD28" s="64">
        <v>49</v>
      </c>
      <c r="DE28" s="64">
        <v>61</v>
      </c>
      <c r="DF28" s="64">
        <v>127</v>
      </c>
      <c r="DG28" s="64">
        <v>107</v>
      </c>
      <c r="DH28" s="64">
        <v>131</v>
      </c>
      <c r="DI28" s="64">
        <v>83</v>
      </c>
      <c r="DJ28" s="64">
        <v>127</v>
      </c>
      <c r="DK28" s="64">
        <v>19</v>
      </c>
      <c r="DL28" s="64">
        <v>108</v>
      </c>
      <c r="DM28" s="64">
        <v>112</v>
      </c>
      <c r="DN28" s="64">
        <v>136</v>
      </c>
      <c r="DO28" s="64">
        <v>104</v>
      </c>
      <c r="DP28" s="64">
        <v>98</v>
      </c>
      <c r="DQ28" s="64">
        <v>105</v>
      </c>
      <c r="DR28" s="64">
        <v>88</v>
      </c>
      <c r="DS28" s="64">
        <v>88</v>
      </c>
      <c r="DT28" s="64">
        <v>84</v>
      </c>
      <c r="DU28" s="64">
        <v>93</v>
      </c>
      <c r="DV28" s="64">
        <v>92</v>
      </c>
      <c r="DW28" s="64">
        <v>94</v>
      </c>
      <c r="DX28" s="64">
        <v>111</v>
      </c>
      <c r="DY28" s="64">
        <v>92</v>
      </c>
      <c r="DZ28" s="64">
        <v>88</v>
      </c>
      <c r="EA28" s="64">
        <v>62</v>
      </c>
      <c r="EB28" s="64">
        <v>87</v>
      </c>
      <c r="EC28" s="64">
        <v>103</v>
      </c>
      <c r="ED28" s="64">
        <v>63</v>
      </c>
      <c r="EE28" s="64">
        <v>34</v>
      </c>
      <c r="EF28" s="64">
        <v>98</v>
      </c>
      <c r="EG28" s="64">
        <v>60</v>
      </c>
      <c r="EH28" s="64">
        <v>184</v>
      </c>
      <c r="EI28" s="64">
        <v>87</v>
      </c>
      <c r="EJ28" s="64">
        <v>52</v>
      </c>
      <c r="EK28" s="64">
        <v>95</v>
      </c>
      <c r="EL28" s="64">
        <v>43</v>
      </c>
      <c r="EM28" s="64">
        <v>95</v>
      </c>
      <c r="EN28" s="64">
        <v>69</v>
      </c>
      <c r="EO28" s="64">
        <v>138</v>
      </c>
      <c r="EP28" s="64">
        <v>130</v>
      </c>
      <c r="EQ28" s="64">
        <v>85</v>
      </c>
      <c r="ER28" s="64">
        <v>130</v>
      </c>
      <c r="ES28" s="64">
        <v>66</v>
      </c>
      <c r="ET28" s="64">
        <v>120</v>
      </c>
      <c r="EU28" s="64">
        <v>123</v>
      </c>
      <c r="EV28" s="64">
        <v>70</v>
      </c>
      <c r="EW28" s="64">
        <v>79</v>
      </c>
      <c r="EX28" s="64">
        <v>88</v>
      </c>
      <c r="EY28" s="64">
        <v>94</v>
      </c>
      <c r="EZ28" s="64">
        <v>95</v>
      </c>
      <c r="FA28" s="64">
        <v>87</v>
      </c>
      <c r="FB28" s="64">
        <v>39</v>
      </c>
      <c r="FC28" s="64">
        <v>61</v>
      </c>
      <c r="FD28" s="64">
        <v>84</v>
      </c>
      <c r="FE28" s="64">
        <v>82</v>
      </c>
      <c r="FF28" s="64">
        <v>45</v>
      </c>
      <c r="FG28" s="64">
        <v>65</v>
      </c>
      <c r="FH28" s="64">
        <v>35</v>
      </c>
      <c r="FI28" s="64">
        <v>54</v>
      </c>
      <c r="FJ28" s="64">
        <v>34</v>
      </c>
      <c r="FK28" s="43"/>
      <c r="FL28" s="43"/>
      <c r="FM28" s="43"/>
      <c r="FN28" s="66">
        <f t="shared" si="76"/>
        <v>0</v>
      </c>
      <c r="FO28" s="67">
        <f t="shared" si="77"/>
        <v>0</v>
      </c>
      <c r="FP28" s="67">
        <f t="shared" si="11"/>
        <v>0</v>
      </c>
      <c r="FQ28" s="67">
        <f t="shared" si="12"/>
        <v>0</v>
      </c>
      <c r="FR28" s="67">
        <f t="shared" si="13"/>
        <v>0</v>
      </c>
      <c r="FS28" s="67">
        <f t="shared" si="14"/>
        <v>0</v>
      </c>
      <c r="FT28" s="67">
        <f t="shared" si="15"/>
        <v>0</v>
      </c>
      <c r="FU28" s="67">
        <f t="shared" si="16"/>
        <v>0</v>
      </c>
      <c r="FV28" s="67">
        <f t="shared" si="17"/>
        <v>333</v>
      </c>
      <c r="FW28" s="67">
        <f t="shared" si="18"/>
        <v>376</v>
      </c>
      <c r="FX28" s="67">
        <f t="shared" si="19"/>
        <v>335</v>
      </c>
      <c r="FY28" s="67">
        <f t="shared" si="20"/>
        <v>271</v>
      </c>
      <c r="FZ28" s="67">
        <f t="shared" si="21"/>
        <v>335</v>
      </c>
      <c r="GA28" s="67">
        <f t="shared" si="22"/>
        <v>255</v>
      </c>
      <c r="GB28" s="67">
        <f t="shared" si="23"/>
        <v>274</v>
      </c>
      <c r="GC28" s="67">
        <f t="shared" si="24"/>
        <v>275</v>
      </c>
      <c r="GD28" s="67">
        <f t="shared" si="25"/>
        <v>404</v>
      </c>
      <c r="GE28" s="67">
        <f t="shared" si="26"/>
        <v>255</v>
      </c>
      <c r="GF28" s="67">
        <f t="shared" si="27"/>
        <v>246</v>
      </c>
      <c r="GG28" s="67">
        <f t="shared" si="28"/>
        <v>269</v>
      </c>
      <c r="GH28" s="67">
        <f t="shared" si="29"/>
        <v>433</v>
      </c>
      <c r="GI28" s="67">
        <f t="shared" si="30"/>
        <v>199</v>
      </c>
      <c r="GJ28" s="67">
        <f t="shared" si="31"/>
        <v>304</v>
      </c>
      <c r="GK28" s="67">
        <f t="shared" si="32"/>
        <v>311</v>
      </c>
      <c r="GL28" s="67">
        <f t="shared" si="33"/>
        <v>390</v>
      </c>
      <c r="GM28" s="67">
        <f t="shared" si="34"/>
        <v>203</v>
      </c>
      <c r="GN28" s="67">
        <f t="shared" si="35"/>
        <v>206</v>
      </c>
      <c r="GO28" s="67">
        <f t="shared" si="36"/>
        <v>179</v>
      </c>
      <c r="GP28" s="67">
        <f t="shared" si="37"/>
        <v>157</v>
      </c>
      <c r="GQ28" s="67">
        <f t="shared" si="38"/>
        <v>132</v>
      </c>
      <c r="GR28" s="67">
        <f t="shared" si="39"/>
        <v>155</v>
      </c>
      <c r="GS28" s="67">
        <f t="shared" si="40"/>
        <v>147</v>
      </c>
      <c r="GT28" s="67">
        <f t="shared" si="41"/>
        <v>125</v>
      </c>
      <c r="GU28" s="67">
        <f t="shared" si="42"/>
        <v>185</v>
      </c>
      <c r="GV28" s="67">
        <f t="shared" si="43"/>
        <v>243</v>
      </c>
      <c r="GW28" s="67">
        <f t="shared" si="44"/>
        <v>172</v>
      </c>
      <c r="GX28" s="67">
        <f t="shared" si="45"/>
        <v>365</v>
      </c>
      <c r="GY28" s="67">
        <f t="shared" si="46"/>
        <v>229</v>
      </c>
      <c r="GZ28" s="67">
        <f t="shared" si="80"/>
        <v>356</v>
      </c>
      <c r="HA28" s="67">
        <f t="shared" si="81"/>
        <v>307</v>
      </c>
      <c r="HB28" s="67">
        <f t="shared" si="82"/>
        <v>260</v>
      </c>
      <c r="HC28" s="67">
        <f t="shared" si="83"/>
        <v>279</v>
      </c>
      <c r="HD28" s="67">
        <f t="shared" si="84"/>
        <v>291</v>
      </c>
      <c r="HE28" s="67">
        <f t="shared" si="85"/>
        <v>252</v>
      </c>
      <c r="HF28" s="67">
        <f t="shared" si="86"/>
        <v>195</v>
      </c>
      <c r="HG28" s="67">
        <f t="shared" si="87"/>
        <v>331</v>
      </c>
      <c r="HH28" s="67">
        <f t="shared" si="88"/>
        <v>190</v>
      </c>
      <c r="HI28" s="67">
        <f t="shared" si="89"/>
        <v>302</v>
      </c>
      <c r="HJ28" s="67">
        <f t="shared" si="78"/>
        <v>345</v>
      </c>
      <c r="HK28" s="67">
        <f t="shared" si="90"/>
        <v>309</v>
      </c>
      <c r="HL28" s="67">
        <f t="shared" si="91"/>
        <v>237</v>
      </c>
      <c r="HM28" s="67">
        <f t="shared" si="92"/>
        <v>276</v>
      </c>
      <c r="HN28" s="67">
        <f t="shared" si="93"/>
        <v>184</v>
      </c>
      <c r="HO28" s="67">
        <f t="shared" si="94"/>
        <v>192</v>
      </c>
      <c r="HP28" s="67">
        <f t="shared" si="95"/>
        <v>123</v>
      </c>
      <c r="HQ28" s="60"/>
      <c r="HR28" s="43"/>
      <c r="HS28" s="43"/>
      <c r="HT28" s="43"/>
      <c r="HU28" s="68">
        <f t="shared" si="63"/>
        <v>0</v>
      </c>
      <c r="HV28" s="68">
        <f t="shared" si="64"/>
        <v>0</v>
      </c>
      <c r="HW28" s="68">
        <f t="shared" si="65"/>
        <v>1315</v>
      </c>
      <c r="HX28" s="69">
        <f t="shared" si="66"/>
        <v>1139</v>
      </c>
      <c r="HY28" s="70">
        <f t="shared" si="67"/>
        <v>1174</v>
      </c>
      <c r="HZ28" s="70">
        <f t="shared" si="68"/>
        <v>1247</v>
      </c>
      <c r="IA28" s="70">
        <f t="shared" si="69"/>
        <v>978</v>
      </c>
      <c r="IB28" s="70">
        <f t="shared" si="70"/>
        <v>591</v>
      </c>
      <c r="IC28" s="70">
        <f t="shared" si="71"/>
        <v>725</v>
      </c>
      <c r="ID28" s="70">
        <f t="shared" si="96"/>
        <v>1257</v>
      </c>
      <c r="IE28" s="70">
        <f t="shared" si="97"/>
        <v>1082</v>
      </c>
      <c r="IF28" s="70">
        <f t="shared" si="98"/>
        <v>1018</v>
      </c>
      <c r="IG28" s="70">
        <f t="shared" si="99"/>
        <v>1167</v>
      </c>
    </row>
    <row r="29" spans="1:241" outlineLevel="2" x14ac:dyDescent="0.3">
      <c r="A29" s="71" t="s">
        <v>124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>
        <v>51562</v>
      </c>
      <c r="AA29" s="72">
        <v>61261</v>
      </c>
      <c r="AB29" s="72">
        <v>51296</v>
      </c>
      <c r="AC29" s="72">
        <v>51123</v>
      </c>
      <c r="AD29" s="72">
        <v>58388</v>
      </c>
      <c r="AE29" s="72">
        <v>76984</v>
      </c>
      <c r="AF29" s="72">
        <v>67980</v>
      </c>
      <c r="AG29" s="72">
        <v>56487</v>
      </c>
      <c r="AH29" s="72">
        <v>46934</v>
      </c>
      <c r="AI29" s="72">
        <v>51864</v>
      </c>
      <c r="AJ29" s="72">
        <v>46418</v>
      </c>
      <c r="AK29" s="72">
        <v>47328</v>
      </c>
      <c r="AL29" s="72">
        <v>54112</v>
      </c>
      <c r="AM29" s="72">
        <v>60590</v>
      </c>
      <c r="AN29" s="72">
        <v>60721</v>
      </c>
      <c r="AO29" s="72">
        <v>48306</v>
      </c>
      <c r="AP29" s="72">
        <v>60175</v>
      </c>
      <c r="AQ29" s="72">
        <v>64232</v>
      </c>
      <c r="AR29" s="72">
        <v>79791</v>
      </c>
      <c r="AS29" s="72">
        <v>60938</v>
      </c>
      <c r="AT29" s="72">
        <v>49466</v>
      </c>
      <c r="AU29" s="72">
        <v>58150</v>
      </c>
      <c r="AV29" s="72">
        <v>51952</v>
      </c>
      <c r="AW29" s="72">
        <v>63569</v>
      </c>
      <c r="AX29" s="72">
        <v>70192</v>
      </c>
      <c r="AY29" s="72">
        <v>72533</v>
      </c>
      <c r="AZ29" s="72">
        <v>67859</v>
      </c>
      <c r="BA29" s="72">
        <v>66911</v>
      </c>
      <c r="BB29" s="72">
        <v>89788</v>
      </c>
      <c r="BC29" s="72">
        <v>97035</v>
      </c>
      <c r="BD29" s="72">
        <v>96673</v>
      </c>
      <c r="BE29" s="72">
        <v>45359</v>
      </c>
      <c r="BF29" s="72">
        <v>37158</v>
      </c>
      <c r="BG29" s="72">
        <v>35994</v>
      </c>
      <c r="BH29" s="72">
        <v>28892</v>
      </c>
      <c r="BI29" s="72">
        <v>64769</v>
      </c>
      <c r="BJ29" s="72">
        <v>68141</v>
      </c>
      <c r="BK29" s="72">
        <v>86936</v>
      </c>
      <c r="BL29" s="72">
        <v>76920</v>
      </c>
      <c r="BM29" s="72">
        <v>69161</v>
      </c>
      <c r="BN29" s="72">
        <v>79160</v>
      </c>
      <c r="BO29" s="72">
        <v>104052</v>
      </c>
      <c r="BP29" s="72">
        <v>92315</v>
      </c>
      <c r="BQ29" s="72">
        <v>57166</v>
      </c>
      <c r="BR29" s="72">
        <v>60631</v>
      </c>
      <c r="BS29" s="72">
        <v>66543</v>
      </c>
      <c r="BT29" s="72">
        <v>67367</v>
      </c>
      <c r="BU29" s="72">
        <v>88419</v>
      </c>
      <c r="BV29" s="72">
        <v>88310</v>
      </c>
      <c r="BW29" s="72">
        <v>82427</v>
      </c>
      <c r="BX29" s="72">
        <v>80278</v>
      </c>
      <c r="BY29" s="72">
        <v>67698</v>
      </c>
      <c r="BZ29" s="72">
        <v>84114</v>
      </c>
      <c r="CA29" s="72">
        <v>124389</v>
      </c>
      <c r="CB29" s="72">
        <v>110894</v>
      </c>
      <c r="CC29" s="72">
        <v>80087</v>
      </c>
      <c r="CD29" s="72">
        <v>63115</v>
      </c>
      <c r="CE29" s="72">
        <v>72267</v>
      </c>
      <c r="CF29" s="72">
        <v>73430</v>
      </c>
      <c r="CG29" s="72">
        <v>85859</v>
      </c>
      <c r="CH29" s="72">
        <v>92480</v>
      </c>
      <c r="CI29" s="72">
        <v>91090</v>
      </c>
      <c r="CJ29" s="72">
        <v>78519</v>
      </c>
      <c r="CK29" s="72">
        <v>56991</v>
      </c>
      <c r="CL29" s="72">
        <v>59496</v>
      </c>
      <c r="CM29" s="72">
        <v>73207</v>
      </c>
      <c r="CN29" s="72">
        <v>78495</v>
      </c>
      <c r="CO29" s="72">
        <v>52423</v>
      </c>
      <c r="CP29" s="72">
        <v>41851</v>
      </c>
      <c r="CQ29" s="72">
        <v>42697</v>
      </c>
      <c r="CR29" s="72">
        <v>58494</v>
      </c>
      <c r="CS29" s="74">
        <v>29648</v>
      </c>
      <c r="CT29" s="74"/>
      <c r="CU29" s="74">
        <v>12319</v>
      </c>
      <c r="CV29" s="74">
        <v>39365</v>
      </c>
      <c r="CW29" s="74">
        <v>54275</v>
      </c>
      <c r="CX29" s="74">
        <v>65159</v>
      </c>
      <c r="CY29" s="74">
        <v>73369</v>
      </c>
      <c r="CZ29" s="74">
        <v>98807</v>
      </c>
      <c r="DA29" s="74">
        <v>74010</v>
      </c>
      <c r="DB29" s="74">
        <v>44774</v>
      </c>
      <c r="DC29" s="74">
        <v>53428</v>
      </c>
      <c r="DD29" s="74">
        <v>52665</v>
      </c>
      <c r="DE29" s="74">
        <v>59485</v>
      </c>
      <c r="DF29" s="74">
        <v>46963</v>
      </c>
      <c r="DG29" s="74">
        <v>32340</v>
      </c>
      <c r="DH29" s="74">
        <v>55843</v>
      </c>
      <c r="DI29" s="74">
        <v>54581</v>
      </c>
      <c r="DJ29" s="74">
        <v>46277</v>
      </c>
      <c r="DK29" s="74">
        <v>84767</v>
      </c>
      <c r="DL29" s="74">
        <v>94941</v>
      </c>
      <c r="DM29" s="74">
        <v>62367</v>
      </c>
      <c r="DN29" s="74">
        <v>51130</v>
      </c>
      <c r="DO29" s="74">
        <v>57810</v>
      </c>
      <c r="DP29" s="74">
        <v>53672</v>
      </c>
      <c r="DQ29" s="74">
        <v>66872</v>
      </c>
      <c r="DR29" s="74">
        <v>42657</v>
      </c>
      <c r="DS29" s="74">
        <v>56064</v>
      </c>
      <c r="DT29" s="74">
        <v>54002</v>
      </c>
      <c r="DU29" s="74">
        <v>62770</v>
      </c>
      <c r="DV29" s="74">
        <v>87414</v>
      </c>
      <c r="DW29" s="74">
        <v>102020</v>
      </c>
      <c r="DX29" s="74">
        <v>105400</v>
      </c>
      <c r="DY29" s="74">
        <v>76943</v>
      </c>
      <c r="DZ29" s="74">
        <v>63395</v>
      </c>
      <c r="EA29" s="74">
        <v>79394</v>
      </c>
      <c r="EB29" s="74">
        <v>89404</v>
      </c>
      <c r="EC29" s="74">
        <v>90913</v>
      </c>
      <c r="ED29" s="74">
        <v>102437</v>
      </c>
      <c r="EE29" s="74">
        <v>106437</v>
      </c>
      <c r="EF29" s="74">
        <v>87275</v>
      </c>
      <c r="EG29" s="74">
        <v>86142</v>
      </c>
      <c r="EH29" s="74">
        <v>89541</v>
      </c>
      <c r="EI29" s="74">
        <v>112952</v>
      </c>
      <c r="EJ29" s="74">
        <v>137964</v>
      </c>
      <c r="EK29" s="74">
        <v>115656</v>
      </c>
      <c r="EL29" s="74">
        <v>81802</v>
      </c>
      <c r="EM29" s="74">
        <v>101533</v>
      </c>
      <c r="EN29" s="74">
        <v>104301</v>
      </c>
      <c r="EO29" s="74">
        <v>97798</v>
      </c>
      <c r="EP29" s="74">
        <v>127186</v>
      </c>
      <c r="EQ29" s="74">
        <v>100364</v>
      </c>
      <c r="ER29" s="74">
        <v>91425</v>
      </c>
      <c r="ES29" s="74">
        <v>83788</v>
      </c>
      <c r="ET29" s="74">
        <v>88550</v>
      </c>
      <c r="EU29" s="74">
        <v>135715</v>
      </c>
      <c r="EV29" s="74">
        <v>149755</v>
      </c>
      <c r="EW29" s="74">
        <v>99523</v>
      </c>
      <c r="EX29" s="74">
        <v>53917</v>
      </c>
      <c r="EY29" s="74">
        <v>86197</v>
      </c>
      <c r="EZ29" s="74">
        <v>87529</v>
      </c>
      <c r="FA29" s="74">
        <v>100360</v>
      </c>
      <c r="FB29" s="74">
        <v>121420</v>
      </c>
      <c r="FC29" s="74">
        <v>113501</v>
      </c>
      <c r="FD29" s="74">
        <v>93468</v>
      </c>
      <c r="FE29" s="74">
        <v>91122</v>
      </c>
      <c r="FF29" s="74">
        <v>118378</v>
      </c>
      <c r="FG29" s="74">
        <v>145260</v>
      </c>
      <c r="FH29" s="74">
        <v>167617</v>
      </c>
      <c r="FI29" s="74">
        <v>118326</v>
      </c>
      <c r="FJ29" s="74">
        <v>92657</v>
      </c>
      <c r="FK29" s="43"/>
      <c r="FL29" s="43"/>
      <c r="FM29" s="43"/>
      <c r="FN29" s="75">
        <f t="shared" si="76"/>
        <v>0</v>
      </c>
      <c r="FO29" s="76">
        <f t="shared" si="77"/>
        <v>0</v>
      </c>
      <c r="FP29" s="76">
        <f t="shared" si="11"/>
        <v>0</v>
      </c>
      <c r="FQ29" s="76">
        <f t="shared" si="12"/>
        <v>0</v>
      </c>
      <c r="FR29" s="76">
        <f t="shared" si="13"/>
        <v>0</v>
      </c>
      <c r="FS29" s="76">
        <f t="shared" si="14"/>
        <v>0</v>
      </c>
      <c r="FT29" s="76">
        <f t="shared" si="15"/>
        <v>0</v>
      </c>
      <c r="FU29" s="76">
        <f t="shared" si="16"/>
        <v>0</v>
      </c>
      <c r="FV29" s="76">
        <f t="shared" si="17"/>
        <v>164119</v>
      </c>
      <c r="FW29" s="76">
        <f t="shared" si="18"/>
        <v>186495</v>
      </c>
      <c r="FX29" s="76">
        <f t="shared" si="19"/>
        <v>171401</v>
      </c>
      <c r="FY29" s="76">
        <f t="shared" si="20"/>
        <v>145610</v>
      </c>
      <c r="FZ29" s="76">
        <f t="shared" si="21"/>
        <v>175423</v>
      </c>
      <c r="GA29" s="76">
        <f t="shared" si="22"/>
        <v>172713</v>
      </c>
      <c r="GB29" s="76">
        <f t="shared" si="23"/>
        <v>190195</v>
      </c>
      <c r="GC29" s="76">
        <f t="shared" si="24"/>
        <v>173671</v>
      </c>
      <c r="GD29" s="76">
        <f t="shared" si="25"/>
        <v>210584</v>
      </c>
      <c r="GE29" s="76">
        <f t="shared" si="26"/>
        <v>253734</v>
      </c>
      <c r="GF29" s="76">
        <f t="shared" si="27"/>
        <v>179190</v>
      </c>
      <c r="GG29" s="76">
        <f t="shared" si="28"/>
        <v>129655</v>
      </c>
      <c r="GH29" s="76">
        <f t="shared" si="29"/>
        <v>231997</v>
      </c>
      <c r="GI29" s="76">
        <f t="shared" si="30"/>
        <v>252373</v>
      </c>
      <c r="GJ29" s="76">
        <f t="shared" si="31"/>
        <v>210112</v>
      </c>
      <c r="GK29" s="76">
        <f t="shared" si="32"/>
        <v>222329</v>
      </c>
      <c r="GL29" s="76">
        <f t="shared" si="33"/>
        <v>251015</v>
      </c>
      <c r="GM29" s="76">
        <f t="shared" si="34"/>
        <v>276201</v>
      </c>
      <c r="GN29" s="76">
        <f t="shared" si="35"/>
        <v>254096</v>
      </c>
      <c r="GO29" s="76">
        <f t="shared" si="36"/>
        <v>231556</v>
      </c>
      <c r="GP29" s="76">
        <f t="shared" si="37"/>
        <v>262089</v>
      </c>
      <c r="GQ29" s="76">
        <f t="shared" si="38"/>
        <v>189694</v>
      </c>
      <c r="GR29" s="76">
        <f t="shared" si="39"/>
        <v>172769</v>
      </c>
      <c r="GS29" s="76">
        <f t="shared" si="40"/>
        <v>130839</v>
      </c>
      <c r="GT29" s="76">
        <f t="shared" si="41"/>
        <v>51684</v>
      </c>
      <c r="GU29" s="76">
        <f t="shared" si="42"/>
        <v>192803</v>
      </c>
      <c r="GV29" s="76">
        <f t="shared" si="43"/>
        <v>217591</v>
      </c>
      <c r="GW29" s="76">
        <f t="shared" si="44"/>
        <v>165578</v>
      </c>
      <c r="GX29" s="76">
        <f t="shared" si="45"/>
        <v>135146</v>
      </c>
      <c r="GY29" s="76">
        <f t="shared" si="46"/>
        <v>185625</v>
      </c>
      <c r="GZ29" s="76">
        <f t="shared" si="80"/>
        <v>208438</v>
      </c>
      <c r="HA29" s="76">
        <f t="shared" si="81"/>
        <v>178354</v>
      </c>
      <c r="HB29" s="76">
        <f t="shared" si="82"/>
        <v>152723</v>
      </c>
      <c r="HC29" s="76">
        <f t="shared" si="83"/>
        <v>252204</v>
      </c>
      <c r="HD29" s="76">
        <f t="shared" si="84"/>
        <v>245738</v>
      </c>
      <c r="HE29" s="76">
        <f t="shared" si="85"/>
        <v>259711</v>
      </c>
      <c r="HF29" s="76">
        <f t="shared" si="86"/>
        <v>296149</v>
      </c>
      <c r="HG29" s="76">
        <f t="shared" si="87"/>
        <v>288635</v>
      </c>
      <c r="HH29" s="76">
        <f t="shared" si="88"/>
        <v>335422</v>
      </c>
      <c r="HI29" s="76">
        <f t="shared" si="89"/>
        <v>303632</v>
      </c>
      <c r="HJ29" s="76">
        <f t="shared" si="78"/>
        <v>318975</v>
      </c>
      <c r="HK29" s="76">
        <f t="shared" si="90"/>
        <v>308053</v>
      </c>
      <c r="HL29" s="76">
        <f t="shared" si="91"/>
        <v>303195</v>
      </c>
      <c r="HM29" s="76">
        <f t="shared" si="92"/>
        <v>274086</v>
      </c>
      <c r="HN29" s="76">
        <f t="shared" si="93"/>
        <v>328389</v>
      </c>
      <c r="HO29" s="76">
        <f t="shared" si="94"/>
        <v>354760</v>
      </c>
      <c r="HP29" s="76">
        <f t="shared" si="95"/>
        <v>378600</v>
      </c>
      <c r="HQ29" s="77"/>
      <c r="HR29" s="43"/>
      <c r="HS29" s="43"/>
      <c r="HT29" s="43"/>
      <c r="HU29" s="78">
        <f t="shared" si="63"/>
        <v>0</v>
      </c>
      <c r="HV29" s="78">
        <f t="shared" si="64"/>
        <v>0</v>
      </c>
      <c r="HW29" s="78">
        <f t="shared" si="65"/>
        <v>667625</v>
      </c>
      <c r="HX29" s="79">
        <f t="shared" si="66"/>
        <v>712002</v>
      </c>
      <c r="HY29" s="80">
        <f t="shared" si="67"/>
        <v>773163</v>
      </c>
      <c r="HZ29" s="80">
        <f t="shared" si="68"/>
        <v>916811</v>
      </c>
      <c r="IA29" s="80">
        <f t="shared" si="69"/>
        <v>1012868</v>
      </c>
      <c r="IB29" s="80">
        <f t="shared" si="70"/>
        <v>755391</v>
      </c>
      <c r="IC29" s="80">
        <f t="shared" si="71"/>
        <v>627656</v>
      </c>
      <c r="ID29" s="80">
        <f t="shared" si="96"/>
        <v>707563</v>
      </c>
      <c r="IE29" s="80">
        <f t="shared" si="97"/>
        <v>910376</v>
      </c>
      <c r="IF29" s="80">
        <f t="shared" si="98"/>
        <v>1223838</v>
      </c>
      <c r="IG29" s="80">
        <f t="shared" si="99"/>
        <v>1204309</v>
      </c>
    </row>
    <row r="30" spans="1:241" outlineLevel="2" x14ac:dyDescent="0.3">
      <c r="A30" s="63" t="s">
        <v>131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>
        <v>505</v>
      </c>
      <c r="BY30" s="58">
        <v>132</v>
      </c>
      <c r="BZ30" s="58">
        <v>122</v>
      </c>
      <c r="CA30" s="58">
        <v>231</v>
      </c>
      <c r="CB30" s="58">
        <v>264</v>
      </c>
      <c r="CC30" s="58">
        <v>118</v>
      </c>
      <c r="CD30" s="58">
        <v>131</v>
      </c>
      <c r="CE30" s="58">
        <v>126</v>
      </c>
      <c r="CF30" s="58">
        <v>90</v>
      </c>
      <c r="CG30" s="58">
        <v>12</v>
      </c>
      <c r="CH30" s="58">
        <v>0</v>
      </c>
      <c r="CI30" s="58">
        <v>0</v>
      </c>
      <c r="CJ30" s="58">
        <v>0</v>
      </c>
      <c r="CK30" s="58">
        <v>0</v>
      </c>
      <c r="CL30" s="58"/>
      <c r="CM30" s="58">
        <v>0</v>
      </c>
      <c r="CN30" s="58">
        <v>0</v>
      </c>
      <c r="CO30" s="58">
        <v>0</v>
      </c>
      <c r="CP30" s="58">
        <v>0</v>
      </c>
      <c r="CQ30" s="58">
        <v>0</v>
      </c>
      <c r="CR30" s="58"/>
      <c r="CS30" s="64">
        <v>0</v>
      </c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43"/>
      <c r="FL30" s="43"/>
      <c r="FM30" s="43"/>
      <c r="FN30" s="66">
        <f t="shared" si="76"/>
        <v>0</v>
      </c>
      <c r="FO30" s="67">
        <f t="shared" si="77"/>
        <v>0</v>
      </c>
      <c r="FP30" s="67">
        <f t="shared" si="11"/>
        <v>0</v>
      </c>
      <c r="FQ30" s="67">
        <f t="shared" si="12"/>
        <v>0</v>
      </c>
      <c r="FR30" s="67">
        <f t="shared" si="13"/>
        <v>0</v>
      </c>
      <c r="FS30" s="67">
        <f t="shared" si="14"/>
        <v>0</v>
      </c>
      <c r="FT30" s="67">
        <f t="shared" si="15"/>
        <v>0</v>
      </c>
      <c r="FU30" s="67">
        <f t="shared" si="16"/>
        <v>0</v>
      </c>
      <c r="FV30" s="67">
        <f t="shared" si="17"/>
        <v>0</v>
      </c>
      <c r="FW30" s="67">
        <f t="shared" si="18"/>
        <v>0</v>
      </c>
      <c r="FX30" s="67">
        <f t="shared" si="19"/>
        <v>0</v>
      </c>
      <c r="FY30" s="67">
        <f t="shared" si="20"/>
        <v>0</v>
      </c>
      <c r="FZ30" s="67">
        <f t="shared" si="21"/>
        <v>0</v>
      </c>
      <c r="GA30" s="67">
        <f t="shared" si="22"/>
        <v>0</v>
      </c>
      <c r="GB30" s="67">
        <f t="shared" si="23"/>
        <v>0</v>
      </c>
      <c r="GC30" s="67">
        <f t="shared" si="24"/>
        <v>0</v>
      </c>
      <c r="GD30" s="67">
        <f t="shared" si="25"/>
        <v>0</v>
      </c>
      <c r="GE30" s="67">
        <f t="shared" si="26"/>
        <v>0</v>
      </c>
      <c r="GF30" s="67">
        <f t="shared" si="27"/>
        <v>0</v>
      </c>
      <c r="GG30" s="67">
        <f t="shared" si="28"/>
        <v>0</v>
      </c>
      <c r="GH30" s="67">
        <f t="shared" si="29"/>
        <v>0</v>
      </c>
      <c r="GI30" s="67">
        <f t="shared" si="30"/>
        <v>0</v>
      </c>
      <c r="GJ30" s="67">
        <f t="shared" si="31"/>
        <v>0</v>
      </c>
      <c r="GK30" s="67">
        <f t="shared" si="32"/>
        <v>0</v>
      </c>
      <c r="GL30" s="67">
        <f t="shared" si="33"/>
        <v>505</v>
      </c>
      <c r="GM30" s="67">
        <f t="shared" si="34"/>
        <v>485</v>
      </c>
      <c r="GN30" s="67">
        <f t="shared" si="35"/>
        <v>513</v>
      </c>
      <c r="GO30" s="67">
        <f t="shared" si="36"/>
        <v>228</v>
      </c>
      <c r="GP30" s="67">
        <f t="shared" si="37"/>
        <v>0</v>
      </c>
      <c r="GQ30" s="67">
        <f t="shared" si="38"/>
        <v>0</v>
      </c>
      <c r="GR30" s="67">
        <f t="shared" si="39"/>
        <v>0</v>
      </c>
      <c r="GS30" s="67">
        <f t="shared" si="40"/>
        <v>0</v>
      </c>
      <c r="GT30" s="67">
        <f t="shared" si="41"/>
        <v>0</v>
      </c>
      <c r="GU30" s="67">
        <f t="shared" si="42"/>
        <v>0</v>
      </c>
      <c r="GV30" s="67">
        <f t="shared" si="43"/>
        <v>0</v>
      </c>
      <c r="GW30" s="67">
        <f t="shared" si="44"/>
        <v>0</v>
      </c>
      <c r="GX30" s="67">
        <f t="shared" si="45"/>
        <v>0</v>
      </c>
      <c r="GY30" s="67">
        <f t="shared" si="46"/>
        <v>0</v>
      </c>
      <c r="GZ30" s="67">
        <f t="shared" si="80"/>
        <v>0</v>
      </c>
      <c r="HA30" s="67">
        <f t="shared" si="81"/>
        <v>0</v>
      </c>
      <c r="HB30" s="67">
        <f t="shared" si="82"/>
        <v>0</v>
      </c>
      <c r="HC30" s="67">
        <f t="shared" si="83"/>
        <v>0</v>
      </c>
      <c r="HD30" s="67">
        <f t="shared" si="84"/>
        <v>0</v>
      </c>
      <c r="HE30" s="67">
        <f t="shared" si="85"/>
        <v>0</v>
      </c>
      <c r="HF30" s="67">
        <f t="shared" si="86"/>
        <v>0</v>
      </c>
      <c r="HG30" s="67">
        <f t="shared" si="87"/>
        <v>0</v>
      </c>
      <c r="HH30" s="67">
        <f t="shared" si="88"/>
        <v>0</v>
      </c>
      <c r="HI30" s="67">
        <f t="shared" si="89"/>
        <v>0</v>
      </c>
      <c r="HJ30" s="67">
        <f t="shared" si="78"/>
        <v>0</v>
      </c>
      <c r="HK30" s="67">
        <f t="shared" si="90"/>
        <v>0</v>
      </c>
      <c r="HL30" s="67">
        <f t="shared" si="91"/>
        <v>0</v>
      </c>
      <c r="HM30" s="67">
        <f t="shared" si="92"/>
        <v>0</v>
      </c>
      <c r="HN30" s="67">
        <f t="shared" si="93"/>
        <v>0</v>
      </c>
      <c r="HO30" s="67">
        <f t="shared" si="94"/>
        <v>0</v>
      </c>
      <c r="HP30" s="67">
        <f t="shared" si="95"/>
        <v>0</v>
      </c>
      <c r="HQ30" s="60"/>
      <c r="HR30" s="43"/>
      <c r="HS30" s="43"/>
      <c r="HT30" s="43"/>
      <c r="HU30" s="68">
        <f t="shared" si="63"/>
        <v>0</v>
      </c>
      <c r="HV30" s="68">
        <f t="shared" si="64"/>
        <v>0</v>
      </c>
      <c r="HW30" s="68">
        <f t="shared" si="65"/>
        <v>0</v>
      </c>
      <c r="HX30" s="69">
        <f t="shared" si="66"/>
        <v>0</v>
      </c>
      <c r="HY30" s="70">
        <f t="shared" si="67"/>
        <v>0</v>
      </c>
      <c r="HZ30" s="70">
        <f t="shared" si="68"/>
        <v>0</v>
      </c>
      <c r="IA30" s="70">
        <f t="shared" si="69"/>
        <v>1731</v>
      </c>
      <c r="IB30" s="70">
        <f t="shared" si="70"/>
        <v>0</v>
      </c>
      <c r="IC30" s="70">
        <f t="shared" si="71"/>
        <v>0</v>
      </c>
      <c r="ID30" s="70">
        <f t="shared" si="96"/>
        <v>0</v>
      </c>
      <c r="IE30" s="70">
        <f t="shared" si="97"/>
        <v>0</v>
      </c>
      <c r="IF30" s="70">
        <f t="shared" si="98"/>
        <v>0</v>
      </c>
      <c r="IG30" s="70">
        <f t="shared" si="99"/>
        <v>0</v>
      </c>
    </row>
    <row r="31" spans="1:241" outlineLevel="2" x14ac:dyDescent="0.3">
      <c r="A31" s="81" t="s">
        <v>125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>
        <v>911908</v>
      </c>
      <c r="AA31" s="72">
        <v>984469</v>
      </c>
      <c r="AB31" s="72">
        <v>876196</v>
      </c>
      <c r="AC31" s="72">
        <v>859290</v>
      </c>
      <c r="AD31" s="72">
        <v>910312</v>
      </c>
      <c r="AE31" s="72">
        <v>1056509</v>
      </c>
      <c r="AF31" s="72">
        <v>1008761</v>
      </c>
      <c r="AG31" s="72">
        <v>853257</v>
      </c>
      <c r="AH31" s="72">
        <v>779908</v>
      </c>
      <c r="AI31" s="72">
        <v>868505</v>
      </c>
      <c r="AJ31" s="72">
        <v>774122</v>
      </c>
      <c r="AK31" s="72">
        <v>859521</v>
      </c>
      <c r="AL31" s="72">
        <v>881751</v>
      </c>
      <c r="AM31" s="72">
        <v>953322</v>
      </c>
      <c r="AN31" s="72">
        <v>877696</v>
      </c>
      <c r="AO31" s="72">
        <v>808332</v>
      </c>
      <c r="AP31" s="72">
        <v>823053</v>
      </c>
      <c r="AQ31" s="72">
        <v>1020237</v>
      </c>
      <c r="AR31" s="72">
        <v>1065856</v>
      </c>
      <c r="AS31" s="72">
        <v>866705</v>
      </c>
      <c r="AT31" s="72">
        <v>724807</v>
      </c>
      <c r="AU31" s="72">
        <v>872325</v>
      </c>
      <c r="AV31" s="72">
        <v>859624</v>
      </c>
      <c r="AW31" s="72">
        <v>946758</v>
      </c>
      <c r="AX31" s="72">
        <v>1024895</v>
      </c>
      <c r="AY31" s="72">
        <v>984715</v>
      </c>
      <c r="AZ31" s="72">
        <v>943706</v>
      </c>
      <c r="BA31" s="72">
        <v>897084</v>
      </c>
      <c r="BB31" s="72">
        <v>1005654</v>
      </c>
      <c r="BC31" s="72">
        <v>1186759</v>
      </c>
      <c r="BD31" s="72">
        <v>1144512</v>
      </c>
      <c r="BE31" s="72">
        <v>778173</v>
      </c>
      <c r="BF31" s="72">
        <v>561710</v>
      </c>
      <c r="BG31" s="72">
        <v>819385</v>
      </c>
      <c r="BH31" s="72">
        <v>832695</v>
      </c>
      <c r="BI31" s="72">
        <v>915259</v>
      </c>
      <c r="BJ31" s="72">
        <v>1029972</v>
      </c>
      <c r="BK31" s="72">
        <v>1060746</v>
      </c>
      <c r="BL31" s="72">
        <v>964269</v>
      </c>
      <c r="BM31" s="72">
        <v>1048657</v>
      </c>
      <c r="BN31" s="72">
        <v>1135699</v>
      </c>
      <c r="BO31" s="72">
        <v>1269612</v>
      </c>
      <c r="BP31" s="72">
        <v>1104498</v>
      </c>
      <c r="BQ31" s="72">
        <v>959122</v>
      </c>
      <c r="BR31" s="72">
        <v>788156</v>
      </c>
      <c r="BS31" s="72">
        <v>1054062</v>
      </c>
      <c r="BT31" s="72">
        <v>1053230</v>
      </c>
      <c r="BU31" s="72">
        <v>1145221</v>
      </c>
      <c r="BV31" s="72">
        <v>1229526</v>
      </c>
      <c r="BW31" s="72">
        <v>1221559</v>
      </c>
      <c r="BX31" s="72">
        <v>1199332</v>
      </c>
      <c r="BY31" s="72">
        <v>1150995</v>
      </c>
      <c r="BZ31" s="72">
        <v>1206512</v>
      </c>
      <c r="CA31" s="72">
        <v>1360415</v>
      </c>
      <c r="CB31" s="72">
        <v>1327758</v>
      </c>
      <c r="CC31" s="72">
        <v>1049659</v>
      </c>
      <c r="CD31" s="72">
        <v>793061</v>
      </c>
      <c r="CE31" s="72">
        <v>1027810</v>
      </c>
      <c r="CF31" s="72">
        <v>1047486</v>
      </c>
      <c r="CG31" s="72">
        <v>982385</v>
      </c>
      <c r="CH31" s="72">
        <f>SUM(CH18:CH30)</f>
        <v>1084811</v>
      </c>
      <c r="CI31" s="72">
        <f>SUM(CI18:CI30)</f>
        <v>1162373</v>
      </c>
      <c r="CJ31" s="72">
        <f>SUM(CJ18:CJ30)</f>
        <v>1084778</v>
      </c>
      <c r="CK31" s="72">
        <f>SUM(CK18:CK30)</f>
        <v>933996</v>
      </c>
      <c r="CL31" s="72">
        <f>SUM(CL18:CL30)</f>
        <v>937486</v>
      </c>
      <c r="CM31" s="72">
        <v>1043624</v>
      </c>
      <c r="CN31" s="72">
        <v>1116970</v>
      </c>
      <c r="CO31" s="72">
        <v>893538</v>
      </c>
      <c r="CP31" s="72">
        <v>697819</v>
      </c>
      <c r="CQ31" s="72">
        <v>871886</v>
      </c>
      <c r="CR31" s="72">
        <v>816679</v>
      </c>
      <c r="CS31" s="74">
        <v>570860</v>
      </c>
      <c r="CT31" s="74"/>
      <c r="CU31" s="74">
        <v>197378</v>
      </c>
      <c r="CV31" s="74">
        <v>702970</v>
      </c>
      <c r="CW31" s="74">
        <v>888520</v>
      </c>
      <c r="CX31" s="74">
        <v>1032476</v>
      </c>
      <c r="CY31" s="74">
        <v>1224117</v>
      </c>
      <c r="CZ31" s="74">
        <v>1382749</v>
      </c>
      <c r="DA31" s="74">
        <v>1026705</v>
      </c>
      <c r="DB31" s="74">
        <v>744237</v>
      </c>
      <c r="DC31" s="74">
        <v>916365</v>
      </c>
      <c r="DD31" s="74">
        <v>910323</v>
      </c>
      <c r="DE31" s="74">
        <v>993996</v>
      </c>
      <c r="DF31" s="74">
        <v>667841</v>
      </c>
      <c r="DG31" s="74">
        <v>295257</v>
      </c>
      <c r="DH31" s="74">
        <v>777100</v>
      </c>
      <c r="DI31" s="74">
        <v>837096</v>
      </c>
      <c r="DJ31" s="74">
        <v>825849</v>
      </c>
      <c r="DK31" s="74">
        <v>948161</v>
      </c>
      <c r="DL31" s="74">
        <v>1017874</v>
      </c>
      <c r="DM31" s="74">
        <v>699949</v>
      </c>
      <c r="DN31" s="74">
        <f>+SUM(DN17:DN30)</f>
        <v>726587</v>
      </c>
      <c r="DO31" s="74">
        <f>+SUM(DO17:DO30)</f>
        <v>743804</v>
      </c>
      <c r="DP31" s="74">
        <f>+SUM(DP17:DP30)</f>
        <v>658009</v>
      </c>
      <c r="DQ31" s="74">
        <f>+SUM(DQ17:DQ30)</f>
        <v>786479</v>
      </c>
      <c r="DR31" s="74">
        <v>735360</v>
      </c>
      <c r="DS31" s="74">
        <f>+SUM(DS17:DS30)</f>
        <v>819940</v>
      </c>
      <c r="DT31" s="74">
        <f>+SUM(DT17:DT30)</f>
        <v>849928</v>
      </c>
      <c r="DU31" s="74">
        <v>870028</v>
      </c>
      <c r="DV31" s="74">
        <v>1016794</v>
      </c>
      <c r="DW31" s="74">
        <v>1114667</v>
      </c>
      <c r="DX31" s="74">
        <v>1020295</v>
      </c>
      <c r="DY31" s="74">
        <v>788893</v>
      </c>
      <c r="DZ31" s="74">
        <v>723593</v>
      </c>
      <c r="EA31" s="74">
        <v>771621</v>
      </c>
      <c r="EB31" s="74">
        <v>703261</v>
      </c>
      <c r="EC31" s="74">
        <v>816122</v>
      </c>
      <c r="ED31" s="74">
        <v>839274</v>
      </c>
      <c r="EE31" s="74">
        <v>989120</v>
      </c>
      <c r="EF31" s="74">
        <v>908954</v>
      </c>
      <c r="EG31" s="74">
        <v>817206</v>
      </c>
      <c r="EH31" s="74">
        <v>980809</v>
      </c>
      <c r="EI31" s="74">
        <v>1115764</v>
      </c>
      <c r="EJ31" s="74">
        <v>1252835</v>
      </c>
      <c r="EK31" s="74">
        <v>1070798</v>
      </c>
      <c r="EL31" s="74">
        <v>768402</v>
      </c>
      <c r="EM31" s="74">
        <v>965613</v>
      </c>
      <c r="EN31" s="74">
        <v>964362</v>
      </c>
      <c r="EO31" s="74">
        <v>980100</v>
      </c>
      <c r="EP31" s="74">
        <v>1128192</v>
      </c>
      <c r="EQ31" s="74">
        <v>1038824</v>
      </c>
      <c r="ER31" s="74">
        <v>1030906</v>
      </c>
      <c r="ES31" s="74">
        <v>850489</v>
      </c>
      <c r="ET31" s="74">
        <v>1060866</v>
      </c>
      <c r="EU31" s="74">
        <v>1298610</v>
      </c>
      <c r="EV31" s="74">
        <v>1390696</v>
      </c>
      <c r="EW31" s="74">
        <v>990246</v>
      </c>
      <c r="EX31" s="74">
        <v>653808</v>
      </c>
      <c r="EY31" s="74">
        <v>936145</v>
      </c>
      <c r="EZ31" s="74">
        <v>838250</v>
      </c>
      <c r="FA31" s="74">
        <v>1035273</v>
      </c>
      <c r="FB31" s="74">
        <v>871666</v>
      </c>
      <c r="FC31" s="74">
        <v>1039156</v>
      </c>
      <c r="FD31" s="74">
        <v>992627</v>
      </c>
      <c r="FE31" s="74">
        <v>890107</v>
      </c>
      <c r="FF31" s="74">
        <v>1106638</v>
      </c>
      <c r="FG31" s="74">
        <v>1373750</v>
      </c>
      <c r="FH31" s="74">
        <v>1335468</v>
      </c>
      <c r="FI31" s="74">
        <v>1163751</v>
      </c>
      <c r="FJ31" s="74">
        <v>900159</v>
      </c>
      <c r="FK31" s="43"/>
      <c r="FL31" s="43"/>
      <c r="FM31" s="43"/>
      <c r="FN31" s="75">
        <f t="shared" si="76"/>
        <v>0</v>
      </c>
      <c r="FO31" s="76">
        <f t="shared" si="77"/>
        <v>0</v>
      </c>
      <c r="FP31" s="76">
        <f t="shared" si="11"/>
        <v>0</v>
      </c>
      <c r="FQ31" s="76">
        <f t="shared" si="12"/>
        <v>0</v>
      </c>
      <c r="FR31" s="76">
        <f t="shared" si="13"/>
        <v>0</v>
      </c>
      <c r="FS31" s="76">
        <f t="shared" si="14"/>
        <v>0</v>
      </c>
      <c r="FT31" s="76">
        <f t="shared" si="15"/>
        <v>0</v>
      </c>
      <c r="FU31" s="76">
        <f t="shared" si="16"/>
        <v>0</v>
      </c>
      <c r="FV31" s="76">
        <f t="shared" si="17"/>
        <v>2772573</v>
      </c>
      <c r="FW31" s="76">
        <f t="shared" si="18"/>
        <v>2826111</v>
      </c>
      <c r="FX31" s="76">
        <f t="shared" si="19"/>
        <v>2641926</v>
      </c>
      <c r="FY31" s="76">
        <f t="shared" si="20"/>
        <v>2502148</v>
      </c>
      <c r="FZ31" s="76">
        <f t="shared" si="21"/>
        <v>2712769</v>
      </c>
      <c r="GA31" s="76">
        <f t="shared" si="22"/>
        <v>2651622</v>
      </c>
      <c r="GB31" s="76">
        <f t="shared" si="23"/>
        <v>2657368</v>
      </c>
      <c r="GC31" s="76">
        <f t="shared" si="24"/>
        <v>2678707</v>
      </c>
      <c r="GD31" s="76">
        <f t="shared" si="25"/>
        <v>2953316</v>
      </c>
      <c r="GE31" s="76">
        <f t="shared" si="26"/>
        <v>3089497</v>
      </c>
      <c r="GF31" s="76">
        <f t="shared" si="27"/>
        <v>2484395</v>
      </c>
      <c r="GG31" s="76">
        <f t="shared" si="28"/>
        <v>2567339</v>
      </c>
      <c r="GH31" s="76">
        <f t="shared" si="29"/>
        <v>3054987</v>
      </c>
      <c r="GI31" s="76">
        <f t="shared" si="30"/>
        <v>3453968</v>
      </c>
      <c r="GJ31" s="76">
        <f t="shared" si="31"/>
        <v>2851776</v>
      </c>
      <c r="GK31" s="76">
        <f t="shared" si="32"/>
        <v>3252513</v>
      </c>
      <c r="GL31" s="76">
        <f t="shared" si="33"/>
        <v>3650417</v>
      </c>
      <c r="GM31" s="76">
        <f t="shared" si="34"/>
        <v>3717922</v>
      </c>
      <c r="GN31" s="76">
        <f t="shared" si="35"/>
        <v>3170478</v>
      </c>
      <c r="GO31" s="76">
        <f t="shared" si="36"/>
        <v>3057681</v>
      </c>
      <c r="GP31" s="76">
        <f t="shared" si="37"/>
        <v>3331962</v>
      </c>
      <c r="GQ31" s="76">
        <f t="shared" si="38"/>
        <v>2915106</v>
      </c>
      <c r="GR31" s="76">
        <f t="shared" si="39"/>
        <v>2708327</v>
      </c>
      <c r="GS31" s="76">
        <f t="shared" si="40"/>
        <v>2259425</v>
      </c>
      <c r="GT31" s="76">
        <f t="shared" si="41"/>
        <v>900348</v>
      </c>
      <c r="GU31" s="76">
        <f t="shared" si="42"/>
        <v>3145113</v>
      </c>
      <c r="GV31" s="76">
        <f t="shared" si="43"/>
        <v>3153691</v>
      </c>
      <c r="GW31" s="76">
        <f t="shared" si="44"/>
        <v>2820684</v>
      </c>
      <c r="GX31" s="76">
        <f t="shared" si="45"/>
        <v>1740198</v>
      </c>
      <c r="GY31" s="76">
        <f t="shared" si="46"/>
        <v>2611106</v>
      </c>
      <c r="GZ31" s="76">
        <f t="shared" si="80"/>
        <v>2444410</v>
      </c>
      <c r="HA31" s="76">
        <f t="shared" si="81"/>
        <v>2188292</v>
      </c>
      <c r="HB31" s="76">
        <f t="shared" si="82"/>
        <v>2405228</v>
      </c>
      <c r="HC31" s="76">
        <f t="shared" si="83"/>
        <v>3001489</v>
      </c>
      <c r="HD31" s="76">
        <f t="shared" si="84"/>
        <v>2532781</v>
      </c>
      <c r="HE31" s="76">
        <f t="shared" si="85"/>
        <v>2291004</v>
      </c>
      <c r="HF31" s="76">
        <f t="shared" si="86"/>
        <v>2737348</v>
      </c>
      <c r="HG31" s="76">
        <f t="shared" si="87"/>
        <v>2913779</v>
      </c>
      <c r="HH31" s="76">
        <f t="shared" si="88"/>
        <v>3092035</v>
      </c>
      <c r="HI31" s="76">
        <f t="shared" si="89"/>
        <v>2910075</v>
      </c>
      <c r="HJ31" s="76">
        <f t="shared" si="78"/>
        <v>3197922</v>
      </c>
      <c r="HK31" s="76">
        <f t="shared" si="90"/>
        <v>3209965</v>
      </c>
      <c r="HL31" s="76">
        <f t="shared" si="91"/>
        <v>3034750</v>
      </c>
      <c r="HM31" s="76">
        <f t="shared" si="92"/>
        <v>2809668</v>
      </c>
      <c r="HN31" s="76">
        <f t="shared" si="93"/>
        <v>2903449</v>
      </c>
      <c r="HO31" s="76">
        <f t="shared" si="94"/>
        <v>3370495</v>
      </c>
      <c r="HP31" s="76">
        <f t="shared" si="95"/>
        <v>3399378</v>
      </c>
      <c r="HQ31" s="77"/>
      <c r="HR31" s="43"/>
      <c r="HS31" s="43"/>
      <c r="HT31" s="43"/>
      <c r="HU31" s="78">
        <f t="shared" si="63"/>
        <v>0</v>
      </c>
      <c r="HV31" s="78">
        <f t="shared" si="64"/>
        <v>0</v>
      </c>
      <c r="HW31" s="78">
        <f t="shared" si="65"/>
        <v>10742758</v>
      </c>
      <c r="HX31" s="79">
        <f t="shared" si="66"/>
        <v>10700466</v>
      </c>
      <c r="HY31" s="80">
        <f t="shared" si="67"/>
        <v>11094547</v>
      </c>
      <c r="HZ31" s="80">
        <f t="shared" si="68"/>
        <v>12613244</v>
      </c>
      <c r="IA31" s="80">
        <f t="shared" si="69"/>
        <v>13596498</v>
      </c>
      <c r="IB31" s="80">
        <f t="shared" si="70"/>
        <v>11214820</v>
      </c>
      <c r="IC31" s="80">
        <f t="shared" si="71"/>
        <v>10019836</v>
      </c>
      <c r="ID31" s="80">
        <f t="shared" si="96"/>
        <v>8984006</v>
      </c>
      <c r="IE31" s="80">
        <f t="shared" si="97"/>
        <v>10230502</v>
      </c>
      <c r="IF31" s="80">
        <f t="shared" si="98"/>
        <v>11653237</v>
      </c>
      <c r="IG31" s="80">
        <f t="shared" si="99"/>
        <v>12252305</v>
      </c>
    </row>
    <row r="32" spans="1:241" outlineLevel="2" x14ac:dyDescent="0.3">
      <c r="A32" s="57" t="s">
        <v>132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9"/>
      <c r="CL32" s="59"/>
      <c r="CM32" s="59"/>
      <c r="CN32" s="59"/>
      <c r="CO32" s="59"/>
      <c r="CP32" s="59"/>
      <c r="CQ32" s="59"/>
      <c r="CR32" s="59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  <c r="FK32" s="43"/>
      <c r="FL32" s="43"/>
      <c r="FM32" s="43"/>
      <c r="FN32" s="66">
        <f t="shared" si="76"/>
        <v>0</v>
      </c>
      <c r="FO32" s="67">
        <f t="shared" si="77"/>
        <v>0</v>
      </c>
      <c r="FP32" s="67">
        <f t="shared" si="11"/>
        <v>0</v>
      </c>
      <c r="FQ32" s="67">
        <f t="shared" si="12"/>
        <v>0</v>
      </c>
      <c r="FR32" s="67">
        <f t="shared" si="13"/>
        <v>0</v>
      </c>
      <c r="FS32" s="67">
        <f t="shared" si="14"/>
        <v>0</v>
      </c>
      <c r="FT32" s="67">
        <f t="shared" si="15"/>
        <v>0</v>
      </c>
      <c r="FU32" s="67">
        <f t="shared" si="16"/>
        <v>0</v>
      </c>
      <c r="FV32" s="67">
        <f t="shared" si="17"/>
        <v>0</v>
      </c>
      <c r="FW32" s="67">
        <f t="shared" si="18"/>
        <v>0</v>
      </c>
      <c r="FX32" s="67">
        <f t="shared" si="19"/>
        <v>0</v>
      </c>
      <c r="FY32" s="67">
        <f t="shared" si="20"/>
        <v>0</v>
      </c>
      <c r="FZ32" s="67">
        <f t="shared" si="21"/>
        <v>0</v>
      </c>
      <c r="GA32" s="67">
        <f t="shared" si="22"/>
        <v>0</v>
      </c>
      <c r="GB32" s="67">
        <f t="shared" si="23"/>
        <v>0</v>
      </c>
      <c r="GC32" s="67">
        <f t="shared" si="24"/>
        <v>0</v>
      </c>
      <c r="GD32" s="67">
        <f t="shared" si="25"/>
        <v>0</v>
      </c>
      <c r="GE32" s="67">
        <f t="shared" si="26"/>
        <v>0</v>
      </c>
      <c r="GF32" s="67">
        <f t="shared" si="27"/>
        <v>0</v>
      </c>
      <c r="GG32" s="67">
        <f t="shared" si="28"/>
        <v>0</v>
      </c>
      <c r="GH32" s="67">
        <f t="shared" si="29"/>
        <v>0</v>
      </c>
      <c r="GI32" s="67">
        <f t="shared" si="30"/>
        <v>0</v>
      </c>
      <c r="GJ32" s="67">
        <f t="shared" si="31"/>
        <v>0</v>
      </c>
      <c r="GK32" s="67">
        <f t="shared" si="32"/>
        <v>0</v>
      </c>
      <c r="GL32" s="67">
        <f t="shared" si="33"/>
        <v>0</v>
      </c>
      <c r="GM32" s="67">
        <f t="shared" si="34"/>
        <v>0</v>
      </c>
      <c r="GN32" s="67">
        <f t="shared" si="35"/>
        <v>0</v>
      </c>
      <c r="GO32" s="67">
        <f t="shared" si="36"/>
        <v>0</v>
      </c>
      <c r="GP32" s="67">
        <f t="shared" si="37"/>
        <v>0</v>
      </c>
      <c r="GQ32" s="67">
        <f t="shared" si="38"/>
        <v>0</v>
      </c>
      <c r="GR32" s="67">
        <f t="shared" si="39"/>
        <v>0</v>
      </c>
      <c r="GS32" s="67">
        <f t="shared" si="40"/>
        <v>0</v>
      </c>
      <c r="GT32" s="67">
        <f t="shared" si="41"/>
        <v>0</v>
      </c>
      <c r="GU32" s="67">
        <f t="shared" si="42"/>
        <v>0</v>
      </c>
      <c r="GV32" s="67">
        <f t="shared" si="43"/>
        <v>0</v>
      </c>
      <c r="GW32" s="67">
        <f t="shared" si="44"/>
        <v>0</v>
      </c>
      <c r="GX32" s="67">
        <f t="shared" si="45"/>
        <v>0</v>
      </c>
      <c r="GY32" s="67">
        <f t="shared" si="46"/>
        <v>0</v>
      </c>
      <c r="GZ32" s="67">
        <f t="shared" si="80"/>
        <v>0</v>
      </c>
      <c r="HA32" s="67">
        <f t="shared" si="81"/>
        <v>0</v>
      </c>
      <c r="HB32" s="67">
        <f t="shared" si="82"/>
        <v>0</v>
      </c>
      <c r="HC32" s="67">
        <f t="shared" si="83"/>
        <v>0</v>
      </c>
      <c r="HD32" s="67">
        <f t="shared" si="84"/>
        <v>0</v>
      </c>
      <c r="HE32" s="67">
        <f t="shared" si="85"/>
        <v>0</v>
      </c>
      <c r="HF32" s="67">
        <f t="shared" si="86"/>
        <v>0</v>
      </c>
      <c r="HG32" s="67">
        <f t="shared" si="87"/>
        <v>0</v>
      </c>
      <c r="HH32" s="67">
        <f t="shared" si="88"/>
        <v>0</v>
      </c>
      <c r="HI32" s="67">
        <f t="shared" si="89"/>
        <v>0</v>
      </c>
      <c r="HJ32" s="67">
        <f t="shared" si="78"/>
        <v>0</v>
      </c>
      <c r="HK32" s="67">
        <f t="shared" si="90"/>
        <v>0</v>
      </c>
      <c r="HL32" s="67">
        <f t="shared" si="91"/>
        <v>0</v>
      </c>
      <c r="HM32" s="67">
        <f t="shared" si="92"/>
        <v>0</v>
      </c>
      <c r="HN32" s="67">
        <f t="shared" si="93"/>
        <v>0</v>
      </c>
      <c r="HO32" s="67">
        <f t="shared" si="94"/>
        <v>0</v>
      </c>
      <c r="HP32" s="67">
        <f t="shared" si="95"/>
        <v>0</v>
      </c>
      <c r="HQ32" s="60"/>
      <c r="HR32" s="43"/>
      <c r="HS32" s="43"/>
      <c r="HT32" s="43"/>
      <c r="HU32" s="68">
        <f t="shared" si="63"/>
        <v>0</v>
      </c>
      <c r="HV32" s="68">
        <f t="shared" si="64"/>
        <v>0</v>
      </c>
      <c r="HW32" s="68">
        <f t="shared" si="65"/>
        <v>0</v>
      </c>
      <c r="HX32" s="69">
        <f t="shared" si="66"/>
        <v>0</v>
      </c>
      <c r="HY32" s="70">
        <f t="shared" si="67"/>
        <v>0</v>
      </c>
      <c r="HZ32" s="70">
        <f t="shared" si="68"/>
        <v>0</v>
      </c>
      <c r="IA32" s="70">
        <f t="shared" si="69"/>
        <v>0</v>
      </c>
      <c r="IB32" s="70">
        <f t="shared" si="70"/>
        <v>0</v>
      </c>
      <c r="IC32" s="70">
        <f t="shared" si="71"/>
        <v>0</v>
      </c>
      <c r="ID32" s="70">
        <f t="shared" si="96"/>
        <v>0</v>
      </c>
      <c r="IE32" s="70">
        <f t="shared" si="97"/>
        <v>0</v>
      </c>
      <c r="IF32" s="70">
        <f t="shared" si="98"/>
        <v>0</v>
      </c>
      <c r="IG32" s="70">
        <f t="shared" si="99"/>
        <v>0</v>
      </c>
    </row>
    <row r="33" spans="1:241" outlineLevel="2" x14ac:dyDescent="0.3">
      <c r="A33" s="71" t="s">
        <v>124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>
        <v>62859</v>
      </c>
      <c r="AA33" s="72">
        <v>60797</v>
      </c>
      <c r="AB33" s="72">
        <v>62215</v>
      </c>
      <c r="AC33" s="72">
        <v>56036</v>
      </c>
      <c r="AD33" s="72">
        <v>65871</v>
      </c>
      <c r="AE33" s="72">
        <v>72372</v>
      </c>
      <c r="AF33" s="72">
        <v>69066</v>
      </c>
      <c r="AG33" s="72">
        <v>61630</v>
      </c>
      <c r="AH33" s="72">
        <v>58929</v>
      </c>
      <c r="AI33" s="72">
        <v>54531</v>
      </c>
      <c r="AJ33" s="72">
        <v>63435</v>
      </c>
      <c r="AK33" s="72">
        <v>67762</v>
      </c>
      <c r="AL33" s="72">
        <v>60561</v>
      </c>
      <c r="AM33" s="72">
        <v>63555</v>
      </c>
      <c r="AN33" s="72">
        <v>59304</v>
      </c>
      <c r="AO33" s="72">
        <v>59863</v>
      </c>
      <c r="AP33" s="72">
        <v>55132</v>
      </c>
      <c r="AQ33" s="72">
        <v>54559</v>
      </c>
      <c r="AR33" s="72">
        <v>65241</v>
      </c>
      <c r="AS33" s="72">
        <v>57832</v>
      </c>
      <c r="AT33" s="72">
        <v>56521</v>
      </c>
      <c r="AU33" s="72">
        <v>53849</v>
      </c>
      <c r="AV33" s="72">
        <v>66432</v>
      </c>
      <c r="AW33" s="72">
        <v>70918</v>
      </c>
      <c r="AX33" s="72">
        <v>67045</v>
      </c>
      <c r="AY33" s="72">
        <v>75406</v>
      </c>
      <c r="AZ33" s="72">
        <v>74750</v>
      </c>
      <c r="BA33" s="72">
        <v>74990</v>
      </c>
      <c r="BB33" s="72">
        <v>75435</v>
      </c>
      <c r="BC33" s="72">
        <v>78405</v>
      </c>
      <c r="BD33" s="72">
        <v>87746</v>
      </c>
      <c r="BE33" s="72">
        <v>76381</v>
      </c>
      <c r="BF33" s="72">
        <v>64161</v>
      </c>
      <c r="BG33" s="72">
        <v>69373</v>
      </c>
      <c r="BH33" s="72">
        <v>77053</v>
      </c>
      <c r="BI33" s="72">
        <v>69773</v>
      </c>
      <c r="BJ33" s="72">
        <v>57938</v>
      </c>
      <c r="BK33" s="72">
        <v>70253</v>
      </c>
      <c r="BL33" s="72">
        <v>65302</v>
      </c>
      <c r="BM33" s="72">
        <v>60589</v>
      </c>
      <c r="BN33" s="72">
        <v>81919</v>
      </c>
      <c r="BO33" s="72">
        <v>84934</v>
      </c>
      <c r="BP33" s="72">
        <v>75037</v>
      </c>
      <c r="BQ33" s="72">
        <v>69888</v>
      </c>
      <c r="BR33" s="72">
        <v>67007</v>
      </c>
      <c r="BS33" s="72">
        <v>76309</v>
      </c>
      <c r="BT33" s="72">
        <v>71931</v>
      </c>
      <c r="BU33" s="72">
        <v>78413</v>
      </c>
      <c r="BV33" s="72">
        <v>67708</v>
      </c>
      <c r="BW33" s="72">
        <v>73067</v>
      </c>
      <c r="BX33" s="72">
        <v>66791</v>
      </c>
      <c r="BY33" s="72">
        <v>67106</v>
      </c>
      <c r="BZ33" s="72">
        <v>70883</v>
      </c>
      <c r="CA33" s="72">
        <v>99593</v>
      </c>
      <c r="CB33" s="72">
        <v>82357</v>
      </c>
      <c r="CC33" s="72">
        <v>74590</v>
      </c>
      <c r="CD33" s="72">
        <v>59828</v>
      </c>
      <c r="CE33" s="72">
        <v>72593</v>
      </c>
      <c r="CF33" s="72">
        <v>75001</v>
      </c>
      <c r="CG33" s="72">
        <v>70726</v>
      </c>
      <c r="CH33" s="72">
        <v>63725</v>
      </c>
      <c r="CI33" s="72">
        <v>52109</v>
      </c>
      <c r="CJ33" s="72">
        <v>52253</v>
      </c>
      <c r="CK33" s="72">
        <v>51192</v>
      </c>
      <c r="CL33" s="72">
        <v>55812</v>
      </c>
      <c r="CM33" s="72">
        <v>57321</v>
      </c>
      <c r="CN33" s="72">
        <v>60174</v>
      </c>
      <c r="CO33" s="72">
        <v>57550</v>
      </c>
      <c r="CP33" s="72">
        <v>45669</v>
      </c>
      <c r="CQ33" s="72">
        <v>52525</v>
      </c>
      <c r="CR33" s="72">
        <v>55802</v>
      </c>
      <c r="CS33" s="74">
        <v>32808</v>
      </c>
      <c r="CT33" s="74"/>
      <c r="CU33" s="74">
        <v>13088</v>
      </c>
      <c r="CV33" s="74">
        <v>40620</v>
      </c>
      <c r="CW33" s="74">
        <v>58403</v>
      </c>
      <c r="CX33" s="74">
        <v>70126</v>
      </c>
      <c r="CY33" s="74">
        <v>68929</v>
      </c>
      <c r="CZ33" s="74">
        <v>80268</v>
      </c>
      <c r="DA33" s="74">
        <v>70750</v>
      </c>
      <c r="DB33" s="74">
        <v>59923</v>
      </c>
      <c r="DC33" s="74">
        <v>59007</v>
      </c>
      <c r="DD33" s="74">
        <v>51445</v>
      </c>
      <c r="DE33" s="74">
        <v>44688</v>
      </c>
      <c r="DF33" s="74">
        <v>25977</v>
      </c>
      <c r="DG33" s="74">
        <v>7135</v>
      </c>
      <c r="DH33" s="74">
        <v>35897</v>
      </c>
      <c r="DI33" s="74">
        <v>49279</v>
      </c>
      <c r="DJ33" s="74">
        <v>52607</v>
      </c>
      <c r="DK33" s="74">
        <v>61664</v>
      </c>
      <c r="DL33" s="74">
        <v>55356</v>
      </c>
      <c r="DM33" s="74">
        <v>42558</v>
      </c>
      <c r="DN33" s="74">
        <v>33395</v>
      </c>
      <c r="DO33" s="74">
        <v>35785</v>
      </c>
      <c r="DP33" s="74">
        <v>35848</v>
      </c>
      <c r="DQ33" s="74">
        <v>37649</v>
      </c>
      <c r="DR33" s="74">
        <v>38780</v>
      </c>
      <c r="DS33" s="74">
        <v>35148</v>
      </c>
      <c r="DT33" s="74">
        <v>37474</v>
      </c>
      <c r="DU33" s="74">
        <v>32116</v>
      </c>
      <c r="DV33" s="74">
        <v>36489</v>
      </c>
      <c r="DW33" s="74">
        <v>47613</v>
      </c>
      <c r="DX33" s="74">
        <v>44638</v>
      </c>
      <c r="DY33" s="74">
        <v>34465</v>
      </c>
      <c r="DZ33" s="74">
        <v>25961</v>
      </c>
      <c r="EA33" s="74">
        <v>36723</v>
      </c>
      <c r="EB33" s="74">
        <v>35346</v>
      </c>
      <c r="EC33" s="74">
        <v>36814</v>
      </c>
      <c r="ED33" s="74">
        <v>34925</v>
      </c>
      <c r="EE33" s="74">
        <v>35837</v>
      </c>
      <c r="EF33" s="74">
        <v>34499</v>
      </c>
      <c r="EG33" s="74">
        <v>36208</v>
      </c>
      <c r="EH33" s="74">
        <v>36495</v>
      </c>
      <c r="EI33" s="74">
        <v>44943</v>
      </c>
      <c r="EJ33" s="74">
        <v>53162</v>
      </c>
      <c r="EK33" s="74">
        <v>43482</v>
      </c>
      <c r="EL33" s="74">
        <v>38290</v>
      </c>
      <c r="EM33" s="74">
        <v>42036</v>
      </c>
      <c r="EN33" s="74">
        <v>41059</v>
      </c>
      <c r="EO33" s="74">
        <v>40867</v>
      </c>
      <c r="EP33" s="74">
        <v>41924</v>
      </c>
      <c r="EQ33" s="74">
        <v>40394</v>
      </c>
      <c r="ER33" s="74">
        <v>40397</v>
      </c>
      <c r="ES33" s="74">
        <v>37563</v>
      </c>
      <c r="ET33" s="74">
        <v>44546</v>
      </c>
      <c r="EU33" s="74">
        <v>54969</v>
      </c>
      <c r="EV33" s="74">
        <v>52380</v>
      </c>
      <c r="EW33" s="74">
        <v>45923</v>
      </c>
      <c r="EX33" s="64">
        <v>33092</v>
      </c>
      <c r="EY33" s="74">
        <v>41872</v>
      </c>
      <c r="EZ33" s="74">
        <v>33572</v>
      </c>
      <c r="FA33" s="74">
        <v>35181</v>
      </c>
      <c r="FB33" s="74">
        <v>38748</v>
      </c>
      <c r="FC33" s="74">
        <v>37264</v>
      </c>
      <c r="FD33" s="74">
        <v>33349</v>
      </c>
      <c r="FE33" s="74">
        <v>33991</v>
      </c>
      <c r="FF33" s="74">
        <v>43886</v>
      </c>
      <c r="FG33" s="74">
        <v>53748</v>
      </c>
      <c r="FH33" s="74">
        <v>51256</v>
      </c>
      <c r="FI33" s="74">
        <v>44971</v>
      </c>
      <c r="FJ33" s="74">
        <v>46133</v>
      </c>
      <c r="FK33" s="43"/>
      <c r="FL33" s="43"/>
      <c r="FM33" s="43"/>
      <c r="FN33" s="75">
        <f t="shared" si="76"/>
        <v>0</v>
      </c>
      <c r="FO33" s="76">
        <f t="shared" si="77"/>
        <v>0</v>
      </c>
      <c r="FP33" s="76">
        <f t="shared" si="11"/>
        <v>0</v>
      </c>
      <c r="FQ33" s="76">
        <f t="shared" si="12"/>
        <v>0</v>
      </c>
      <c r="FR33" s="76">
        <f t="shared" si="13"/>
        <v>0</v>
      </c>
      <c r="FS33" s="76">
        <f t="shared" si="14"/>
        <v>0</v>
      </c>
      <c r="FT33" s="76">
        <f t="shared" si="15"/>
        <v>0</v>
      </c>
      <c r="FU33" s="76">
        <f t="shared" si="16"/>
        <v>0</v>
      </c>
      <c r="FV33" s="76">
        <f t="shared" si="17"/>
        <v>185871</v>
      </c>
      <c r="FW33" s="76">
        <f t="shared" si="18"/>
        <v>194279</v>
      </c>
      <c r="FX33" s="76">
        <f t="shared" si="19"/>
        <v>189625</v>
      </c>
      <c r="FY33" s="76">
        <f t="shared" si="20"/>
        <v>185728</v>
      </c>
      <c r="FZ33" s="76">
        <f t="shared" si="21"/>
        <v>183420</v>
      </c>
      <c r="GA33" s="76">
        <f t="shared" si="22"/>
        <v>169554</v>
      </c>
      <c r="GB33" s="76">
        <f t="shared" si="23"/>
        <v>179594</v>
      </c>
      <c r="GC33" s="76">
        <f t="shared" si="24"/>
        <v>191199</v>
      </c>
      <c r="GD33" s="76">
        <f t="shared" si="25"/>
        <v>217201</v>
      </c>
      <c r="GE33" s="76">
        <f t="shared" si="26"/>
        <v>228830</v>
      </c>
      <c r="GF33" s="76">
        <f t="shared" si="27"/>
        <v>228288</v>
      </c>
      <c r="GG33" s="76">
        <f t="shared" si="28"/>
        <v>216199</v>
      </c>
      <c r="GH33" s="76">
        <f t="shared" si="29"/>
        <v>193493</v>
      </c>
      <c r="GI33" s="76">
        <f t="shared" si="30"/>
        <v>227442</v>
      </c>
      <c r="GJ33" s="76">
        <f t="shared" si="31"/>
        <v>211932</v>
      </c>
      <c r="GK33" s="76">
        <f t="shared" si="32"/>
        <v>226653</v>
      </c>
      <c r="GL33" s="76">
        <f t="shared" si="33"/>
        <v>207566</v>
      </c>
      <c r="GM33" s="76">
        <f t="shared" si="34"/>
        <v>237582</v>
      </c>
      <c r="GN33" s="76">
        <f t="shared" si="35"/>
        <v>216775</v>
      </c>
      <c r="GO33" s="76">
        <f t="shared" si="36"/>
        <v>218320</v>
      </c>
      <c r="GP33" s="76">
        <f t="shared" si="37"/>
        <v>168087</v>
      </c>
      <c r="GQ33" s="76">
        <f t="shared" si="38"/>
        <v>164325</v>
      </c>
      <c r="GR33" s="76">
        <f t="shared" si="39"/>
        <v>163393</v>
      </c>
      <c r="GS33" s="76">
        <f t="shared" si="40"/>
        <v>141135</v>
      </c>
      <c r="GT33" s="76">
        <f t="shared" si="41"/>
        <v>53708</v>
      </c>
      <c r="GU33" s="76">
        <f t="shared" si="42"/>
        <v>197458</v>
      </c>
      <c r="GV33" s="76">
        <f t="shared" si="43"/>
        <v>210941</v>
      </c>
      <c r="GW33" s="76">
        <f t="shared" si="44"/>
        <v>155140</v>
      </c>
      <c r="GX33" s="76">
        <f t="shared" si="45"/>
        <v>69009</v>
      </c>
      <c r="GY33" s="76">
        <f t="shared" si="46"/>
        <v>163550</v>
      </c>
      <c r="GZ33" s="76">
        <f t="shared" si="80"/>
        <v>131309</v>
      </c>
      <c r="HA33" s="76">
        <f t="shared" si="81"/>
        <v>109282</v>
      </c>
      <c r="HB33" s="76">
        <f t="shared" si="82"/>
        <v>111402</v>
      </c>
      <c r="HC33" s="76">
        <f t="shared" si="83"/>
        <v>116218</v>
      </c>
      <c r="HD33" s="76">
        <f t="shared" si="84"/>
        <v>105064</v>
      </c>
      <c r="HE33" s="76">
        <f t="shared" si="85"/>
        <v>108883</v>
      </c>
      <c r="HF33" s="76">
        <f t="shared" si="86"/>
        <v>105261</v>
      </c>
      <c r="HG33" s="76">
        <f t="shared" si="87"/>
        <v>117646</v>
      </c>
      <c r="HH33" s="76">
        <f t="shared" si="88"/>
        <v>134934</v>
      </c>
      <c r="HI33" s="76">
        <f t="shared" si="89"/>
        <v>123962</v>
      </c>
      <c r="HJ33" s="76">
        <f t="shared" si="78"/>
        <v>122715</v>
      </c>
      <c r="HK33" s="76">
        <f t="shared" si="90"/>
        <v>137078</v>
      </c>
      <c r="HL33" s="76">
        <f t="shared" si="91"/>
        <v>131395</v>
      </c>
      <c r="HM33" s="76">
        <f t="shared" si="92"/>
        <v>110625</v>
      </c>
      <c r="HN33" s="76">
        <f t="shared" si="93"/>
        <v>109361</v>
      </c>
      <c r="HO33" s="76">
        <f t="shared" si="94"/>
        <v>131625</v>
      </c>
      <c r="HP33" s="76">
        <f t="shared" si="95"/>
        <v>142360</v>
      </c>
      <c r="HQ33" s="77"/>
      <c r="HR33" s="43"/>
      <c r="HS33" s="43"/>
      <c r="HT33" s="43"/>
      <c r="HU33" s="78">
        <f t="shared" si="63"/>
        <v>0</v>
      </c>
      <c r="HV33" s="78">
        <f t="shared" si="64"/>
        <v>0</v>
      </c>
      <c r="HW33" s="78">
        <f t="shared" si="65"/>
        <v>755503</v>
      </c>
      <c r="HX33" s="79">
        <f t="shared" si="66"/>
        <v>723767</v>
      </c>
      <c r="HY33" s="80">
        <f t="shared" si="67"/>
        <v>890518</v>
      </c>
      <c r="HZ33" s="80">
        <f t="shared" si="68"/>
        <v>859520</v>
      </c>
      <c r="IA33" s="80">
        <f t="shared" si="69"/>
        <v>880243</v>
      </c>
      <c r="IB33" s="80">
        <f t="shared" si="70"/>
        <v>636940</v>
      </c>
      <c r="IC33" s="80">
        <f t="shared" si="71"/>
        <v>617247</v>
      </c>
      <c r="ID33" s="80">
        <f t="shared" si="96"/>
        <v>473150</v>
      </c>
      <c r="IE33" s="80">
        <f t="shared" si="97"/>
        <v>441567</v>
      </c>
      <c r="IF33" s="80">
        <f t="shared" si="98"/>
        <v>481803</v>
      </c>
      <c r="IG33" s="80">
        <f t="shared" si="99"/>
        <v>501813</v>
      </c>
    </row>
    <row r="34" spans="1:241" outlineLevel="2" x14ac:dyDescent="0.3">
      <c r="A34" s="82" t="s">
        <v>125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>
        <v>62859</v>
      </c>
      <c r="AA34" s="58">
        <v>60797</v>
      </c>
      <c r="AB34" s="58">
        <v>62215</v>
      </c>
      <c r="AC34" s="58">
        <v>56036</v>
      </c>
      <c r="AD34" s="58">
        <v>65871</v>
      </c>
      <c r="AE34" s="58">
        <v>72372</v>
      </c>
      <c r="AF34" s="58">
        <v>69066</v>
      </c>
      <c r="AG34" s="58">
        <v>61630</v>
      </c>
      <c r="AH34" s="58">
        <v>58929</v>
      </c>
      <c r="AI34" s="58">
        <v>54531</v>
      </c>
      <c r="AJ34" s="58">
        <v>63435</v>
      </c>
      <c r="AK34" s="58">
        <v>67762</v>
      </c>
      <c r="AL34" s="58">
        <v>60561</v>
      </c>
      <c r="AM34" s="58">
        <v>63555</v>
      </c>
      <c r="AN34" s="58">
        <v>59304</v>
      </c>
      <c r="AO34" s="58">
        <v>59863</v>
      </c>
      <c r="AP34" s="58">
        <v>55132</v>
      </c>
      <c r="AQ34" s="58">
        <v>54559</v>
      </c>
      <c r="AR34" s="58">
        <v>65241</v>
      </c>
      <c r="AS34" s="58">
        <v>57832</v>
      </c>
      <c r="AT34" s="58">
        <v>56521</v>
      </c>
      <c r="AU34" s="58">
        <v>53849</v>
      </c>
      <c r="AV34" s="58">
        <v>66432</v>
      </c>
      <c r="AW34" s="58">
        <v>70918</v>
      </c>
      <c r="AX34" s="58">
        <v>67045</v>
      </c>
      <c r="AY34" s="58">
        <v>75406</v>
      </c>
      <c r="AZ34" s="58">
        <v>74750</v>
      </c>
      <c r="BA34" s="58">
        <v>74990</v>
      </c>
      <c r="BB34" s="58">
        <v>75435</v>
      </c>
      <c r="BC34" s="58">
        <v>78405</v>
      </c>
      <c r="BD34" s="58">
        <v>87746</v>
      </c>
      <c r="BE34" s="58">
        <v>76381</v>
      </c>
      <c r="BF34" s="58">
        <v>64161</v>
      </c>
      <c r="BG34" s="58">
        <v>69373</v>
      </c>
      <c r="BH34" s="58">
        <v>77053</v>
      </c>
      <c r="BI34" s="58">
        <v>69773</v>
      </c>
      <c r="BJ34" s="58">
        <v>57938</v>
      </c>
      <c r="BK34" s="58">
        <v>70253</v>
      </c>
      <c r="BL34" s="58">
        <v>65302</v>
      </c>
      <c r="BM34" s="58">
        <v>60589</v>
      </c>
      <c r="BN34" s="58">
        <v>81919</v>
      </c>
      <c r="BO34" s="58">
        <v>84934</v>
      </c>
      <c r="BP34" s="58">
        <v>75037</v>
      </c>
      <c r="BQ34" s="58">
        <v>69888</v>
      </c>
      <c r="BR34" s="58">
        <v>67007</v>
      </c>
      <c r="BS34" s="58">
        <v>76309</v>
      </c>
      <c r="BT34" s="58">
        <v>71931</v>
      </c>
      <c r="BU34" s="58">
        <v>78413</v>
      </c>
      <c r="BV34" s="58">
        <v>67708</v>
      </c>
      <c r="BW34" s="58">
        <v>73067</v>
      </c>
      <c r="BX34" s="58">
        <v>66791</v>
      </c>
      <c r="BY34" s="58">
        <v>67106</v>
      </c>
      <c r="BZ34" s="58">
        <v>70883</v>
      </c>
      <c r="CA34" s="58">
        <v>99593</v>
      </c>
      <c r="CB34" s="58">
        <v>82357</v>
      </c>
      <c r="CC34" s="58">
        <v>74590</v>
      </c>
      <c r="CD34" s="58">
        <v>59828</v>
      </c>
      <c r="CE34" s="58">
        <v>72593</v>
      </c>
      <c r="CF34" s="58">
        <v>75001</v>
      </c>
      <c r="CG34" s="58">
        <v>70726</v>
      </c>
      <c r="CH34" s="58">
        <f>CH33</f>
        <v>63725</v>
      </c>
      <c r="CI34" s="58">
        <f>CI33</f>
        <v>52109</v>
      </c>
      <c r="CJ34" s="58">
        <f>CJ33</f>
        <v>52253</v>
      </c>
      <c r="CK34" s="58">
        <f>CK33</f>
        <v>51192</v>
      </c>
      <c r="CL34" s="58">
        <f>CL33</f>
        <v>55812</v>
      </c>
      <c r="CM34" s="58">
        <v>57321</v>
      </c>
      <c r="CN34" s="58">
        <v>60174</v>
      </c>
      <c r="CO34" s="58">
        <v>57550</v>
      </c>
      <c r="CP34" s="58">
        <v>45669</v>
      </c>
      <c r="CQ34" s="58">
        <v>52525</v>
      </c>
      <c r="CR34" s="58">
        <v>55802</v>
      </c>
      <c r="CS34" s="64">
        <v>32808</v>
      </c>
      <c r="CT34" s="64"/>
      <c r="CU34" s="64">
        <v>13088</v>
      </c>
      <c r="CV34" s="64">
        <v>40620</v>
      </c>
      <c r="CW34" s="64">
        <v>58403</v>
      </c>
      <c r="CX34" s="64">
        <v>70126</v>
      </c>
      <c r="CY34" s="64">
        <v>68929</v>
      </c>
      <c r="CZ34" s="64">
        <v>80268</v>
      </c>
      <c r="DA34" s="64">
        <v>70750</v>
      </c>
      <c r="DB34" s="64">
        <v>59923</v>
      </c>
      <c r="DC34" s="64">
        <v>59007</v>
      </c>
      <c r="DD34" s="64">
        <v>51445</v>
      </c>
      <c r="DE34" s="64">
        <v>44688</v>
      </c>
      <c r="DF34" s="64">
        <v>25977</v>
      </c>
      <c r="DG34" s="64">
        <v>7135</v>
      </c>
      <c r="DH34" s="64">
        <v>35897</v>
      </c>
      <c r="DI34" s="64">
        <v>49279</v>
      </c>
      <c r="DJ34" s="64">
        <v>52607</v>
      </c>
      <c r="DK34" s="64">
        <v>61664</v>
      </c>
      <c r="DL34" s="64">
        <v>55356</v>
      </c>
      <c r="DM34" s="64">
        <v>42558</v>
      </c>
      <c r="DN34" s="64">
        <v>33395</v>
      </c>
      <c r="DO34" s="64">
        <v>35785</v>
      </c>
      <c r="DP34" s="64">
        <v>35848</v>
      </c>
      <c r="DQ34" s="64">
        <v>37649</v>
      </c>
      <c r="DR34" s="64">
        <v>38780</v>
      </c>
      <c r="DS34" s="64">
        <f>DS33</f>
        <v>35148</v>
      </c>
      <c r="DT34" s="64">
        <f t="shared" ref="DT34" si="100">DT33</f>
        <v>37474</v>
      </c>
      <c r="DU34" s="64">
        <v>32116</v>
      </c>
      <c r="DV34" s="64">
        <v>36489</v>
      </c>
      <c r="DW34" s="64">
        <v>47613</v>
      </c>
      <c r="DX34" s="64">
        <v>44638</v>
      </c>
      <c r="DY34" s="64">
        <v>34465</v>
      </c>
      <c r="DZ34" s="64">
        <v>25961</v>
      </c>
      <c r="EA34" s="64">
        <v>36723</v>
      </c>
      <c r="EB34" s="64">
        <v>35346</v>
      </c>
      <c r="EC34" s="64">
        <v>36814</v>
      </c>
      <c r="ED34" s="64">
        <v>34925</v>
      </c>
      <c r="EE34" s="64">
        <v>35837</v>
      </c>
      <c r="EF34" s="64">
        <v>34499</v>
      </c>
      <c r="EG34" s="64">
        <v>36208</v>
      </c>
      <c r="EH34" s="64">
        <v>36495</v>
      </c>
      <c r="EI34" s="64">
        <v>44943</v>
      </c>
      <c r="EJ34" s="64">
        <v>53162</v>
      </c>
      <c r="EK34" s="64">
        <v>43482</v>
      </c>
      <c r="EL34" s="64">
        <v>38290</v>
      </c>
      <c r="EM34" s="64">
        <v>42036</v>
      </c>
      <c r="EN34" s="64">
        <v>41059</v>
      </c>
      <c r="EO34" s="64">
        <v>40867</v>
      </c>
      <c r="EP34" s="64">
        <v>41924</v>
      </c>
      <c r="EQ34" s="64">
        <v>40394</v>
      </c>
      <c r="ER34" s="64">
        <v>40397</v>
      </c>
      <c r="ES34" s="64">
        <v>37563</v>
      </c>
      <c r="ET34" s="64">
        <v>44546</v>
      </c>
      <c r="EU34" s="64">
        <v>54969</v>
      </c>
      <c r="EV34" s="64">
        <v>52380</v>
      </c>
      <c r="EW34" s="64">
        <v>45923</v>
      </c>
      <c r="EX34" s="43">
        <v>33092</v>
      </c>
      <c r="EY34" s="64">
        <v>41872</v>
      </c>
      <c r="EZ34" s="64">
        <v>33572</v>
      </c>
      <c r="FA34" s="64">
        <v>35181</v>
      </c>
      <c r="FB34" s="64">
        <v>38748</v>
      </c>
      <c r="FC34" s="64">
        <v>37264</v>
      </c>
      <c r="FD34" s="64">
        <v>33349</v>
      </c>
      <c r="FE34" s="64">
        <v>33991</v>
      </c>
      <c r="FF34" s="64">
        <v>43886</v>
      </c>
      <c r="FG34" s="64">
        <v>53748</v>
      </c>
      <c r="FH34" s="64">
        <v>51256</v>
      </c>
      <c r="FI34" s="64">
        <v>44971</v>
      </c>
      <c r="FJ34" s="64">
        <v>46133</v>
      </c>
      <c r="FK34" s="43"/>
      <c r="FL34" s="43"/>
      <c r="FM34" s="43"/>
      <c r="FN34" s="66">
        <f t="shared" si="76"/>
        <v>0</v>
      </c>
      <c r="FO34" s="67">
        <f t="shared" si="77"/>
        <v>0</v>
      </c>
      <c r="FP34" s="67">
        <f t="shared" si="11"/>
        <v>0</v>
      </c>
      <c r="FQ34" s="67">
        <f t="shared" si="12"/>
        <v>0</v>
      </c>
      <c r="FR34" s="67">
        <f t="shared" si="13"/>
        <v>0</v>
      </c>
      <c r="FS34" s="67">
        <f t="shared" si="14"/>
        <v>0</v>
      </c>
      <c r="FT34" s="67">
        <f t="shared" si="15"/>
        <v>0</v>
      </c>
      <c r="FU34" s="67">
        <f t="shared" si="16"/>
        <v>0</v>
      </c>
      <c r="FV34" s="67">
        <f t="shared" si="17"/>
        <v>185871</v>
      </c>
      <c r="FW34" s="67">
        <f t="shared" si="18"/>
        <v>194279</v>
      </c>
      <c r="FX34" s="67">
        <f t="shared" si="19"/>
        <v>189625</v>
      </c>
      <c r="FY34" s="67">
        <f t="shared" si="20"/>
        <v>185728</v>
      </c>
      <c r="FZ34" s="67">
        <f t="shared" si="21"/>
        <v>183420</v>
      </c>
      <c r="GA34" s="67">
        <f t="shared" si="22"/>
        <v>169554</v>
      </c>
      <c r="GB34" s="67">
        <f t="shared" si="23"/>
        <v>179594</v>
      </c>
      <c r="GC34" s="67">
        <f t="shared" si="24"/>
        <v>191199</v>
      </c>
      <c r="GD34" s="67">
        <f t="shared" si="25"/>
        <v>217201</v>
      </c>
      <c r="GE34" s="67">
        <f t="shared" si="26"/>
        <v>228830</v>
      </c>
      <c r="GF34" s="67">
        <f t="shared" si="27"/>
        <v>228288</v>
      </c>
      <c r="GG34" s="67">
        <f t="shared" si="28"/>
        <v>216199</v>
      </c>
      <c r="GH34" s="67">
        <f t="shared" si="29"/>
        <v>193493</v>
      </c>
      <c r="GI34" s="67">
        <f t="shared" si="30"/>
        <v>227442</v>
      </c>
      <c r="GJ34" s="67">
        <f t="shared" si="31"/>
        <v>211932</v>
      </c>
      <c r="GK34" s="67">
        <f t="shared" si="32"/>
        <v>226653</v>
      </c>
      <c r="GL34" s="67">
        <f t="shared" si="33"/>
        <v>207566</v>
      </c>
      <c r="GM34" s="67">
        <f t="shared" si="34"/>
        <v>237582</v>
      </c>
      <c r="GN34" s="67">
        <f t="shared" si="35"/>
        <v>216775</v>
      </c>
      <c r="GO34" s="67">
        <f t="shared" si="36"/>
        <v>218320</v>
      </c>
      <c r="GP34" s="67">
        <f t="shared" si="37"/>
        <v>168087</v>
      </c>
      <c r="GQ34" s="67">
        <f t="shared" si="38"/>
        <v>164325</v>
      </c>
      <c r="GR34" s="67">
        <f t="shared" si="39"/>
        <v>163393</v>
      </c>
      <c r="GS34" s="67">
        <f t="shared" si="40"/>
        <v>141135</v>
      </c>
      <c r="GT34" s="67">
        <f t="shared" si="41"/>
        <v>53708</v>
      </c>
      <c r="GU34" s="67">
        <f t="shared" si="42"/>
        <v>197458</v>
      </c>
      <c r="GV34" s="67">
        <f t="shared" si="43"/>
        <v>210941</v>
      </c>
      <c r="GW34" s="67">
        <f t="shared" si="44"/>
        <v>155140</v>
      </c>
      <c r="GX34" s="67">
        <f t="shared" si="45"/>
        <v>69009</v>
      </c>
      <c r="GY34" s="67">
        <f t="shared" si="46"/>
        <v>163550</v>
      </c>
      <c r="GZ34" s="67">
        <f t="shared" si="80"/>
        <v>131309</v>
      </c>
      <c r="HA34" s="67">
        <f t="shared" si="81"/>
        <v>109282</v>
      </c>
      <c r="HB34" s="67">
        <f t="shared" si="82"/>
        <v>111402</v>
      </c>
      <c r="HC34" s="67">
        <f t="shared" si="83"/>
        <v>116218</v>
      </c>
      <c r="HD34" s="67">
        <f t="shared" si="84"/>
        <v>105064</v>
      </c>
      <c r="HE34" s="67">
        <f t="shared" si="85"/>
        <v>108883</v>
      </c>
      <c r="HF34" s="67">
        <f t="shared" si="86"/>
        <v>105261</v>
      </c>
      <c r="HG34" s="67">
        <f t="shared" si="87"/>
        <v>117646</v>
      </c>
      <c r="HH34" s="67">
        <f t="shared" si="88"/>
        <v>134934</v>
      </c>
      <c r="HI34" s="67">
        <f t="shared" si="89"/>
        <v>123962</v>
      </c>
      <c r="HJ34" s="67">
        <f t="shared" si="78"/>
        <v>122715</v>
      </c>
      <c r="HK34" s="67">
        <f t="shared" si="90"/>
        <v>137078</v>
      </c>
      <c r="HL34" s="67">
        <f t="shared" si="91"/>
        <v>131395</v>
      </c>
      <c r="HM34" s="67">
        <f t="shared" si="92"/>
        <v>110625</v>
      </c>
      <c r="HN34" s="67">
        <f t="shared" si="93"/>
        <v>109361</v>
      </c>
      <c r="HO34" s="67">
        <f t="shared" si="94"/>
        <v>131625</v>
      </c>
      <c r="HP34" s="67">
        <f t="shared" si="95"/>
        <v>142360</v>
      </c>
      <c r="HQ34" s="60"/>
      <c r="HR34" s="43"/>
      <c r="HS34" s="43"/>
      <c r="HT34" s="43"/>
      <c r="HU34" s="68">
        <f t="shared" si="63"/>
        <v>0</v>
      </c>
      <c r="HV34" s="68">
        <f t="shared" si="64"/>
        <v>0</v>
      </c>
      <c r="HW34" s="68">
        <f t="shared" si="65"/>
        <v>755503</v>
      </c>
      <c r="HX34" s="69">
        <f t="shared" si="66"/>
        <v>723767</v>
      </c>
      <c r="HY34" s="70">
        <f t="shared" si="67"/>
        <v>890518</v>
      </c>
      <c r="HZ34" s="70">
        <f t="shared" si="68"/>
        <v>859520</v>
      </c>
      <c r="IA34" s="70">
        <f t="shared" si="69"/>
        <v>880243</v>
      </c>
      <c r="IB34" s="70">
        <f t="shared" si="70"/>
        <v>636940</v>
      </c>
      <c r="IC34" s="70">
        <f t="shared" si="71"/>
        <v>617247</v>
      </c>
      <c r="ID34" s="70">
        <f t="shared" si="96"/>
        <v>473150</v>
      </c>
      <c r="IE34" s="70">
        <f t="shared" si="97"/>
        <v>441567</v>
      </c>
      <c r="IF34" s="70">
        <f t="shared" si="98"/>
        <v>481803</v>
      </c>
      <c r="IG34" s="70">
        <f t="shared" si="99"/>
        <v>501813</v>
      </c>
    </row>
    <row r="35" spans="1:241" outlineLevel="1" x14ac:dyDescent="0.3">
      <c r="A35" s="81" t="s">
        <v>133</v>
      </c>
      <c r="B35" s="83">
        <v>1157114</v>
      </c>
      <c r="C35" s="83">
        <v>1176748</v>
      </c>
      <c r="D35" s="83">
        <v>1163006</v>
      </c>
      <c r="E35" s="83">
        <v>1132696</v>
      </c>
      <c r="F35" s="83">
        <v>1057925</v>
      </c>
      <c r="G35" s="83">
        <v>1069069</v>
      </c>
      <c r="H35" s="83">
        <v>1285015</v>
      </c>
      <c r="I35" s="83">
        <v>1175441</v>
      </c>
      <c r="J35" s="83">
        <v>1137052</v>
      </c>
      <c r="K35" s="83">
        <v>1206931</v>
      </c>
      <c r="L35" s="83">
        <v>1112269</v>
      </c>
      <c r="M35" s="83">
        <v>1101207</v>
      </c>
      <c r="N35" s="83">
        <v>1168080</v>
      </c>
      <c r="O35" s="83">
        <v>1206173</v>
      </c>
      <c r="P35" s="83">
        <v>1116424</v>
      </c>
      <c r="Q35" s="83">
        <v>1131992</v>
      </c>
      <c r="R35" s="83">
        <v>1128598</v>
      </c>
      <c r="S35" s="83">
        <v>1265704</v>
      </c>
      <c r="T35" s="83">
        <v>1516291</v>
      </c>
      <c r="U35" s="83">
        <v>1240732</v>
      </c>
      <c r="V35" s="83">
        <v>1163465</v>
      </c>
      <c r="W35" s="83">
        <v>1313797</v>
      </c>
      <c r="X35" s="83">
        <v>1220451</v>
      </c>
      <c r="Y35" s="83">
        <v>1334214</v>
      </c>
      <c r="Z35" s="83">
        <v>1304447</v>
      </c>
      <c r="AA35" s="83">
        <v>1402830</v>
      </c>
      <c r="AB35" s="83">
        <v>1261589</v>
      </c>
      <c r="AC35" s="83">
        <v>1287462</v>
      </c>
      <c r="AD35" s="83">
        <v>1345506</v>
      </c>
      <c r="AE35" s="83">
        <v>1567351</v>
      </c>
      <c r="AF35" s="83">
        <v>1461712</v>
      </c>
      <c r="AG35" s="83">
        <v>1301434</v>
      </c>
      <c r="AH35" s="83">
        <v>1212996</v>
      </c>
      <c r="AI35" s="83">
        <v>1327955</v>
      </c>
      <c r="AJ35" s="83">
        <v>1208084</v>
      </c>
      <c r="AK35" s="83">
        <v>1323184</v>
      </c>
      <c r="AL35" s="83">
        <v>1287064</v>
      </c>
      <c r="AM35" s="83">
        <v>1380950</v>
      </c>
      <c r="AN35" s="83">
        <v>1307710</v>
      </c>
      <c r="AO35" s="83">
        <v>1300457</v>
      </c>
      <c r="AP35" s="83">
        <v>1305350</v>
      </c>
      <c r="AQ35" s="83">
        <v>1537137</v>
      </c>
      <c r="AR35" s="83">
        <v>1656235</v>
      </c>
      <c r="AS35" s="83">
        <v>1320561</v>
      </c>
      <c r="AT35" s="83">
        <v>1167633</v>
      </c>
      <c r="AU35" s="83">
        <v>1362881</v>
      </c>
      <c r="AV35" s="83">
        <v>1362219</v>
      </c>
      <c r="AW35" s="83">
        <v>1467714</v>
      </c>
      <c r="AX35" s="83">
        <v>1560308</v>
      </c>
      <c r="AY35" s="83">
        <v>1514334</v>
      </c>
      <c r="AZ35" s="83">
        <v>1468263</v>
      </c>
      <c r="BA35" s="83">
        <v>1476332</v>
      </c>
      <c r="BB35" s="83">
        <v>1648871</v>
      </c>
      <c r="BC35" s="83">
        <v>1871621</v>
      </c>
      <c r="BD35" s="83">
        <v>1800668</v>
      </c>
      <c r="BE35" s="83">
        <v>1243246</v>
      </c>
      <c r="BF35" s="83">
        <v>910276</v>
      </c>
      <c r="BG35" s="83">
        <v>1262140</v>
      </c>
      <c r="BH35" s="83">
        <v>1362043</v>
      </c>
      <c r="BI35" s="83">
        <v>1471636</v>
      </c>
      <c r="BJ35" s="83">
        <v>1674796</v>
      </c>
      <c r="BK35" s="83">
        <v>1694325</v>
      </c>
      <c r="BL35" s="83">
        <v>1527049</v>
      </c>
      <c r="BM35" s="83">
        <v>1679055</v>
      </c>
      <c r="BN35" s="83">
        <v>1891062</v>
      </c>
      <c r="BO35" s="83">
        <v>2041024</v>
      </c>
      <c r="BP35" s="83">
        <v>1750966</v>
      </c>
      <c r="BQ35" s="83">
        <v>1535277</v>
      </c>
      <c r="BR35" s="83">
        <v>1287592</v>
      </c>
      <c r="BS35" s="83">
        <v>1684066</v>
      </c>
      <c r="BT35" s="83">
        <v>1685814</v>
      </c>
      <c r="BU35" s="83">
        <v>1741649</v>
      </c>
      <c r="BV35" s="83">
        <v>1958241</v>
      </c>
      <c r="BW35" s="83">
        <v>1850093</v>
      </c>
      <c r="BX35" s="83">
        <v>1867884</v>
      </c>
      <c r="BY35" s="83">
        <v>1817077</v>
      </c>
      <c r="BZ35" s="83">
        <v>1946811</v>
      </c>
      <c r="CA35" s="83">
        <v>2126484</v>
      </c>
      <c r="CB35" s="83">
        <v>2053497</v>
      </c>
      <c r="CC35" s="83">
        <v>1645791</v>
      </c>
      <c r="CD35" s="83">
        <v>1259026</v>
      </c>
      <c r="CE35" s="83">
        <v>1597572</v>
      </c>
      <c r="CF35" s="83">
        <v>1615071</v>
      </c>
      <c r="CG35" s="83">
        <v>1440663</v>
      </c>
      <c r="CH35" s="83">
        <f t="shared" ref="CH35:CN35" si="101">CH34+CH31+CH16</f>
        <v>1638388</v>
      </c>
      <c r="CI35" s="83">
        <f t="shared" si="101"/>
        <v>1726206</v>
      </c>
      <c r="CJ35" s="83">
        <f t="shared" si="101"/>
        <v>1649657</v>
      </c>
      <c r="CK35" s="83">
        <f t="shared" si="101"/>
        <v>1511692</v>
      </c>
      <c r="CL35" s="83">
        <f t="shared" si="101"/>
        <v>1514196</v>
      </c>
      <c r="CM35" s="83">
        <f t="shared" si="101"/>
        <v>1656774</v>
      </c>
      <c r="CN35" s="83">
        <f t="shared" si="101"/>
        <v>1757264</v>
      </c>
      <c r="CO35" s="83">
        <v>1410939</v>
      </c>
      <c r="CP35" s="83">
        <v>1050038</v>
      </c>
      <c r="CQ35" s="83">
        <v>1341005</v>
      </c>
      <c r="CR35" s="83">
        <v>1294791</v>
      </c>
      <c r="CS35" s="84">
        <v>866849</v>
      </c>
      <c r="CT35" s="84"/>
      <c r="CU35" s="84">
        <v>279682</v>
      </c>
      <c r="CV35" s="84">
        <v>1013431</v>
      </c>
      <c r="CW35" s="84">
        <v>1281354</v>
      </c>
      <c r="CX35" s="84">
        <v>1559665</v>
      </c>
      <c r="CY35" s="84">
        <v>1849546</v>
      </c>
      <c r="CZ35" s="84">
        <v>2053814</v>
      </c>
      <c r="DA35" s="84">
        <v>1600379</v>
      </c>
      <c r="DB35" s="84">
        <f>+DB16+DB31+DB34+DB46</f>
        <v>1127856</v>
      </c>
      <c r="DC35" s="84">
        <f>+DC16+DC31+DC34+DC46</f>
        <v>1429687</v>
      </c>
      <c r="DD35" s="84">
        <v>1426865</v>
      </c>
      <c r="DE35" s="84">
        <v>1496806</v>
      </c>
      <c r="DF35" s="84">
        <v>995097</v>
      </c>
      <c r="DG35" s="84">
        <v>352717</v>
      </c>
      <c r="DH35" s="84">
        <v>1055777</v>
      </c>
      <c r="DI35" s="84">
        <v>1253937</v>
      </c>
      <c r="DJ35" s="84">
        <v>1331436</v>
      </c>
      <c r="DK35" s="84">
        <f t="shared" ref="DK35" si="102">+DK16+DK31+DK34+DK46</f>
        <v>1527064</v>
      </c>
      <c r="DL35" s="84">
        <v>1541621</v>
      </c>
      <c r="DM35" s="84">
        <v>1050616</v>
      </c>
      <c r="DN35" s="84">
        <v>1006062</v>
      </c>
      <c r="DO35" s="84">
        <v>1128293</v>
      </c>
      <c r="DP35" s="84">
        <v>1037994</v>
      </c>
      <c r="DQ35" s="84">
        <v>1184210</v>
      </c>
      <c r="DR35" s="84">
        <v>1148696</v>
      </c>
      <c r="DS35" s="84">
        <v>1255824</v>
      </c>
      <c r="DT35" s="84">
        <v>1313431</v>
      </c>
      <c r="DU35" s="84">
        <v>1488359</v>
      </c>
      <c r="DV35" s="84">
        <v>1557429</v>
      </c>
      <c r="DW35" s="84">
        <v>1735199</v>
      </c>
      <c r="DX35" s="84">
        <v>1577694</v>
      </c>
      <c r="DY35" s="84">
        <v>1236190</v>
      </c>
      <c r="DZ35" s="84">
        <v>1045052</v>
      </c>
      <c r="EA35" s="84">
        <v>1184379</v>
      </c>
      <c r="EB35" s="84">
        <v>1129661</v>
      </c>
      <c r="EC35" s="84">
        <v>1290553</v>
      </c>
      <c r="ED35" s="84">
        <v>1338588</v>
      </c>
      <c r="EE35" s="84">
        <v>1471550</v>
      </c>
      <c r="EF35" s="84">
        <v>1330826</v>
      </c>
      <c r="EG35" s="84">
        <v>1282054</v>
      </c>
      <c r="EH35" s="84">
        <v>1566594</v>
      </c>
      <c r="EI35" s="84">
        <v>1749794</v>
      </c>
      <c r="EJ35" s="84">
        <v>1895799</v>
      </c>
      <c r="EK35" s="84">
        <v>1623399</v>
      </c>
      <c r="EL35" s="84">
        <v>1211966</v>
      </c>
      <c r="EM35" s="84">
        <v>1495183</v>
      </c>
      <c r="EN35" s="84">
        <v>1520761</v>
      </c>
      <c r="EO35" s="84">
        <v>1487579</v>
      </c>
      <c r="EP35" s="84">
        <v>1751393</v>
      </c>
      <c r="EQ35" s="84">
        <v>1620084</v>
      </c>
      <c r="ER35" s="84">
        <v>1614154</v>
      </c>
      <c r="ES35" s="84">
        <v>1441694</v>
      </c>
      <c r="ET35" s="84">
        <v>1711662</v>
      </c>
      <c r="EU35" s="84">
        <v>2025993</v>
      </c>
      <c r="EV35" s="85">
        <v>2164276</v>
      </c>
      <c r="EW35" s="85">
        <v>1604749</v>
      </c>
      <c r="EX35" s="84">
        <v>1105565</v>
      </c>
      <c r="EY35" s="84">
        <v>1526218</v>
      </c>
      <c r="EZ35" s="84">
        <v>1384605</v>
      </c>
      <c r="FA35" s="84">
        <v>1656939</v>
      </c>
      <c r="FB35" s="84">
        <v>1458784</v>
      </c>
      <c r="FC35" s="84">
        <v>1655927</v>
      </c>
      <c r="FD35" s="84">
        <v>1559851</v>
      </c>
      <c r="FE35" s="84">
        <v>1567267</v>
      </c>
      <c r="FF35" s="84">
        <v>1833921</v>
      </c>
      <c r="FG35" s="84">
        <v>2160889</v>
      </c>
      <c r="FH35" s="84">
        <v>2210727</v>
      </c>
      <c r="FI35" s="84">
        <v>1944475</v>
      </c>
      <c r="FJ35" s="84">
        <v>1541036</v>
      </c>
      <c r="FK35" s="43"/>
      <c r="FL35" s="43"/>
      <c r="FM35" s="43"/>
      <c r="FN35" s="75">
        <f t="shared" si="76"/>
        <v>3496868</v>
      </c>
      <c r="FO35" s="76">
        <f t="shared" si="77"/>
        <v>3259690</v>
      </c>
      <c r="FP35" s="76">
        <f t="shared" si="11"/>
        <v>3597508</v>
      </c>
      <c r="FQ35" s="76">
        <f t="shared" si="12"/>
        <v>3420407</v>
      </c>
      <c r="FR35" s="76">
        <f t="shared" si="13"/>
        <v>3490677</v>
      </c>
      <c r="FS35" s="76">
        <f t="shared" si="14"/>
        <v>3526294</v>
      </c>
      <c r="FT35" s="76">
        <f t="shared" si="15"/>
        <v>3920488</v>
      </c>
      <c r="FU35" s="76">
        <f t="shared" si="16"/>
        <v>3868462</v>
      </c>
      <c r="FV35" s="76">
        <f t="shared" si="17"/>
        <v>3968866</v>
      </c>
      <c r="FW35" s="76">
        <f t="shared" si="18"/>
        <v>4200319</v>
      </c>
      <c r="FX35" s="76">
        <f t="shared" si="19"/>
        <v>3976142</v>
      </c>
      <c r="FY35" s="76">
        <f t="shared" si="20"/>
        <v>3859223</v>
      </c>
      <c r="FZ35" s="76">
        <f t="shared" si="21"/>
        <v>3975724</v>
      </c>
      <c r="GA35" s="76">
        <f t="shared" si="22"/>
        <v>4142944</v>
      </c>
      <c r="GB35" s="76">
        <f t="shared" si="23"/>
        <v>4144429</v>
      </c>
      <c r="GC35" s="76">
        <f t="shared" si="24"/>
        <v>4192814</v>
      </c>
      <c r="GD35" s="76">
        <f t="shared" si="25"/>
        <v>4542905</v>
      </c>
      <c r="GE35" s="76">
        <f t="shared" si="26"/>
        <v>4996824</v>
      </c>
      <c r="GF35" s="76">
        <f t="shared" si="27"/>
        <v>3954190</v>
      </c>
      <c r="GG35" s="76">
        <f t="shared" si="28"/>
        <v>4095819</v>
      </c>
      <c r="GH35" s="76">
        <f t="shared" si="29"/>
        <v>4896170</v>
      </c>
      <c r="GI35" s="76">
        <f t="shared" si="30"/>
        <v>5611141</v>
      </c>
      <c r="GJ35" s="76">
        <f t="shared" si="31"/>
        <v>4573835</v>
      </c>
      <c r="GK35" s="76">
        <f t="shared" si="32"/>
        <v>5111529</v>
      </c>
      <c r="GL35" s="76">
        <f t="shared" si="33"/>
        <v>5676218</v>
      </c>
      <c r="GM35" s="76">
        <f t="shared" si="34"/>
        <v>5890372</v>
      </c>
      <c r="GN35" s="76">
        <f t="shared" si="35"/>
        <v>4958314</v>
      </c>
      <c r="GO35" s="76">
        <f t="shared" si="36"/>
        <v>4653306</v>
      </c>
      <c r="GP35" s="76">
        <f t="shared" si="37"/>
        <v>5014251</v>
      </c>
      <c r="GQ35" s="76">
        <f t="shared" si="38"/>
        <v>4682662</v>
      </c>
      <c r="GR35" s="76">
        <f t="shared" si="39"/>
        <v>4218241</v>
      </c>
      <c r="GS35" s="76">
        <f t="shared" si="40"/>
        <v>3502645</v>
      </c>
      <c r="GT35" s="76">
        <f t="shared" si="41"/>
        <v>1293113</v>
      </c>
      <c r="GU35" s="76">
        <f t="shared" si="42"/>
        <v>4690565</v>
      </c>
      <c r="GV35" s="76">
        <f t="shared" si="43"/>
        <v>4782049</v>
      </c>
      <c r="GW35" s="76">
        <f t="shared" si="44"/>
        <v>4353358</v>
      </c>
      <c r="GX35" s="76">
        <f t="shared" si="45"/>
        <v>2403591</v>
      </c>
      <c r="GY35" s="76">
        <f t="shared" si="46"/>
        <v>4112437</v>
      </c>
      <c r="GZ35" s="76">
        <f t="shared" si="80"/>
        <v>3598299</v>
      </c>
      <c r="HA35" s="76">
        <f t="shared" si="81"/>
        <v>3350497</v>
      </c>
      <c r="HB35" s="76">
        <f t="shared" si="82"/>
        <v>3717951</v>
      </c>
      <c r="HC35" s="76">
        <f t="shared" si="83"/>
        <v>4780987</v>
      </c>
      <c r="HD35" s="76">
        <f t="shared" si="84"/>
        <v>3858936</v>
      </c>
      <c r="HE35" s="76">
        <f t="shared" si="85"/>
        <v>3604593</v>
      </c>
      <c r="HF35" s="76">
        <f t="shared" si="86"/>
        <v>4140964</v>
      </c>
      <c r="HG35" s="76">
        <f t="shared" si="87"/>
        <v>4598442</v>
      </c>
      <c r="HH35" s="76">
        <f t="shared" si="88"/>
        <v>4731164</v>
      </c>
      <c r="HI35" s="76">
        <f t="shared" si="89"/>
        <v>4503523</v>
      </c>
      <c r="HJ35" s="76">
        <f t="shared" si="78"/>
        <v>4985631</v>
      </c>
      <c r="HK35" s="76">
        <f t="shared" si="90"/>
        <v>5179349</v>
      </c>
      <c r="HL35" s="76">
        <f t="shared" si="91"/>
        <v>4874590</v>
      </c>
      <c r="HM35" s="76">
        <f t="shared" si="92"/>
        <v>4567762</v>
      </c>
      <c r="HN35" s="76">
        <f t="shared" si="93"/>
        <v>4674562</v>
      </c>
      <c r="HO35" s="76">
        <f t="shared" si="94"/>
        <v>5562077</v>
      </c>
      <c r="HP35" s="76">
        <f t="shared" si="95"/>
        <v>5696238</v>
      </c>
      <c r="HQ35" s="77"/>
      <c r="HR35" s="43"/>
      <c r="HS35" s="43"/>
      <c r="HT35" s="43"/>
      <c r="HU35" s="78">
        <f t="shared" si="63"/>
        <v>13774473</v>
      </c>
      <c r="HV35" s="78">
        <f t="shared" si="64"/>
        <v>14805921</v>
      </c>
      <c r="HW35" s="78">
        <f t="shared" si="65"/>
        <v>16004550</v>
      </c>
      <c r="HX35" s="79">
        <f t="shared" si="66"/>
        <v>16455911</v>
      </c>
      <c r="HY35" s="80">
        <f t="shared" si="67"/>
        <v>17589738</v>
      </c>
      <c r="HZ35" s="80">
        <f t="shared" si="68"/>
        <v>20192675</v>
      </c>
      <c r="IA35" s="80">
        <f t="shared" si="69"/>
        <v>21178210</v>
      </c>
      <c r="IB35" s="80">
        <f t="shared" si="70"/>
        <v>17417799</v>
      </c>
      <c r="IC35" s="80">
        <f t="shared" si="71"/>
        <v>15119085</v>
      </c>
      <c r="ID35" s="80">
        <f t="shared" si="96"/>
        <v>13464824</v>
      </c>
      <c r="IE35" s="80">
        <f t="shared" si="97"/>
        <v>15962467</v>
      </c>
      <c r="IF35" s="80">
        <f t="shared" si="98"/>
        <v>17974093</v>
      </c>
      <c r="IG35" s="80">
        <f t="shared" si="99"/>
        <v>19607332</v>
      </c>
    </row>
    <row r="36" spans="1:241" outlineLevel="1" x14ac:dyDescent="0.3">
      <c r="A36" s="82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43"/>
      <c r="FL36" s="43"/>
      <c r="FM36" s="43"/>
      <c r="FN36" s="66">
        <f t="shared" si="76"/>
        <v>0</v>
      </c>
      <c r="FO36" s="67">
        <f t="shared" si="77"/>
        <v>0</v>
      </c>
      <c r="FP36" s="67">
        <f t="shared" si="11"/>
        <v>0</v>
      </c>
      <c r="FQ36" s="67">
        <f t="shared" si="12"/>
        <v>0</v>
      </c>
      <c r="FR36" s="67">
        <f t="shared" si="13"/>
        <v>0</v>
      </c>
      <c r="FS36" s="67">
        <f t="shared" si="14"/>
        <v>0</v>
      </c>
      <c r="FT36" s="67">
        <f t="shared" si="15"/>
        <v>0</v>
      </c>
      <c r="FU36" s="67">
        <f t="shared" si="16"/>
        <v>0</v>
      </c>
      <c r="FV36" s="67">
        <f t="shared" si="17"/>
        <v>0</v>
      </c>
      <c r="FW36" s="67">
        <f t="shared" si="18"/>
        <v>0</v>
      </c>
      <c r="FX36" s="67">
        <f t="shared" si="19"/>
        <v>0</v>
      </c>
      <c r="FY36" s="67">
        <f t="shared" si="20"/>
        <v>0</v>
      </c>
      <c r="FZ36" s="67">
        <f t="shared" si="21"/>
        <v>0</v>
      </c>
      <c r="GA36" s="67">
        <f t="shared" si="22"/>
        <v>0</v>
      </c>
      <c r="GB36" s="67">
        <f t="shared" si="23"/>
        <v>0</v>
      </c>
      <c r="GC36" s="67">
        <f t="shared" si="24"/>
        <v>0</v>
      </c>
      <c r="GD36" s="67">
        <f t="shared" si="25"/>
        <v>0</v>
      </c>
      <c r="GE36" s="67">
        <f t="shared" si="26"/>
        <v>0</v>
      </c>
      <c r="GF36" s="67">
        <f t="shared" si="27"/>
        <v>0</v>
      </c>
      <c r="GG36" s="67">
        <f t="shared" si="28"/>
        <v>0</v>
      </c>
      <c r="GH36" s="67">
        <f t="shared" si="29"/>
        <v>0</v>
      </c>
      <c r="GI36" s="67">
        <f t="shared" si="30"/>
        <v>0</v>
      </c>
      <c r="GJ36" s="67">
        <f t="shared" si="31"/>
        <v>0</v>
      </c>
      <c r="GK36" s="67">
        <f t="shared" si="32"/>
        <v>0</v>
      </c>
      <c r="GL36" s="67">
        <f t="shared" si="33"/>
        <v>0</v>
      </c>
      <c r="GM36" s="67">
        <f t="shared" si="34"/>
        <v>0</v>
      </c>
      <c r="GN36" s="67">
        <f t="shared" si="35"/>
        <v>0</v>
      </c>
      <c r="GO36" s="67">
        <f t="shared" si="36"/>
        <v>0</v>
      </c>
      <c r="GP36" s="67">
        <f t="shared" si="37"/>
        <v>0</v>
      </c>
      <c r="GQ36" s="67">
        <f t="shared" si="38"/>
        <v>0</v>
      </c>
      <c r="GR36" s="67">
        <f t="shared" si="39"/>
        <v>0</v>
      </c>
      <c r="GS36" s="67">
        <f t="shared" si="40"/>
        <v>0</v>
      </c>
      <c r="GT36" s="67">
        <f t="shared" si="41"/>
        <v>0</v>
      </c>
      <c r="GU36" s="67">
        <f t="shared" si="42"/>
        <v>0</v>
      </c>
      <c r="GV36" s="67">
        <f t="shared" si="43"/>
        <v>0</v>
      </c>
      <c r="GW36" s="67">
        <f t="shared" si="44"/>
        <v>0</v>
      </c>
      <c r="GX36" s="67">
        <f t="shared" si="45"/>
        <v>0</v>
      </c>
      <c r="GY36" s="67">
        <f t="shared" si="46"/>
        <v>0</v>
      </c>
      <c r="GZ36" s="67">
        <f t="shared" si="80"/>
        <v>0</v>
      </c>
      <c r="HA36" s="67">
        <f t="shared" si="81"/>
        <v>0</v>
      </c>
      <c r="HB36" s="67">
        <f t="shared" si="82"/>
        <v>0</v>
      </c>
      <c r="HC36" s="67">
        <f t="shared" si="83"/>
        <v>0</v>
      </c>
      <c r="HD36" s="67">
        <f t="shared" si="84"/>
        <v>0</v>
      </c>
      <c r="HE36" s="67">
        <f t="shared" si="85"/>
        <v>0</v>
      </c>
      <c r="HF36" s="67">
        <f t="shared" si="86"/>
        <v>0</v>
      </c>
      <c r="HG36" s="67">
        <f t="shared" si="87"/>
        <v>0</v>
      </c>
      <c r="HH36" s="67">
        <f t="shared" si="88"/>
        <v>0</v>
      </c>
      <c r="HI36" s="67">
        <f t="shared" si="89"/>
        <v>0</v>
      </c>
      <c r="HJ36" s="67">
        <f t="shared" si="78"/>
        <v>0</v>
      </c>
      <c r="HK36" s="67">
        <f t="shared" si="90"/>
        <v>0</v>
      </c>
      <c r="HL36" s="67">
        <f t="shared" si="91"/>
        <v>0</v>
      </c>
      <c r="HM36" s="67">
        <f t="shared" si="92"/>
        <v>0</v>
      </c>
      <c r="HN36" s="67">
        <f t="shared" si="93"/>
        <v>0</v>
      </c>
      <c r="HO36" s="67">
        <f t="shared" si="94"/>
        <v>0</v>
      </c>
      <c r="HP36" s="67">
        <f t="shared" si="95"/>
        <v>0</v>
      </c>
      <c r="HQ36" s="60"/>
      <c r="HR36" s="43"/>
      <c r="HS36" s="43"/>
      <c r="HT36" s="43"/>
      <c r="HU36" s="68">
        <f t="shared" si="63"/>
        <v>0</v>
      </c>
      <c r="HV36" s="68">
        <f t="shared" si="64"/>
        <v>0</v>
      </c>
      <c r="HW36" s="68">
        <f t="shared" si="65"/>
        <v>0</v>
      </c>
      <c r="HX36" s="69">
        <f t="shared" si="66"/>
        <v>0</v>
      </c>
      <c r="HY36" s="70">
        <f t="shared" si="67"/>
        <v>0</v>
      </c>
      <c r="HZ36" s="70">
        <f t="shared" si="68"/>
        <v>0</v>
      </c>
      <c r="IA36" s="70">
        <f t="shared" si="69"/>
        <v>0</v>
      </c>
      <c r="IB36" s="70">
        <f t="shared" si="70"/>
        <v>0</v>
      </c>
      <c r="IC36" s="70">
        <f t="shared" si="71"/>
        <v>0</v>
      </c>
      <c r="ID36" s="70">
        <f t="shared" si="96"/>
        <v>0</v>
      </c>
      <c r="IE36" s="70">
        <f t="shared" si="97"/>
        <v>0</v>
      </c>
      <c r="IF36" s="70">
        <f t="shared" si="98"/>
        <v>0</v>
      </c>
      <c r="IG36" s="70">
        <f t="shared" si="99"/>
        <v>0</v>
      </c>
    </row>
    <row r="37" spans="1:241" outlineLevel="1" x14ac:dyDescent="0.3">
      <c r="A37" s="86" t="s">
        <v>134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C37" s="74"/>
      <c r="DD37" s="74"/>
      <c r="DE37" s="74"/>
      <c r="DF37" s="74"/>
      <c r="DG37" s="74"/>
      <c r="DH37" s="74"/>
      <c r="DI37" s="74"/>
      <c r="DJ37" s="74"/>
      <c r="DK37" s="74"/>
      <c r="DL37" s="74"/>
      <c r="DM37" s="74"/>
      <c r="DN37" s="74"/>
      <c r="DO37" s="7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74"/>
      <c r="EB37" s="74"/>
      <c r="EC37" s="74"/>
      <c r="ED37" s="74"/>
      <c r="EE37" s="74"/>
      <c r="EF37" s="74"/>
      <c r="EG37" s="74"/>
      <c r="EH37" s="74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  <c r="FC37" s="74"/>
      <c r="FD37" s="74"/>
      <c r="FE37" s="74"/>
      <c r="FF37" s="74"/>
      <c r="FG37" s="74"/>
      <c r="FH37" s="74"/>
      <c r="FI37" s="74"/>
      <c r="FJ37" s="74"/>
      <c r="FK37" s="43"/>
      <c r="FL37" s="43"/>
      <c r="FM37" s="43"/>
      <c r="FN37" s="75">
        <f t="shared" si="76"/>
        <v>0</v>
      </c>
      <c r="FO37" s="76">
        <f t="shared" si="77"/>
        <v>0</v>
      </c>
      <c r="FP37" s="76">
        <f t="shared" si="11"/>
        <v>0</v>
      </c>
      <c r="FQ37" s="76">
        <f t="shared" si="12"/>
        <v>0</v>
      </c>
      <c r="FR37" s="76">
        <f t="shared" si="13"/>
        <v>0</v>
      </c>
      <c r="FS37" s="76">
        <f t="shared" si="14"/>
        <v>0</v>
      </c>
      <c r="FT37" s="76">
        <f t="shared" si="15"/>
        <v>0</v>
      </c>
      <c r="FU37" s="76">
        <f t="shared" si="16"/>
        <v>0</v>
      </c>
      <c r="FV37" s="76">
        <f t="shared" si="17"/>
        <v>0</v>
      </c>
      <c r="FW37" s="76">
        <f t="shared" si="18"/>
        <v>0</v>
      </c>
      <c r="FX37" s="76">
        <f t="shared" si="19"/>
        <v>0</v>
      </c>
      <c r="FY37" s="76">
        <f t="shared" si="20"/>
        <v>0</v>
      </c>
      <c r="FZ37" s="76">
        <f t="shared" si="21"/>
        <v>0</v>
      </c>
      <c r="GA37" s="76">
        <f t="shared" si="22"/>
        <v>0</v>
      </c>
      <c r="GB37" s="76">
        <f t="shared" si="23"/>
        <v>0</v>
      </c>
      <c r="GC37" s="76">
        <f t="shared" si="24"/>
        <v>0</v>
      </c>
      <c r="GD37" s="76">
        <f t="shared" si="25"/>
        <v>0</v>
      </c>
      <c r="GE37" s="76">
        <f t="shared" si="26"/>
        <v>0</v>
      </c>
      <c r="GF37" s="76">
        <f t="shared" si="27"/>
        <v>0</v>
      </c>
      <c r="GG37" s="76">
        <f t="shared" si="28"/>
        <v>0</v>
      </c>
      <c r="GH37" s="76">
        <f t="shared" si="29"/>
        <v>0</v>
      </c>
      <c r="GI37" s="76">
        <f t="shared" si="30"/>
        <v>0</v>
      </c>
      <c r="GJ37" s="76">
        <f t="shared" si="31"/>
        <v>0</v>
      </c>
      <c r="GK37" s="76">
        <f t="shared" si="32"/>
        <v>0</v>
      </c>
      <c r="GL37" s="76">
        <f t="shared" si="33"/>
        <v>0</v>
      </c>
      <c r="GM37" s="76">
        <f t="shared" si="34"/>
        <v>0</v>
      </c>
      <c r="GN37" s="76">
        <f t="shared" si="35"/>
        <v>0</v>
      </c>
      <c r="GO37" s="76">
        <f t="shared" si="36"/>
        <v>0</v>
      </c>
      <c r="GP37" s="76">
        <f t="shared" si="37"/>
        <v>0</v>
      </c>
      <c r="GQ37" s="76">
        <f t="shared" si="38"/>
        <v>0</v>
      </c>
      <c r="GR37" s="76">
        <f t="shared" si="39"/>
        <v>0</v>
      </c>
      <c r="GS37" s="76">
        <f t="shared" si="40"/>
        <v>0</v>
      </c>
      <c r="GT37" s="76">
        <f t="shared" si="41"/>
        <v>0</v>
      </c>
      <c r="GU37" s="76">
        <f t="shared" si="42"/>
        <v>0</v>
      </c>
      <c r="GV37" s="76">
        <f t="shared" si="43"/>
        <v>0</v>
      </c>
      <c r="GW37" s="76">
        <f t="shared" si="44"/>
        <v>0</v>
      </c>
      <c r="GX37" s="76">
        <f t="shared" si="45"/>
        <v>0</v>
      </c>
      <c r="GY37" s="76">
        <f t="shared" si="46"/>
        <v>0</v>
      </c>
      <c r="GZ37" s="76">
        <f t="shared" si="80"/>
        <v>0</v>
      </c>
      <c r="HA37" s="76">
        <f t="shared" si="81"/>
        <v>0</v>
      </c>
      <c r="HB37" s="76">
        <f t="shared" si="82"/>
        <v>0</v>
      </c>
      <c r="HC37" s="76">
        <f t="shared" si="83"/>
        <v>0</v>
      </c>
      <c r="HD37" s="76">
        <f t="shared" si="84"/>
        <v>0</v>
      </c>
      <c r="HE37" s="76">
        <f t="shared" si="85"/>
        <v>0</v>
      </c>
      <c r="HF37" s="76">
        <f t="shared" si="86"/>
        <v>0</v>
      </c>
      <c r="HG37" s="76">
        <f t="shared" si="87"/>
        <v>0</v>
      </c>
      <c r="HH37" s="76">
        <f t="shared" si="88"/>
        <v>0</v>
      </c>
      <c r="HI37" s="76">
        <f t="shared" si="89"/>
        <v>0</v>
      </c>
      <c r="HJ37" s="76">
        <f t="shared" si="78"/>
        <v>0</v>
      </c>
      <c r="HK37" s="76">
        <f t="shared" si="90"/>
        <v>0</v>
      </c>
      <c r="HL37" s="76">
        <f t="shared" si="91"/>
        <v>0</v>
      </c>
      <c r="HM37" s="76">
        <f t="shared" si="92"/>
        <v>0</v>
      </c>
      <c r="HN37" s="76">
        <f t="shared" si="93"/>
        <v>0</v>
      </c>
      <c r="HO37" s="76">
        <f t="shared" si="94"/>
        <v>0</v>
      </c>
      <c r="HP37" s="76">
        <f t="shared" si="95"/>
        <v>0</v>
      </c>
      <c r="HQ37" s="77"/>
      <c r="HR37" s="43"/>
      <c r="HS37" s="43"/>
      <c r="HT37" s="43"/>
      <c r="HU37" s="78">
        <f t="shared" si="63"/>
        <v>0</v>
      </c>
      <c r="HV37" s="78">
        <f t="shared" si="64"/>
        <v>0</v>
      </c>
      <c r="HW37" s="78">
        <f t="shared" si="65"/>
        <v>0</v>
      </c>
      <c r="HX37" s="79">
        <f t="shared" si="66"/>
        <v>0</v>
      </c>
      <c r="HY37" s="80">
        <f t="shared" si="67"/>
        <v>0</v>
      </c>
      <c r="HZ37" s="80">
        <f t="shared" si="68"/>
        <v>0</v>
      </c>
      <c r="IA37" s="80">
        <f t="shared" si="69"/>
        <v>0</v>
      </c>
      <c r="IB37" s="80">
        <f t="shared" si="70"/>
        <v>0</v>
      </c>
      <c r="IC37" s="80">
        <f t="shared" si="71"/>
        <v>0</v>
      </c>
      <c r="ID37" s="80">
        <f t="shared" si="96"/>
        <v>0</v>
      </c>
      <c r="IE37" s="80">
        <f t="shared" si="97"/>
        <v>0</v>
      </c>
      <c r="IF37" s="80">
        <f t="shared" si="98"/>
        <v>0</v>
      </c>
      <c r="IG37" s="80">
        <f t="shared" si="99"/>
        <v>0</v>
      </c>
    </row>
    <row r="38" spans="1:241" outlineLevel="1" x14ac:dyDescent="0.3">
      <c r="A38" s="63" t="s">
        <v>121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BU38" s="72"/>
      <c r="BV38" s="72"/>
      <c r="BW38" s="72"/>
      <c r="BX38" s="72"/>
      <c r="BY38" s="72"/>
      <c r="BZ38" s="72"/>
      <c r="CA38" s="72"/>
      <c r="CB38" s="72"/>
      <c r="CC38" s="72"/>
      <c r="CD38" s="72"/>
      <c r="CE38" s="72"/>
      <c r="CF38" s="72"/>
      <c r="CG38" s="72"/>
      <c r="CH38" s="72"/>
      <c r="CI38" s="72"/>
      <c r="CJ38" s="72"/>
      <c r="CK38" s="72"/>
      <c r="CL38" s="72"/>
      <c r="CM38" s="72"/>
      <c r="CN38" s="72"/>
      <c r="CO38" s="72"/>
      <c r="CP38" s="72"/>
      <c r="CQ38" s="72"/>
      <c r="CR38" s="72"/>
      <c r="CS38" s="74"/>
      <c r="CT38" s="74"/>
      <c r="CU38" s="74"/>
      <c r="CV38" s="74"/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>
        <v>2009</v>
      </c>
      <c r="DH38" s="74">
        <v>3887</v>
      </c>
      <c r="DI38" s="74">
        <v>4033</v>
      </c>
      <c r="DJ38" s="74">
        <v>5187</v>
      </c>
      <c r="DK38" s="74">
        <v>6609</v>
      </c>
      <c r="DL38" s="74">
        <v>7812</v>
      </c>
      <c r="DM38" s="74">
        <v>9221</v>
      </c>
      <c r="DN38" s="74">
        <v>8119</v>
      </c>
      <c r="DO38" s="74">
        <v>9604</v>
      </c>
      <c r="DP38" s="74">
        <v>9907</v>
      </c>
      <c r="DQ38" s="74">
        <v>12082</v>
      </c>
      <c r="DR38" s="74">
        <v>10192</v>
      </c>
      <c r="DS38" s="74">
        <v>10542</v>
      </c>
      <c r="DT38" s="74">
        <v>9248</v>
      </c>
      <c r="DU38" s="74">
        <v>12762</v>
      </c>
      <c r="DV38" s="74">
        <v>13708</v>
      </c>
      <c r="DW38" s="74">
        <v>14610</v>
      </c>
      <c r="DX38" s="74">
        <v>4592</v>
      </c>
      <c r="DY38" s="74">
        <v>4703</v>
      </c>
      <c r="DZ38" s="74">
        <v>2523</v>
      </c>
      <c r="EA38" s="74">
        <v>5980</v>
      </c>
      <c r="EB38" s="74">
        <v>6726</v>
      </c>
      <c r="EC38" s="74">
        <v>4429</v>
      </c>
      <c r="ED38" s="74">
        <v>36</v>
      </c>
      <c r="EE38" s="74">
        <v>581</v>
      </c>
      <c r="EF38" s="74">
        <v>36</v>
      </c>
      <c r="EG38" s="74">
        <v>3056</v>
      </c>
      <c r="EH38" s="74">
        <v>2363</v>
      </c>
      <c r="EI38" s="74">
        <v>2397</v>
      </c>
      <c r="EJ38" s="74">
        <v>1852</v>
      </c>
      <c r="EK38" s="74">
        <v>483</v>
      </c>
      <c r="EL38" s="74">
        <v>418</v>
      </c>
      <c r="EM38" s="74">
        <v>1091</v>
      </c>
      <c r="EN38" s="74">
        <v>1244</v>
      </c>
      <c r="EO38" s="74">
        <v>284</v>
      </c>
      <c r="EP38" s="74">
        <v>1</v>
      </c>
      <c r="EQ38" s="64">
        <v>60</v>
      </c>
      <c r="ER38" s="64">
        <v>31</v>
      </c>
      <c r="ES38" s="64">
        <v>40</v>
      </c>
      <c r="ET38" s="64">
        <v>184</v>
      </c>
      <c r="EU38" s="64">
        <v>1004</v>
      </c>
      <c r="EV38" s="64">
        <v>2080</v>
      </c>
      <c r="EW38" s="64">
        <v>1002</v>
      </c>
      <c r="EX38" s="64">
        <v>1016</v>
      </c>
      <c r="EY38" s="64">
        <v>430</v>
      </c>
      <c r="EZ38" s="64">
        <v>393</v>
      </c>
      <c r="FA38" s="64">
        <v>36</v>
      </c>
      <c r="FB38" s="64">
        <v>33</v>
      </c>
      <c r="FC38" s="64">
        <v>0</v>
      </c>
      <c r="FD38" s="64">
        <v>0</v>
      </c>
      <c r="FE38" s="64">
        <v>0</v>
      </c>
      <c r="FF38" s="64">
        <v>40</v>
      </c>
      <c r="FG38" s="64">
        <v>0</v>
      </c>
      <c r="FH38" s="64">
        <v>0</v>
      </c>
      <c r="FI38" s="64">
        <v>0</v>
      </c>
      <c r="FJ38" s="64"/>
      <c r="FK38" s="43"/>
      <c r="FL38" s="43"/>
      <c r="FM38" s="43"/>
      <c r="FN38" s="75"/>
      <c r="FO38" s="76"/>
      <c r="FP38" s="76"/>
      <c r="FQ38" s="76"/>
      <c r="FR38" s="76"/>
      <c r="FS38" s="76"/>
      <c r="FT38" s="76"/>
      <c r="FU38" s="76"/>
      <c r="FV38" s="76"/>
      <c r="FW38" s="76"/>
      <c r="FX38" s="76"/>
      <c r="FY38" s="76"/>
      <c r="FZ38" s="76"/>
      <c r="GA38" s="76"/>
      <c r="GB38" s="76"/>
      <c r="GC38" s="76"/>
      <c r="GD38" s="76"/>
      <c r="GE38" s="76"/>
      <c r="GF38" s="76"/>
      <c r="GG38" s="76"/>
      <c r="GH38" s="76"/>
      <c r="GI38" s="76"/>
      <c r="GJ38" s="76"/>
      <c r="GK38" s="76"/>
      <c r="GL38" s="76"/>
      <c r="GM38" s="76"/>
      <c r="GN38" s="76"/>
      <c r="GO38" s="76"/>
      <c r="GP38" s="76"/>
      <c r="GQ38" s="76"/>
      <c r="GR38" s="76"/>
      <c r="GS38" s="76"/>
      <c r="GT38" s="76"/>
      <c r="GU38" s="76"/>
      <c r="GV38" s="76"/>
      <c r="GW38" s="76"/>
      <c r="GX38" s="76"/>
      <c r="GY38" s="76"/>
      <c r="GZ38" s="76"/>
      <c r="HA38" s="76"/>
      <c r="HB38" s="76"/>
      <c r="HC38" s="76"/>
      <c r="HD38" s="76"/>
      <c r="HE38" s="76"/>
      <c r="HF38" s="76"/>
      <c r="HG38" s="76"/>
      <c r="HH38" s="76"/>
      <c r="HI38" s="76"/>
      <c r="HJ38" s="76"/>
      <c r="HK38" s="76"/>
      <c r="HL38" s="76"/>
      <c r="HM38" s="76"/>
      <c r="HN38" s="76"/>
      <c r="HO38" s="76"/>
      <c r="HP38" s="76"/>
      <c r="HQ38" s="77"/>
      <c r="HR38" s="43"/>
      <c r="HS38" s="43"/>
      <c r="HT38" s="43"/>
      <c r="HU38" s="78">
        <f t="shared" ref="HU38" si="103">SUM(B38:M38)</f>
        <v>0</v>
      </c>
      <c r="HV38" s="78">
        <f t="shared" ref="HV38:HV39" si="104">SUM(N38:Y38)</f>
        <v>0</v>
      </c>
      <c r="HW38" s="78">
        <f t="shared" ref="HW38:HW39" si="105">SUM(Z38:AK38)</f>
        <v>0</v>
      </c>
      <c r="HX38" s="79">
        <f t="shared" ref="HX38:HX39" si="106">SUM(AL38:AW38)</f>
        <v>0</v>
      </c>
      <c r="HY38" s="80">
        <f t="shared" ref="HY38:HY39" si="107">SUM(AX38:BI38)</f>
        <v>0</v>
      </c>
      <c r="HZ38" s="80">
        <f t="shared" ref="HZ38:HZ39" si="108">SUM(BJ38:BU38)</f>
        <v>0</v>
      </c>
      <c r="IA38" s="80">
        <f t="shared" ref="IA38:IA39" si="109">SUM(BV38:CG38)</f>
        <v>0</v>
      </c>
      <c r="IB38" s="80">
        <f t="shared" ref="IB38:IB39" si="110">SUM(CH38:CS38)</f>
        <v>0</v>
      </c>
      <c r="IC38" s="80">
        <f t="shared" ref="IC38:IC39" si="111">SUM(CT38:DE38)</f>
        <v>0</v>
      </c>
      <c r="ID38" s="80">
        <f t="shared" ref="ID38:ID39" si="112">SUM(DF38:DQ38)</f>
        <v>78470</v>
      </c>
      <c r="IE38" s="80">
        <f t="shared" ref="IE38:IE39" si="113">SUM(DR38:EC38)</f>
        <v>100015</v>
      </c>
      <c r="IF38" s="80">
        <f t="shared" ref="IF38:IF39" si="114">SUM(ED38:EO38)</f>
        <v>13841</v>
      </c>
      <c r="IG38" s="80">
        <f t="shared" si="99"/>
        <v>6277</v>
      </c>
    </row>
    <row r="39" spans="1:241" outlineLevel="1" x14ac:dyDescent="0.3">
      <c r="A39" s="71" t="s">
        <v>115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>
        <v>75</v>
      </c>
      <c r="DH39" s="74">
        <v>832</v>
      </c>
      <c r="DI39" s="74">
        <v>2100</v>
      </c>
      <c r="DJ39" s="74">
        <v>2117</v>
      </c>
      <c r="DK39" s="74">
        <v>2523</v>
      </c>
      <c r="DL39" s="74">
        <v>3256</v>
      </c>
      <c r="DM39" s="74">
        <v>1656</v>
      </c>
      <c r="DN39" s="74">
        <v>1761</v>
      </c>
      <c r="DO39" s="74">
        <v>2991</v>
      </c>
      <c r="DP39" s="74">
        <v>2178</v>
      </c>
      <c r="DQ39" s="74">
        <v>2533</v>
      </c>
      <c r="DR39" s="74">
        <v>3694</v>
      </c>
      <c r="DS39" s="74">
        <v>3667</v>
      </c>
      <c r="DT39" s="74">
        <v>3190</v>
      </c>
      <c r="DU39" s="74">
        <v>2714</v>
      </c>
      <c r="DV39" s="74">
        <v>6441</v>
      </c>
      <c r="DW39" s="74">
        <v>8862</v>
      </c>
      <c r="DX39" s="74">
        <v>10020</v>
      </c>
      <c r="DY39" s="74">
        <v>8036</v>
      </c>
      <c r="DZ39" s="74">
        <v>7085</v>
      </c>
      <c r="EA39" s="74">
        <v>14802</v>
      </c>
      <c r="EB39" s="74">
        <v>12147</v>
      </c>
      <c r="EC39" s="74">
        <v>12554</v>
      </c>
      <c r="ED39" s="74">
        <v>6746</v>
      </c>
      <c r="EE39" s="74">
        <v>9670</v>
      </c>
      <c r="EF39" s="74">
        <v>10202</v>
      </c>
      <c r="EG39" s="74">
        <v>8062</v>
      </c>
      <c r="EH39" s="74">
        <v>8243</v>
      </c>
      <c r="EI39" s="74">
        <v>6955</v>
      </c>
      <c r="EJ39" s="74">
        <v>10548</v>
      </c>
      <c r="EK39" s="74">
        <v>7794</v>
      </c>
      <c r="EL39" s="74">
        <v>4622</v>
      </c>
      <c r="EM39" s="74">
        <v>11865</v>
      </c>
      <c r="EN39" s="74">
        <v>11094</v>
      </c>
      <c r="EO39" s="74">
        <v>11821</v>
      </c>
      <c r="EP39" s="74">
        <v>8850</v>
      </c>
      <c r="EQ39" s="74">
        <v>7023</v>
      </c>
      <c r="ER39" s="74">
        <v>7943</v>
      </c>
      <c r="ES39" s="74">
        <v>11088</v>
      </c>
      <c r="ET39" s="74">
        <v>13232</v>
      </c>
      <c r="EU39" s="74">
        <v>16582</v>
      </c>
      <c r="EV39" s="74">
        <v>20133</v>
      </c>
      <c r="EW39" s="74">
        <v>13317</v>
      </c>
      <c r="EX39" s="74">
        <v>9436</v>
      </c>
      <c r="EY39" s="74">
        <v>17494</v>
      </c>
      <c r="EZ39" s="74">
        <v>13482</v>
      </c>
      <c r="FA39" s="74">
        <v>16825</v>
      </c>
      <c r="FB39" s="74">
        <v>13663</v>
      </c>
      <c r="FC39" s="74">
        <v>16103</v>
      </c>
      <c r="FD39" s="74">
        <v>17141</v>
      </c>
      <c r="FE39" s="74">
        <v>15096</v>
      </c>
      <c r="FF39" s="74">
        <v>22757</v>
      </c>
      <c r="FG39" s="74">
        <v>25137</v>
      </c>
      <c r="FH39" s="74">
        <v>25829</v>
      </c>
      <c r="FI39" s="74">
        <v>23714</v>
      </c>
      <c r="FJ39" s="74">
        <v>17701</v>
      </c>
      <c r="FK39" s="43"/>
      <c r="FL39" s="43"/>
      <c r="FM39" s="43"/>
      <c r="FN39" s="75"/>
      <c r="FO39" s="76"/>
      <c r="FP39" s="76"/>
      <c r="FQ39" s="76"/>
      <c r="FR39" s="76"/>
      <c r="FS39" s="76"/>
      <c r="FT39" s="76"/>
      <c r="FU39" s="76"/>
      <c r="FV39" s="76"/>
      <c r="FW39" s="76"/>
      <c r="FX39" s="76"/>
      <c r="FY39" s="76"/>
      <c r="FZ39" s="76"/>
      <c r="GA39" s="76"/>
      <c r="GB39" s="76"/>
      <c r="GC39" s="76"/>
      <c r="GD39" s="76"/>
      <c r="GE39" s="76"/>
      <c r="GF39" s="76"/>
      <c r="GG39" s="76"/>
      <c r="GH39" s="76"/>
      <c r="GI39" s="76"/>
      <c r="GJ39" s="76"/>
      <c r="GK39" s="76"/>
      <c r="GL39" s="76"/>
      <c r="GM39" s="76"/>
      <c r="GN39" s="76"/>
      <c r="GO39" s="76"/>
      <c r="GP39" s="76"/>
      <c r="GQ39" s="76"/>
      <c r="GR39" s="76"/>
      <c r="GS39" s="76"/>
      <c r="GT39" s="76"/>
      <c r="GU39" s="76"/>
      <c r="GV39" s="76"/>
      <c r="GW39" s="76"/>
      <c r="GX39" s="76"/>
      <c r="GY39" s="76"/>
      <c r="GZ39" s="76"/>
      <c r="HA39" s="76"/>
      <c r="HB39" s="76"/>
      <c r="HC39" s="76"/>
      <c r="HD39" s="76"/>
      <c r="HE39" s="76"/>
      <c r="HF39" s="76"/>
      <c r="HG39" s="76"/>
      <c r="HH39" s="76"/>
      <c r="HI39" s="76"/>
      <c r="HJ39" s="76"/>
      <c r="HK39" s="76"/>
      <c r="HL39" s="76"/>
      <c r="HM39" s="76"/>
      <c r="HN39" s="76"/>
      <c r="HO39" s="76"/>
      <c r="HP39" s="76"/>
      <c r="HQ39" s="77"/>
      <c r="HR39" s="43"/>
      <c r="HS39" s="43"/>
      <c r="HT39" s="43"/>
      <c r="HU39" s="78">
        <f t="shared" ref="HU39" si="115">SUM(B39:M39)</f>
        <v>0</v>
      </c>
      <c r="HV39" s="78">
        <f t="shared" si="104"/>
        <v>0</v>
      </c>
      <c r="HW39" s="78">
        <f t="shared" si="105"/>
        <v>0</v>
      </c>
      <c r="HX39" s="79">
        <f t="shared" si="106"/>
        <v>0</v>
      </c>
      <c r="HY39" s="80">
        <f t="shared" si="107"/>
        <v>0</v>
      </c>
      <c r="HZ39" s="80">
        <f t="shared" si="108"/>
        <v>0</v>
      </c>
      <c r="IA39" s="80">
        <f t="shared" si="109"/>
        <v>0</v>
      </c>
      <c r="IB39" s="80">
        <f t="shared" si="110"/>
        <v>0</v>
      </c>
      <c r="IC39" s="80">
        <f t="shared" si="111"/>
        <v>0</v>
      </c>
      <c r="ID39" s="80">
        <f t="shared" si="112"/>
        <v>22022</v>
      </c>
      <c r="IE39" s="80">
        <f t="shared" si="113"/>
        <v>93212</v>
      </c>
      <c r="IF39" s="80">
        <f t="shared" si="114"/>
        <v>107622</v>
      </c>
      <c r="IG39" s="80">
        <f t="shared" si="99"/>
        <v>155405</v>
      </c>
    </row>
    <row r="40" spans="1:241" outlineLevel="1" x14ac:dyDescent="0.3">
      <c r="A40" s="63" t="s">
        <v>135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64"/>
      <c r="CT40" s="64"/>
      <c r="CU40" s="64"/>
      <c r="CV40" s="64"/>
      <c r="CW40" s="64">
        <v>120</v>
      </c>
      <c r="CX40" s="64">
        <v>192</v>
      </c>
      <c r="CY40" s="64">
        <v>288</v>
      </c>
      <c r="CZ40" s="64">
        <v>258</v>
      </c>
      <c r="DA40" s="64">
        <v>264</v>
      </c>
      <c r="DB40" s="64">
        <v>3</v>
      </c>
      <c r="DC40" s="64">
        <v>30</v>
      </c>
      <c r="DD40" s="64">
        <v>150</v>
      </c>
      <c r="DE40" s="64">
        <v>355</v>
      </c>
      <c r="DF40" s="64">
        <v>510</v>
      </c>
      <c r="DG40" s="64">
        <v>31</v>
      </c>
      <c r="DH40" s="64">
        <v>452</v>
      </c>
      <c r="DI40" s="64">
        <v>730</v>
      </c>
      <c r="DJ40" s="64">
        <v>364</v>
      </c>
      <c r="DK40" s="64">
        <v>642</v>
      </c>
      <c r="DL40" s="64">
        <v>835</v>
      </c>
      <c r="DM40" s="64">
        <v>511</v>
      </c>
      <c r="DN40" s="64">
        <v>728</v>
      </c>
      <c r="DO40" s="64">
        <v>1268</v>
      </c>
      <c r="DP40" s="64">
        <v>1110</v>
      </c>
      <c r="DQ40" s="64">
        <v>1006</v>
      </c>
      <c r="DR40" s="64">
        <v>1246</v>
      </c>
      <c r="DS40" s="64">
        <v>2544</v>
      </c>
      <c r="DT40" s="64">
        <v>2469</v>
      </c>
      <c r="DU40" s="64">
        <v>3002</v>
      </c>
      <c r="DV40" s="64">
        <v>2762</v>
      </c>
      <c r="DW40" s="64">
        <v>4035</v>
      </c>
      <c r="DX40" s="64">
        <v>3756</v>
      </c>
      <c r="DY40" s="64">
        <v>3346</v>
      </c>
      <c r="DZ40" s="64">
        <v>3444</v>
      </c>
      <c r="EA40" s="64">
        <v>3511</v>
      </c>
      <c r="EB40" s="64">
        <v>2678</v>
      </c>
      <c r="EC40" s="64">
        <v>3518</v>
      </c>
      <c r="ED40" s="64">
        <v>4684</v>
      </c>
      <c r="EE40" s="64">
        <v>9335</v>
      </c>
      <c r="EF40" s="64">
        <v>7131</v>
      </c>
      <c r="EG40" s="64">
        <v>5128</v>
      </c>
      <c r="EH40" s="64">
        <v>8055</v>
      </c>
      <c r="EI40" s="64">
        <v>11343</v>
      </c>
      <c r="EJ40" s="64">
        <v>15712</v>
      </c>
      <c r="EK40" s="64">
        <v>8570</v>
      </c>
      <c r="EL40" s="64">
        <v>13358</v>
      </c>
      <c r="EM40" s="64">
        <v>15294</v>
      </c>
      <c r="EN40" s="64">
        <v>15420</v>
      </c>
      <c r="EO40" s="64">
        <v>15064</v>
      </c>
      <c r="EP40" s="64">
        <v>11121</v>
      </c>
      <c r="EQ40" s="74">
        <v>15042</v>
      </c>
      <c r="ER40" s="74">
        <v>17691</v>
      </c>
      <c r="ES40" s="74">
        <v>26314</v>
      </c>
      <c r="ET40" s="74">
        <v>25756</v>
      </c>
      <c r="EU40" s="74">
        <v>32017</v>
      </c>
      <c r="EV40" s="74">
        <v>30644</v>
      </c>
      <c r="EW40" s="74">
        <v>25910</v>
      </c>
      <c r="EX40" s="74">
        <v>21020</v>
      </c>
      <c r="EY40" s="74">
        <v>21145</v>
      </c>
      <c r="EZ40" s="74">
        <v>21440</v>
      </c>
      <c r="FA40" s="74">
        <v>29083</v>
      </c>
      <c r="FB40" s="74">
        <v>19266</v>
      </c>
      <c r="FC40" s="74">
        <v>25790</v>
      </c>
      <c r="FD40" s="74">
        <v>18564</v>
      </c>
      <c r="FE40" s="74">
        <v>12134</v>
      </c>
      <c r="FF40" s="74">
        <v>14164</v>
      </c>
      <c r="FG40" s="74">
        <v>30958</v>
      </c>
      <c r="FH40" s="74">
        <v>34900</v>
      </c>
      <c r="FI40" s="74">
        <v>38372</v>
      </c>
      <c r="FJ40" s="74">
        <v>20390</v>
      </c>
      <c r="FK40" s="43"/>
      <c r="FL40" s="43"/>
      <c r="FM40" s="43"/>
      <c r="FN40" s="66">
        <f t="shared" si="76"/>
        <v>0</v>
      </c>
      <c r="FO40" s="67">
        <f t="shared" si="77"/>
        <v>0</v>
      </c>
      <c r="FP40" s="67">
        <f t="shared" si="11"/>
        <v>0</v>
      </c>
      <c r="FQ40" s="67">
        <f t="shared" si="12"/>
        <v>0</v>
      </c>
      <c r="FR40" s="67">
        <f t="shared" si="13"/>
        <v>0</v>
      </c>
      <c r="FS40" s="67">
        <f t="shared" si="14"/>
        <v>0</v>
      </c>
      <c r="FT40" s="67">
        <f t="shared" si="15"/>
        <v>0</v>
      </c>
      <c r="FU40" s="67">
        <f t="shared" si="16"/>
        <v>0</v>
      </c>
      <c r="FV40" s="67">
        <f t="shared" si="17"/>
        <v>0</v>
      </c>
      <c r="FW40" s="67">
        <f t="shared" si="18"/>
        <v>0</v>
      </c>
      <c r="FX40" s="67">
        <f t="shared" si="19"/>
        <v>0</v>
      </c>
      <c r="FY40" s="67">
        <f t="shared" si="20"/>
        <v>0</v>
      </c>
      <c r="FZ40" s="67">
        <f t="shared" si="21"/>
        <v>0</v>
      </c>
      <c r="GA40" s="67">
        <f t="shared" si="22"/>
        <v>0</v>
      </c>
      <c r="GB40" s="67">
        <f t="shared" si="23"/>
        <v>0</v>
      </c>
      <c r="GC40" s="67">
        <f t="shared" si="24"/>
        <v>0</v>
      </c>
      <c r="GD40" s="67">
        <f t="shared" si="25"/>
        <v>0</v>
      </c>
      <c r="GE40" s="67">
        <f t="shared" si="26"/>
        <v>0</v>
      </c>
      <c r="GF40" s="67">
        <f t="shared" si="27"/>
        <v>0</v>
      </c>
      <c r="GG40" s="67">
        <f t="shared" si="28"/>
        <v>0</v>
      </c>
      <c r="GH40" s="67">
        <f t="shared" si="29"/>
        <v>0</v>
      </c>
      <c r="GI40" s="67">
        <f t="shared" si="30"/>
        <v>0</v>
      </c>
      <c r="GJ40" s="67">
        <f t="shared" si="31"/>
        <v>0</v>
      </c>
      <c r="GK40" s="67">
        <f t="shared" si="32"/>
        <v>0</v>
      </c>
      <c r="GL40" s="67">
        <f t="shared" si="33"/>
        <v>0</v>
      </c>
      <c r="GM40" s="67">
        <f t="shared" si="34"/>
        <v>0</v>
      </c>
      <c r="GN40" s="67">
        <f t="shared" si="35"/>
        <v>0</v>
      </c>
      <c r="GO40" s="67">
        <f t="shared" si="36"/>
        <v>0</v>
      </c>
      <c r="GP40" s="67">
        <f t="shared" si="37"/>
        <v>0</v>
      </c>
      <c r="GQ40" s="67">
        <f t="shared" si="38"/>
        <v>0</v>
      </c>
      <c r="GR40" s="67">
        <f t="shared" si="39"/>
        <v>0</v>
      </c>
      <c r="GS40" s="67">
        <f t="shared" si="40"/>
        <v>0</v>
      </c>
      <c r="GT40" s="67">
        <f t="shared" si="41"/>
        <v>0</v>
      </c>
      <c r="GU40" s="67">
        <f t="shared" si="42"/>
        <v>600</v>
      </c>
      <c r="GV40" s="67">
        <f t="shared" si="43"/>
        <v>525</v>
      </c>
      <c r="GW40" s="67">
        <f t="shared" si="44"/>
        <v>535</v>
      </c>
      <c r="GX40" s="67">
        <f t="shared" si="45"/>
        <v>993</v>
      </c>
      <c r="GY40" s="67">
        <f t="shared" si="46"/>
        <v>1736</v>
      </c>
      <c r="GZ40" s="67">
        <f t="shared" si="80"/>
        <v>2074</v>
      </c>
      <c r="HA40" s="67">
        <f t="shared" si="81"/>
        <v>3384</v>
      </c>
      <c r="HB40" s="67">
        <f t="shared" si="82"/>
        <v>6259</v>
      </c>
      <c r="HC40" s="67">
        <f t="shared" si="83"/>
        <v>9799</v>
      </c>
      <c r="HD40" s="67">
        <f t="shared" si="84"/>
        <v>10546</v>
      </c>
      <c r="HE40" s="67">
        <f t="shared" si="85"/>
        <v>9707</v>
      </c>
      <c r="HF40" s="67">
        <f t="shared" si="86"/>
        <v>21150</v>
      </c>
      <c r="HG40" s="67">
        <f t="shared" si="87"/>
        <v>24526</v>
      </c>
      <c r="HH40" s="67">
        <f t="shared" si="88"/>
        <v>37640</v>
      </c>
      <c r="HI40" s="67">
        <f t="shared" si="89"/>
        <v>45778</v>
      </c>
      <c r="HJ40" s="67">
        <f t="shared" ref="HJ40:HJ85" si="116">SUM(EP40:ER40)</f>
        <v>43854</v>
      </c>
      <c r="HK40" s="67">
        <f>SUM(ES40:EU40)</f>
        <v>84087</v>
      </c>
      <c r="HL40" s="67">
        <f>SUM(EV40:EX40)</f>
        <v>77574</v>
      </c>
      <c r="HM40" s="67">
        <f>SUM(EY40:FA40)</f>
        <v>71668</v>
      </c>
      <c r="HN40" s="67">
        <f>SUM(FB40:FD40)</f>
        <v>63620</v>
      </c>
      <c r="HO40" s="67">
        <f>SUM(FE40:FG40)</f>
        <v>57256</v>
      </c>
      <c r="HP40" s="67">
        <f>SUM(FH40:FJ40)</f>
        <v>93662</v>
      </c>
      <c r="HQ40" s="60"/>
      <c r="HR40" s="43"/>
      <c r="HS40" s="43"/>
      <c r="HT40" s="43"/>
      <c r="HU40" s="68">
        <f t="shared" si="63"/>
        <v>0</v>
      </c>
      <c r="HV40" s="68">
        <f t="shared" si="64"/>
        <v>0</v>
      </c>
      <c r="HW40" s="68">
        <f t="shared" si="65"/>
        <v>0</v>
      </c>
      <c r="HX40" s="69">
        <f t="shared" si="66"/>
        <v>0</v>
      </c>
      <c r="HY40" s="70">
        <f t="shared" si="67"/>
        <v>0</v>
      </c>
      <c r="HZ40" s="70">
        <f t="shared" si="68"/>
        <v>0</v>
      </c>
      <c r="IA40" s="70">
        <f t="shared" si="69"/>
        <v>0</v>
      </c>
      <c r="IB40" s="70">
        <f t="shared" si="70"/>
        <v>0</v>
      </c>
      <c r="IC40" s="70">
        <f t="shared" si="71"/>
        <v>1660</v>
      </c>
      <c r="ID40" s="70">
        <f t="shared" si="96"/>
        <v>8187</v>
      </c>
      <c r="IE40" s="70">
        <f t="shared" si="97"/>
        <v>36311</v>
      </c>
      <c r="IF40" s="70">
        <f t="shared" si="98"/>
        <v>129094</v>
      </c>
      <c r="IG40" s="70">
        <f t="shared" si="99"/>
        <v>277183</v>
      </c>
    </row>
    <row r="41" spans="1:241" outlineLevel="1" x14ac:dyDescent="0.3">
      <c r="A41" s="63" t="s">
        <v>136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74"/>
      <c r="ER41" s="74"/>
      <c r="ES41" s="74"/>
      <c r="ET41" s="74"/>
      <c r="EU41" s="74"/>
      <c r="EV41" s="74"/>
      <c r="EW41" s="74"/>
      <c r="EX41" s="74"/>
      <c r="EY41" s="74"/>
      <c r="EZ41" s="74">
        <v>560</v>
      </c>
      <c r="FA41" s="74">
        <v>2102</v>
      </c>
      <c r="FB41" s="74">
        <v>840</v>
      </c>
      <c r="FC41" s="74">
        <v>676</v>
      </c>
      <c r="FD41" s="74">
        <v>772</v>
      </c>
      <c r="FE41" s="74">
        <v>223</v>
      </c>
      <c r="FF41" s="74">
        <v>20</v>
      </c>
      <c r="FG41" s="74">
        <v>8</v>
      </c>
      <c r="FH41" s="74">
        <v>0</v>
      </c>
      <c r="FI41" s="74"/>
      <c r="FJ41" s="74">
        <v>20</v>
      </c>
      <c r="FK41" s="43"/>
      <c r="FL41" s="43"/>
      <c r="FM41" s="43"/>
      <c r="FN41" s="66">
        <f t="shared" ref="FN41" si="117">+SUM(B41:D41)</f>
        <v>0</v>
      </c>
      <c r="FO41" s="67">
        <f t="shared" ref="FO41" si="118">+SUM(E41:G41)</f>
        <v>0</v>
      </c>
      <c r="FP41" s="67">
        <f t="shared" si="11"/>
        <v>0</v>
      </c>
      <c r="FQ41" s="67">
        <f t="shared" si="12"/>
        <v>0</v>
      </c>
      <c r="FR41" s="67">
        <f t="shared" si="13"/>
        <v>0</v>
      </c>
      <c r="FS41" s="67">
        <f t="shared" si="14"/>
        <v>0</v>
      </c>
      <c r="FT41" s="67">
        <f t="shared" si="15"/>
        <v>0</v>
      </c>
      <c r="FU41" s="67">
        <f t="shared" si="16"/>
        <v>0</v>
      </c>
      <c r="FV41" s="67">
        <f t="shared" si="17"/>
        <v>0</v>
      </c>
      <c r="FW41" s="67">
        <f t="shared" si="18"/>
        <v>0</v>
      </c>
      <c r="FX41" s="67">
        <f t="shared" si="19"/>
        <v>0</v>
      </c>
      <c r="FY41" s="67">
        <f t="shared" si="20"/>
        <v>0</v>
      </c>
      <c r="FZ41" s="67">
        <f t="shared" si="21"/>
        <v>0</v>
      </c>
      <c r="GA41" s="67">
        <f t="shared" si="22"/>
        <v>0</v>
      </c>
      <c r="GB41" s="67">
        <f t="shared" si="23"/>
        <v>0</v>
      </c>
      <c r="GC41" s="67">
        <f t="shared" si="24"/>
        <v>0</v>
      </c>
      <c r="GD41" s="67">
        <f t="shared" si="25"/>
        <v>0</v>
      </c>
      <c r="GE41" s="67">
        <f t="shared" si="26"/>
        <v>0</v>
      </c>
      <c r="GF41" s="67">
        <f t="shared" si="27"/>
        <v>0</v>
      </c>
      <c r="GG41" s="67">
        <f t="shared" si="28"/>
        <v>0</v>
      </c>
      <c r="GH41" s="67">
        <f t="shared" si="29"/>
        <v>0</v>
      </c>
      <c r="GI41" s="67">
        <f t="shared" si="30"/>
        <v>0</v>
      </c>
      <c r="GJ41" s="67">
        <f t="shared" si="31"/>
        <v>0</v>
      </c>
      <c r="GK41" s="67">
        <f t="shared" si="32"/>
        <v>0</v>
      </c>
      <c r="GL41" s="67">
        <f t="shared" si="33"/>
        <v>0</v>
      </c>
      <c r="GM41" s="67">
        <f t="shared" si="34"/>
        <v>0</v>
      </c>
      <c r="GN41" s="67">
        <f t="shared" si="35"/>
        <v>0</v>
      </c>
      <c r="GO41" s="67">
        <f t="shared" si="36"/>
        <v>0</v>
      </c>
      <c r="GP41" s="67">
        <f t="shared" si="37"/>
        <v>0</v>
      </c>
      <c r="GQ41" s="67">
        <f t="shared" si="38"/>
        <v>0</v>
      </c>
      <c r="GR41" s="67">
        <f t="shared" si="39"/>
        <v>0</v>
      </c>
      <c r="GS41" s="67">
        <f t="shared" si="40"/>
        <v>0</v>
      </c>
      <c r="GT41" s="67">
        <f t="shared" si="41"/>
        <v>0</v>
      </c>
      <c r="GU41" s="67">
        <f t="shared" si="42"/>
        <v>0</v>
      </c>
      <c r="GV41" s="67">
        <f t="shared" si="43"/>
        <v>0</v>
      </c>
      <c r="GW41" s="67">
        <f t="shared" si="44"/>
        <v>0</v>
      </c>
      <c r="GX41" s="67">
        <f t="shared" si="45"/>
        <v>0</v>
      </c>
      <c r="GY41" s="67">
        <f t="shared" si="46"/>
        <v>0</v>
      </c>
      <c r="GZ41" s="67">
        <f t="shared" si="80"/>
        <v>0</v>
      </c>
      <c r="HA41" s="67">
        <f t="shared" si="81"/>
        <v>0</v>
      </c>
      <c r="HB41" s="67">
        <f t="shared" si="82"/>
        <v>0</v>
      </c>
      <c r="HC41" s="67">
        <f t="shared" si="83"/>
        <v>0</v>
      </c>
      <c r="HD41" s="67">
        <f t="shared" si="84"/>
        <v>0</v>
      </c>
      <c r="HE41" s="67">
        <f t="shared" si="85"/>
        <v>0</v>
      </c>
      <c r="HF41" s="67">
        <f t="shared" si="86"/>
        <v>0</v>
      </c>
      <c r="HG41" s="67">
        <f t="shared" si="87"/>
        <v>0</v>
      </c>
      <c r="HH41" s="67">
        <f t="shared" si="88"/>
        <v>0</v>
      </c>
      <c r="HI41" s="67">
        <f t="shared" si="89"/>
        <v>0</v>
      </c>
      <c r="HJ41" s="67">
        <f t="shared" ref="HJ41" si="119">SUM(EP41:ER41)</f>
        <v>0</v>
      </c>
      <c r="HK41" s="67">
        <f>SUM(ES41:EU41)</f>
        <v>0</v>
      </c>
      <c r="HL41" s="67">
        <f>SUM(EV41:EX41)</f>
        <v>0</v>
      </c>
      <c r="HM41" s="67">
        <f>SUM(EY41:FA41)</f>
        <v>2662</v>
      </c>
      <c r="HN41" s="67">
        <f>SUM(FB41:FD41)</f>
        <v>2288</v>
      </c>
      <c r="HO41" s="67">
        <f>SUM(FE41:FG41)</f>
        <v>251</v>
      </c>
      <c r="HP41" s="67">
        <f>SUM(FH41:FJ41)</f>
        <v>20</v>
      </c>
      <c r="HQ41" s="60"/>
      <c r="HR41" s="43"/>
      <c r="HS41" s="43"/>
      <c r="HT41" s="43"/>
      <c r="HU41" s="68">
        <f t="shared" si="63"/>
        <v>0</v>
      </c>
      <c r="HV41" s="68">
        <f t="shared" si="64"/>
        <v>0</v>
      </c>
      <c r="HW41" s="68">
        <f t="shared" si="65"/>
        <v>0</v>
      </c>
      <c r="HX41" s="69">
        <f t="shared" si="66"/>
        <v>0</v>
      </c>
      <c r="HY41" s="70">
        <f t="shared" si="67"/>
        <v>0</v>
      </c>
      <c r="HZ41" s="70">
        <f t="shared" si="68"/>
        <v>0</v>
      </c>
      <c r="IA41" s="70">
        <f t="shared" si="69"/>
        <v>0</v>
      </c>
      <c r="IB41" s="70">
        <f t="shared" si="70"/>
        <v>0</v>
      </c>
      <c r="IC41" s="70">
        <f t="shared" si="71"/>
        <v>0</v>
      </c>
      <c r="ID41" s="70">
        <f t="shared" si="96"/>
        <v>0</v>
      </c>
      <c r="IE41" s="70">
        <f t="shared" si="97"/>
        <v>0</v>
      </c>
      <c r="IF41" s="70">
        <f t="shared" si="98"/>
        <v>0</v>
      </c>
      <c r="IG41" s="70">
        <f t="shared" si="99"/>
        <v>2662</v>
      </c>
    </row>
    <row r="42" spans="1:241" outlineLevel="1" x14ac:dyDescent="0.3">
      <c r="A42" s="71" t="s">
        <v>124</v>
      </c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2"/>
      <c r="BC42" s="72"/>
      <c r="BD42" s="72"/>
      <c r="BE42" s="72"/>
      <c r="BF42" s="72"/>
      <c r="BG42" s="72"/>
      <c r="BH42" s="72"/>
      <c r="BI42" s="72"/>
      <c r="BJ42" s="72"/>
      <c r="BK42" s="72"/>
      <c r="BL42" s="72"/>
      <c r="BM42" s="72"/>
      <c r="BN42" s="72"/>
      <c r="BO42" s="72"/>
      <c r="BP42" s="72"/>
      <c r="BQ42" s="72"/>
      <c r="BR42" s="72"/>
      <c r="BS42" s="72"/>
      <c r="BT42" s="72"/>
      <c r="BU42" s="72"/>
      <c r="BV42" s="72"/>
      <c r="BW42" s="72"/>
      <c r="BX42" s="72"/>
      <c r="BY42" s="72"/>
      <c r="BZ42" s="72"/>
      <c r="CA42" s="72"/>
      <c r="CB42" s="72"/>
      <c r="CC42" s="72"/>
      <c r="CD42" s="72"/>
      <c r="CE42" s="72"/>
      <c r="CF42" s="72"/>
      <c r="CG42" s="72"/>
      <c r="CH42" s="72"/>
      <c r="CI42" s="72"/>
      <c r="CJ42" s="72"/>
      <c r="CK42" s="72"/>
      <c r="CL42" s="72"/>
      <c r="CM42" s="72"/>
      <c r="CN42" s="72"/>
      <c r="CO42" s="72"/>
      <c r="CP42" s="72"/>
      <c r="CQ42" s="72"/>
      <c r="CR42" s="72"/>
      <c r="CS42" s="74"/>
      <c r="CT42" s="74"/>
      <c r="CU42" s="74">
        <v>20</v>
      </c>
      <c r="CV42" s="74">
        <v>30</v>
      </c>
      <c r="CW42" s="74">
        <v>23</v>
      </c>
      <c r="CX42" s="74">
        <v>23</v>
      </c>
      <c r="CY42" s="74">
        <v>7</v>
      </c>
      <c r="CZ42" s="74">
        <v>32</v>
      </c>
      <c r="DA42" s="74">
        <v>99</v>
      </c>
      <c r="DB42" s="74">
        <v>58</v>
      </c>
      <c r="DC42" s="74">
        <v>211</v>
      </c>
      <c r="DD42" s="74">
        <v>203</v>
      </c>
      <c r="DE42" s="74">
        <v>90</v>
      </c>
      <c r="DF42" s="74">
        <v>307</v>
      </c>
      <c r="DG42" s="74">
        <v>0</v>
      </c>
      <c r="DH42" s="74">
        <v>639</v>
      </c>
      <c r="DI42" s="74">
        <v>540</v>
      </c>
      <c r="DJ42" s="74">
        <v>649</v>
      </c>
      <c r="DK42" s="74">
        <v>766</v>
      </c>
      <c r="DL42" s="74">
        <v>395</v>
      </c>
      <c r="DM42" s="74">
        <v>699</v>
      </c>
      <c r="DN42" s="74">
        <v>1212</v>
      </c>
      <c r="DO42" s="74">
        <v>1529</v>
      </c>
      <c r="DP42" s="74">
        <v>2238</v>
      </c>
      <c r="DQ42" s="74">
        <v>1799</v>
      </c>
      <c r="DR42" s="74">
        <v>1420</v>
      </c>
      <c r="DS42" s="74">
        <v>2637</v>
      </c>
      <c r="DT42" s="74">
        <v>4667</v>
      </c>
      <c r="DU42" s="74">
        <v>6304</v>
      </c>
      <c r="DV42" s="74">
        <v>4418</v>
      </c>
      <c r="DW42" s="74">
        <v>4923</v>
      </c>
      <c r="DX42" s="74">
        <v>8103</v>
      </c>
      <c r="DY42" s="74">
        <v>10056</v>
      </c>
      <c r="DZ42" s="74">
        <v>11071</v>
      </c>
      <c r="EA42" s="74">
        <v>12169</v>
      </c>
      <c r="EB42" s="74">
        <v>15522</v>
      </c>
      <c r="EC42" s="74">
        <v>15364</v>
      </c>
      <c r="ED42" s="74">
        <v>6227</v>
      </c>
      <c r="EE42" s="74">
        <v>17913</v>
      </c>
      <c r="EF42" s="74">
        <v>14462</v>
      </c>
      <c r="EG42" s="74">
        <v>13306</v>
      </c>
      <c r="EH42" s="74">
        <v>23887</v>
      </c>
      <c r="EI42" s="74">
        <v>20276</v>
      </c>
      <c r="EJ42" s="74">
        <v>20121</v>
      </c>
      <c r="EK42" s="74">
        <v>16702</v>
      </c>
      <c r="EL42" s="74">
        <v>11232</v>
      </c>
      <c r="EM42" s="74">
        <v>15652</v>
      </c>
      <c r="EN42" s="74">
        <v>15792</v>
      </c>
      <c r="EO42" s="74">
        <v>14326</v>
      </c>
      <c r="EP42" s="74">
        <v>16713</v>
      </c>
      <c r="EQ42" s="64">
        <v>17230</v>
      </c>
      <c r="ER42" s="64">
        <v>15221</v>
      </c>
      <c r="ES42" s="64">
        <v>21064</v>
      </c>
      <c r="ET42" s="64">
        <v>24181</v>
      </c>
      <c r="EU42" s="64">
        <v>28564</v>
      </c>
      <c r="EV42" s="64">
        <v>29127</v>
      </c>
      <c r="EW42" s="64">
        <v>25739</v>
      </c>
      <c r="EX42" s="64">
        <v>20031</v>
      </c>
      <c r="EY42" s="64">
        <v>25049</v>
      </c>
      <c r="EZ42" s="64">
        <v>23613</v>
      </c>
      <c r="FA42" s="64">
        <v>26531</v>
      </c>
      <c r="FB42" s="64">
        <v>27604</v>
      </c>
      <c r="FC42" s="64">
        <v>27642</v>
      </c>
      <c r="FD42" s="64">
        <v>14244</v>
      </c>
      <c r="FE42" s="64">
        <v>23029</v>
      </c>
      <c r="FF42" s="64">
        <v>24434</v>
      </c>
      <c r="FG42" s="64">
        <v>30820</v>
      </c>
      <c r="FH42" s="64">
        <v>31989</v>
      </c>
      <c r="FI42" s="64">
        <v>38191</v>
      </c>
      <c r="FJ42" s="64">
        <v>35177</v>
      </c>
      <c r="FK42" s="43"/>
      <c r="FL42" s="43"/>
      <c r="FM42" s="43"/>
      <c r="FN42" s="75">
        <f t="shared" si="76"/>
        <v>0</v>
      </c>
      <c r="FO42" s="76">
        <f t="shared" si="77"/>
        <v>0</v>
      </c>
      <c r="FP42" s="76">
        <f t="shared" si="11"/>
        <v>0</v>
      </c>
      <c r="FQ42" s="76">
        <f t="shared" si="12"/>
        <v>0</v>
      </c>
      <c r="FR42" s="76">
        <f t="shared" si="13"/>
        <v>0</v>
      </c>
      <c r="FS42" s="76">
        <f t="shared" si="14"/>
        <v>0</v>
      </c>
      <c r="FT42" s="76">
        <f t="shared" si="15"/>
        <v>0</v>
      </c>
      <c r="FU42" s="76">
        <f t="shared" si="16"/>
        <v>0</v>
      </c>
      <c r="FV42" s="76">
        <f t="shared" si="17"/>
        <v>0</v>
      </c>
      <c r="FW42" s="76">
        <f t="shared" si="18"/>
        <v>0</v>
      </c>
      <c r="FX42" s="76">
        <f t="shared" si="19"/>
        <v>0</v>
      </c>
      <c r="FY42" s="76">
        <f t="shared" si="20"/>
        <v>0</v>
      </c>
      <c r="FZ42" s="76">
        <f t="shared" si="21"/>
        <v>0</v>
      </c>
      <c r="GA42" s="76">
        <f t="shared" si="22"/>
        <v>0</v>
      </c>
      <c r="GB42" s="76">
        <f t="shared" si="23"/>
        <v>0</v>
      </c>
      <c r="GC42" s="76">
        <f t="shared" si="24"/>
        <v>0</v>
      </c>
      <c r="GD42" s="76">
        <f t="shared" si="25"/>
        <v>0</v>
      </c>
      <c r="GE42" s="76">
        <f t="shared" si="26"/>
        <v>0</v>
      </c>
      <c r="GF42" s="76">
        <f t="shared" si="27"/>
        <v>0</v>
      </c>
      <c r="GG42" s="76">
        <f t="shared" si="28"/>
        <v>0</v>
      </c>
      <c r="GH42" s="76">
        <f t="shared" si="29"/>
        <v>0</v>
      </c>
      <c r="GI42" s="76">
        <f t="shared" si="30"/>
        <v>0</v>
      </c>
      <c r="GJ42" s="76">
        <f t="shared" si="31"/>
        <v>0</v>
      </c>
      <c r="GK42" s="76">
        <f t="shared" si="32"/>
        <v>0</v>
      </c>
      <c r="GL42" s="76">
        <f t="shared" si="33"/>
        <v>0</v>
      </c>
      <c r="GM42" s="76">
        <f t="shared" si="34"/>
        <v>0</v>
      </c>
      <c r="GN42" s="76">
        <f t="shared" si="35"/>
        <v>0</v>
      </c>
      <c r="GO42" s="76">
        <f t="shared" si="36"/>
        <v>0</v>
      </c>
      <c r="GP42" s="76">
        <f t="shared" si="37"/>
        <v>0</v>
      </c>
      <c r="GQ42" s="76">
        <f t="shared" si="38"/>
        <v>0</v>
      </c>
      <c r="GR42" s="76">
        <f t="shared" si="39"/>
        <v>0</v>
      </c>
      <c r="GS42" s="76">
        <f t="shared" si="40"/>
        <v>0</v>
      </c>
      <c r="GT42" s="76">
        <f t="shared" si="41"/>
        <v>50</v>
      </c>
      <c r="GU42" s="76">
        <f t="shared" si="42"/>
        <v>53</v>
      </c>
      <c r="GV42" s="76">
        <f t="shared" si="43"/>
        <v>189</v>
      </c>
      <c r="GW42" s="76">
        <f t="shared" si="44"/>
        <v>504</v>
      </c>
      <c r="GX42" s="76">
        <f t="shared" si="45"/>
        <v>946</v>
      </c>
      <c r="GY42" s="76">
        <f t="shared" si="46"/>
        <v>1955</v>
      </c>
      <c r="GZ42" s="76">
        <f t="shared" si="80"/>
        <v>2306</v>
      </c>
      <c r="HA42" s="76">
        <f t="shared" si="81"/>
        <v>5566</v>
      </c>
      <c r="HB42" s="76">
        <f t="shared" si="82"/>
        <v>8724</v>
      </c>
      <c r="HC42" s="76">
        <f t="shared" si="83"/>
        <v>15645</v>
      </c>
      <c r="HD42" s="76">
        <f t="shared" si="84"/>
        <v>29230</v>
      </c>
      <c r="HE42" s="76">
        <f t="shared" si="85"/>
        <v>43055</v>
      </c>
      <c r="HF42" s="76">
        <f t="shared" si="86"/>
        <v>38602</v>
      </c>
      <c r="HG42" s="76">
        <f t="shared" si="87"/>
        <v>57469</v>
      </c>
      <c r="HH42" s="76">
        <f t="shared" si="88"/>
        <v>48055</v>
      </c>
      <c r="HI42" s="76">
        <f t="shared" si="89"/>
        <v>45770</v>
      </c>
      <c r="HJ42" s="76">
        <f t="shared" si="116"/>
        <v>49164</v>
      </c>
      <c r="HK42" s="76">
        <f>SUM(ES42:EU42)</f>
        <v>73809</v>
      </c>
      <c r="HL42" s="76">
        <f>SUM(EV42:EX42)</f>
        <v>74897</v>
      </c>
      <c r="HM42" s="76">
        <f>SUM(EY42:FA42)</f>
        <v>75193</v>
      </c>
      <c r="HN42" s="76">
        <f>SUM(FB42:FD42)</f>
        <v>69490</v>
      </c>
      <c r="HO42" s="76">
        <f>SUM(FE42:FG42)</f>
        <v>78283</v>
      </c>
      <c r="HP42" s="76">
        <f>SUM(FH42:FJ42)</f>
        <v>105357</v>
      </c>
      <c r="HQ42" s="77"/>
      <c r="HR42" s="43"/>
      <c r="HS42" s="43"/>
      <c r="HT42" s="43"/>
      <c r="HU42" s="78">
        <f t="shared" si="63"/>
        <v>0</v>
      </c>
      <c r="HV42" s="78">
        <f t="shared" si="64"/>
        <v>0</v>
      </c>
      <c r="HW42" s="78">
        <f t="shared" si="65"/>
        <v>0</v>
      </c>
      <c r="HX42" s="79">
        <f t="shared" si="66"/>
        <v>0</v>
      </c>
      <c r="HY42" s="80">
        <f t="shared" si="67"/>
        <v>0</v>
      </c>
      <c r="HZ42" s="80">
        <f t="shared" si="68"/>
        <v>0</v>
      </c>
      <c r="IA42" s="80">
        <f t="shared" si="69"/>
        <v>0</v>
      </c>
      <c r="IB42" s="80">
        <f t="shared" si="70"/>
        <v>0</v>
      </c>
      <c r="IC42" s="80">
        <f t="shared" si="71"/>
        <v>796</v>
      </c>
      <c r="ID42" s="80">
        <f t="shared" si="96"/>
        <v>10773</v>
      </c>
      <c r="IE42" s="80">
        <f t="shared" si="97"/>
        <v>96654</v>
      </c>
      <c r="IF42" s="80">
        <f t="shared" si="98"/>
        <v>189896</v>
      </c>
      <c r="IG42" s="80">
        <f t="shared" si="99"/>
        <v>273063</v>
      </c>
    </row>
    <row r="43" spans="1:241" outlineLevel="1" x14ac:dyDescent="0.3">
      <c r="A43" s="63" t="s">
        <v>117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74"/>
      <c r="DF43" s="74"/>
      <c r="DG43" s="74"/>
      <c r="DH43" s="74"/>
      <c r="DI43" s="74"/>
      <c r="DJ43" s="74"/>
      <c r="DK43" s="74"/>
      <c r="DL43" s="74"/>
      <c r="DM43" s="74"/>
      <c r="DN43" s="74"/>
      <c r="DO43" s="74"/>
      <c r="DP43" s="74"/>
      <c r="DQ43" s="74"/>
      <c r="DR43" s="74"/>
      <c r="DS43" s="74"/>
      <c r="DT43" s="74"/>
      <c r="DU43" s="74"/>
      <c r="DV43" s="74"/>
      <c r="DW43" s="74"/>
      <c r="DX43" s="74"/>
      <c r="DY43" s="74"/>
      <c r="DZ43" s="74">
        <v>120</v>
      </c>
      <c r="EA43" s="74">
        <v>450</v>
      </c>
      <c r="EB43" s="74">
        <v>80</v>
      </c>
      <c r="EC43" s="74">
        <v>720</v>
      </c>
      <c r="ED43" s="74">
        <v>360</v>
      </c>
      <c r="EE43" s="74">
        <v>360</v>
      </c>
      <c r="EF43" s="74">
        <v>2760</v>
      </c>
      <c r="EG43" s="74">
        <v>160</v>
      </c>
      <c r="EH43" s="74">
        <v>1000</v>
      </c>
      <c r="EI43" s="74">
        <v>1160</v>
      </c>
      <c r="EJ43" s="74">
        <v>3840</v>
      </c>
      <c r="EK43" s="74">
        <v>3286</v>
      </c>
      <c r="EL43" s="74">
        <v>1120</v>
      </c>
      <c r="EM43" s="74">
        <v>2120</v>
      </c>
      <c r="EN43" s="74">
        <v>1399</v>
      </c>
      <c r="EO43" s="74">
        <v>2240</v>
      </c>
      <c r="EP43" s="74">
        <v>2880</v>
      </c>
      <c r="EQ43" s="74">
        <v>3640</v>
      </c>
      <c r="ER43" s="74">
        <v>4039</v>
      </c>
      <c r="ES43" s="74">
        <v>4600</v>
      </c>
      <c r="ET43" s="74">
        <v>6024</v>
      </c>
      <c r="EU43" s="74">
        <v>5352</v>
      </c>
      <c r="EV43" s="74">
        <v>8750</v>
      </c>
      <c r="EW43" s="74">
        <v>1976</v>
      </c>
      <c r="EX43" s="74">
        <v>640</v>
      </c>
      <c r="EY43" s="74">
        <v>6669</v>
      </c>
      <c r="EZ43" s="74">
        <v>6146</v>
      </c>
      <c r="FA43" s="74">
        <v>7787</v>
      </c>
      <c r="FB43" s="74">
        <v>7116</v>
      </c>
      <c r="FC43" s="74">
        <v>8361</v>
      </c>
      <c r="FD43" s="74">
        <v>7178</v>
      </c>
      <c r="FE43" s="74">
        <v>11225</v>
      </c>
      <c r="FF43" s="74">
        <v>12273</v>
      </c>
      <c r="FG43" s="74">
        <v>15329</v>
      </c>
      <c r="FH43" s="74">
        <v>14019</v>
      </c>
      <c r="FI43" s="74">
        <v>14196</v>
      </c>
      <c r="FJ43" s="74">
        <v>13516</v>
      </c>
      <c r="FK43" s="43"/>
      <c r="FL43" s="43"/>
      <c r="FM43" s="43"/>
      <c r="FN43" s="75"/>
      <c r="FO43" s="76"/>
      <c r="FP43" s="76"/>
      <c r="FQ43" s="76"/>
      <c r="FR43" s="76"/>
      <c r="FS43" s="76"/>
      <c r="FT43" s="76"/>
      <c r="FU43" s="76"/>
      <c r="FV43" s="76"/>
      <c r="FW43" s="76"/>
      <c r="FX43" s="76"/>
      <c r="FY43" s="76"/>
      <c r="FZ43" s="76"/>
      <c r="GA43" s="76"/>
      <c r="GB43" s="76"/>
      <c r="GC43" s="76"/>
      <c r="GD43" s="76"/>
      <c r="GE43" s="76"/>
      <c r="GF43" s="76"/>
      <c r="GG43" s="76"/>
      <c r="GH43" s="76"/>
      <c r="GI43" s="76"/>
      <c r="GJ43" s="76"/>
      <c r="GK43" s="76"/>
      <c r="GL43" s="76"/>
      <c r="GM43" s="76"/>
      <c r="GN43" s="76"/>
      <c r="GO43" s="76"/>
      <c r="GP43" s="76"/>
      <c r="GQ43" s="76"/>
      <c r="GR43" s="76"/>
      <c r="GS43" s="76"/>
      <c r="GT43" s="76"/>
      <c r="GU43" s="76"/>
      <c r="GV43" s="76"/>
      <c r="GW43" s="76"/>
      <c r="GX43" s="76"/>
      <c r="GY43" s="76"/>
      <c r="GZ43" s="76"/>
      <c r="HA43" s="76"/>
      <c r="HB43" s="76"/>
      <c r="HC43" s="76"/>
      <c r="HD43" s="76"/>
      <c r="HE43" s="76"/>
      <c r="HF43" s="76"/>
      <c r="HG43" s="76"/>
      <c r="HH43" s="76"/>
      <c r="HI43" s="76"/>
      <c r="HJ43" s="76"/>
      <c r="HK43" s="76"/>
      <c r="HL43" s="76"/>
      <c r="HM43" s="76"/>
      <c r="HN43" s="76"/>
      <c r="HO43" s="76"/>
      <c r="HP43" s="76"/>
      <c r="HQ43" s="77"/>
      <c r="HR43" s="43"/>
      <c r="HS43" s="43"/>
      <c r="HT43" s="43"/>
      <c r="HU43" s="78">
        <f t="shared" si="63"/>
        <v>0</v>
      </c>
      <c r="HV43" s="78">
        <f t="shared" si="64"/>
        <v>0</v>
      </c>
      <c r="HW43" s="78">
        <f t="shared" si="65"/>
        <v>0</v>
      </c>
      <c r="HX43" s="79">
        <f t="shared" si="66"/>
        <v>0</v>
      </c>
      <c r="HY43" s="80">
        <f t="shared" si="67"/>
        <v>0</v>
      </c>
      <c r="HZ43" s="80">
        <f t="shared" si="68"/>
        <v>0</v>
      </c>
      <c r="IA43" s="80">
        <f t="shared" si="69"/>
        <v>0</v>
      </c>
      <c r="IB43" s="80">
        <f t="shared" si="70"/>
        <v>0</v>
      </c>
      <c r="IC43" s="80">
        <f t="shared" si="71"/>
        <v>0</v>
      </c>
      <c r="ID43" s="80">
        <f t="shared" si="96"/>
        <v>0</v>
      </c>
      <c r="IE43" s="80">
        <f t="shared" si="97"/>
        <v>1370</v>
      </c>
      <c r="IF43" s="80">
        <f t="shared" si="98"/>
        <v>19805</v>
      </c>
      <c r="IG43" s="80">
        <f t="shared" si="99"/>
        <v>58503</v>
      </c>
    </row>
    <row r="44" spans="1:241" s="96" customFormat="1" outlineLevel="1" x14ac:dyDescent="0.3">
      <c r="A44" s="82" t="s">
        <v>125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8"/>
      <c r="CT44" s="88"/>
      <c r="CU44" s="88">
        <f t="shared" ref="CU44:DF44" si="120">+SUM(CU38:CU43)</f>
        <v>20</v>
      </c>
      <c r="CV44" s="88">
        <f t="shared" si="120"/>
        <v>30</v>
      </c>
      <c r="CW44" s="88">
        <f t="shared" si="120"/>
        <v>143</v>
      </c>
      <c r="CX44" s="88">
        <f t="shared" si="120"/>
        <v>215</v>
      </c>
      <c r="CY44" s="88">
        <f t="shared" si="120"/>
        <v>295</v>
      </c>
      <c r="CZ44" s="88">
        <f t="shared" si="120"/>
        <v>290</v>
      </c>
      <c r="DA44" s="88">
        <f t="shared" si="120"/>
        <v>363</v>
      </c>
      <c r="DB44" s="88">
        <f t="shared" si="120"/>
        <v>61</v>
      </c>
      <c r="DC44" s="88">
        <f t="shared" si="120"/>
        <v>241</v>
      </c>
      <c r="DD44" s="88">
        <f t="shared" si="120"/>
        <v>353</v>
      </c>
      <c r="DE44" s="88">
        <f t="shared" si="120"/>
        <v>445</v>
      </c>
      <c r="DF44" s="88">
        <f t="shared" si="120"/>
        <v>817</v>
      </c>
      <c r="DG44" s="88">
        <v>2115</v>
      </c>
      <c r="DH44" s="88">
        <v>5810</v>
      </c>
      <c r="DI44" s="88">
        <v>7403</v>
      </c>
      <c r="DJ44" s="88">
        <v>8317</v>
      </c>
      <c r="DK44" s="88">
        <v>10540</v>
      </c>
      <c r="DL44" s="88">
        <v>12298</v>
      </c>
      <c r="DM44" s="88">
        <v>12087</v>
      </c>
      <c r="DN44" s="88">
        <v>11820</v>
      </c>
      <c r="DO44" s="88">
        <v>15392</v>
      </c>
      <c r="DP44" s="88">
        <v>15433</v>
      </c>
      <c r="DQ44" s="88">
        <v>17420</v>
      </c>
      <c r="DR44" s="88">
        <v>16552</v>
      </c>
      <c r="DS44" s="88">
        <v>19390</v>
      </c>
      <c r="DT44" s="88">
        <v>19574</v>
      </c>
      <c r="DU44" s="88">
        <v>24782</v>
      </c>
      <c r="DV44" s="88">
        <v>27329</v>
      </c>
      <c r="DW44" s="88">
        <v>32430</v>
      </c>
      <c r="DX44" s="88">
        <v>26471</v>
      </c>
      <c r="DY44" s="88">
        <v>26141</v>
      </c>
      <c r="DZ44" s="88">
        <v>24243</v>
      </c>
      <c r="EA44" s="88">
        <v>36912</v>
      </c>
      <c r="EB44" s="88">
        <v>37153</v>
      </c>
      <c r="EC44" s="88">
        <v>36585</v>
      </c>
      <c r="ED44" s="88">
        <v>18053</v>
      </c>
      <c r="EE44" s="88">
        <v>37859</v>
      </c>
      <c r="EF44" s="88">
        <v>34591</v>
      </c>
      <c r="EG44" s="88">
        <v>29712</v>
      </c>
      <c r="EH44" s="88">
        <v>43548</v>
      </c>
      <c r="EI44" s="88">
        <v>42131</v>
      </c>
      <c r="EJ44" s="88">
        <v>52073</v>
      </c>
      <c r="EK44" s="88">
        <v>36835</v>
      </c>
      <c r="EL44" s="88">
        <v>30750</v>
      </c>
      <c r="EM44" s="88">
        <v>46022</v>
      </c>
      <c r="EN44" s="88">
        <v>44949</v>
      </c>
      <c r="EO44" s="88">
        <v>43735</v>
      </c>
      <c r="EP44" s="88">
        <v>39565</v>
      </c>
      <c r="EQ44" s="88">
        <v>42995</v>
      </c>
      <c r="ER44" s="88">
        <v>44925</v>
      </c>
      <c r="ES44" s="88">
        <v>63106</v>
      </c>
      <c r="ET44" s="88">
        <v>69377</v>
      </c>
      <c r="EU44" s="88">
        <v>83519</v>
      </c>
      <c r="EV44" s="88">
        <v>90734</v>
      </c>
      <c r="EW44" s="88">
        <v>67944</v>
      </c>
      <c r="EX44" s="88">
        <v>52143</v>
      </c>
      <c r="EY44" s="88">
        <v>70787</v>
      </c>
      <c r="EZ44" s="88">
        <v>65634</v>
      </c>
      <c r="FA44" s="88">
        <v>82364</v>
      </c>
      <c r="FB44" s="88">
        <v>68522</v>
      </c>
      <c r="FC44" s="88">
        <v>78572</v>
      </c>
      <c r="FD44" s="88">
        <v>57899</v>
      </c>
      <c r="FE44" s="88">
        <v>61707</v>
      </c>
      <c r="FF44" s="88">
        <v>73688</v>
      </c>
      <c r="FG44" s="88">
        <v>102252</v>
      </c>
      <c r="FH44" s="88">
        <f t="shared" ref="FH44" si="121">SUM(FH38:FH43)</f>
        <v>106737</v>
      </c>
      <c r="FI44" s="88">
        <v>114473</v>
      </c>
      <c r="FJ44" s="88">
        <v>86804</v>
      </c>
      <c r="FK44" s="89"/>
      <c r="FL44" s="89"/>
      <c r="FM44" s="89"/>
      <c r="FN44" s="90">
        <f t="shared" si="76"/>
        <v>0</v>
      </c>
      <c r="FO44" s="91">
        <f t="shared" si="77"/>
        <v>0</v>
      </c>
      <c r="FP44" s="91">
        <f t="shared" si="11"/>
        <v>0</v>
      </c>
      <c r="FQ44" s="91">
        <f t="shared" si="12"/>
        <v>0</v>
      </c>
      <c r="FR44" s="91">
        <f t="shared" si="13"/>
        <v>0</v>
      </c>
      <c r="FS44" s="91">
        <f t="shared" si="14"/>
        <v>0</v>
      </c>
      <c r="FT44" s="91">
        <f t="shared" si="15"/>
        <v>0</v>
      </c>
      <c r="FU44" s="91">
        <f t="shared" si="16"/>
        <v>0</v>
      </c>
      <c r="FV44" s="91">
        <f t="shared" si="17"/>
        <v>0</v>
      </c>
      <c r="FW44" s="91">
        <f t="shared" si="18"/>
        <v>0</v>
      </c>
      <c r="FX44" s="91">
        <f t="shared" si="19"/>
        <v>0</v>
      </c>
      <c r="FY44" s="91">
        <f t="shared" si="20"/>
        <v>0</v>
      </c>
      <c r="FZ44" s="91">
        <f t="shared" si="21"/>
        <v>0</v>
      </c>
      <c r="GA44" s="91">
        <f t="shared" si="22"/>
        <v>0</v>
      </c>
      <c r="GB44" s="91">
        <f t="shared" si="23"/>
        <v>0</v>
      </c>
      <c r="GC44" s="91">
        <f t="shared" si="24"/>
        <v>0</v>
      </c>
      <c r="GD44" s="91">
        <f t="shared" si="25"/>
        <v>0</v>
      </c>
      <c r="GE44" s="91">
        <f t="shared" si="26"/>
        <v>0</v>
      </c>
      <c r="GF44" s="91">
        <f t="shared" si="27"/>
        <v>0</v>
      </c>
      <c r="GG44" s="91">
        <f t="shared" si="28"/>
        <v>0</v>
      </c>
      <c r="GH44" s="91">
        <f t="shared" si="29"/>
        <v>0</v>
      </c>
      <c r="GI44" s="91">
        <f t="shared" si="30"/>
        <v>0</v>
      </c>
      <c r="GJ44" s="91">
        <f t="shared" si="31"/>
        <v>0</v>
      </c>
      <c r="GK44" s="91">
        <f t="shared" si="32"/>
        <v>0</v>
      </c>
      <c r="GL44" s="91">
        <f t="shared" si="33"/>
        <v>0</v>
      </c>
      <c r="GM44" s="91">
        <f t="shared" si="34"/>
        <v>0</v>
      </c>
      <c r="GN44" s="91">
        <f t="shared" si="35"/>
        <v>0</v>
      </c>
      <c r="GO44" s="91">
        <f t="shared" si="36"/>
        <v>0</v>
      </c>
      <c r="GP44" s="91">
        <f t="shared" si="37"/>
        <v>0</v>
      </c>
      <c r="GQ44" s="91">
        <f t="shared" si="38"/>
        <v>0</v>
      </c>
      <c r="GR44" s="91">
        <f t="shared" si="39"/>
        <v>0</v>
      </c>
      <c r="GS44" s="91">
        <f t="shared" si="40"/>
        <v>0</v>
      </c>
      <c r="GT44" s="91">
        <f t="shared" si="41"/>
        <v>50</v>
      </c>
      <c r="GU44" s="91">
        <f t="shared" si="42"/>
        <v>653</v>
      </c>
      <c r="GV44" s="91">
        <f t="shared" si="43"/>
        <v>714</v>
      </c>
      <c r="GW44" s="91">
        <f t="shared" si="44"/>
        <v>1039</v>
      </c>
      <c r="GX44" s="91">
        <f t="shared" si="45"/>
        <v>8742</v>
      </c>
      <c r="GY44" s="91">
        <f t="shared" si="46"/>
        <v>26260</v>
      </c>
      <c r="GZ44" s="91">
        <f t="shared" si="80"/>
        <v>36205</v>
      </c>
      <c r="HA44" s="91">
        <f t="shared" si="81"/>
        <v>48245</v>
      </c>
      <c r="HB44" s="91">
        <f t="shared" si="82"/>
        <v>55516</v>
      </c>
      <c r="HC44" s="91">
        <f t="shared" si="83"/>
        <v>84541</v>
      </c>
      <c r="HD44" s="91">
        <f t="shared" si="84"/>
        <v>76855</v>
      </c>
      <c r="HE44" s="91">
        <f t="shared" si="85"/>
        <v>110650</v>
      </c>
      <c r="HF44" s="91">
        <f t="shared" si="86"/>
        <v>90503</v>
      </c>
      <c r="HG44" s="91">
        <f t="shared" si="87"/>
        <v>115391</v>
      </c>
      <c r="HH44" s="91">
        <f t="shared" si="88"/>
        <v>119658</v>
      </c>
      <c r="HI44" s="91">
        <f t="shared" si="89"/>
        <v>134706</v>
      </c>
      <c r="HJ44" s="91">
        <f t="shared" si="116"/>
        <v>127485</v>
      </c>
      <c r="HK44" s="91">
        <f t="shared" ref="HK44:HK83" si="122">SUM(ES44:EU44)</f>
        <v>216002</v>
      </c>
      <c r="HL44" s="91">
        <f t="shared" ref="HL44:HL83" si="123">SUM(EV44:EX44)</f>
        <v>210821</v>
      </c>
      <c r="HM44" s="91">
        <f t="shared" ref="HM44:HM83" si="124">SUM(EY44:FA44)</f>
        <v>218785</v>
      </c>
      <c r="HN44" s="91">
        <f t="shared" ref="HN44:HN83" si="125">SUM(FB44:FD44)</f>
        <v>204993</v>
      </c>
      <c r="HO44" s="91">
        <f t="shared" ref="HO44:HO83" si="126">SUM(FE44:FG44)</f>
        <v>237647</v>
      </c>
      <c r="HP44" s="91">
        <f t="shared" ref="HP44:HP83" si="127">SUM(FH44:FJ44)</f>
        <v>308014</v>
      </c>
      <c r="HQ44" s="92"/>
      <c r="HR44" s="89"/>
      <c r="HS44" s="89"/>
      <c r="HT44" s="89"/>
      <c r="HU44" s="93">
        <f t="shared" si="63"/>
        <v>0</v>
      </c>
      <c r="HV44" s="93">
        <f t="shared" si="64"/>
        <v>0</v>
      </c>
      <c r="HW44" s="93">
        <f t="shared" si="65"/>
        <v>0</v>
      </c>
      <c r="HX44" s="94">
        <f t="shared" si="66"/>
        <v>0</v>
      </c>
      <c r="HY44" s="95">
        <f t="shared" si="67"/>
        <v>0</v>
      </c>
      <c r="HZ44" s="95">
        <f t="shared" si="68"/>
        <v>0</v>
      </c>
      <c r="IA44" s="95">
        <f t="shared" si="69"/>
        <v>0</v>
      </c>
      <c r="IB44" s="95">
        <f t="shared" si="70"/>
        <v>0</v>
      </c>
      <c r="IC44" s="95">
        <f t="shared" si="71"/>
        <v>2456</v>
      </c>
      <c r="ID44" s="95">
        <f t="shared" si="96"/>
        <v>119452</v>
      </c>
      <c r="IE44" s="95">
        <f t="shared" si="97"/>
        <v>327562</v>
      </c>
      <c r="IF44" s="95">
        <f t="shared" si="98"/>
        <v>460258</v>
      </c>
      <c r="IG44" s="95">
        <f t="shared" si="99"/>
        <v>773093</v>
      </c>
    </row>
    <row r="45" spans="1:241" outlineLevel="1" x14ac:dyDescent="0.3">
      <c r="A45" s="7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4"/>
      <c r="CT45" s="74"/>
      <c r="CU45" s="74"/>
      <c r="CV45" s="74"/>
      <c r="CW45" s="74"/>
      <c r="CX45" s="74"/>
      <c r="CY45" s="74"/>
      <c r="CZ45" s="74"/>
      <c r="DA45" s="74"/>
      <c r="DB45" s="74"/>
      <c r="DC45" s="74"/>
      <c r="DD45" s="74"/>
      <c r="DE45" s="74"/>
      <c r="DF45" s="74"/>
      <c r="DG45" s="74"/>
      <c r="DH45" s="74"/>
      <c r="DI45" s="74"/>
      <c r="DJ45" s="74"/>
      <c r="DK45" s="74"/>
      <c r="DL45" s="74"/>
      <c r="DM45" s="74"/>
      <c r="DN45" s="74"/>
      <c r="DO45" s="74"/>
      <c r="DP45" s="74"/>
      <c r="DQ45" s="74"/>
      <c r="DR45" s="74"/>
      <c r="DS45" s="74"/>
      <c r="DT45" s="74"/>
      <c r="DU45" s="74"/>
      <c r="DV45" s="74"/>
      <c r="DW45" s="74"/>
      <c r="DX45" s="74"/>
      <c r="DY45" s="74"/>
      <c r="DZ45" s="74"/>
      <c r="EA45" s="74"/>
      <c r="EB45" s="74"/>
      <c r="EC45" s="74"/>
      <c r="ED45" s="74"/>
      <c r="EE45" s="74"/>
      <c r="EF45" s="74"/>
      <c r="EG45" s="74"/>
      <c r="EH45" s="74"/>
      <c r="EI45" s="74"/>
      <c r="EJ45" s="74"/>
      <c r="EK45" s="74"/>
      <c r="EL45" s="74"/>
      <c r="EM45" s="74"/>
      <c r="EN45" s="74"/>
      <c r="EO45" s="74"/>
      <c r="EP45" s="74"/>
      <c r="EQ45" s="74"/>
      <c r="ER45" s="97"/>
      <c r="ES45" s="97"/>
      <c r="ET45" s="97"/>
      <c r="EU45" s="97"/>
      <c r="EV45" s="97"/>
      <c r="EW45" s="97"/>
      <c r="EX45" s="97"/>
      <c r="EY45" s="97"/>
      <c r="EZ45" s="97"/>
      <c r="FA45" s="97"/>
      <c r="FB45" s="97"/>
      <c r="FC45" s="97"/>
      <c r="FD45" s="97"/>
      <c r="FE45" s="97"/>
      <c r="FF45" s="97"/>
      <c r="FG45" s="97"/>
      <c r="FH45" s="97"/>
      <c r="FI45" s="97"/>
      <c r="FJ45" s="97"/>
      <c r="FK45" s="43"/>
      <c r="FL45" s="43"/>
      <c r="FM45" s="43"/>
      <c r="FN45" s="75">
        <f t="shared" si="76"/>
        <v>0</v>
      </c>
      <c r="FO45" s="76">
        <f t="shared" si="77"/>
        <v>0</v>
      </c>
      <c r="FP45" s="76">
        <f t="shared" si="11"/>
        <v>0</v>
      </c>
      <c r="FQ45" s="76">
        <f t="shared" si="12"/>
        <v>0</v>
      </c>
      <c r="FR45" s="76">
        <f t="shared" si="13"/>
        <v>0</v>
      </c>
      <c r="FS45" s="76">
        <f t="shared" si="14"/>
        <v>0</v>
      </c>
      <c r="FT45" s="76">
        <f t="shared" si="15"/>
        <v>0</v>
      </c>
      <c r="FU45" s="76">
        <f t="shared" si="16"/>
        <v>0</v>
      </c>
      <c r="FV45" s="76">
        <f t="shared" si="17"/>
        <v>0</v>
      </c>
      <c r="FW45" s="76">
        <f t="shared" si="18"/>
        <v>0</v>
      </c>
      <c r="FX45" s="76">
        <f t="shared" si="19"/>
        <v>0</v>
      </c>
      <c r="FY45" s="76">
        <f t="shared" si="20"/>
        <v>0</v>
      </c>
      <c r="FZ45" s="76">
        <f t="shared" si="21"/>
        <v>0</v>
      </c>
      <c r="GA45" s="76">
        <f t="shared" si="22"/>
        <v>0</v>
      </c>
      <c r="GB45" s="76">
        <f t="shared" si="23"/>
        <v>0</v>
      </c>
      <c r="GC45" s="76">
        <f t="shared" si="24"/>
        <v>0</v>
      </c>
      <c r="GD45" s="76">
        <f t="shared" si="25"/>
        <v>0</v>
      </c>
      <c r="GE45" s="76">
        <f t="shared" si="26"/>
        <v>0</v>
      </c>
      <c r="GF45" s="76">
        <f t="shared" si="27"/>
        <v>0</v>
      </c>
      <c r="GG45" s="76">
        <f t="shared" si="28"/>
        <v>0</v>
      </c>
      <c r="GH45" s="76">
        <f t="shared" si="29"/>
        <v>0</v>
      </c>
      <c r="GI45" s="76">
        <f t="shared" si="30"/>
        <v>0</v>
      </c>
      <c r="GJ45" s="76">
        <f t="shared" si="31"/>
        <v>0</v>
      </c>
      <c r="GK45" s="76">
        <f t="shared" si="32"/>
        <v>0</v>
      </c>
      <c r="GL45" s="76">
        <f t="shared" si="33"/>
        <v>0</v>
      </c>
      <c r="GM45" s="76">
        <f t="shared" si="34"/>
        <v>0</v>
      </c>
      <c r="GN45" s="76">
        <f t="shared" si="35"/>
        <v>0</v>
      </c>
      <c r="GO45" s="76">
        <f t="shared" si="36"/>
        <v>0</v>
      </c>
      <c r="GP45" s="76">
        <f t="shared" si="37"/>
        <v>0</v>
      </c>
      <c r="GQ45" s="76">
        <f t="shared" si="38"/>
        <v>0</v>
      </c>
      <c r="GR45" s="76">
        <f t="shared" si="39"/>
        <v>0</v>
      </c>
      <c r="GS45" s="76">
        <f t="shared" si="40"/>
        <v>0</v>
      </c>
      <c r="GT45" s="76">
        <f t="shared" si="41"/>
        <v>0</v>
      </c>
      <c r="GU45" s="76">
        <f t="shared" si="42"/>
        <v>0</v>
      </c>
      <c r="GV45" s="76">
        <f t="shared" si="43"/>
        <v>0</v>
      </c>
      <c r="GW45" s="76">
        <f t="shared" si="44"/>
        <v>0</v>
      </c>
      <c r="GX45" s="76">
        <f t="shared" si="45"/>
        <v>0</v>
      </c>
      <c r="GY45" s="76">
        <f t="shared" si="46"/>
        <v>0</v>
      </c>
      <c r="GZ45" s="76">
        <f t="shared" si="80"/>
        <v>0</v>
      </c>
      <c r="HA45" s="76">
        <f t="shared" si="81"/>
        <v>0</v>
      </c>
      <c r="HB45" s="76">
        <f t="shared" si="82"/>
        <v>0</v>
      </c>
      <c r="HC45" s="76">
        <f t="shared" si="83"/>
        <v>0</v>
      </c>
      <c r="HD45" s="76">
        <f t="shared" si="84"/>
        <v>0</v>
      </c>
      <c r="HE45" s="76">
        <f t="shared" si="85"/>
        <v>0</v>
      </c>
      <c r="HF45" s="76">
        <f t="shared" si="86"/>
        <v>0</v>
      </c>
      <c r="HG45" s="76">
        <f t="shared" si="87"/>
        <v>0</v>
      </c>
      <c r="HH45" s="76">
        <f t="shared" si="88"/>
        <v>0</v>
      </c>
      <c r="HI45" s="76">
        <f t="shared" si="89"/>
        <v>0</v>
      </c>
      <c r="HJ45" s="76">
        <f t="shared" si="116"/>
        <v>0</v>
      </c>
      <c r="HK45" s="76">
        <f t="shared" si="122"/>
        <v>0</v>
      </c>
      <c r="HL45" s="76">
        <f t="shared" si="123"/>
        <v>0</v>
      </c>
      <c r="HM45" s="76">
        <f t="shared" si="124"/>
        <v>0</v>
      </c>
      <c r="HN45" s="76">
        <f t="shared" si="125"/>
        <v>0</v>
      </c>
      <c r="HO45" s="76">
        <f t="shared" si="126"/>
        <v>0</v>
      </c>
      <c r="HP45" s="76">
        <f t="shared" si="127"/>
        <v>0</v>
      </c>
      <c r="HQ45" s="77"/>
      <c r="HR45" s="43"/>
      <c r="HS45" s="43"/>
      <c r="HT45" s="43"/>
      <c r="HU45" s="78">
        <f t="shared" si="63"/>
        <v>0</v>
      </c>
      <c r="HV45" s="78">
        <f t="shared" si="64"/>
        <v>0</v>
      </c>
      <c r="HW45" s="78">
        <f t="shared" si="65"/>
        <v>0</v>
      </c>
      <c r="HX45" s="79">
        <f t="shared" si="66"/>
        <v>0</v>
      </c>
      <c r="HY45" s="80">
        <f t="shared" si="67"/>
        <v>0</v>
      </c>
      <c r="HZ45" s="80">
        <f t="shared" si="68"/>
        <v>0</v>
      </c>
      <c r="IA45" s="80">
        <f t="shared" si="69"/>
        <v>0</v>
      </c>
      <c r="IB45" s="80">
        <f t="shared" si="70"/>
        <v>0</v>
      </c>
      <c r="IC45" s="80">
        <f t="shared" si="71"/>
        <v>0</v>
      </c>
      <c r="ID45" s="80">
        <f t="shared" si="96"/>
        <v>0</v>
      </c>
      <c r="IE45" s="80">
        <f t="shared" si="97"/>
        <v>0</v>
      </c>
      <c r="IF45" s="80">
        <f t="shared" si="98"/>
        <v>0</v>
      </c>
      <c r="IG45" s="80">
        <f t="shared" si="99"/>
        <v>0</v>
      </c>
    </row>
    <row r="46" spans="1:241" outlineLevel="1" x14ac:dyDescent="0.3">
      <c r="A46" s="82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43"/>
      <c r="FL46" s="43"/>
      <c r="FM46" s="43"/>
      <c r="FN46" s="66">
        <f t="shared" si="76"/>
        <v>0</v>
      </c>
      <c r="FO46" s="67">
        <f t="shared" si="77"/>
        <v>0</v>
      </c>
      <c r="FP46" s="67">
        <f t="shared" si="11"/>
        <v>0</v>
      </c>
      <c r="FQ46" s="67">
        <f t="shared" si="12"/>
        <v>0</v>
      </c>
      <c r="FR46" s="67">
        <f t="shared" si="13"/>
        <v>0</v>
      </c>
      <c r="FS46" s="67">
        <f t="shared" si="14"/>
        <v>0</v>
      </c>
      <c r="FT46" s="67">
        <f t="shared" si="15"/>
        <v>0</v>
      </c>
      <c r="FU46" s="67">
        <f t="shared" si="16"/>
        <v>0</v>
      </c>
      <c r="FV46" s="67">
        <f t="shared" si="17"/>
        <v>0</v>
      </c>
      <c r="FW46" s="67">
        <f t="shared" si="18"/>
        <v>0</v>
      </c>
      <c r="FX46" s="67">
        <f t="shared" si="19"/>
        <v>0</v>
      </c>
      <c r="FY46" s="67">
        <f t="shared" si="20"/>
        <v>0</v>
      </c>
      <c r="FZ46" s="67">
        <f t="shared" si="21"/>
        <v>0</v>
      </c>
      <c r="GA46" s="67">
        <f t="shared" si="22"/>
        <v>0</v>
      </c>
      <c r="GB46" s="67">
        <f t="shared" si="23"/>
        <v>0</v>
      </c>
      <c r="GC46" s="67">
        <f t="shared" si="24"/>
        <v>0</v>
      </c>
      <c r="GD46" s="67">
        <f t="shared" si="25"/>
        <v>0</v>
      </c>
      <c r="GE46" s="67">
        <f t="shared" si="26"/>
        <v>0</v>
      </c>
      <c r="GF46" s="67">
        <f t="shared" si="27"/>
        <v>0</v>
      </c>
      <c r="GG46" s="67">
        <f t="shared" si="28"/>
        <v>0</v>
      </c>
      <c r="GH46" s="67">
        <f t="shared" si="29"/>
        <v>0</v>
      </c>
      <c r="GI46" s="67">
        <f t="shared" si="30"/>
        <v>0</v>
      </c>
      <c r="GJ46" s="67">
        <f t="shared" si="31"/>
        <v>0</v>
      </c>
      <c r="GK46" s="67">
        <f t="shared" si="32"/>
        <v>0</v>
      </c>
      <c r="GL46" s="67">
        <f t="shared" si="33"/>
        <v>0</v>
      </c>
      <c r="GM46" s="67">
        <f t="shared" si="34"/>
        <v>0</v>
      </c>
      <c r="GN46" s="67">
        <f t="shared" si="35"/>
        <v>0</v>
      </c>
      <c r="GO46" s="67">
        <f t="shared" si="36"/>
        <v>0</v>
      </c>
      <c r="GP46" s="67">
        <f t="shared" si="37"/>
        <v>0</v>
      </c>
      <c r="GQ46" s="67">
        <f t="shared" si="38"/>
        <v>0</v>
      </c>
      <c r="GR46" s="67">
        <f t="shared" si="39"/>
        <v>0</v>
      </c>
      <c r="GS46" s="67">
        <f t="shared" si="40"/>
        <v>0</v>
      </c>
      <c r="GT46" s="67">
        <f t="shared" si="41"/>
        <v>0</v>
      </c>
      <c r="GU46" s="67">
        <f t="shared" si="42"/>
        <v>0</v>
      </c>
      <c r="GV46" s="67">
        <f t="shared" si="43"/>
        <v>0</v>
      </c>
      <c r="GW46" s="67">
        <f t="shared" si="44"/>
        <v>0</v>
      </c>
      <c r="GX46" s="67">
        <f t="shared" si="45"/>
        <v>0</v>
      </c>
      <c r="GY46" s="67">
        <f t="shared" si="46"/>
        <v>0</v>
      </c>
      <c r="GZ46" s="67">
        <f t="shared" si="80"/>
        <v>0</v>
      </c>
      <c r="HA46" s="67">
        <f t="shared" si="81"/>
        <v>0</v>
      </c>
      <c r="HB46" s="67">
        <f t="shared" si="82"/>
        <v>0</v>
      </c>
      <c r="HC46" s="67">
        <f t="shared" si="83"/>
        <v>0</v>
      </c>
      <c r="HD46" s="67">
        <f t="shared" si="84"/>
        <v>0</v>
      </c>
      <c r="HE46" s="67">
        <f t="shared" si="85"/>
        <v>0</v>
      </c>
      <c r="HF46" s="67">
        <f t="shared" si="86"/>
        <v>0</v>
      </c>
      <c r="HG46" s="67">
        <f t="shared" si="87"/>
        <v>0</v>
      </c>
      <c r="HH46" s="67">
        <f t="shared" si="88"/>
        <v>0</v>
      </c>
      <c r="HI46" s="67">
        <f t="shared" si="89"/>
        <v>0</v>
      </c>
      <c r="HJ46" s="67">
        <f t="shared" si="116"/>
        <v>0</v>
      </c>
      <c r="HK46" s="67">
        <f t="shared" si="122"/>
        <v>0</v>
      </c>
      <c r="HL46" s="67">
        <f t="shared" si="123"/>
        <v>0</v>
      </c>
      <c r="HM46" s="67">
        <f t="shared" si="124"/>
        <v>0</v>
      </c>
      <c r="HN46" s="67">
        <f t="shared" si="125"/>
        <v>0</v>
      </c>
      <c r="HO46" s="67">
        <f t="shared" si="126"/>
        <v>0</v>
      </c>
      <c r="HP46" s="67">
        <f t="shared" si="127"/>
        <v>0</v>
      </c>
      <c r="HQ46" s="60"/>
      <c r="HR46" s="43"/>
      <c r="HS46" s="43"/>
      <c r="HT46" s="43"/>
      <c r="HU46" s="68">
        <f t="shared" si="63"/>
        <v>0</v>
      </c>
      <c r="HV46" s="68">
        <f t="shared" si="64"/>
        <v>0</v>
      </c>
      <c r="HW46" s="68">
        <f t="shared" si="65"/>
        <v>0</v>
      </c>
      <c r="HX46" s="69">
        <f t="shared" si="66"/>
        <v>0</v>
      </c>
      <c r="HY46" s="70">
        <f t="shared" si="67"/>
        <v>0</v>
      </c>
      <c r="HZ46" s="70">
        <f t="shared" si="68"/>
        <v>0</v>
      </c>
      <c r="IA46" s="70">
        <f t="shared" si="69"/>
        <v>0</v>
      </c>
      <c r="IB46" s="70">
        <f t="shared" si="70"/>
        <v>0</v>
      </c>
      <c r="IC46" s="70">
        <f t="shared" si="71"/>
        <v>0</v>
      </c>
      <c r="ID46" s="70">
        <f t="shared" si="96"/>
        <v>0</v>
      </c>
      <c r="IE46" s="70">
        <f t="shared" si="97"/>
        <v>0</v>
      </c>
      <c r="IF46" s="70">
        <f t="shared" si="98"/>
        <v>0</v>
      </c>
      <c r="IG46" s="70">
        <f t="shared" si="99"/>
        <v>0</v>
      </c>
    </row>
    <row r="47" spans="1:241" outlineLevel="1" x14ac:dyDescent="0.3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4"/>
      <c r="CT47" s="74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  <c r="DK47" s="74"/>
      <c r="DL47" s="74"/>
      <c r="DM47" s="74"/>
      <c r="DN47" s="74"/>
      <c r="DO47" s="74"/>
      <c r="DP47" s="74"/>
      <c r="DQ47" s="74"/>
      <c r="DR47" s="74"/>
      <c r="DS47" s="74"/>
      <c r="DT47" s="74"/>
      <c r="DU47" s="74"/>
      <c r="DV47" s="74"/>
      <c r="DW47" s="74"/>
      <c r="DX47" s="74"/>
      <c r="DY47" s="74"/>
      <c r="DZ47" s="74"/>
      <c r="EA47" s="74"/>
      <c r="EB47" s="74"/>
      <c r="EC47" s="74"/>
      <c r="ED47" s="74"/>
      <c r="EE47" s="74"/>
      <c r="EF47" s="74"/>
      <c r="EG47" s="74"/>
      <c r="EH47" s="74"/>
      <c r="EI47" s="74"/>
      <c r="EJ47" s="74"/>
      <c r="EK47" s="74"/>
      <c r="EL47" s="74"/>
      <c r="EM47" s="74"/>
      <c r="EN47" s="74"/>
      <c r="EO47" s="74"/>
      <c r="EP47" s="74"/>
      <c r="EQ47" s="74"/>
      <c r="ER47" s="97"/>
      <c r="ES47" s="97"/>
      <c r="ET47" s="97"/>
      <c r="EU47" s="97"/>
      <c r="EV47" s="97"/>
      <c r="EW47" s="97"/>
      <c r="EX47" s="97"/>
      <c r="EY47" s="97"/>
      <c r="EZ47" s="97"/>
      <c r="FA47" s="97"/>
      <c r="FB47" s="97"/>
      <c r="FC47" s="97"/>
      <c r="FD47" s="97"/>
      <c r="FE47" s="97"/>
      <c r="FF47" s="97"/>
      <c r="FG47" s="97"/>
      <c r="FH47" s="97"/>
      <c r="FI47" s="97"/>
      <c r="FJ47" s="97"/>
      <c r="FK47" s="43"/>
      <c r="FL47" s="43"/>
      <c r="FM47" s="43"/>
      <c r="FN47" s="75">
        <f t="shared" si="76"/>
        <v>0</v>
      </c>
      <c r="FO47" s="76">
        <f t="shared" si="77"/>
        <v>0</v>
      </c>
      <c r="FP47" s="76">
        <f t="shared" si="11"/>
        <v>0</v>
      </c>
      <c r="FQ47" s="76">
        <f t="shared" si="12"/>
        <v>0</v>
      </c>
      <c r="FR47" s="76">
        <f t="shared" si="13"/>
        <v>0</v>
      </c>
      <c r="FS47" s="76">
        <f t="shared" si="14"/>
        <v>0</v>
      </c>
      <c r="FT47" s="76">
        <f t="shared" si="15"/>
        <v>0</v>
      </c>
      <c r="FU47" s="76">
        <f t="shared" si="16"/>
        <v>0</v>
      </c>
      <c r="FV47" s="76">
        <f t="shared" si="17"/>
        <v>0</v>
      </c>
      <c r="FW47" s="76">
        <f t="shared" si="18"/>
        <v>0</v>
      </c>
      <c r="FX47" s="76">
        <f t="shared" si="19"/>
        <v>0</v>
      </c>
      <c r="FY47" s="76">
        <f t="shared" si="20"/>
        <v>0</v>
      </c>
      <c r="FZ47" s="76">
        <f t="shared" si="21"/>
        <v>0</v>
      </c>
      <c r="GA47" s="76">
        <f t="shared" si="22"/>
        <v>0</v>
      </c>
      <c r="GB47" s="76">
        <f t="shared" si="23"/>
        <v>0</v>
      </c>
      <c r="GC47" s="76">
        <f t="shared" si="24"/>
        <v>0</v>
      </c>
      <c r="GD47" s="76">
        <f t="shared" si="25"/>
        <v>0</v>
      </c>
      <c r="GE47" s="76">
        <f t="shared" si="26"/>
        <v>0</v>
      </c>
      <c r="GF47" s="76">
        <f t="shared" si="27"/>
        <v>0</v>
      </c>
      <c r="GG47" s="76">
        <f t="shared" si="28"/>
        <v>0</v>
      </c>
      <c r="GH47" s="76">
        <f t="shared" si="29"/>
        <v>0</v>
      </c>
      <c r="GI47" s="76">
        <f t="shared" si="30"/>
        <v>0</v>
      </c>
      <c r="GJ47" s="76">
        <f t="shared" si="31"/>
        <v>0</v>
      </c>
      <c r="GK47" s="76">
        <f t="shared" si="32"/>
        <v>0</v>
      </c>
      <c r="GL47" s="76">
        <f t="shared" si="33"/>
        <v>0</v>
      </c>
      <c r="GM47" s="76">
        <f t="shared" si="34"/>
        <v>0</v>
      </c>
      <c r="GN47" s="76">
        <f t="shared" si="35"/>
        <v>0</v>
      </c>
      <c r="GO47" s="76">
        <f t="shared" si="36"/>
        <v>0</v>
      </c>
      <c r="GP47" s="76">
        <f t="shared" si="37"/>
        <v>0</v>
      </c>
      <c r="GQ47" s="76">
        <f t="shared" si="38"/>
        <v>0</v>
      </c>
      <c r="GR47" s="76">
        <f t="shared" si="39"/>
        <v>0</v>
      </c>
      <c r="GS47" s="76">
        <f t="shared" si="40"/>
        <v>0</v>
      </c>
      <c r="GT47" s="76">
        <f t="shared" si="41"/>
        <v>0</v>
      </c>
      <c r="GU47" s="76">
        <f t="shared" si="42"/>
        <v>0</v>
      </c>
      <c r="GV47" s="76">
        <f t="shared" si="43"/>
        <v>0</v>
      </c>
      <c r="GW47" s="76">
        <f t="shared" si="44"/>
        <v>0</v>
      </c>
      <c r="GX47" s="76">
        <f t="shared" si="45"/>
        <v>0</v>
      </c>
      <c r="GY47" s="76">
        <f t="shared" si="46"/>
        <v>0</v>
      </c>
      <c r="GZ47" s="76">
        <f t="shared" si="80"/>
        <v>0</v>
      </c>
      <c r="HA47" s="76">
        <f t="shared" si="81"/>
        <v>0</v>
      </c>
      <c r="HB47" s="76">
        <f t="shared" si="82"/>
        <v>0</v>
      </c>
      <c r="HC47" s="76">
        <f t="shared" si="83"/>
        <v>0</v>
      </c>
      <c r="HD47" s="76">
        <f t="shared" si="84"/>
        <v>0</v>
      </c>
      <c r="HE47" s="76">
        <f t="shared" si="85"/>
        <v>0</v>
      </c>
      <c r="HF47" s="76">
        <f t="shared" si="86"/>
        <v>0</v>
      </c>
      <c r="HG47" s="76">
        <f t="shared" si="87"/>
        <v>0</v>
      </c>
      <c r="HH47" s="76">
        <f t="shared" si="88"/>
        <v>0</v>
      </c>
      <c r="HI47" s="76">
        <f t="shared" si="89"/>
        <v>0</v>
      </c>
      <c r="HJ47" s="76">
        <f t="shared" si="116"/>
        <v>0</v>
      </c>
      <c r="HK47" s="76">
        <f t="shared" si="122"/>
        <v>0</v>
      </c>
      <c r="HL47" s="76">
        <f t="shared" si="123"/>
        <v>0</v>
      </c>
      <c r="HM47" s="76">
        <f t="shared" si="124"/>
        <v>0</v>
      </c>
      <c r="HN47" s="76">
        <f t="shared" si="125"/>
        <v>0</v>
      </c>
      <c r="HO47" s="76">
        <f t="shared" si="126"/>
        <v>0</v>
      </c>
      <c r="HP47" s="76">
        <f t="shared" si="127"/>
        <v>0</v>
      </c>
      <c r="HQ47" s="77"/>
      <c r="HR47" s="43"/>
      <c r="HS47" s="43"/>
      <c r="HT47" s="43"/>
      <c r="HU47" s="78">
        <f t="shared" si="63"/>
        <v>0</v>
      </c>
      <c r="HV47" s="78">
        <f t="shared" si="64"/>
        <v>0</v>
      </c>
      <c r="HW47" s="78">
        <f t="shared" si="65"/>
        <v>0</v>
      </c>
      <c r="HX47" s="79">
        <f t="shared" si="66"/>
        <v>0</v>
      </c>
      <c r="HY47" s="80">
        <f t="shared" si="67"/>
        <v>0</v>
      </c>
      <c r="HZ47" s="80">
        <f t="shared" si="68"/>
        <v>0</v>
      </c>
      <c r="IA47" s="80">
        <f t="shared" si="69"/>
        <v>0</v>
      </c>
      <c r="IB47" s="80">
        <f t="shared" si="70"/>
        <v>0</v>
      </c>
      <c r="IC47" s="80">
        <f t="shared" si="71"/>
        <v>0</v>
      </c>
      <c r="ID47" s="80">
        <f t="shared" si="96"/>
        <v>0</v>
      </c>
      <c r="IE47" s="80">
        <f t="shared" si="97"/>
        <v>0</v>
      </c>
      <c r="IF47" s="80">
        <f t="shared" si="98"/>
        <v>0</v>
      </c>
      <c r="IG47" s="80">
        <f t="shared" si="99"/>
        <v>0</v>
      </c>
    </row>
    <row r="48" spans="1:241" outlineLevel="1" x14ac:dyDescent="0.3">
      <c r="A48" s="45" t="s">
        <v>137</v>
      </c>
      <c r="B48" s="45">
        <f t="shared" ref="B48:BM48" si="128">+B2</f>
        <v>41000</v>
      </c>
      <c r="C48" s="45">
        <f t="shared" si="128"/>
        <v>41030</v>
      </c>
      <c r="D48" s="45">
        <f t="shared" si="128"/>
        <v>41061</v>
      </c>
      <c r="E48" s="45">
        <f t="shared" si="128"/>
        <v>41091</v>
      </c>
      <c r="F48" s="45">
        <f t="shared" si="128"/>
        <v>41122</v>
      </c>
      <c r="G48" s="45">
        <f t="shared" si="128"/>
        <v>41153</v>
      </c>
      <c r="H48" s="45">
        <f t="shared" si="128"/>
        <v>41183</v>
      </c>
      <c r="I48" s="45">
        <f t="shared" si="128"/>
        <v>41214</v>
      </c>
      <c r="J48" s="45">
        <f t="shared" si="128"/>
        <v>41244</v>
      </c>
      <c r="K48" s="45">
        <f t="shared" si="128"/>
        <v>41275</v>
      </c>
      <c r="L48" s="45">
        <f t="shared" si="128"/>
        <v>41306</v>
      </c>
      <c r="M48" s="45">
        <f t="shared" si="128"/>
        <v>41334</v>
      </c>
      <c r="N48" s="45">
        <f t="shared" si="128"/>
        <v>41365</v>
      </c>
      <c r="O48" s="45">
        <f t="shared" si="128"/>
        <v>41395</v>
      </c>
      <c r="P48" s="45">
        <f t="shared" si="128"/>
        <v>41426</v>
      </c>
      <c r="Q48" s="45">
        <f t="shared" si="128"/>
        <v>41456</v>
      </c>
      <c r="R48" s="45">
        <f t="shared" si="128"/>
        <v>41487</v>
      </c>
      <c r="S48" s="45">
        <f t="shared" si="128"/>
        <v>41518</v>
      </c>
      <c r="T48" s="45">
        <f t="shared" si="128"/>
        <v>41548</v>
      </c>
      <c r="U48" s="45">
        <f t="shared" si="128"/>
        <v>41579</v>
      </c>
      <c r="V48" s="45">
        <f t="shared" si="128"/>
        <v>41609</v>
      </c>
      <c r="W48" s="45">
        <f t="shared" si="128"/>
        <v>41640</v>
      </c>
      <c r="X48" s="45">
        <f t="shared" si="128"/>
        <v>41671</v>
      </c>
      <c r="Y48" s="45">
        <f t="shared" si="128"/>
        <v>41699</v>
      </c>
      <c r="Z48" s="45">
        <f t="shared" si="128"/>
        <v>41730</v>
      </c>
      <c r="AA48" s="45">
        <f t="shared" si="128"/>
        <v>41760</v>
      </c>
      <c r="AB48" s="45">
        <f t="shared" si="128"/>
        <v>41791</v>
      </c>
      <c r="AC48" s="45">
        <f t="shared" si="128"/>
        <v>41821</v>
      </c>
      <c r="AD48" s="45">
        <f t="shared" si="128"/>
        <v>41852</v>
      </c>
      <c r="AE48" s="45">
        <f t="shared" si="128"/>
        <v>41883</v>
      </c>
      <c r="AF48" s="45">
        <f t="shared" si="128"/>
        <v>41913</v>
      </c>
      <c r="AG48" s="45">
        <f t="shared" si="128"/>
        <v>41944</v>
      </c>
      <c r="AH48" s="45">
        <f t="shared" si="128"/>
        <v>41974</v>
      </c>
      <c r="AI48" s="45">
        <f t="shared" si="128"/>
        <v>42005</v>
      </c>
      <c r="AJ48" s="45">
        <f t="shared" si="128"/>
        <v>42036</v>
      </c>
      <c r="AK48" s="45">
        <f t="shared" si="128"/>
        <v>42064</v>
      </c>
      <c r="AL48" s="45">
        <f t="shared" si="128"/>
        <v>42095</v>
      </c>
      <c r="AM48" s="45">
        <f t="shared" si="128"/>
        <v>42125</v>
      </c>
      <c r="AN48" s="45">
        <f t="shared" si="128"/>
        <v>42156</v>
      </c>
      <c r="AO48" s="45">
        <f t="shared" si="128"/>
        <v>42186</v>
      </c>
      <c r="AP48" s="45">
        <f t="shared" si="128"/>
        <v>42217</v>
      </c>
      <c r="AQ48" s="45">
        <f t="shared" si="128"/>
        <v>42248</v>
      </c>
      <c r="AR48" s="45">
        <f t="shared" si="128"/>
        <v>42278</v>
      </c>
      <c r="AS48" s="45">
        <f t="shared" si="128"/>
        <v>42309</v>
      </c>
      <c r="AT48" s="45">
        <f t="shared" si="128"/>
        <v>42339</v>
      </c>
      <c r="AU48" s="45">
        <f t="shared" si="128"/>
        <v>42370</v>
      </c>
      <c r="AV48" s="45">
        <f t="shared" si="128"/>
        <v>42401</v>
      </c>
      <c r="AW48" s="45">
        <f t="shared" si="128"/>
        <v>42430</v>
      </c>
      <c r="AX48" s="45">
        <f t="shared" si="128"/>
        <v>42461</v>
      </c>
      <c r="AY48" s="45">
        <f t="shared" si="128"/>
        <v>42491</v>
      </c>
      <c r="AZ48" s="45">
        <f t="shared" si="128"/>
        <v>42522</v>
      </c>
      <c r="BA48" s="45">
        <f t="shared" si="128"/>
        <v>42552</v>
      </c>
      <c r="BB48" s="45">
        <f t="shared" si="128"/>
        <v>42583</v>
      </c>
      <c r="BC48" s="45">
        <f t="shared" si="128"/>
        <v>42614</v>
      </c>
      <c r="BD48" s="45">
        <f t="shared" si="128"/>
        <v>42644</v>
      </c>
      <c r="BE48" s="45">
        <f t="shared" si="128"/>
        <v>42675</v>
      </c>
      <c r="BF48" s="45">
        <f t="shared" si="128"/>
        <v>42705</v>
      </c>
      <c r="BG48" s="45">
        <f t="shared" si="128"/>
        <v>42736</v>
      </c>
      <c r="BH48" s="45">
        <f t="shared" si="128"/>
        <v>42767</v>
      </c>
      <c r="BI48" s="45">
        <f t="shared" si="128"/>
        <v>42795</v>
      </c>
      <c r="BJ48" s="45">
        <f t="shared" si="128"/>
        <v>42826</v>
      </c>
      <c r="BK48" s="45">
        <f t="shared" si="128"/>
        <v>42856</v>
      </c>
      <c r="BL48" s="45">
        <f t="shared" si="128"/>
        <v>42887</v>
      </c>
      <c r="BM48" s="45">
        <f t="shared" si="128"/>
        <v>42917</v>
      </c>
      <c r="BN48" s="45">
        <f t="shared" ref="BN48:CG48" si="129">+BN2</f>
        <v>42948</v>
      </c>
      <c r="BO48" s="45">
        <f t="shared" si="129"/>
        <v>42979</v>
      </c>
      <c r="BP48" s="45">
        <f t="shared" si="129"/>
        <v>43009</v>
      </c>
      <c r="BQ48" s="45">
        <f t="shared" si="129"/>
        <v>43040</v>
      </c>
      <c r="BR48" s="45">
        <f t="shared" si="129"/>
        <v>43070</v>
      </c>
      <c r="BS48" s="45">
        <f t="shared" si="129"/>
        <v>43101</v>
      </c>
      <c r="BT48" s="45">
        <f t="shared" si="129"/>
        <v>43132</v>
      </c>
      <c r="BU48" s="45">
        <f t="shared" si="129"/>
        <v>43160</v>
      </c>
      <c r="BV48" s="45">
        <f t="shared" si="129"/>
        <v>43191</v>
      </c>
      <c r="BW48" s="45">
        <f t="shared" si="129"/>
        <v>43222</v>
      </c>
      <c r="BX48" s="45">
        <f t="shared" si="129"/>
        <v>43253</v>
      </c>
      <c r="BY48" s="45">
        <f t="shared" si="129"/>
        <v>43284</v>
      </c>
      <c r="BZ48" s="45">
        <f t="shared" si="129"/>
        <v>43315</v>
      </c>
      <c r="CA48" s="45">
        <f t="shared" si="129"/>
        <v>43346</v>
      </c>
      <c r="CB48" s="45">
        <f t="shared" si="129"/>
        <v>43377</v>
      </c>
      <c r="CC48" s="45">
        <f t="shared" si="129"/>
        <v>43408</v>
      </c>
      <c r="CD48" s="45">
        <f t="shared" si="129"/>
        <v>43439</v>
      </c>
      <c r="CE48" s="45">
        <f t="shared" si="129"/>
        <v>43470</v>
      </c>
      <c r="CF48" s="45">
        <f t="shared" si="129"/>
        <v>43501</v>
      </c>
      <c r="CG48" s="45">
        <f t="shared" si="129"/>
        <v>43532</v>
      </c>
      <c r="CH48" s="45">
        <v>43556</v>
      </c>
      <c r="CI48" s="45">
        <v>43586</v>
      </c>
      <c r="CJ48" s="45">
        <v>43617</v>
      </c>
      <c r="CK48" s="45">
        <v>43647</v>
      </c>
      <c r="CL48" s="45">
        <v>43678</v>
      </c>
      <c r="CM48" s="45">
        <v>43709</v>
      </c>
      <c r="CN48" s="45">
        <v>43739</v>
      </c>
      <c r="CO48" s="45">
        <v>43770</v>
      </c>
      <c r="CP48" s="45">
        <v>43800</v>
      </c>
      <c r="CQ48" s="45">
        <v>43831</v>
      </c>
      <c r="CR48" s="45">
        <v>43862</v>
      </c>
      <c r="CS48" s="46">
        <v>43891</v>
      </c>
      <c r="CT48" s="46">
        <f>+CT2</f>
        <v>43922</v>
      </c>
      <c r="CU48" s="46">
        <f t="shared" ref="CU48:DE48" si="130">+CU2</f>
        <v>43952</v>
      </c>
      <c r="CV48" s="46">
        <f t="shared" si="130"/>
        <v>43983</v>
      </c>
      <c r="CW48" s="46">
        <f t="shared" si="130"/>
        <v>44013</v>
      </c>
      <c r="CX48" s="46">
        <f t="shared" si="130"/>
        <v>44044</v>
      </c>
      <c r="CY48" s="46">
        <f t="shared" si="130"/>
        <v>44075</v>
      </c>
      <c r="CZ48" s="46">
        <f t="shared" si="130"/>
        <v>44105</v>
      </c>
      <c r="DA48" s="46">
        <f t="shared" si="130"/>
        <v>44136</v>
      </c>
      <c r="DB48" s="46">
        <f t="shared" si="130"/>
        <v>44166</v>
      </c>
      <c r="DC48" s="46">
        <f t="shared" si="130"/>
        <v>44197</v>
      </c>
      <c r="DD48" s="46">
        <f t="shared" si="130"/>
        <v>44228</v>
      </c>
      <c r="DE48" s="46">
        <f t="shared" si="130"/>
        <v>44256</v>
      </c>
      <c r="DF48" s="46">
        <f t="shared" ref="DF48:FJ48" si="131">+EOMONTH(DE48,0)+1</f>
        <v>44287</v>
      </c>
      <c r="DG48" s="46">
        <f t="shared" si="131"/>
        <v>44317</v>
      </c>
      <c r="DH48" s="46">
        <f t="shared" si="131"/>
        <v>44348</v>
      </c>
      <c r="DI48" s="46">
        <f t="shared" si="131"/>
        <v>44378</v>
      </c>
      <c r="DJ48" s="46">
        <f t="shared" si="131"/>
        <v>44409</v>
      </c>
      <c r="DK48" s="46">
        <f t="shared" si="131"/>
        <v>44440</v>
      </c>
      <c r="DL48" s="46">
        <f t="shared" si="131"/>
        <v>44470</v>
      </c>
      <c r="DM48" s="46">
        <f t="shared" si="131"/>
        <v>44501</v>
      </c>
      <c r="DN48" s="46">
        <f t="shared" si="131"/>
        <v>44531</v>
      </c>
      <c r="DO48" s="46">
        <f t="shared" si="131"/>
        <v>44562</v>
      </c>
      <c r="DP48" s="46">
        <f t="shared" si="131"/>
        <v>44593</v>
      </c>
      <c r="DQ48" s="46">
        <f t="shared" si="131"/>
        <v>44621</v>
      </c>
      <c r="DR48" s="46">
        <f t="shared" si="131"/>
        <v>44652</v>
      </c>
      <c r="DS48" s="46">
        <f t="shared" si="131"/>
        <v>44682</v>
      </c>
      <c r="DT48" s="46">
        <f t="shared" si="131"/>
        <v>44713</v>
      </c>
      <c r="DU48" s="46">
        <f t="shared" si="131"/>
        <v>44743</v>
      </c>
      <c r="DV48" s="46">
        <f t="shared" si="131"/>
        <v>44774</v>
      </c>
      <c r="DW48" s="46">
        <f t="shared" si="131"/>
        <v>44805</v>
      </c>
      <c r="DX48" s="46">
        <f t="shared" si="131"/>
        <v>44835</v>
      </c>
      <c r="DY48" s="46">
        <f t="shared" si="131"/>
        <v>44866</v>
      </c>
      <c r="DZ48" s="46">
        <f t="shared" si="131"/>
        <v>44896</v>
      </c>
      <c r="EA48" s="46">
        <f t="shared" si="131"/>
        <v>44927</v>
      </c>
      <c r="EB48" s="46">
        <f t="shared" si="131"/>
        <v>44958</v>
      </c>
      <c r="EC48" s="46">
        <f t="shared" si="131"/>
        <v>44986</v>
      </c>
      <c r="ED48" s="46">
        <f t="shared" si="131"/>
        <v>45017</v>
      </c>
      <c r="EE48" s="46">
        <f t="shared" si="131"/>
        <v>45047</v>
      </c>
      <c r="EF48" s="46">
        <f t="shared" si="131"/>
        <v>45078</v>
      </c>
      <c r="EG48" s="46">
        <f t="shared" si="131"/>
        <v>45108</v>
      </c>
      <c r="EH48" s="46">
        <f t="shared" si="131"/>
        <v>45139</v>
      </c>
      <c r="EI48" s="46">
        <f t="shared" si="131"/>
        <v>45170</v>
      </c>
      <c r="EJ48" s="46">
        <f t="shared" si="131"/>
        <v>45200</v>
      </c>
      <c r="EK48" s="46">
        <f t="shared" si="131"/>
        <v>45231</v>
      </c>
      <c r="EL48" s="46">
        <f t="shared" si="131"/>
        <v>45261</v>
      </c>
      <c r="EM48" s="46">
        <f t="shared" si="131"/>
        <v>45292</v>
      </c>
      <c r="EN48" s="46">
        <f t="shared" si="131"/>
        <v>45323</v>
      </c>
      <c r="EO48" s="46">
        <f t="shared" si="131"/>
        <v>45352</v>
      </c>
      <c r="EP48" s="46">
        <f t="shared" si="131"/>
        <v>45383</v>
      </c>
      <c r="EQ48" s="46">
        <f t="shared" si="131"/>
        <v>45413</v>
      </c>
      <c r="ER48" s="46">
        <f t="shared" si="131"/>
        <v>45444</v>
      </c>
      <c r="ES48" s="46">
        <f t="shared" si="131"/>
        <v>45474</v>
      </c>
      <c r="ET48" s="46">
        <f t="shared" si="131"/>
        <v>45505</v>
      </c>
      <c r="EU48" s="46">
        <f t="shared" si="131"/>
        <v>45536</v>
      </c>
      <c r="EV48" s="46">
        <f t="shared" si="131"/>
        <v>45566</v>
      </c>
      <c r="EW48" s="46">
        <f t="shared" si="131"/>
        <v>45597</v>
      </c>
      <c r="EX48" s="46">
        <f t="shared" si="131"/>
        <v>45627</v>
      </c>
      <c r="EY48" s="46">
        <f t="shared" si="131"/>
        <v>45658</v>
      </c>
      <c r="EZ48" s="46">
        <f t="shared" si="131"/>
        <v>45689</v>
      </c>
      <c r="FA48" s="46">
        <f t="shared" si="131"/>
        <v>45717</v>
      </c>
      <c r="FB48" s="46">
        <f t="shared" si="131"/>
        <v>45748</v>
      </c>
      <c r="FC48" s="46">
        <f t="shared" si="131"/>
        <v>45778</v>
      </c>
      <c r="FD48" s="46">
        <f t="shared" si="131"/>
        <v>45809</v>
      </c>
      <c r="FE48" s="46">
        <f t="shared" si="131"/>
        <v>45839</v>
      </c>
      <c r="FF48" s="46">
        <f t="shared" si="131"/>
        <v>45870</v>
      </c>
      <c r="FG48" s="46">
        <f t="shared" si="131"/>
        <v>45901</v>
      </c>
      <c r="FH48" s="46">
        <f t="shared" si="131"/>
        <v>45931</v>
      </c>
      <c r="FI48" s="46">
        <f t="shared" si="131"/>
        <v>45962</v>
      </c>
      <c r="FJ48" s="46">
        <f t="shared" si="131"/>
        <v>45992</v>
      </c>
      <c r="FN48" s="99">
        <f t="shared" si="76"/>
        <v>123091</v>
      </c>
      <c r="FO48" s="100">
        <f t="shared" si="77"/>
        <v>123366</v>
      </c>
      <c r="FP48" s="100">
        <f t="shared" si="11"/>
        <v>123641</v>
      </c>
      <c r="FQ48" s="100">
        <f t="shared" si="12"/>
        <v>123915</v>
      </c>
      <c r="FR48" s="100">
        <f t="shared" si="13"/>
        <v>124186</v>
      </c>
      <c r="FS48" s="100">
        <f t="shared" si="14"/>
        <v>124461</v>
      </c>
      <c r="FT48" s="100">
        <f t="shared" si="15"/>
        <v>124736</v>
      </c>
      <c r="FU48" s="100">
        <f t="shared" si="16"/>
        <v>125010</v>
      </c>
      <c r="FV48" s="100">
        <f t="shared" si="17"/>
        <v>125281</v>
      </c>
      <c r="FW48" s="100">
        <f t="shared" si="18"/>
        <v>125556</v>
      </c>
      <c r="FX48" s="100">
        <f t="shared" si="19"/>
        <v>125831</v>
      </c>
      <c r="FY48" s="100">
        <f t="shared" si="20"/>
        <v>126105</v>
      </c>
      <c r="FZ48" s="100">
        <f t="shared" si="21"/>
        <v>126376</v>
      </c>
      <c r="GA48" s="100">
        <f t="shared" si="22"/>
        <v>126651</v>
      </c>
      <c r="GB48" s="100">
        <f t="shared" si="23"/>
        <v>126926</v>
      </c>
      <c r="GC48" s="100">
        <f t="shared" si="24"/>
        <v>127201</v>
      </c>
      <c r="GD48" s="100">
        <f t="shared" si="25"/>
        <v>127474</v>
      </c>
      <c r="GE48" s="100">
        <f t="shared" si="26"/>
        <v>127749</v>
      </c>
      <c r="GF48" s="100">
        <f t="shared" si="27"/>
        <v>128024</v>
      </c>
      <c r="GG48" s="100">
        <f t="shared" si="28"/>
        <v>128298</v>
      </c>
      <c r="GH48" s="100">
        <f t="shared" si="29"/>
        <v>128569</v>
      </c>
      <c r="GI48" s="100">
        <f t="shared" si="30"/>
        <v>128844</v>
      </c>
      <c r="GJ48" s="100">
        <f t="shared" si="31"/>
        <v>129119</v>
      </c>
      <c r="GK48" s="100">
        <f t="shared" si="32"/>
        <v>129393</v>
      </c>
      <c r="GL48" s="100">
        <f t="shared" si="33"/>
        <v>129666</v>
      </c>
      <c r="GM48" s="100">
        <f t="shared" si="34"/>
        <v>129945</v>
      </c>
      <c r="GN48" s="100">
        <f t="shared" si="35"/>
        <v>130224</v>
      </c>
      <c r="GO48" s="100">
        <f t="shared" si="36"/>
        <v>130503</v>
      </c>
      <c r="GP48" s="100">
        <f t="shared" si="37"/>
        <v>130759</v>
      </c>
      <c r="GQ48" s="100">
        <f t="shared" si="38"/>
        <v>131034</v>
      </c>
      <c r="GR48" s="100">
        <f t="shared" si="39"/>
        <v>131309</v>
      </c>
      <c r="GS48" s="100">
        <f t="shared" si="40"/>
        <v>131584</v>
      </c>
      <c r="GT48" s="100">
        <f t="shared" si="41"/>
        <v>131857</v>
      </c>
      <c r="GU48" s="100">
        <f t="shared" si="42"/>
        <v>132132</v>
      </c>
      <c r="GV48" s="100">
        <f t="shared" si="43"/>
        <v>132407</v>
      </c>
      <c r="GW48" s="100">
        <f t="shared" si="44"/>
        <v>132681</v>
      </c>
      <c r="GX48" s="100">
        <f t="shared" si="45"/>
        <v>132952</v>
      </c>
      <c r="GY48" s="100">
        <f t="shared" si="46"/>
        <v>133227</v>
      </c>
      <c r="GZ48" s="100">
        <f t="shared" si="80"/>
        <v>133502</v>
      </c>
      <c r="HA48" s="100">
        <f t="shared" si="81"/>
        <v>133776</v>
      </c>
      <c r="HB48" s="100">
        <f t="shared" si="82"/>
        <v>134047</v>
      </c>
      <c r="HC48" s="100">
        <f t="shared" si="83"/>
        <v>134322</v>
      </c>
      <c r="HD48" s="100">
        <f t="shared" si="84"/>
        <v>134597</v>
      </c>
      <c r="HE48" s="100">
        <f t="shared" si="85"/>
        <v>134871</v>
      </c>
      <c r="HF48" s="100">
        <f t="shared" si="86"/>
        <v>135142</v>
      </c>
      <c r="HG48" s="100">
        <f t="shared" si="87"/>
        <v>135417</v>
      </c>
      <c r="HH48" s="100">
        <f t="shared" si="88"/>
        <v>135692</v>
      </c>
      <c r="HI48" s="100">
        <f t="shared" si="89"/>
        <v>135967</v>
      </c>
      <c r="HJ48" s="100">
        <f t="shared" si="116"/>
        <v>136240</v>
      </c>
      <c r="HK48" s="100">
        <f t="shared" si="122"/>
        <v>136515</v>
      </c>
      <c r="HL48" s="100">
        <f t="shared" si="123"/>
        <v>136790</v>
      </c>
      <c r="HM48" s="100">
        <f t="shared" si="124"/>
        <v>137064</v>
      </c>
      <c r="HN48" s="100">
        <f t="shared" si="125"/>
        <v>137335</v>
      </c>
      <c r="HO48" s="100">
        <f t="shared" si="126"/>
        <v>137610</v>
      </c>
      <c r="HP48" s="100">
        <f t="shared" si="127"/>
        <v>137885</v>
      </c>
      <c r="HQ48" s="101"/>
      <c r="HU48" s="102">
        <f t="shared" si="63"/>
        <v>494013</v>
      </c>
      <c r="HV48" s="102">
        <f t="shared" si="64"/>
        <v>498393</v>
      </c>
      <c r="HW48" s="102">
        <f t="shared" si="65"/>
        <v>502773</v>
      </c>
      <c r="HX48" s="103">
        <f t="shared" si="66"/>
        <v>507154</v>
      </c>
      <c r="HY48" s="104">
        <f t="shared" si="67"/>
        <v>511545</v>
      </c>
      <c r="HZ48" s="104">
        <f t="shared" si="68"/>
        <v>515925</v>
      </c>
      <c r="IA48" s="104">
        <f t="shared" si="69"/>
        <v>520338</v>
      </c>
      <c r="IB48" s="104">
        <f t="shared" si="70"/>
        <v>524686</v>
      </c>
      <c r="IC48" s="104">
        <f t="shared" si="71"/>
        <v>529077</v>
      </c>
      <c r="ID48" s="104">
        <f t="shared" si="96"/>
        <v>533457</v>
      </c>
      <c r="IE48" s="104">
        <f t="shared" si="97"/>
        <v>537837</v>
      </c>
      <c r="IF48" s="104">
        <f t="shared" si="98"/>
        <v>542218</v>
      </c>
      <c r="IG48" s="104">
        <f t="shared" si="99"/>
        <v>546609</v>
      </c>
    </row>
    <row r="49" spans="1:241" outlineLevel="2" x14ac:dyDescent="0.3">
      <c r="A49" s="105" t="s">
        <v>114</v>
      </c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7"/>
      <c r="CL49" s="107"/>
      <c r="CM49" s="107"/>
      <c r="CN49" s="107"/>
      <c r="CO49" s="107"/>
      <c r="CP49" s="107"/>
      <c r="CQ49" s="107"/>
      <c r="CR49" s="107"/>
      <c r="CS49" s="107"/>
      <c r="CT49" s="107"/>
      <c r="CU49" s="107"/>
      <c r="CV49" s="107"/>
      <c r="CW49" s="107"/>
      <c r="CX49" s="107"/>
      <c r="CY49" s="107"/>
      <c r="CZ49" s="107"/>
      <c r="DA49" s="107"/>
      <c r="DB49" s="107"/>
      <c r="DC49" s="107"/>
      <c r="DD49" s="107"/>
      <c r="DE49" s="107"/>
      <c r="DF49" s="107"/>
      <c r="DG49" s="107"/>
      <c r="DH49" s="107"/>
      <c r="DI49" s="107"/>
      <c r="DJ49" s="107"/>
      <c r="DK49" s="107"/>
      <c r="DL49" s="107"/>
      <c r="DM49" s="107"/>
      <c r="DN49" s="107"/>
      <c r="DO49" s="107"/>
      <c r="DP49" s="107"/>
      <c r="DQ49" s="107"/>
      <c r="DR49" s="107"/>
      <c r="DS49" s="107"/>
      <c r="DT49" s="107"/>
      <c r="DU49" s="107"/>
      <c r="DV49" s="107"/>
      <c r="DW49" s="107"/>
      <c r="DX49" s="107"/>
      <c r="DY49" s="107"/>
      <c r="DZ49" s="107"/>
      <c r="EA49" s="107"/>
      <c r="EB49" s="107"/>
      <c r="EC49" s="107"/>
      <c r="ED49" s="107"/>
      <c r="EE49" s="107"/>
      <c r="EF49" s="107"/>
      <c r="EG49" s="107"/>
      <c r="EH49" s="107"/>
      <c r="EI49" s="107"/>
      <c r="EJ49" s="107"/>
      <c r="EK49" s="107"/>
      <c r="EL49" s="107"/>
      <c r="EM49" s="107"/>
      <c r="EN49" s="107"/>
      <c r="EO49" s="107"/>
      <c r="EP49" s="107"/>
      <c r="EQ49" s="107"/>
      <c r="ER49" s="107"/>
      <c r="ES49" s="107"/>
      <c r="ET49" s="107"/>
      <c r="EU49" s="107"/>
      <c r="EV49" s="107"/>
      <c r="EW49" s="107"/>
      <c r="EX49" s="107"/>
      <c r="EY49" s="107"/>
      <c r="EZ49" s="107"/>
      <c r="FA49" s="107"/>
      <c r="FB49" s="107"/>
      <c r="FC49" s="107"/>
      <c r="FD49" s="107"/>
      <c r="FE49" s="107"/>
      <c r="FF49" s="107"/>
      <c r="FG49" s="107"/>
      <c r="FH49" s="107"/>
      <c r="FI49" s="107"/>
      <c r="FJ49" s="107"/>
      <c r="FN49" s="108">
        <f t="shared" si="76"/>
        <v>0</v>
      </c>
      <c r="FO49" s="108">
        <f t="shared" si="77"/>
        <v>0</v>
      </c>
      <c r="FP49" s="108">
        <f t="shared" si="11"/>
        <v>0</v>
      </c>
      <c r="FQ49" s="108">
        <f t="shared" si="12"/>
        <v>0</v>
      </c>
      <c r="FR49" s="108">
        <f t="shared" si="13"/>
        <v>0</v>
      </c>
      <c r="FS49" s="108">
        <f t="shared" si="14"/>
        <v>0</v>
      </c>
      <c r="FT49" s="108">
        <f t="shared" si="15"/>
        <v>0</v>
      </c>
      <c r="FU49" s="108">
        <f t="shared" si="16"/>
        <v>0</v>
      </c>
      <c r="FV49" s="108">
        <f t="shared" si="17"/>
        <v>0</v>
      </c>
      <c r="FW49" s="108">
        <f t="shared" si="18"/>
        <v>0</v>
      </c>
      <c r="FX49" s="108">
        <f t="shared" si="19"/>
        <v>0</v>
      </c>
      <c r="FY49" s="108">
        <f t="shared" si="20"/>
        <v>0</v>
      </c>
      <c r="FZ49" s="108">
        <f t="shared" si="21"/>
        <v>0</v>
      </c>
      <c r="GA49" s="108">
        <f t="shared" si="22"/>
        <v>0</v>
      </c>
      <c r="GB49" s="108">
        <f t="shared" si="23"/>
        <v>0</v>
      </c>
      <c r="GC49" s="108">
        <f t="shared" si="24"/>
        <v>0</v>
      </c>
      <c r="GD49" s="108">
        <f t="shared" si="25"/>
        <v>0</v>
      </c>
      <c r="GE49" s="108">
        <f t="shared" si="26"/>
        <v>0</v>
      </c>
      <c r="GF49" s="108">
        <f t="shared" si="27"/>
        <v>0</v>
      </c>
      <c r="GG49" s="108">
        <f t="shared" si="28"/>
        <v>0</v>
      </c>
      <c r="GH49" s="108">
        <f t="shared" si="29"/>
        <v>0</v>
      </c>
      <c r="GI49" s="108">
        <f t="shared" si="30"/>
        <v>0</v>
      </c>
      <c r="GJ49" s="108">
        <f t="shared" si="31"/>
        <v>0</v>
      </c>
      <c r="GK49" s="108">
        <f t="shared" si="32"/>
        <v>0</v>
      </c>
      <c r="GL49" s="108">
        <f t="shared" si="33"/>
        <v>0</v>
      </c>
      <c r="GM49" s="108">
        <f t="shared" si="34"/>
        <v>0</v>
      </c>
      <c r="GN49" s="108">
        <f t="shared" si="35"/>
        <v>0</v>
      </c>
      <c r="GO49" s="108">
        <f t="shared" si="36"/>
        <v>0</v>
      </c>
      <c r="GP49" s="108">
        <f t="shared" si="37"/>
        <v>0</v>
      </c>
      <c r="GQ49" s="108">
        <f t="shared" si="38"/>
        <v>0</v>
      </c>
      <c r="GR49" s="108">
        <f t="shared" si="39"/>
        <v>0</v>
      </c>
      <c r="GS49" s="108">
        <f t="shared" si="40"/>
        <v>0</v>
      </c>
      <c r="GT49" s="108">
        <f t="shared" si="41"/>
        <v>0</v>
      </c>
      <c r="GU49" s="108">
        <f t="shared" si="42"/>
        <v>0</v>
      </c>
      <c r="GV49" s="108">
        <f t="shared" si="43"/>
        <v>0</v>
      </c>
      <c r="GW49" s="108">
        <f t="shared" si="44"/>
        <v>0</v>
      </c>
      <c r="GX49" s="108">
        <f t="shared" si="45"/>
        <v>0</v>
      </c>
      <c r="GY49" s="108">
        <f t="shared" si="46"/>
        <v>0</v>
      </c>
      <c r="GZ49" s="108">
        <f t="shared" si="80"/>
        <v>0</v>
      </c>
      <c r="HA49" s="108">
        <f t="shared" si="81"/>
        <v>0</v>
      </c>
      <c r="HB49" s="108">
        <f t="shared" si="82"/>
        <v>0</v>
      </c>
      <c r="HC49" s="108">
        <f t="shared" si="83"/>
        <v>0</v>
      </c>
      <c r="HD49" s="108">
        <f t="shared" si="84"/>
        <v>0</v>
      </c>
      <c r="HE49" s="108">
        <f t="shared" si="85"/>
        <v>0</v>
      </c>
      <c r="HF49" s="108">
        <f t="shared" si="86"/>
        <v>0</v>
      </c>
      <c r="HG49" s="108">
        <f t="shared" si="87"/>
        <v>0</v>
      </c>
      <c r="HH49" s="108">
        <f t="shared" si="88"/>
        <v>0</v>
      </c>
      <c r="HI49" s="108">
        <f t="shared" si="89"/>
        <v>0</v>
      </c>
      <c r="HJ49" s="108">
        <f t="shared" si="116"/>
        <v>0</v>
      </c>
      <c r="HK49" s="108">
        <f t="shared" si="122"/>
        <v>0</v>
      </c>
      <c r="HL49" s="108">
        <f t="shared" si="123"/>
        <v>0</v>
      </c>
      <c r="HM49" s="108">
        <f t="shared" si="124"/>
        <v>0</v>
      </c>
      <c r="HN49" s="108">
        <f t="shared" si="125"/>
        <v>0</v>
      </c>
      <c r="HO49" s="108">
        <f t="shared" si="126"/>
        <v>0</v>
      </c>
      <c r="HP49" s="108">
        <f t="shared" si="127"/>
        <v>0</v>
      </c>
      <c r="HQ49" s="108"/>
      <c r="HU49" s="109">
        <f t="shared" si="63"/>
        <v>0</v>
      </c>
      <c r="HV49" s="110">
        <f t="shared" si="64"/>
        <v>0</v>
      </c>
      <c r="HW49" s="110">
        <f t="shared" si="65"/>
        <v>0</v>
      </c>
      <c r="HX49" s="111">
        <f t="shared" si="66"/>
        <v>0</v>
      </c>
      <c r="HY49" s="112">
        <f t="shared" si="67"/>
        <v>0</v>
      </c>
      <c r="HZ49" s="112">
        <f t="shared" si="68"/>
        <v>0</v>
      </c>
      <c r="IA49" s="112">
        <f t="shared" si="69"/>
        <v>0</v>
      </c>
      <c r="IB49" s="112">
        <f t="shared" si="70"/>
        <v>0</v>
      </c>
      <c r="IC49" s="112">
        <f t="shared" si="71"/>
        <v>0</v>
      </c>
      <c r="ID49" s="112">
        <f t="shared" si="96"/>
        <v>0</v>
      </c>
      <c r="IE49" s="112">
        <f t="shared" si="97"/>
        <v>0</v>
      </c>
      <c r="IF49" s="112">
        <f t="shared" si="98"/>
        <v>0</v>
      </c>
      <c r="IG49" s="112">
        <f t="shared" si="99"/>
        <v>0</v>
      </c>
    </row>
    <row r="50" spans="1:241" outlineLevel="2" x14ac:dyDescent="0.3">
      <c r="A50" s="106" t="s">
        <v>115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113"/>
      <c r="CL50" s="113"/>
      <c r="CM50" s="113"/>
      <c r="CN50" s="113"/>
      <c r="CO50" s="113"/>
      <c r="CP50" s="113"/>
      <c r="CQ50" s="113"/>
      <c r="CR50" s="113"/>
      <c r="CS50" s="113"/>
      <c r="CT50" s="113"/>
      <c r="CU50" s="113"/>
      <c r="CV50" s="113"/>
      <c r="CW50" s="113"/>
      <c r="CX50" s="113"/>
      <c r="CY50" s="113"/>
      <c r="CZ50" s="113"/>
      <c r="DA50" s="113"/>
      <c r="DB50" s="113"/>
      <c r="DC50" s="113"/>
      <c r="DD50" s="113"/>
      <c r="DE50" s="113"/>
      <c r="DF50" s="113"/>
      <c r="DG50" s="113"/>
      <c r="DH50" s="113"/>
      <c r="DI50" s="113"/>
      <c r="DJ50" s="113"/>
      <c r="DK50" s="113"/>
      <c r="DL50" s="113"/>
      <c r="DM50" s="113"/>
      <c r="DN50" s="113"/>
      <c r="DO50" s="113"/>
      <c r="DP50" s="113"/>
      <c r="DQ50" s="113"/>
      <c r="DR50" s="113"/>
      <c r="DS50" s="113"/>
      <c r="DT50" s="113"/>
      <c r="DU50" s="113"/>
      <c r="DV50" s="113"/>
      <c r="DW50" s="113"/>
      <c r="DX50" s="113"/>
      <c r="DY50" s="113"/>
      <c r="DZ50" s="113"/>
      <c r="EA50" s="113"/>
      <c r="EB50" s="113"/>
      <c r="EC50" s="113"/>
      <c r="ED50" s="113"/>
      <c r="EE50" s="113"/>
      <c r="EF50" s="113"/>
      <c r="EG50" s="113"/>
      <c r="EH50" s="113"/>
      <c r="EI50" s="113"/>
      <c r="EJ50" s="113"/>
      <c r="EK50" s="113"/>
      <c r="EL50" s="113"/>
      <c r="EM50" s="113"/>
      <c r="EN50" s="113"/>
      <c r="EO50" s="113"/>
      <c r="EP50" s="113"/>
      <c r="EQ50" s="113"/>
      <c r="ER50" s="113"/>
      <c r="ES50" s="113"/>
      <c r="ET50" s="113"/>
      <c r="EU50" s="113"/>
      <c r="EV50" s="113"/>
      <c r="EW50" s="113"/>
      <c r="EX50" s="113"/>
      <c r="EY50" s="113"/>
      <c r="EZ50" s="113"/>
      <c r="FA50" s="113"/>
      <c r="FB50" s="113"/>
      <c r="FC50" s="113"/>
      <c r="FD50" s="113"/>
      <c r="FE50" s="113"/>
      <c r="FF50" s="113"/>
      <c r="FG50" s="113"/>
      <c r="FH50" s="113"/>
      <c r="FI50" s="113"/>
      <c r="FJ50" s="113"/>
      <c r="FN50" s="114">
        <f>+SUM(B50:D50)</f>
        <v>0</v>
      </c>
      <c r="FO50" s="114">
        <f>+SUM(E50:G50)</f>
        <v>0</v>
      </c>
      <c r="FP50" s="114">
        <f>+SUM(H50:J50)</f>
        <v>0</v>
      </c>
      <c r="FQ50" s="114">
        <f>+SUM(K50:M50)</f>
        <v>0</v>
      </c>
      <c r="FR50" s="114">
        <f>+SUM(N50:P50)</f>
        <v>0</v>
      </c>
      <c r="FS50" s="114">
        <f>+SUM(Q50:S50)</f>
        <v>0</v>
      </c>
      <c r="FT50" s="114">
        <f>+SUM(T50:V50)</f>
        <v>0</v>
      </c>
      <c r="FU50" s="114">
        <f>+SUM(W50:Y50)</f>
        <v>0</v>
      </c>
      <c r="FV50" s="114">
        <f>+SUM(Z50:AB50)</f>
        <v>0</v>
      </c>
      <c r="FW50" s="114">
        <f>+SUM(AC50:AE50)</f>
        <v>0</v>
      </c>
      <c r="FX50" s="114">
        <f>+SUM(AF50:AH50)</f>
        <v>0</v>
      </c>
      <c r="FY50" s="114">
        <f>+SUM(AI50:AK50)</f>
        <v>0</v>
      </c>
      <c r="FZ50" s="114">
        <f>+SUM(AL50:AN50)</f>
        <v>0</v>
      </c>
      <c r="GA50" s="114">
        <f>+SUM(AO50:AQ50)</f>
        <v>0</v>
      </c>
      <c r="GB50" s="114">
        <f>+SUM(AR50:AT50)</f>
        <v>0</v>
      </c>
      <c r="GC50" s="114">
        <f>+SUM(AU50:AW50)</f>
        <v>0</v>
      </c>
      <c r="GD50" s="114">
        <f>+SUM(AX50:AZ50)</f>
        <v>0</v>
      </c>
      <c r="GE50" s="114">
        <f>+SUM(BA50:BC50)</f>
        <v>0</v>
      </c>
      <c r="GF50" s="114">
        <f>+SUM(BD50:BF50)</f>
        <v>0</v>
      </c>
      <c r="GG50" s="114">
        <f>+SUM(BG50:BI50)</f>
        <v>0</v>
      </c>
      <c r="GH50" s="114">
        <f>+SUM(BJ50:BL50)</f>
        <v>0</v>
      </c>
      <c r="GI50" s="114">
        <f>+SUM(BM50:BO50)</f>
        <v>0</v>
      </c>
      <c r="GJ50" s="114">
        <f>+SUM(BP50:BR50)</f>
        <v>0</v>
      </c>
      <c r="GK50" s="114">
        <f>+SUM(BS50:BU50)</f>
        <v>0</v>
      </c>
      <c r="GL50" s="114">
        <f>+SUM(BV50:BX50)</f>
        <v>0</v>
      </c>
      <c r="GM50" s="114">
        <f>+SUM(BY50:CA50)</f>
        <v>0</v>
      </c>
      <c r="GN50" s="114">
        <f>+SUM(CB50:CD50)</f>
        <v>0</v>
      </c>
      <c r="GO50" s="114">
        <f>+SUM(CE50:CG50)</f>
        <v>0</v>
      </c>
      <c r="GP50" s="114">
        <f>+SUM(CH50:CJ50)</f>
        <v>0</v>
      </c>
      <c r="GQ50" s="114">
        <f>+SUM(CK50:CM50)</f>
        <v>0</v>
      </c>
      <c r="GR50" s="114">
        <f>+SUM(CN50:CP50)</f>
        <v>0</v>
      </c>
      <c r="GS50" s="114">
        <f>+SUM(CQ50:CS50)</f>
        <v>0</v>
      </c>
      <c r="GT50" s="114">
        <f>+SUM(CT50:CV50)</f>
        <v>0</v>
      </c>
      <c r="GU50" s="114">
        <f>+SUM(CW50:CY50)</f>
        <v>0</v>
      </c>
      <c r="GV50" s="114">
        <f>+SUM(CZ50:DB50)</f>
        <v>0</v>
      </c>
      <c r="GW50" s="114">
        <f>+SUM(DC50:DE50)</f>
        <v>0</v>
      </c>
      <c r="GX50" s="114">
        <f>+SUM(DF50:DH50)</f>
        <v>0</v>
      </c>
      <c r="GY50" s="114">
        <f>+SUM(DI50:DK50)</f>
        <v>0</v>
      </c>
      <c r="GZ50" s="114">
        <f>+SUM(DL50:DN50)</f>
        <v>0</v>
      </c>
      <c r="HA50" s="114">
        <f>+SUM(DO50:DQ50)</f>
        <v>0</v>
      </c>
      <c r="HB50" s="114">
        <f>+SUM(DR50:DT50)</f>
        <v>0</v>
      </c>
      <c r="HC50" s="114">
        <f>+SUM(DU50:DW50)</f>
        <v>0</v>
      </c>
      <c r="HD50" s="114">
        <f>+SUM(DX50:DZ50)</f>
        <v>0</v>
      </c>
      <c r="HE50" s="114">
        <f>+SUM(EA50:EC50)</f>
        <v>0</v>
      </c>
      <c r="HF50" s="114">
        <f>+SUM(ED50:EF50)</f>
        <v>0</v>
      </c>
      <c r="HG50" s="114">
        <f>+SUM(EG50:EI50)</f>
        <v>0</v>
      </c>
      <c r="HH50" s="114">
        <f>+SUM(EJ50:EL50)</f>
        <v>0</v>
      </c>
      <c r="HI50" s="114">
        <f>+SUM(EM50:EO50)</f>
        <v>0</v>
      </c>
      <c r="HJ50" s="114">
        <f>SUM(EP50:ER50)</f>
        <v>0</v>
      </c>
      <c r="HK50" s="114">
        <f>SUM(ES50:EU50)</f>
        <v>0</v>
      </c>
      <c r="HL50" s="114">
        <f>SUM(EV50:EX50)</f>
        <v>0</v>
      </c>
      <c r="HM50" s="114">
        <f>SUM(EY50:FA50)</f>
        <v>0</v>
      </c>
      <c r="HN50" s="114">
        <f>SUM(FB50:FD50)</f>
        <v>0</v>
      </c>
      <c r="HO50" s="114">
        <f>SUM(FE50:FG50)</f>
        <v>0</v>
      </c>
      <c r="HP50" s="114">
        <f t="shared" si="127"/>
        <v>0</v>
      </c>
      <c r="HQ50" s="114"/>
      <c r="HU50" s="115">
        <f>SUM(B50:M50)</f>
        <v>0</v>
      </c>
      <c r="HV50" s="116">
        <f>SUM(N50:Y50)</f>
        <v>0</v>
      </c>
      <c r="HW50" s="116">
        <f>SUM(Z50:AK50)</f>
        <v>0</v>
      </c>
      <c r="HX50" s="117">
        <f>SUM(AL50:AW50)</f>
        <v>0</v>
      </c>
      <c r="HY50" s="118">
        <f>SUM(AX50:BI50)</f>
        <v>0</v>
      </c>
      <c r="HZ50" s="118">
        <f>SUM(BJ50:BU50)</f>
        <v>0</v>
      </c>
      <c r="IA50" s="118">
        <f>SUM(BV50:CG50)</f>
        <v>0</v>
      </c>
      <c r="IB50" s="118">
        <f>SUM(CH50:CS50)</f>
        <v>0</v>
      </c>
      <c r="IC50" s="118">
        <f>SUM(CT50:DE50)</f>
        <v>0</v>
      </c>
      <c r="ID50" s="118">
        <f>SUM(DF50:DQ50)</f>
        <v>0</v>
      </c>
      <c r="IE50" s="118">
        <f>SUM(DR50:EC50)</f>
        <v>0</v>
      </c>
      <c r="IF50" s="118">
        <f>SUM(ED50:EO50)</f>
        <v>0</v>
      </c>
      <c r="IG50" s="118">
        <f>SUM(EP50:FA50)</f>
        <v>0</v>
      </c>
    </row>
    <row r="51" spans="1:241" outlineLevel="2" x14ac:dyDescent="0.3">
      <c r="A51" s="119" t="s">
        <v>116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120"/>
      <c r="CL51" s="120"/>
      <c r="CM51" s="120"/>
      <c r="CN51" s="120"/>
      <c r="CO51" s="120"/>
      <c r="CP51" s="120"/>
      <c r="CQ51" s="70">
        <v>0</v>
      </c>
      <c r="CR51" s="70">
        <v>0</v>
      </c>
      <c r="CS51" s="70">
        <v>0</v>
      </c>
      <c r="CT51" s="70"/>
      <c r="CU51" s="70"/>
      <c r="CV51" s="70"/>
      <c r="CW51" s="70"/>
      <c r="CX51" s="70"/>
      <c r="CY51" s="70"/>
      <c r="CZ51" s="70"/>
      <c r="DA51" s="70"/>
      <c r="DB51" s="70"/>
      <c r="DC51" s="70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70"/>
      <c r="DO51" s="70"/>
      <c r="DP51" s="70"/>
      <c r="DQ51" s="70"/>
      <c r="DR51" s="70"/>
      <c r="DS51" s="70">
        <v>0</v>
      </c>
      <c r="DT51" s="70">
        <v>0</v>
      </c>
      <c r="DU51" s="70">
        <v>0</v>
      </c>
      <c r="DV51" s="70">
        <v>0</v>
      </c>
      <c r="DW51" s="70">
        <v>0</v>
      </c>
      <c r="DX51" s="70">
        <v>3</v>
      </c>
      <c r="DY51" s="70">
        <v>0</v>
      </c>
      <c r="DZ51" s="70">
        <v>2</v>
      </c>
      <c r="EA51" s="70">
        <v>0</v>
      </c>
      <c r="EB51" s="70">
        <v>0</v>
      </c>
      <c r="EC51" s="70">
        <v>0</v>
      </c>
      <c r="ED51" s="70">
        <v>0</v>
      </c>
      <c r="EE51" s="70">
        <v>0</v>
      </c>
      <c r="EF51" s="70">
        <v>0</v>
      </c>
      <c r="EG51" s="70">
        <v>0</v>
      </c>
      <c r="EH51" s="70">
        <v>0</v>
      </c>
      <c r="EI51" s="70">
        <v>0</v>
      </c>
      <c r="EJ51" s="70"/>
      <c r="EK51" s="70"/>
      <c r="EL51" s="70"/>
      <c r="EM51" s="70"/>
      <c r="EN51" s="70"/>
      <c r="EO51" s="70"/>
      <c r="EP51" s="70"/>
      <c r="EQ51" s="70"/>
      <c r="ER51" s="70"/>
      <c r="ES51" s="70"/>
      <c r="ET51" s="70">
        <v>0</v>
      </c>
      <c r="EU51" s="70">
        <v>0</v>
      </c>
      <c r="EV51" s="70"/>
      <c r="EW51" s="70"/>
      <c r="EX51" s="70"/>
      <c r="EY51" s="70"/>
      <c r="EZ51" s="70">
        <v>0</v>
      </c>
      <c r="FA51" s="70">
        <v>0</v>
      </c>
      <c r="FB51" s="70">
        <v>0</v>
      </c>
      <c r="FC51" s="70">
        <v>0</v>
      </c>
      <c r="FD51" s="70">
        <v>0</v>
      </c>
      <c r="FE51" s="70">
        <v>0</v>
      </c>
      <c r="FF51" s="70">
        <v>0</v>
      </c>
      <c r="FG51" s="70">
        <v>0</v>
      </c>
      <c r="FH51" s="70">
        <v>0</v>
      </c>
      <c r="FI51" s="70">
        <v>0</v>
      </c>
      <c r="FJ51" s="70">
        <v>0</v>
      </c>
      <c r="FN51" s="114">
        <f t="shared" si="76"/>
        <v>0</v>
      </c>
      <c r="FO51" s="114">
        <f t="shared" si="77"/>
        <v>0</v>
      </c>
      <c r="FP51" s="114">
        <f t="shared" si="11"/>
        <v>0</v>
      </c>
      <c r="FQ51" s="114">
        <f t="shared" si="12"/>
        <v>0</v>
      </c>
      <c r="FR51" s="114">
        <f t="shared" si="13"/>
        <v>0</v>
      </c>
      <c r="FS51" s="114">
        <f t="shared" si="14"/>
        <v>0</v>
      </c>
      <c r="FT51" s="114">
        <f t="shared" si="15"/>
        <v>0</v>
      </c>
      <c r="FU51" s="114">
        <f t="shared" si="16"/>
        <v>0</v>
      </c>
      <c r="FV51" s="114">
        <f t="shared" si="17"/>
        <v>0</v>
      </c>
      <c r="FW51" s="114">
        <f t="shared" si="18"/>
        <v>0</v>
      </c>
      <c r="FX51" s="114">
        <f t="shared" si="19"/>
        <v>0</v>
      </c>
      <c r="FY51" s="114">
        <f t="shared" si="20"/>
        <v>0</v>
      </c>
      <c r="FZ51" s="114">
        <f t="shared" si="21"/>
        <v>0</v>
      </c>
      <c r="GA51" s="114">
        <f t="shared" si="22"/>
        <v>0</v>
      </c>
      <c r="GB51" s="114">
        <f t="shared" si="23"/>
        <v>0</v>
      </c>
      <c r="GC51" s="114">
        <f t="shared" si="24"/>
        <v>0</v>
      </c>
      <c r="GD51" s="114">
        <f t="shared" si="25"/>
        <v>0</v>
      </c>
      <c r="GE51" s="114">
        <f t="shared" si="26"/>
        <v>0</v>
      </c>
      <c r="GF51" s="114">
        <f t="shared" si="27"/>
        <v>0</v>
      </c>
      <c r="GG51" s="114">
        <f t="shared" si="28"/>
        <v>0</v>
      </c>
      <c r="GH51" s="114">
        <f t="shared" si="29"/>
        <v>0</v>
      </c>
      <c r="GI51" s="114">
        <f t="shared" si="30"/>
        <v>0</v>
      </c>
      <c r="GJ51" s="114">
        <f t="shared" si="31"/>
        <v>0</v>
      </c>
      <c r="GK51" s="114">
        <f t="shared" si="32"/>
        <v>0</v>
      </c>
      <c r="GL51" s="114">
        <f t="shared" si="33"/>
        <v>0</v>
      </c>
      <c r="GM51" s="114">
        <f t="shared" si="34"/>
        <v>0</v>
      </c>
      <c r="GN51" s="114">
        <f t="shared" si="35"/>
        <v>0</v>
      </c>
      <c r="GO51" s="114">
        <f t="shared" si="36"/>
        <v>0</v>
      </c>
      <c r="GP51" s="114">
        <f t="shared" si="37"/>
        <v>0</v>
      </c>
      <c r="GQ51" s="114">
        <f t="shared" si="38"/>
        <v>0</v>
      </c>
      <c r="GR51" s="114">
        <f t="shared" si="39"/>
        <v>0</v>
      </c>
      <c r="GS51" s="114">
        <f t="shared" si="40"/>
        <v>0</v>
      </c>
      <c r="GT51" s="114">
        <f t="shared" si="41"/>
        <v>0</v>
      </c>
      <c r="GU51" s="114">
        <f t="shared" si="42"/>
        <v>0</v>
      </c>
      <c r="GV51" s="114">
        <f t="shared" si="43"/>
        <v>0</v>
      </c>
      <c r="GW51" s="114">
        <f t="shared" si="44"/>
        <v>0</v>
      </c>
      <c r="GX51" s="114">
        <f t="shared" si="45"/>
        <v>0</v>
      </c>
      <c r="GY51" s="114">
        <f t="shared" si="46"/>
        <v>0</v>
      </c>
      <c r="GZ51" s="114">
        <f t="shared" si="80"/>
        <v>0</v>
      </c>
      <c r="HA51" s="114">
        <f t="shared" si="81"/>
        <v>0</v>
      </c>
      <c r="HB51" s="114">
        <f t="shared" si="82"/>
        <v>0</v>
      </c>
      <c r="HC51" s="114">
        <f t="shared" si="83"/>
        <v>0</v>
      </c>
      <c r="HD51" s="114">
        <f t="shared" si="84"/>
        <v>5</v>
      </c>
      <c r="HE51" s="114">
        <f t="shared" si="85"/>
        <v>0</v>
      </c>
      <c r="HF51" s="114">
        <f t="shared" si="86"/>
        <v>0</v>
      </c>
      <c r="HG51" s="114">
        <f t="shared" si="87"/>
        <v>0</v>
      </c>
      <c r="HH51" s="114">
        <f t="shared" si="88"/>
        <v>0</v>
      </c>
      <c r="HI51" s="114">
        <f t="shared" si="89"/>
        <v>0</v>
      </c>
      <c r="HJ51" s="114">
        <f t="shared" si="116"/>
        <v>0</v>
      </c>
      <c r="HK51" s="114">
        <f t="shared" si="122"/>
        <v>0</v>
      </c>
      <c r="HL51" s="114">
        <f t="shared" si="123"/>
        <v>0</v>
      </c>
      <c r="HM51" s="114">
        <f t="shared" si="124"/>
        <v>0</v>
      </c>
      <c r="HN51" s="114">
        <f t="shared" si="125"/>
        <v>0</v>
      </c>
      <c r="HO51" s="114">
        <f t="shared" si="126"/>
        <v>0</v>
      </c>
      <c r="HP51" s="114">
        <f t="shared" si="127"/>
        <v>0</v>
      </c>
      <c r="HQ51" s="114"/>
      <c r="HU51" s="115">
        <f t="shared" si="63"/>
        <v>0</v>
      </c>
      <c r="HV51" s="116">
        <f t="shared" si="64"/>
        <v>0</v>
      </c>
      <c r="HW51" s="116">
        <f t="shared" si="65"/>
        <v>0</v>
      </c>
      <c r="HX51" s="117">
        <f t="shared" si="66"/>
        <v>0</v>
      </c>
      <c r="HY51" s="118">
        <f t="shared" si="67"/>
        <v>0</v>
      </c>
      <c r="HZ51" s="118">
        <f t="shared" si="68"/>
        <v>0</v>
      </c>
      <c r="IA51" s="118">
        <f t="shared" si="69"/>
        <v>0</v>
      </c>
      <c r="IB51" s="118">
        <f t="shared" si="70"/>
        <v>0</v>
      </c>
      <c r="IC51" s="118">
        <f t="shared" si="71"/>
        <v>0</v>
      </c>
      <c r="ID51" s="118">
        <f t="shared" si="96"/>
        <v>0</v>
      </c>
      <c r="IE51" s="118">
        <f t="shared" si="97"/>
        <v>5</v>
      </c>
      <c r="IF51" s="118">
        <f t="shared" si="98"/>
        <v>0</v>
      </c>
      <c r="IG51" s="118">
        <f t="shared" si="99"/>
        <v>0</v>
      </c>
    </row>
    <row r="52" spans="1:241" outlineLevel="2" x14ac:dyDescent="0.3">
      <c r="A52" s="106" t="s">
        <v>117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>
        <v>2322</v>
      </c>
      <c r="AA52" s="80">
        <v>2067</v>
      </c>
      <c r="AB52" s="80">
        <v>2235</v>
      </c>
      <c r="AC52" s="80">
        <v>4074</v>
      </c>
      <c r="AD52" s="80">
        <v>12465</v>
      </c>
      <c r="AE52" s="80">
        <v>11742</v>
      </c>
      <c r="AF52" s="80">
        <v>16428</v>
      </c>
      <c r="AG52" s="80">
        <v>16734</v>
      </c>
      <c r="AH52" s="80">
        <v>8427</v>
      </c>
      <c r="AI52" s="80">
        <v>1055</v>
      </c>
      <c r="AJ52" s="80">
        <v>1360</v>
      </c>
      <c r="AK52" s="80">
        <v>1047</v>
      </c>
      <c r="AL52" s="80">
        <v>1257</v>
      </c>
      <c r="AM52" s="80">
        <v>1853</v>
      </c>
      <c r="AN52" s="80">
        <v>16788</v>
      </c>
      <c r="AO52" s="80">
        <v>9346</v>
      </c>
      <c r="AP52" s="80">
        <v>5898</v>
      </c>
      <c r="AQ52" s="80">
        <v>1822</v>
      </c>
      <c r="AR52" s="80">
        <v>4528</v>
      </c>
      <c r="AS52" s="80">
        <v>6200</v>
      </c>
      <c r="AT52" s="80">
        <v>10848</v>
      </c>
      <c r="AU52" s="80">
        <v>7455</v>
      </c>
      <c r="AV52" s="80">
        <v>5038</v>
      </c>
      <c r="AW52" s="80">
        <v>6488</v>
      </c>
      <c r="AX52" s="80">
        <v>2498</v>
      </c>
      <c r="AY52" s="80">
        <v>2666</v>
      </c>
      <c r="AZ52" s="80">
        <v>2784</v>
      </c>
      <c r="BA52" s="80">
        <v>2686</v>
      </c>
      <c r="BB52" s="80">
        <v>3155</v>
      </c>
      <c r="BC52" s="80">
        <v>7605</v>
      </c>
      <c r="BD52" s="80">
        <v>2739</v>
      </c>
      <c r="BE52" s="80">
        <v>2699</v>
      </c>
      <c r="BF52" s="80">
        <v>2320</v>
      </c>
      <c r="BG52" s="80">
        <v>3745</v>
      </c>
      <c r="BH52" s="80">
        <v>3623</v>
      </c>
      <c r="BI52" s="80">
        <v>3292</v>
      </c>
      <c r="BJ52" s="80">
        <v>1547</v>
      </c>
      <c r="BK52" s="80">
        <v>2606</v>
      </c>
      <c r="BL52" s="80">
        <v>1776</v>
      </c>
      <c r="BM52" s="80">
        <v>1755</v>
      </c>
      <c r="BN52" s="80">
        <v>2218</v>
      </c>
      <c r="BO52" s="80">
        <v>2238</v>
      </c>
      <c r="BP52" s="80">
        <v>944</v>
      </c>
      <c r="BQ52" s="80">
        <v>2263</v>
      </c>
      <c r="BR52" s="80">
        <v>1731</v>
      </c>
      <c r="BS52" s="80">
        <v>2508</v>
      </c>
      <c r="BT52" s="80">
        <v>3458</v>
      </c>
      <c r="BU52" s="80">
        <v>3275</v>
      </c>
      <c r="BV52" s="80">
        <v>1689</v>
      </c>
      <c r="BW52" s="80">
        <v>1366</v>
      </c>
      <c r="BX52" s="80">
        <v>3410</v>
      </c>
      <c r="BY52" s="80">
        <v>1736</v>
      </c>
      <c r="BZ52" s="80">
        <v>1312</v>
      </c>
      <c r="CA52" s="80">
        <v>1920</v>
      </c>
      <c r="CB52" s="80">
        <v>3340</v>
      </c>
      <c r="CC52" s="80">
        <v>1418</v>
      </c>
      <c r="CD52" s="80">
        <v>492</v>
      </c>
      <c r="CE52" s="80">
        <v>660</v>
      </c>
      <c r="CF52" s="80">
        <v>1788</v>
      </c>
      <c r="CG52" s="80">
        <v>1740</v>
      </c>
      <c r="CH52" s="80">
        <v>690</v>
      </c>
      <c r="CI52" s="80">
        <v>1264</v>
      </c>
      <c r="CJ52" s="80">
        <v>1994</v>
      </c>
      <c r="CK52" s="80">
        <v>2068</v>
      </c>
      <c r="CL52" s="80">
        <v>2492</v>
      </c>
      <c r="CM52" s="80">
        <v>1432</v>
      </c>
      <c r="CN52" s="80">
        <v>1260</v>
      </c>
      <c r="CO52" s="80">
        <v>1248</v>
      </c>
      <c r="CP52" s="80">
        <v>418</v>
      </c>
      <c r="CQ52" s="80">
        <v>1092</v>
      </c>
      <c r="CR52" s="80">
        <v>1088</v>
      </c>
      <c r="CS52" s="80">
        <v>1648</v>
      </c>
      <c r="CT52" s="80"/>
      <c r="CU52" s="80">
        <v>700</v>
      </c>
      <c r="CV52" s="80">
        <v>654</v>
      </c>
      <c r="CW52" s="80">
        <v>168</v>
      </c>
      <c r="CX52" s="80">
        <v>733</v>
      </c>
      <c r="CY52" s="80">
        <v>981</v>
      </c>
      <c r="CZ52" s="80">
        <v>1004</v>
      </c>
      <c r="DA52" s="80">
        <v>2020</v>
      </c>
      <c r="DB52" s="80">
        <v>3446</v>
      </c>
      <c r="DC52" s="80">
        <v>2354</v>
      </c>
      <c r="DD52" s="80">
        <v>708</v>
      </c>
      <c r="DE52" s="80">
        <v>1784</v>
      </c>
      <c r="DF52" s="80">
        <v>857</v>
      </c>
      <c r="DG52" s="80">
        <v>974</v>
      </c>
      <c r="DH52" s="80">
        <v>1634</v>
      </c>
      <c r="DI52" s="80">
        <v>858</v>
      </c>
      <c r="DJ52" s="80">
        <v>1690</v>
      </c>
      <c r="DK52" s="80">
        <v>785</v>
      </c>
      <c r="DL52" s="80">
        <v>485</v>
      </c>
      <c r="DM52" s="80">
        <v>418</v>
      </c>
      <c r="DN52" s="80">
        <v>472</v>
      </c>
      <c r="DO52" s="80">
        <v>644</v>
      </c>
      <c r="DP52" s="80">
        <v>502</v>
      </c>
      <c r="DQ52" s="80">
        <v>1172</v>
      </c>
      <c r="DR52" s="80">
        <v>557</v>
      </c>
      <c r="DS52" s="80">
        <v>546</v>
      </c>
      <c r="DT52" s="80">
        <v>1457</v>
      </c>
      <c r="DU52" s="80">
        <v>746</v>
      </c>
      <c r="DV52" s="80">
        <v>684</v>
      </c>
      <c r="DW52" s="80">
        <v>769</v>
      </c>
      <c r="DX52" s="80">
        <v>448</v>
      </c>
      <c r="DY52" s="80">
        <v>879</v>
      </c>
      <c r="DZ52" s="80">
        <v>2032</v>
      </c>
      <c r="EA52" s="80">
        <v>82</v>
      </c>
      <c r="EB52" s="80">
        <v>454</v>
      </c>
      <c r="EC52" s="80">
        <v>2196</v>
      </c>
      <c r="ED52" s="80">
        <v>1893</v>
      </c>
      <c r="EE52" s="80">
        <v>738</v>
      </c>
      <c r="EF52" s="80">
        <v>2811</v>
      </c>
      <c r="EG52" s="80">
        <v>4083</v>
      </c>
      <c r="EH52" s="80">
        <v>3751</v>
      </c>
      <c r="EI52" s="80">
        <v>4127</v>
      </c>
      <c r="EJ52" s="80">
        <v>2663</v>
      </c>
      <c r="EK52" s="80">
        <v>3558</v>
      </c>
      <c r="EL52" s="80">
        <v>994</v>
      </c>
      <c r="EM52" s="80">
        <v>360</v>
      </c>
      <c r="EN52" s="80">
        <v>1096</v>
      </c>
      <c r="EO52" s="80">
        <v>4255</v>
      </c>
      <c r="EP52" s="80">
        <v>5329</v>
      </c>
      <c r="EQ52" s="80">
        <v>2133</v>
      </c>
      <c r="ER52" s="80">
        <v>1349</v>
      </c>
      <c r="ES52" s="80">
        <v>2721</v>
      </c>
      <c r="ET52" s="80">
        <v>2438</v>
      </c>
      <c r="EU52" s="80">
        <v>1024</v>
      </c>
      <c r="EV52" s="80">
        <v>1483</v>
      </c>
      <c r="EW52" s="80">
        <v>3615</v>
      </c>
      <c r="EX52" s="80">
        <v>1844</v>
      </c>
      <c r="EY52" s="80">
        <v>4381</v>
      </c>
      <c r="EZ52" s="80">
        <v>1695</v>
      </c>
      <c r="FA52" s="80">
        <v>3238</v>
      </c>
      <c r="FB52" s="80">
        <v>1339</v>
      </c>
      <c r="FC52" s="80">
        <v>1</v>
      </c>
      <c r="FD52" s="80">
        <v>2533</v>
      </c>
      <c r="FE52" s="80">
        <v>3151</v>
      </c>
      <c r="FF52" s="80">
        <v>3902</v>
      </c>
      <c r="FG52" s="80">
        <v>3794</v>
      </c>
      <c r="FH52" s="80">
        <v>3332</v>
      </c>
      <c r="FI52" s="80">
        <v>7028</v>
      </c>
      <c r="FJ52" s="80">
        <v>8443</v>
      </c>
      <c r="FN52" s="108">
        <f t="shared" si="76"/>
        <v>0</v>
      </c>
      <c r="FO52" s="108">
        <f t="shared" si="77"/>
        <v>0</v>
      </c>
      <c r="FP52" s="108">
        <f t="shared" si="11"/>
        <v>0</v>
      </c>
      <c r="FQ52" s="108">
        <f t="shared" si="12"/>
        <v>0</v>
      </c>
      <c r="FR52" s="108">
        <f t="shared" si="13"/>
        <v>0</v>
      </c>
      <c r="FS52" s="108">
        <f t="shared" si="14"/>
        <v>0</v>
      </c>
      <c r="FT52" s="108">
        <f t="shared" si="15"/>
        <v>0</v>
      </c>
      <c r="FU52" s="108">
        <f t="shared" si="16"/>
        <v>0</v>
      </c>
      <c r="FV52" s="108">
        <f t="shared" si="17"/>
        <v>6624</v>
      </c>
      <c r="FW52" s="108">
        <f t="shared" si="18"/>
        <v>28281</v>
      </c>
      <c r="FX52" s="108">
        <f t="shared" si="19"/>
        <v>41589</v>
      </c>
      <c r="FY52" s="108">
        <f t="shared" si="20"/>
        <v>3462</v>
      </c>
      <c r="FZ52" s="108">
        <f t="shared" si="21"/>
        <v>19898</v>
      </c>
      <c r="GA52" s="108">
        <f t="shared" si="22"/>
        <v>17066</v>
      </c>
      <c r="GB52" s="108">
        <f t="shared" si="23"/>
        <v>21576</v>
      </c>
      <c r="GC52" s="108">
        <f t="shared" si="24"/>
        <v>18981</v>
      </c>
      <c r="GD52" s="108">
        <f t="shared" si="25"/>
        <v>7948</v>
      </c>
      <c r="GE52" s="108">
        <f t="shared" si="26"/>
        <v>13446</v>
      </c>
      <c r="GF52" s="108">
        <f t="shared" si="27"/>
        <v>7758</v>
      </c>
      <c r="GG52" s="108">
        <f t="shared" si="28"/>
        <v>10660</v>
      </c>
      <c r="GH52" s="108">
        <f t="shared" si="29"/>
        <v>5929</v>
      </c>
      <c r="GI52" s="108">
        <f t="shared" si="30"/>
        <v>6211</v>
      </c>
      <c r="GJ52" s="108">
        <f t="shared" si="31"/>
        <v>4938</v>
      </c>
      <c r="GK52" s="108">
        <f t="shared" si="32"/>
        <v>9241</v>
      </c>
      <c r="GL52" s="108">
        <f t="shared" si="33"/>
        <v>6465</v>
      </c>
      <c r="GM52" s="108">
        <f t="shared" si="34"/>
        <v>4968</v>
      </c>
      <c r="GN52" s="108">
        <f t="shared" si="35"/>
        <v>5250</v>
      </c>
      <c r="GO52" s="108">
        <f t="shared" si="36"/>
        <v>4188</v>
      </c>
      <c r="GP52" s="108">
        <f t="shared" si="37"/>
        <v>3948</v>
      </c>
      <c r="GQ52" s="108">
        <f t="shared" si="38"/>
        <v>5992</v>
      </c>
      <c r="GR52" s="108">
        <f t="shared" si="39"/>
        <v>2926</v>
      </c>
      <c r="GS52" s="108">
        <f t="shared" si="40"/>
        <v>3828</v>
      </c>
      <c r="GT52" s="108">
        <f t="shared" si="41"/>
        <v>1354</v>
      </c>
      <c r="GU52" s="108">
        <f t="shared" si="42"/>
        <v>1882</v>
      </c>
      <c r="GV52" s="108">
        <f t="shared" si="43"/>
        <v>6470</v>
      </c>
      <c r="GW52" s="108">
        <f t="shared" si="44"/>
        <v>4846</v>
      </c>
      <c r="GX52" s="108">
        <f t="shared" si="45"/>
        <v>3465</v>
      </c>
      <c r="GY52" s="108">
        <f t="shared" si="46"/>
        <v>3333</v>
      </c>
      <c r="GZ52" s="108">
        <f t="shared" si="80"/>
        <v>1375</v>
      </c>
      <c r="HA52" s="108">
        <f t="shared" si="81"/>
        <v>2318</v>
      </c>
      <c r="HB52" s="108">
        <f t="shared" si="82"/>
        <v>2560</v>
      </c>
      <c r="HC52" s="108">
        <f t="shared" si="83"/>
        <v>2199</v>
      </c>
      <c r="HD52" s="108">
        <f t="shared" si="84"/>
        <v>3359</v>
      </c>
      <c r="HE52" s="108">
        <f t="shared" si="85"/>
        <v>2732</v>
      </c>
      <c r="HF52" s="108">
        <f t="shared" si="86"/>
        <v>5442</v>
      </c>
      <c r="HG52" s="108">
        <f t="shared" si="87"/>
        <v>11961</v>
      </c>
      <c r="HH52" s="108">
        <f t="shared" si="88"/>
        <v>7215</v>
      </c>
      <c r="HI52" s="108">
        <f t="shared" si="89"/>
        <v>5711</v>
      </c>
      <c r="HJ52" s="108">
        <f t="shared" si="116"/>
        <v>8811</v>
      </c>
      <c r="HK52" s="108">
        <f t="shared" si="122"/>
        <v>6183</v>
      </c>
      <c r="HL52" s="108">
        <f t="shared" si="123"/>
        <v>6942</v>
      </c>
      <c r="HM52" s="108">
        <f t="shared" si="124"/>
        <v>9314</v>
      </c>
      <c r="HN52" s="108">
        <f t="shared" si="125"/>
        <v>3873</v>
      </c>
      <c r="HO52" s="108">
        <f t="shared" si="126"/>
        <v>10847</v>
      </c>
      <c r="HP52" s="108">
        <f t="shared" si="127"/>
        <v>18803</v>
      </c>
      <c r="HQ52" s="108"/>
      <c r="HU52" s="109">
        <f t="shared" si="63"/>
        <v>0</v>
      </c>
      <c r="HV52" s="110">
        <f t="shared" si="64"/>
        <v>0</v>
      </c>
      <c r="HW52" s="110">
        <f t="shared" si="65"/>
        <v>79956</v>
      </c>
      <c r="HX52" s="111">
        <f t="shared" si="66"/>
        <v>77521</v>
      </c>
      <c r="HY52" s="112">
        <f t="shared" si="67"/>
        <v>39812</v>
      </c>
      <c r="HZ52" s="112">
        <f t="shared" si="68"/>
        <v>26319</v>
      </c>
      <c r="IA52" s="112">
        <f t="shared" si="69"/>
        <v>20871</v>
      </c>
      <c r="IB52" s="112">
        <f t="shared" si="70"/>
        <v>16694</v>
      </c>
      <c r="IC52" s="112">
        <f t="shared" si="71"/>
        <v>14552</v>
      </c>
      <c r="ID52" s="112">
        <f t="shared" si="96"/>
        <v>10491</v>
      </c>
      <c r="IE52" s="112">
        <f t="shared" si="97"/>
        <v>10850</v>
      </c>
      <c r="IF52" s="112">
        <f t="shared" si="98"/>
        <v>30329</v>
      </c>
      <c r="IG52" s="112">
        <f t="shared" si="99"/>
        <v>31250</v>
      </c>
    </row>
    <row r="53" spans="1:241" outlineLevel="2" x14ac:dyDescent="0.3">
      <c r="A53" s="119" t="s">
        <v>118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>
        <v>5277</v>
      </c>
      <c r="AA53" s="70">
        <v>5749</v>
      </c>
      <c r="AB53" s="70">
        <v>5440</v>
      </c>
      <c r="AC53" s="70">
        <v>7701</v>
      </c>
      <c r="AD53" s="70">
        <v>7557</v>
      </c>
      <c r="AE53" s="70">
        <v>8215</v>
      </c>
      <c r="AF53" s="70">
        <v>8524</v>
      </c>
      <c r="AG53" s="70">
        <v>9040</v>
      </c>
      <c r="AH53" s="70">
        <v>6254</v>
      </c>
      <c r="AI53" s="70">
        <v>4642</v>
      </c>
      <c r="AJ53" s="70">
        <v>4507</v>
      </c>
      <c r="AK53" s="70">
        <v>4908</v>
      </c>
      <c r="AL53" s="70">
        <v>4985</v>
      </c>
      <c r="AM53" s="70">
        <v>6604</v>
      </c>
      <c r="AN53" s="70">
        <v>7685</v>
      </c>
      <c r="AO53" s="70">
        <v>9065</v>
      </c>
      <c r="AP53" s="70">
        <v>9717</v>
      </c>
      <c r="AQ53" s="70">
        <v>7917</v>
      </c>
      <c r="AR53" s="70">
        <v>7865</v>
      </c>
      <c r="AS53" s="70">
        <v>7060</v>
      </c>
      <c r="AT53" s="70">
        <v>9508</v>
      </c>
      <c r="AU53" s="70">
        <v>10792</v>
      </c>
      <c r="AV53" s="70">
        <v>11362</v>
      </c>
      <c r="AW53" s="70">
        <v>10682</v>
      </c>
      <c r="AX53" s="70">
        <v>8795</v>
      </c>
      <c r="AY53" s="70">
        <v>13088</v>
      </c>
      <c r="AZ53" s="70">
        <v>11342</v>
      </c>
      <c r="BA53" s="70">
        <v>13945</v>
      </c>
      <c r="BB53" s="70">
        <v>12870</v>
      </c>
      <c r="BC53" s="70">
        <v>19079</v>
      </c>
      <c r="BD53" s="70">
        <v>13642</v>
      </c>
      <c r="BE53" s="70">
        <v>15199</v>
      </c>
      <c r="BF53" s="70">
        <v>18665</v>
      </c>
      <c r="BG53" s="70">
        <v>10307</v>
      </c>
      <c r="BH53" s="70">
        <v>11388</v>
      </c>
      <c r="BI53" s="70">
        <v>14244</v>
      </c>
      <c r="BJ53" s="70">
        <v>13510</v>
      </c>
      <c r="BK53" s="70">
        <v>13538</v>
      </c>
      <c r="BL53" s="70">
        <v>14855</v>
      </c>
      <c r="BM53" s="70">
        <v>17722</v>
      </c>
      <c r="BN53" s="70">
        <v>19153</v>
      </c>
      <c r="BO53" s="70">
        <v>18969</v>
      </c>
      <c r="BP53" s="70">
        <v>16317</v>
      </c>
      <c r="BQ53" s="70">
        <v>15848</v>
      </c>
      <c r="BR53" s="70">
        <v>15419</v>
      </c>
      <c r="BS53" s="70">
        <v>16052</v>
      </c>
      <c r="BT53" s="70">
        <v>17039</v>
      </c>
      <c r="BU53" s="70">
        <v>11016</v>
      </c>
      <c r="BV53" s="70">
        <v>27097</v>
      </c>
      <c r="BW53" s="70">
        <v>15813</v>
      </c>
      <c r="BX53" s="70">
        <v>21784</v>
      </c>
      <c r="BY53" s="70">
        <v>24008</v>
      </c>
      <c r="BZ53" s="70">
        <v>24391</v>
      </c>
      <c r="CA53" s="70">
        <v>22800</v>
      </c>
      <c r="CB53" s="70">
        <v>17304</v>
      </c>
      <c r="CC53" s="70">
        <v>13776</v>
      </c>
      <c r="CD53" s="70">
        <v>13780</v>
      </c>
      <c r="CE53" s="70">
        <v>11542</v>
      </c>
      <c r="CF53" s="70">
        <v>18492</v>
      </c>
      <c r="CG53" s="70">
        <v>18880</v>
      </c>
      <c r="CH53" s="70">
        <v>18882</v>
      </c>
      <c r="CI53" s="70">
        <v>12724</v>
      </c>
      <c r="CJ53" s="70">
        <v>15162</v>
      </c>
      <c r="CK53" s="70">
        <v>22668</v>
      </c>
      <c r="CL53" s="70">
        <v>17388</v>
      </c>
      <c r="CM53" s="70">
        <v>17042</v>
      </c>
      <c r="CN53" s="70">
        <v>16796</v>
      </c>
      <c r="CO53" s="70">
        <v>13358</v>
      </c>
      <c r="CP53" s="70">
        <v>13298</v>
      </c>
      <c r="CQ53" s="70">
        <v>16220</v>
      </c>
      <c r="CR53" s="70">
        <v>16430</v>
      </c>
      <c r="CS53" s="70">
        <v>11510</v>
      </c>
      <c r="CT53" s="70"/>
      <c r="CU53" s="70">
        <v>676</v>
      </c>
      <c r="CV53" s="70">
        <v>3669</v>
      </c>
      <c r="CW53" s="70">
        <v>4406</v>
      </c>
      <c r="CX53" s="70">
        <v>4112</v>
      </c>
      <c r="CY53" s="70">
        <v>10739</v>
      </c>
      <c r="CZ53" s="70">
        <v>19862</v>
      </c>
      <c r="DA53" s="70">
        <v>8300</v>
      </c>
      <c r="DB53" s="70">
        <v>11459</v>
      </c>
      <c r="DC53" s="70">
        <v>12385</v>
      </c>
      <c r="DD53" s="70">
        <v>14193</v>
      </c>
      <c r="DE53" s="70">
        <v>10356</v>
      </c>
      <c r="DF53" s="70">
        <v>18328</v>
      </c>
      <c r="DG53" s="70">
        <v>11399</v>
      </c>
      <c r="DH53" s="70">
        <v>8875</v>
      </c>
      <c r="DI53" s="70">
        <v>20341</v>
      </c>
      <c r="DJ53" s="70">
        <v>14676</v>
      </c>
      <c r="DK53" s="70">
        <v>10167</v>
      </c>
      <c r="DL53" s="70">
        <v>23147</v>
      </c>
      <c r="DM53" s="70">
        <v>13583</v>
      </c>
      <c r="DN53" s="70">
        <v>7860</v>
      </c>
      <c r="DO53" s="70">
        <v>19617</v>
      </c>
      <c r="DP53" s="70">
        <v>13958</v>
      </c>
      <c r="DQ53" s="70">
        <v>8048</v>
      </c>
      <c r="DR53" s="70">
        <v>20956</v>
      </c>
      <c r="DS53" s="70">
        <v>15942</v>
      </c>
      <c r="DT53" s="70">
        <v>15144</v>
      </c>
      <c r="DU53" s="70">
        <v>27414</v>
      </c>
      <c r="DV53" s="70">
        <v>25188</v>
      </c>
      <c r="DW53" s="70">
        <v>12387</v>
      </c>
      <c r="DX53" s="70">
        <v>11060</v>
      </c>
      <c r="DY53" s="70">
        <v>11312</v>
      </c>
      <c r="DZ53" s="70">
        <v>9480</v>
      </c>
      <c r="EA53" s="70">
        <v>11416</v>
      </c>
      <c r="EB53" s="70">
        <v>13365</v>
      </c>
      <c r="EC53" s="70">
        <v>10131</v>
      </c>
      <c r="ED53" s="70">
        <v>18798</v>
      </c>
      <c r="EE53" s="70">
        <v>12771</v>
      </c>
      <c r="EF53" s="70">
        <v>13702</v>
      </c>
      <c r="EG53" s="70">
        <v>16662</v>
      </c>
      <c r="EH53" s="70">
        <v>17250</v>
      </c>
      <c r="EI53" s="70">
        <v>24977</v>
      </c>
      <c r="EJ53" s="70">
        <v>21173</v>
      </c>
      <c r="EK53" s="70">
        <v>20424</v>
      </c>
      <c r="EL53" s="70">
        <v>19020</v>
      </c>
      <c r="EM53" s="70">
        <v>22528</v>
      </c>
      <c r="EN53" s="70">
        <v>28008</v>
      </c>
      <c r="EO53" s="70">
        <v>16002</v>
      </c>
      <c r="EP53" s="70">
        <v>36374</v>
      </c>
      <c r="EQ53" s="70">
        <v>23090</v>
      </c>
      <c r="ER53" s="70">
        <v>21398</v>
      </c>
      <c r="ES53" s="70">
        <v>28077</v>
      </c>
      <c r="ET53" s="70">
        <v>32517</v>
      </c>
      <c r="EU53" s="70">
        <v>30834</v>
      </c>
      <c r="EV53" s="70">
        <v>27903</v>
      </c>
      <c r="EW53" s="70">
        <v>25607</v>
      </c>
      <c r="EX53" s="70">
        <v>21030</v>
      </c>
      <c r="EY53" s="70">
        <v>25147</v>
      </c>
      <c r="EZ53" s="70">
        <f>24288+2</f>
        <v>24290</v>
      </c>
      <c r="FA53" s="70">
        <v>15710</v>
      </c>
      <c r="FB53" s="70">
        <v>37177</v>
      </c>
      <c r="FC53" s="70">
        <v>26541</v>
      </c>
      <c r="FD53" s="70">
        <v>23589</v>
      </c>
      <c r="FE53" s="70">
        <v>28486</v>
      </c>
      <c r="FF53" s="70">
        <v>28763</v>
      </c>
      <c r="FG53" s="70">
        <v>34421</v>
      </c>
      <c r="FH53" s="70">
        <v>27725</v>
      </c>
      <c r="FI53" s="70">
        <v>32300</v>
      </c>
      <c r="FJ53" s="70">
        <v>30014</v>
      </c>
      <c r="FN53" s="114">
        <f t="shared" si="76"/>
        <v>0</v>
      </c>
      <c r="FO53" s="114">
        <f t="shared" si="77"/>
        <v>0</v>
      </c>
      <c r="FP53" s="114">
        <f t="shared" si="11"/>
        <v>0</v>
      </c>
      <c r="FQ53" s="114">
        <f t="shared" si="12"/>
        <v>0</v>
      </c>
      <c r="FR53" s="114">
        <f t="shared" si="13"/>
        <v>0</v>
      </c>
      <c r="FS53" s="114">
        <f t="shared" si="14"/>
        <v>0</v>
      </c>
      <c r="FT53" s="114">
        <f t="shared" si="15"/>
        <v>0</v>
      </c>
      <c r="FU53" s="114">
        <f t="shared" si="16"/>
        <v>0</v>
      </c>
      <c r="FV53" s="114">
        <f t="shared" si="17"/>
        <v>16466</v>
      </c>
      <c r="FW53" s="114">
        <f t="shared" si="18"/>
        <v>23473</v>
      </c>
      <c r="FX53" s="114">
        <f t="shared" si="19"/>
        <v>23818</v>
      </c>
      <c r="FY53" s="114">
        <f t="shared" si="20"/>
        <v>14057</v>
      </c>
      <c r="FZ53" s="114">
        <f t="shared" si="21"/>
        <v>19274</v>
      </c>
      <c r="GA53" s="114">
        <f t="shared" si="22"/>
        <v>26699</v>
      </c>
      <c r="GB53" s="114">
        <f t="shared" si="23"/>
        <v>24433</v>
      </c>
      <c r="GC53" s="114">
        <f t="shared" si="24"/>
        <v>32836</v>
      </c>
      <c r="GD53" s="114">
        <f t="shared" si="25"/>
        <v>33225</v>
      </c>
      <c r="GE53" s="114">
        <f t="shared" si="26"/>
        <v>45894</v>
      </c>
      <c r="GF53" s="114">
        <f t="shared" si="27"/>
        <v>47506</v>
      </c>
      <c r="GG53" s="114">
        <f t="shared" si="28"/>
        <v>35939</v>
      </c>
      <c r="GH53" s="114">
        <f t="shared" si="29"/>
        <v>41903</v>
      </c>
      <c r="GI53" s="114">
        <f t="shared" si="30"/>
        <v>55844</v>
      </c>
      <c r="GJ53" s="114">
        <f t="shared" si="31"/>
        <v>47584</v>
      </c>
      <c r="GK53" s="114">
        <f t="shared" si="32"/>
        <v>44107</v>
      </c>
      <c r="GL53" s="114">
        <f t="shared" si="33"/>
        <v>64694</v>
      </c>
      <c r="GM53" s="114">
        <f t="shared" si="34"/>
        <v>71199</v>
      </c>
      <c r="GN53" s="114">
        <f t="shared" si="35"/>
        <v>44860</v>
      </c>
      <c r="GO53" s="114">
        <f t="shared" si="36"/>
        <v>48914</v>
      </c>
      <c r="GP53" s="114">
        <f t="shared" si="37"/>
        <v>46768</v>
      </c>
      <c r="GQ53" s="114">
        <f t="shared" si="38"/>
        <v>57098</v>
      </c>
      <c r="GR53" s="114">
        <f t="shared" si="39"/>
        <v>43452</v>
      </c>
      <c r="GS53" s="114">
        <f t="shared" si="40"/>
        <v>44160</v>
      </c>
      <c r="GT53" s="114">
        <f t="shared" si="41"/>
        <v>4345</v>
      </c>
      <c r="GU53" s="114">
        <f t="shared" si="42"/>
        <v>19257</v>
      </c>
      <c r="GV53" s="114">
        <f t="shared" si="43"/>
        <v>39621</v>
      </c>
      <c r="GW53" s="114">
        <f t="shared" si="44"/>
        <v>36934</v>
      </c>
      <c r="GX53" s="114">
        <f t="shared" si="45"/>
        <v>38602</v>
      </c>
      <c r="GY53" s="114">
        <f t="shared" si="46"/>
        <v>45184</v>
      </c>
      <c r="GZ53" s="114">
        <f t="shared" si="80"/>
        <v>44590</v>
      </c>
      <c r="HA53" s="114">
        <f t="shared" si="81"/>
        <v>41623</v>
      </c>
      <c r="HB53" s="114">
        <f t="shared" si="82"/>
        <v>52042</v>
      </c>
      <c r="HC53" s="114">
        <f t="shared" si="83"/>
        <v>64989</v>
      </c>
      <c r="HD53" s="114">
        <f t="shared" si="84"/>
        <v>31852</v>
      </c>
      <c r="HE53" s="114">
        <f t="shared" si="85"/>
        <v>34912</v>
      </c>
      <c r="HF53" s="114">
        <f t="shared" si="86"/>
        <v>45271</v>
      </c>
      <c r="HG53" s="114">
        <f t="shared" si="87"/>
        <v>58889</v>
      </c>
      <c r="HH53" s="114">
        <f t="shared" si="88"/>
        <v>60617</v>
      </c>
      <c r="HI53" s="114">
        <f t="shared" si="89"/>
        <v>66538</v>
      </c>
      <c r="HJ53" s="114">
        <f t="shared" si="116"/>
        <v>80862</v>
      </c>
      <c r="HK53" s="114">
        <f t="shared" si="122"/>
        <v>91428</v>
      </c>
      <c r="HL53" s="114">
        <f t="shared" si="123"/>
        <v>74540</v>
      </c>
      <c r="HM53" s="114">
        <f t="shared" si="124"/>
        <v>65147</v>
      </c>
      <c r="HN53" s="114">
        <f t="shared" si="125"/>
        <v>87307</v>
      </c>
      <c r="HO53" s="114">
        <f t="shared" si="126"/>
        <v>91670</v>
      </c>
      <c r="HP53" s="114">
        <f t="shared" si="127"/>
        <v>90039</v>
      </c>
      <c r="HQ53" s="114"/>
      <c r="HU53" s="115">
        <f t="shared" si="63"/>
        <v>0</v>
      </c>
      <c r="HV53" s="116">
        <f t="shared" si="64"/>
        <v>0</v>
      </c>
      <c r="HW53" s="116">
        <f t="shared" si="65"/>
        <v>77814</v>
      </c>
      <c r="HX53" s="117">
        <f t="shared" si="66"/>
        <v>103242</v>
      </c>
      <c r="HY53" s="118">
        <f t="shared" si="67"/>
        <v>162564</v>
      </c>
      <c r="HZ53" s="118">
        <f t="shared" si="68"/>
        <v>189438</v>
      </c>
      <c r="IA53" s="118">
        <f t="shared" si="69"/>
        <v>229667</v>
      </c>
      <c r="IB53" s="118">
        <f t="shared" si="70"/>
        <v>191478</v>
      </c>
      <c r="IC53" s="118">
        <f t="shared" si="71"/>
        <v>100157</v>
      </c>
      <c r="ID53" s="118">
        <f t="shared" si="96"/>
        <v>169999</v>
      </c>
      <c r="IE53" s="118">
        <f t="shared" si="97"/>
        <v>183795</v>
      </c>
      <c r="IF53" s="118">
        <f t="shared" si="98"/>
        <v>231315</v>
      </c>
      <c r="IG53" s="118">
        <f t="shared" si="99"/>
        <v>311977</v>
      </c>
    </row>
    <row r="54" spans="1:241" outlineLevel="2" x14ac:dyDescent="0.3">
      <c r="A54" s="106" t="s">
        <v>119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>
        <v>0</v>
      </c>
      <c r="AA54" s="80">
        <v>0</v>
      </c>
      <c r="AB54" s="80">
        <v>0</v>
      </c>
      <c r="AC54" s="80">
        <v>0</v>
      </c>
      <c r="AD54" s="80">
        <v>0</v>
      </c>
      <c r="AE54" s="80">
        <v>0</v>
      </c>
      <c r="AF54" s="80">
        <v>0</v>
      </c>
      <c r="AG54" s="80">
        <v>506</v>
      </c>
      <c r="AH54" s="80">
        <v>506</v>
      </c>
      <c r="AI54" s="80">
        <v>560</v>
      </c>
      <c r="AJ54" s="80">
        <v>2232</v>
      </c>
      <c r="AK54" s="80">
        <v>340</v>
      </c>
      <c r="AL54" s="80">
        <v>222</v>
      </c>
      <c r="AM54" s="80">
        <v>360</v>
      </c>
      <c r="AN54" s="80">
        <v>1288</v>
      </c>
      <c r="AO54" s="80">
        <v>2841</v>
      </c>
      <c r="AP54" s="80">
        <v>2912</v>
      </c>
      <c r="AQ54" s="80">
        <v>2824</v>
      </c>
      <c r="AR54" s="80">
        <v>2632</v>
      </c>
      <c r="AS54" s="80">
        <v>2624</v>
      </c>
      <c r="AT54" s="80">
        <v>3320</v>
      </c>
      <c r="AU54" s="80">
        <v>642</v>
      </c>
      <c r="AV54" s="80">
        <v>1318</v>
      </c>
      <c r="AW54" s="80">
        <v>1280</v>
      </c>
      <c r="AX54" s="80">
        <v>560</v>
      </c>
      <c r="AY54" s="80">
        <v>842</v>
      </c>
      <c r="AZ54" s="80">
        <v>2338</v>
      </c>
      <c r="BA54" s="80">
        <v>2172</v>
      </c>
      <c r="BB54" s="80">
        <v>3830</v>
      </c>
      <c r="BC54" s="80">
        <v>1916</v>
      </c>
      <c r="BD54" s="80">
        <v>2788</v>
      </c>
      <c r="BE54" s="80">
        <v>4796</v>
      </c>
      <c r="BF54" s="80">
        <v>3422</v>
      </c>
      <c r="BG54" s="80">
        <v>1648</v>
      </c>
      <c r="BH54" s="80">
        <v>2472</v>
      </c>
      <c r="BI54" s="80">
        <v>2781</v>
      </c>
      <c r="BJ54" s="80">
        <v>1801</v>
      </c>
      <c r="BK54" s="80">
        <v>680</v>
      </c>
      <c r="BL54" s="80">
        <v>2292</v>
      </c>
      <c r="BM54" s="80">
        <v>2695</v>
      </c>
      <c r="BN54" s="80">
        <v>4876</v>
      </c>
      <c r="BO54" s="80">
        <v>5969</v>
      </c>
      <c r="BP54" s="80">
        <v>4300</v>
      </c>
      <c r="BQ54" s="80">
        <v>4952</v>
      </c>
      <c r="BR54" s="80">
        <v>4170</v>
      </c>
      <c r="BS54" s="80">
        <v>2548</v>
      </c>
      <c r="BT54" s="80">
        <v>4244</v>
      </c>
      <c r="BU54" s="80">
        <v>4498</v>
      </c>
      <c r="BV54" s="80">
        <v>4650</v>
      </c>
      <c r="BW54" s="80">
        <v>5269</v>
      </c>
      <c r="BX54" s="80">
        <v>5248</v>
      </c>
      <c r="BY54" s="80">
        <v>4930</v>
      </c>
      <c r="BZ54" s="80">
        <v>5100</v>
      </c>
      <c r="CA54" s="80">
        <v>4528</v>
      </c>
      <c r="CB54" s="80">
        <v>4120</v>
      </c>
      <c r="CC54" s="80">
        <v>5018</v>
      </c>
      <c r="CD54" s="80">
        <v>4554</v>
      </c>
      <c r="CE54" s="80">
        <v>2554</v>
      </c>
      <c r="CF54" s="80">
        <v>2578</v>
      </c>
      <c r="CG54" s="80">
        <v>4918</v>
      </c>
      <c r="CH54" s="80">
        <v>4052</v>
      </c>
      <c r="CI54" s="80">
        <v>4282</v>
      </c>
      <c r="CJ54" s="80">
        <v>6900</v>
      </c>
      <c r="CK54" s="80">
        <v>4958</v>
      </c>
      <c r="CL54" s="80">
        <v>6310</v>
      </c>
      <c r="CM54" s="80">
        <v>4760</v>
      </c>
      <c r="CN54" s="80">
        <v>5059</v>
      </c>
      <c r="CO54" s="80">
        <v>5038</v>
      </c>
      <c r="CP54" s="80">
        <v>3712</v>
      </c>
      <c r="CQ54" s="80">
        <v>4862</v>
      </c>
      <c r="CR54" s="80">
        <v>4199</v>
      </c>
      <c r="CS54" s="80">
        <v>4913</v>
      </c>
      <c r="CT54" s="80"/>
      <c r="CU54" s="80">
        <v>0</v>
      </c>
      <c r="CV54" s="80">
        <v>1573</v>
      </c>
      <c r="CW54" s="80">
        <v>1512</v>
      </c>
      <c r="CX54" s="80">
        <v>2992</v>
      </c>
      <c r="CY54" s="80">
        <v>8644</v>
      </c>
      <c r="CZ54" s="80">
        <v>6050</v>
      </c>
      <c r="DA54" s="80">
        <v>2054</v>
      </c>
      <c r="DB54" s="80">
        <v>3316</v>
      </c>
      <c r="DC54" s="80">
        <v>1194</v>
      </c>
      <c r="DD54" s="80">
        <v>4394</v>
      </c>
      <c r="DE54" s="80">
        <v>5971</v>
      </c>
      <c r="DF54" s="80">
        <v>4916</v>
      </c>
      <c r="DG54" s="80">
        <v>2740</v>
      </c>
      <c r="DH54" s="80">
        <v>3430</v>
      </c>
      <c r="DI54" s="80">
        <v>3501</v>
      </c>
      <c r="DJ54" s="80">
        <v>5171</v>
      </c>
      <c r="DK54" s="80">
        <v>2940</v>
      </c>
      <c r="DL54" s="80">
        <v>4238</v>
      </c>
      <c r="DM54" s="80">
        <v>3878</v>
      </c>
      <c r="DN54" s="80">
        <v>2558</v>
      </c>
      <c r="DO54" s="80">
        <v>2736</v>
      </c>
      <c r="DP54" s="80">
        <v>1963</v>
      </c>
      <c r="DQ54" s="80">
        <v>4400</v>
      </c>
      <c r="DR54" s="80">
        <v>3206</v>
      </c>
      <c r="DS54" s="80">
        <v>2832</v>
      </c>
      <c r="DT54" s="80">
        <v>3490</v>
      </c>
      <c r="DU54" s="80">
        <v>3356</v>
      </c>
      <c r="DV54" s="80">
        <v>4739</v>
      </c>
      <c r="DW54" s="80">
        <v>3350</v>
      </c>
      <c r="DX54" s="80">
        <v>1759</v>
      </c>
      <c r="DY54" s="80">
        <v>2486</v>
      </c>
      <c r="DZ54" s="80">
        <v>786</v>
      </c>
      <c r="EA54" s="80">
        <v>1519</v>
      </c>
      <c r="EB54" s="80">
        <v>1212</v>
      </c>
      <c r="EC54" s="80">
        <v>1664</v>
      </c>
      <c r="ED54" s="80">
        <v>1708</v>
      </c>
      <c r="EE54" s="80">
        <v>3580</v>
      </c>
      <c r="EF54" s="80">
        <v>2468</v>
      </c>
      <c r="EG54" s="80">
        <v>2412</v>
      </c>
      <c r="EH54" s="80">
        <v>3256</v>
      </c>
      <c r="EI54" s="80">
        <v>3364</v>
      </c>
      <c r="EJ54" s="80">
        <v>3393</v>
      </c>
      <c r="EK54" s="80">
        <v>4604</v>
      </c>
      <c r="EL54" s="80">
        <v>4072</v>
      </c>
      <c r="EM54" s="80">
        <v>1292</v>
      </c>
      <c r="EN54" s="80">
        <v>3932</v>
      </c>
      <c r="EO54" s="80">
        <v>7624</v>
      </c>
      <c r="EP54" s="80">
        <v>7766</v>
      </c>
      <c r="EQ54" s="80">
        <v>3688</v>
      </c>
      <c r="ER54" s="80">
        <v>5140</v>
      </c>
      <c r="ES54" s="80">
        <v>5446</v>
      </c>
      <c r="ET54" s="80">
        <v>5900</v>
      </c>
      <c r="EU54" s="80">
        <v>5784</v>
      </c>
      <c r="EV54" s="80">
        <v>5688</v>
      </c>
      <c r="EW54" s="80">
        <v>5411</v>
      </c>
      <c r="EX54" s="80">
        <v>8193</v>
      </c>
      <c r="EY54" s="80">
        <v>5512</v>
      </c>
      <c r="EZ54" s="80">
        <v>4920</v>
      </c>
      <c r="FA54" s="80">
        <v>5935</v>
      </c>
      <c r="FB54" s="80">
        <v>4494</v>
      </c>
      <c r="FC54" s="80">
        <v>5359</v>
      </c>
      <c r="FD54" s="80">
        <v>3494</v>
      </c>
      <c r="FE54" s="80">
        <v>7340</v>
      </c>
      <c r="FF54" s="80">
        <v>7848</v>
      </c>
      <c r="FG54" s="80">
        <v>3842</v>
      </c>
      <c r="FH54" s="80">
        <v>4544</v>
      </c>
      <c r="FI54" s="80">
        <v>8914</v>
      </c>
      <c r="FJ54" s="80">
        <v>8069</v>
      </c>
      <c r="FN54" s="108">
        <f t="shared" si="76"/>
        <v>0</v>
      </c>
      <c r="FO54" s="108">
        <f t="shared" si="77"/>
        <v>0</v>
      </c>
      <c r="FP54" s="108">
        <f t="shared" si="11"/>
        <v>0</v>
      </c>
      <c r="FQ54" s="108">
        <f t="shared" si="12"/>
        <v>0</v>
      </c>
      <c r="FR54" s="108">
        <f t="shared" si="13"/>
        <v>0</v>
      </c>
      <c r="FS54" s="108">
        <f t="shared" si="14"/>
        <v>0</v>
      </c>
      <c r="FT54" s="108">
        <f t="shared" si="15"/>
        <v>0</v>
      </c>
      <c r="FU54" s="108">
        <f t="shared" si="16"/>
        <v>0</v>
      </c>
      <c r="FV54" s="108">
        <f t="shared" si="17"/>
        <v>0</v>
      </c>
      <c r="FW54" s="108">
        <f t="shared" si="18"/>
        <v>0</v>
      </c>
      <c r="FX54" s="108">
        <f t="shared" si="19"/>
        <v>1012</v>
      </c>
      <c r="FY54" s="108">
        <f t="shared" si="20"/>
        <v>3132</v>
      </c>
      <c r="FZ54" s="108">
        <f t="shared" si="21"/>
        <v>1870</v>
      </c>
      <c r="GA54" s="108">
        <f t="shared" si="22"/>
        <v>8577</v>
      </c>
      <c r="GB54" s="108">
        <f t="shared" si="23"/>
        <v>8576</v>
      </c>
      <c r="GC54" s="108">
        <f t="shared" si="24"/>
        <v>3240</v>
      </c>
      <c r="GD54" s="108">
        <f t="shared" si="25"/>
        <v>3740</v>
      </c>
      <c r="GE54" s="108">
        <f t="shared" si="26"/>
        <v>7918</v>
      </c>
      <c r="GF54" s="108">
        <f t="shared" si="27"/>
        <v>11006</v>
      </c>
      <c r="GG54" s="108">
        <f t="shared" si="28"/>
        <v>6901</v>
      </c>
      <c r="GH54" s="108">
        <f t="shared" si="29"/>
        <v>4773</v>
      </c>
      <c r="GI54" s="108">
        <f t="shared" si="30"/>
        <v>13540</v>
      </c>
      <c r="GJ54" s="108">
        <f t="shared" si="31"/>
        <v>13422</v>
      </c>
      <c r="GK54" s="108">
        <f t="shared" si="32"/>
        <v>11290</v>
      </c>
      <c r="GL54" s="108">
        <f t="shared" si="33"/>
        <v>15167</v>
      </c>
      <c r="GM54" s="108">
        <f t="shared" si="34"/>
        <v>14558</v>
      </c>
      <c r="GN54" s="108">
        <f t="shared" si="35"/>
        <v>13692</v>
      </c>
      <c r="GO54" s="108">
        <f t="shared" si="36"/>
        <v>10050</v>
      </c>
      <c r="GP54" s="108">
        <f t="shared" si="37"/>
        <v>15234</v>
      </c>
      <c r="GQ54" s="108">
        <f t="shared" si="38"/>
        <v>16028</v>
      </c>
      <c r="GR54" s="108">
        <f t="shared" si="39"/>
        <v>13809</v>
      </c>
      <c r="GS54" s="108">
        <f t="shared" si="40"/>
        <v>13974</v>
      </c>
      <c r="GT54" s="108">
        <f t="shared" si="41"/>
        <v>1573</v>
      </c>
      <c r="GU54" s="108">
        <f t="shared" si="42"/>
        <v>13148</v>
      </c>
      <c r="GV54" s="108">
        <f t="shared" si="43"/>
        <v>11420</v>
      </c>
      <c r="GW54" s="108">
        <f t="shared" si="44"/>
        <v>11559</v>
      </c>
      <c r="GX54" s="108">
        <f t="shared" si="45"/>
        <v>11086</v>
      </c>
      <c r="GY54" s="108">
        <f t="shared" si="46"/>
        <v>11612</v>
      </c>
      <c r="GZ54" s="108">
        <f t="shared" si="80"/>
        <v>10674</v>
      </c>
      <c r="HA54" s="108">
        <f t="shared" si="81"/>
        <v>9099</v>
      </c>
      <c r="HB54" s="108">
        <f t="shared" si="82"/>
        <v>9528</v>
      </c>
      <c r="HC54" s="108">
        <f t="shared" si="83"/>
        <v>11445</v>
      </c>
      <c r="HD54" s="108">
        <f t="shared" si="84"/>
        <v>5031</v>
      </c>
      <c r="HE54" s="108">
        <f t="shared" si="85"/>
        <v>4395</v>
      </c>
      <c r="HF54" s="108">
        <f t="shared" si="86"/>
        <v>7756</v>
      </c>
      <c r="HG54" s="108">
        <f t="shared" si="87"/>
        <v>9032</v>
      </c>
      <c r="HH54" s="108">
        <f t="shared" si="88"/>
        <v>12069</v>
      </c>
      <c r="HI54" s="108">
        <f t="shared" si="89"/>
        <v>12848</v>
      </c>
      <c r="HJ54" s="108">
        <f t="shared" si="116"/>
        <v>16594</v>
      </c>
      <c r="HK54" s="108">
        <f t="shared" si="122"/>
        <v>17130</v>
      </c>
      <c r="HL54" s="108">
        <f t="shared" si="123"/>
        <v>19292</v>
      </c>
      <c r="HM54" s="108">
        <f t="shared" si="124"/>
        <v>16367</v>
      </c>
      <c r="HN54" s="108">
        <f t="shared" si="125"/>
        <v>13347</v>
      </c>
      <c r="HO54" s="108">
        <f t="shared" si="126"/>
        <v>19030</v>
      </c>
      <c r="HP54" s="108">
        <f t="shared" si="127"/>
        <v>21527</v>
      </c>
      <c r="HQ54" s="108"/>
      <c r="HU54" s="109">
        <f t="shared" si="63"/>
        <v>0</v>
      </c>
      <c r="HV54" s="110">
        <f t="shared" si="64"/>
        <v>0</v>
      </c>
      <c r="HW54" s="110">
        <f t="shared" si="65"/>
        <v>4144</v>
      </c>
      <c r="HX54" s="111">
        <f t="shared" si="66"/>
        <v>22263</v>
      </c>
      <c r="HY54" s="112">
        <f t="shared" si="67"/>
        <v>29565</v>
      </c>
      <c r="HZ54" s="112">
        <f t="shared" si="68"/>
        <v>43025</v>
      </c>
      <c r="IA54" s="112">
        <f t="shared" si="69"/>
        <v>53467</v>
      </c>
      <c r="IB54" s="112">
        <f t="shared" si="70"/>
        <v>59045</v>
      </c>
      <c r="IC54" s="112">
        <f t="shared" si="71"/>
        <v>37700</v>
      </c>
      <c r="ID54" s="112">
        <f t="shared" si="96"/>
        <v>42471</v>
      </c>
      <c r="IE54" s="112">
        <f t="shared" si="97"/>
        <v>30399</v>
      </c>
      <c r="IF54" s="112">
        <f t="shared" si="98"/>
        <v>41705</v>
      </c>
      <c r="IG54" s="112">
        <f t="shared" si="99"/>
        <v>69383</v>
      </c>
    </row>
    <row r="55" spans="1:241" outlineLevel="2" x14ac:dyDescent="0.3">
      <c r="A55" s="119" t="s">
        <v>120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>
        <v>151</v>
      </c>
      <c r="AA55" s="70">
        <v>230</v>
      </c>
      <c r="AB55" s="70">
        <v>267</v>
      </c>
      <c r="AC55" s="70">
        <v>365</v>
      </c>
      <c r="AD55" s="70">
        <v>492</v>
      </c>
      <c r="AE55" s="70">
        <v>337</v>
      </c>
      <c r="AF55" s="70">
        <v>115</v>
      </c>
      <c r="AG55" s="70">
        <v>950</v>
      </c>
      <c r="AH55" s="70">
        <v>103</v>
      </c>
      <c r="AI55" s="70">
        <v>423</v>
      </c>
      <c r="AJ55" s="70">
        <v>7</v>
      </c>
      <c r="AK55" s="70">
        <v>475</v>
      </c>
      <c r="AL55" s="70">
        <v>486</v>
      </c>
      <c r="AM55" s="70">
        <v>756</v>
      </c>
      <c r="AN55" s="70">
        <v>116</v>
      </c>
      <c r="AO55" s="70">
        <v>954</v>
      </c>
      <c r="AP55" s="70">
        <v>1213</v>
      </c>
      <c r="AQ55" s="70">
        <v>463</v>
      </c>
      <c r="AR55" s="70">
        <v>36</v>
      </c>
      <c r="AS55" s="70">
        <v>576</v>
      </c>
      <c r="AT55" s="70">
        <v>358</v>
      </c>
      <c r="AU55" s="70">
        <v>405</v>
      </c>
      <c r="AV55" s="70">
        <v>261</v>
      </c>
      <c r="AW55" s="70">
        <v>525</v>
      </c>
      <c r="AX55" s="70">
        <v>210</v>
      </c>
      <c r="AY55" s="70">
        <v>286</v>
      </c>
      <c r="AZ55" s="70">
        <v>340</v>
      </c>
      <c r="BA55" s="70">
        <v>562</v>
      </c>
      <c r="BB55" s="70">
        <v>251</v>
      </c>
      <c r="BC55" s="70">
        <v>215</v>
      </c>
      <c r="BD55" s="70">
        <v>136</v>
      </c>
      <c r="BE55" s="70">
        <v>195</v>
      </c>
      <c r="BF55" s="70">
        <v>640</v>
      </c>
      <c r="BG55" s="70">
        <v>63</v>
      </c>
      <c r="BH55" s="70">
        <v>95</v>
      </c>
      <c r="BI55" s="70">
        <v>270</v>
      </c>
      <c r="BJ55" s="70">
        <v>63</v>
      </c>
      <c r="BK55" s="70">
        <v>224</v>
      </c>
      <c r="BL55" s="70">
        <v>314</v>
      </c>
      <c r="BM55" s="70">
        <v>0</v>
      </c>
      <c r="BN55" s="70">
        <v>480</v>
      </c>
      <c r="BO55" s="70">
        <v>598</v>
      </c>
      <c r="BP55" s="70">
        <v>315</v>
      </c>
      <c r="BQ55" s="70">
        <v>786</v>
      </c>
      <c r="BR55" s="70">
        <v>498</v>
      </c>
      <c r="BS55" s="70">
        <v>326</v>
      </c>
      <c r="BT55" s="70">
        <v>134</v>
      </c>
      <c r="BU55" s="70">
        <v>883</v>
      </c>
      <c r="BV55" s="70">
        <v>33</v>
      </c>
      <c r="BW55" s="70">
        <v>85</v>
      </c>
      <c r="BX55" s="70">
        <v>261</v>
      </c>
      <c r="BY55" s="70">
        <v>105</v>
      </c>
      <c r="BZ55" s="70">
        <v>79</v>
      </c>
      <c r="CA55" s="70">
        <v>105</v>
      </c>
      <c r="CB55" s="70">
        <v>150</v>
      </c>
      <c r="CC55" s="70">
        <v>280</v>
      </c>
      <c r="CD55" s="70">
        <v>55</v>
      </c>
      <c r="CE55" s="70">
        <v>45</v>
      </c>
      <c r="CF55" s="70">
        <v>24</v>
      </c>
      <c r="CG55" s="70">
        <v>0</v>
      </c>
      <c r="CH55" s="70">
        <v>2</v>
      </c>
      <c r="CI55" s="70">
        <v>0</v>
      </c>
      <c r="CJ55" s="70">
        <v>52</v>
      </c>
      <c r="CK55" s="70">
        <v>0</v>
      </c>
      <c r="CL55" s="70">
        <v>110</v>
      </c>
      <c r="CM55" s="70">
        <v>75</v>
      </c>
      <c r="CN55" s="70">
        <v>0</v>
      </c>
      <c r="CO55" s="70">
        <v>105</v>
      </c>
      <c r="CP55" s="70">
        <v>0</v>
      </c>
      <c r="CQ55" s="70">
        <v>0</v>
      </c>
      <c r="CR55" s="70">
        <v>0</v>
      </c>
      <c r="CS55" s="70">
        <v>0</v>
      </c>
      <c r="CT55" s="70"/>
      <c r="CU55" s="70">
        <v>0</v>
      </c>
      <c r="CV55" s="70">
        <v>0</v>
      </c>
      <c r="CW55" s="70">
        <v>44</v>
      </c>
      <c r="CX55" s="70">
        <v>0</v>
      </c>
      <c r="CY55" s="70">
        <v>0</v>
      </c>
      <c r="CZ55" s="70">
        <v>0</v>
      </c>
      <c r="DA55" s="70">
        <v>0</v>
      </c>
      <c r="DB55" s="70">
        <v>0</v>
      </c>
      <c r="DC55" s="70">
        <v>0</v>
      </c>
      <c r="DD55" s="70">
        <v>50</v>
      </c>
      <c r="DE55" s="70">
        <v>0</v>
      </c>
      <c r="DF55" s="70">
        <v>0</v>
      </c>
      <c r="DG55" s="70"/>
      <c r="DH55" s="70"/>
      <c r="DI55" s="70">
        <v>0</v>
      </c>
      <c r="DJ55" s="70"/>
      <c r="DK55" s="70">
        <v>0</v>
      </c>
      <c r="DL55" s="70">
        <v>0</v>
      </c>
      <c r="DM55" s="70">
        <v>0</v>
      </c>
      <c r="DN55" s="70">
        <v>0</v>
      </c>
      <c r="DO55" s="70">
        <v>0</v>
      </c>
      <c r="DP55" s="70">
        <v>0</v>
      </c>
      <c r="DQ55" s="70">
        <v>0</v>
      </c>
      <c r="DR55" s="70"/>
      <c r="DS55" s="70"/>
      <c r="DT55" s="70"/>
      <c r="DU55" s="70"/>
      <c r="DV55" s="70"/>
      <c r="DW55" s="70"/>
      <c r="DX55" s="70"/>
      <c r="DY55" s="70"/>
      <c r="DZ55" s="70"/>
      <c r="EA55" s="70"/>
      <c r="EB55" s="70"/>
      <c r="EC55" s="70"/>
      <c r="ED55" s="70"/>
      <c r="EE55" s="70"/>
      <c r="EF55" s="70"/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N55" s="114">
        <f t="shared" si="76"/>
        <v>0</v>
      </c>
      <c r="FO55" s="114">
        <f t="shared" si="77"/>
        <v>0</v>
      </c>
      <c r="FP55" s="114">
        <f t="shared" si="11"/>
        <v>0</v>
      </c>
      <c r="FQ55" s="114">
        <f t="shared" si="12"/>
        <v>0</v>
      </c>
      <c r="FR55" s="114">
        <f t="shared" si="13"/>
        <v>0</v>
      </c>
      <c r="FS55" s="114">
        <f t="shared" si="14"/>
        <v>0</v>
      </c>
      <c r="FT55" s="114">
        <f t="shared" si="15"/>
        <v>0</v>
      </c>
      <c r="FU55" s="114">
        <f t="shared" si="16"/>
        <v>0</v>
      </c>
      <c r="FV55" s="114">
        <f t="shared" si="17"/>
        <v>648</v>
      </c>
      <c r="FW55" s="114">
        <f t="shared" si="18"/>
        <v>1194</v>
      </c>
      <c r="FX55" s="114">
        <f t="shared" si="19"/>
        <v>1168</v>
      </c>
      <c r="FY55" s="114">
        <f t="shared" si="20"/>
        <v>905</v>
      </c>
      <c r="FZ55" s="114">
        <f t="shared" si="21"/>
        <v>1358</v>
      </c>
      <c r="GA55" s="114">
        <f t="shared" si="22"/>
        <v>2630</v>
      </c>
      <c r="GB55" s="114">
        <f t="shared" si="23"/>
        <v>970</v>
      </c>
      <c r="GC55" s="114">
        <f t="shared" si="24"/>
        <v>1191</v>
      </c>
      <c r="GD55" s="114">
        <f t="shared" si="25"/>
        <v>836</v>
      </c>
      <c r="GE55" s="114">
        <f t="shared" si="26"/>
        <v>1028</v>
      </c>
      <c r="GF55" s="114">
        <f t="shared" si="27"/>
        <v>971</v>
      </c>
      <c r="GG55" s="114">
        <f t="shared" si="28"/>
        <v>428</v>
      </c>
      <c r="GH55" s="114">
        <f t="shared" si="29"/>
        <v>601</v>
      </c>
      <c r="GI55" s="114">
        <f t="shared" si="30"/>
        <v>1078</v>
      </c>
      <c r="GJ55" s="114">
        <f t="shared" si="31"/>
        <v>1599</v>
      </c>
      <c r="GK55" s="114">
        <f t="shared" si="32"/>
        <v>1343</v>
      </c>
      <c r="GL55" s="114">
        <f t="shared" si="33"/>
        <v>379</v>
      </c>
      <c r="GM55" s="114">
        <f t="shared" si="34"/>
        <v>289</v>
      </c>
      <c r="GN55" s="114">
        <f t="shared" si="35"/>
        <v>485</v>
      </c>
      <c r="GO55" s="114">
        <f t="shared" si="36"/>
        <v>69</v>
      </c>
      <c r="GP55" s="114">
        <f t="shared" si="37"/>
        <v>54</v>
      </c>
      <c r="GQ55" s="114">
        <f t="shared" si="38"/>
        <v>185</v>
      </c>
      <c r="GR55" s="114">
        <f t="shared" si="39"/>
        <v>105</v>
      </c>
      <c r="GS55" s="114">
        <f t="shared" si="40"/>
        <v>0</v>
      </c>
      <c r="GT55" s="114">
        <f t="shared" si="41"/>
        <v>0</v>
      </c>
      <c r="GU55" s="114">
        <f t="shared" si="42"/>
        <v>44</v>
      </c>
      <c r="GV55" s="114">
        <f t="shared" si="43"/>
        <v>0</v>
      </c>
      <c r="GW55" s="114">
        <f t="shared" si="44"/>
        <v>50</v>
      </c>
      <c r="GX55" s="114">
        <f t="shared" si="45"/>
        <v>0</v>
      </c>
      <c r="GY55" s="114">
        <f t="shared" si="46"/>
        <v>0</v>
      </c>
      <c r="GZ55" s="114">
        <f t="shared" si="80"/>
        <v>0</v>
      </c>
      <c r="HA55" s="114">
        <f t="shared" si="81"/>
        <v>0</v>
      </c>
      <c r="HB55" s="114">
        <f t="shared" si="82"/>
        <v>0</v>
      </c>
      <c r="HC55" s="114">
        <f t="shared" si="83"/>
        <v>0</v>
      </c>
      <c r="HD55" s="114">
        <f t="shared" si="84"/>
        <v>0</v>
      </c>
      <c r="HE55" s="114">
        <f t="shared" si="85"/>
        <v>0</v>
      </c>
      <c r="HF55" s="114">
        <f t="shared" si="86"/>
        <v>0</v>
      </c>
      <c r="HG55" s="114">
        <f t="shared" si="87"/>
        <v>0</v>
      </c>
      <c r="HH55" s="114">
        <f t="shared" si="88"/>
        <v>0</v>
      </c>
      <c r="HI55" s="114">
        <f t="shared" si="89"/>
        <v>0</v>
      </c>
      <c r="HJ55" s="114">
        <f t="shared" si="116"/>
        <v>0</v>
      </c>
      <c r="HK55" s="114">
        <f t="shared" si="122"/>
        <v>0</v>
      </c>
      <c r="HL55" s="114">
        <f t="shared" si="123"/>
        <v>0</v>
      </c>
      <c r="HM55" s="114">
        <f t="shared" si="124"/>
        <v>0</v>
      </c>
      <c r="HN55" s="114">
        <f t="shared" si="125"/>
        <v>0</v>
      </c>
      <c r="HO55" s="114">
        <f t="shared" si="126"/>
        <v>0</v>
      </c>
      <c r="HP55" s="114">
        <f t="shared" si="127"/>
        <v>0</v>
      </c>
      <c r="HQ55" s="114"/>
      <c r="HU55" s="115">
        <f t="shared" si="63"/>
        <v>0</v>
      </c>
      <c r="HV55" s="116">
        <f t="shared" si="64"/>
        <v>0</v>
      </c>
      <c r="HW55" s="116">
        <f t="shared" si="65"/>
        <v>3915</v>
      </c>
      <c r="HX55" s="117">
        <f t="shared" si="66"/>
        <v>6149</v>
      </c>
      <c r="HY55" s="118">
        <f t="shared" si="67"/>
        <v>3263</v>
      </c>
      <c r="HZ55" s="118">
        <f t="shared" si="68"/>
        <v>4621</v>
      </c>
      <c r="IA55" s="118">
        <f t="shared" si="69"/>
        <v>1222</v>
      </c>
      <c r="IB55" s="118">
        <f t="shared" si="70"/>
        <v>344</v>
      </c>
      <c r="IC55" s="118">
        <f t="shared" si="71"/>
        <v>94</v>
      </c>
      <c r="ID55" s="118">
        <f t="shared" si="96"/>
        <v>0</v>
      </c>
      <c r="IE55" s="118">
        <f t="shared" si="97"/>
        <v>0</v>
      </c>
      <c r="IF55" s="118">
        <f t="shared" si="98"/>
        <v>0</v>
      </c>
      <c r="IG55" s="118">
        <f t="shared" si="99"/>
        <v>0</v>
      </c>
    </row>
    <row r="56" spans="1:241" outlineLevel="2" x14ac:dyDescent="0.3">
      <c r="A56" s="106" t="s">
        <v>121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  <c r="DK56" s="80"/>
      <c r="DL56" s="80"/>
      <c r="DM56" s="80"/>
      <c r="DN56" s="80"/>
      <c r="DO56" s="80"/>
      <c r="DP56" s="80"/>
      <c r="DQ56" s="80"/>
      <c r="DR56" s="80"/>
      <c r="DS56" s="80"/>
      <c r="DT56" s="80"/>
      <c r="DU56" s="80">
        <v>40</v>
      </c>
      <c r="DV56" s="80">
        <v>38</v>
      </c>
      <c r="DW56" s="80">
        <v>0</v>
      </c>
      <c r="DX56" s="80">
        <v>0</v>
      </c>
      <c r="DY56" s="80">
        <v>0</v>
      </c>
      <c r="DZ56" s="80">
        <v>0</v>
      </c>
      <c r="EA56" s="80">
        <v>0</v>
      </c>
      <c r="EB56" s="80">
        <v>0</v>
      </c>
      <c r="EC56" s="80">
        <v>0</v>
      </c>
      <c r="ED56" s="80"/>
      <c r="EE56" s="80"/>
      <c r="EF56" s="80"/>
      <c r="EG56" s="80"/>
      <c r="EH56" s="80"/>
      <c r="EI56" s="80"/>
      <c r="EJ56" s="80"/>
      <c r="EK56" s="80"/>
      <c r="EL56" s="80"/>
      <c r="EM56" s="80"/>
      <c r="EN56" s="80"/>
      <c r="EO56" s="80"/>
      <c r="EP56" s="80"/>
      <c r="EQ56" s="80"/>
      <c r="ER56" s="80"/>
      <c r="ES56" s="80"/>
      <c r="ET56" s="80">
        <v>0</v>
      </c>
      <c r="EU56" s="80"/>
      <c r="EV56" s="80"/>
      <c r="EW56" s="80"/>
      <c r="EX56" s="80"/>
      <c r="EY56" s="80"/>
      <c r="EZ56" s="80"/>
      <c r="FA56" s="80"/>
      <c r="FB56" s="80"/>
      <c r="FC56" s="80"/>
      <c r="FD56" s="80"/>
      <c r="FE56" s="80"/>
      <c r="FF56" s="80"/>
      <c r="FG56" s="80"/>
      <c r="FH56" s="80"/>
      <c r="FI56" s="80"/>
      <c r="FJ56" s="80"/>
      <c r="FN56" s="108"/>
      <c r="FO56" s="108"/>
      <c r="FP56" s="108"/>
      <c r="FQ56" s="108"/>
      <c r="FR56" s="108"/>
      <c r="FS56" s="108"/>
      <c r="FT56" s="108"/>
      <c r="FU56" s="108"/>
      <c r="FV56" s="108"/>
      <c r="FW56" s="108"/>
      <c r="FX56" s="108"/>
      <c r="FY56" s="108"/>
      <c r="FZ56" s="108"/>
      <c r="GA56" s="108"/>
      <c r="GB56" s="108"/>
      <c r="GC56" s="108"/>
      <c r="GD56" s="108"/>
      <c r="GE56" s="108"/>
      <c r="GF56" s="108"/>
      <c r="GG56" s="108"/>
      <c r="GH56" s="108"/>
      <c r="GI56" s="108"/>
      <c r="GJ56" s="108"/>
      <c r="GK56" s="108"/>
      <c r="GL56" s="108"/>
      <c r="GM56" s="108"/>
      <c r="GN56" s="108"/>
      <c r="GO56" s="108"/>
      <c r="GP56" s="108"/>
      <c r="GQ56" s="108"/>
      <c r="GR56" s="108"/>
      <c r="GS56" s="108"/>
      <c r="GT56" s="108"/>
      <c r="GU56" s="108"/>
      <c r="GV56" s="108"/>
      <c r="GW56" s="108"/>
      <c r="GX56" s="108"/>
      <c r="GY56" s="108"/>
      <c r="GZ56" s="108"/>
      <c r="HA56" s="108"/>
      <c r="HB56" s="108">
        <f t="shared" si="82"/>
        <v>0</v>
      </c>
      <c r="HC56" s="108">
        <f t="shared" si="83"/>
        <v>78</v>
      </c>
      <c r="HD56" s="108">
        <f t="shared" si="84"/>
        <v>0</v>
      </c>
      <c r="HE56" s="108">
        <f t="shared" si="85"/>
        <v>0</v>
      </c>
      <c r="HF56" s="108">
        <f t="shared" si="86"/>
        <v>0</v>
      </c>
      <c r="HG56" s="108">
        <f t="shared" si="87"/>
        <v>0</v>
      </c>
      <c r="HH56" s="108">
        <f t="shared" si="88"/>
        <v>0</v>
      </c>
      <c r="HI56" s="108">
        <f t="shared" si="89"/>
        <v>0</v>
      </c>
      <c r="HJ56" s="108">
        <f t="shared" si="116"/>
        <v>0</v>
      </c>
      <c r="HK56" s="108">
        <f t="shared" si="122"/>
        <v>0</v>
      </c>
      <c r="HL56" s="108">
        <f t="shared" si="123"/>
        <v>0</v>
      </c>
      <c r="HM56" s="108">
        <f t="shared" si="124"/>
        <v>0</v>
      </c>
      <c r="HN56" s="108">
        <f t="shared" si="125"/>
        <v>0</v>
      </c>
      <c r="HO56" s="108">
        <f t="shared" si="126"/>
        <v>0</v>
      </c>
      <c r="HP56" s="108">
        <f t="shared" si="127"/>
        <v>0</v>
      </c>
      <c r="HQ56" s="108"/>
      <c r="HU56" s="109"/>
      <c r="HV56" s="110"/>
      <c r="HW56" s="110"/>
      <c r="HX56" s="111"/>
      <c r="HY56" s="112"/>
      <c r="HZ56" s="112"/>
      <c r="IA56" s="112"/>
      <c r="IB56" s="112"/>
      <c r="IC56" s="112"/>
      <c r="ID56" s="112"/>
      <c r="IE56" s="112">
        <f t="shared" si="97"/>
        <v>78</v>
      </c>
      <c r="IF56" s="112">
        <f t="shared" si="98"/>
        <v>0</v>
      </c>
      <c r="IG56" s="112">
        <f t="shared" si="99"/>
        <v>0</v>
      </c>
    </row>
    <row r="57" spans="1:241" outlineLevel="2" x14ac:dyDescent="0.3">
      <c r="A57" s="119" t="s">
        <v>122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>
        <v>2</v>
      </c>
      <c r="AA57" s="70">
        <v>0</v>
      </c>
      <c r="AB57" s="70">
        <v>0</v>
      </c>
      <c r="AC57" s="70">
        <v>0</v>
      </c>
      <c r="AD57" s="70">
        <v>2</v>
      </c>
      <c r="AE57" s="70">
        <v>0</v>
      </c>
      <c r="AF57" s="70">
        <v>0</v>
      </c>
      <c r="AG57" s="70">
        <v>0</v>
      </c>
      <c r="AH57" s="70">
        <v>5</v>
      </c>
      <c r="AI57" s="70">
        <v>0</v>
      </c>
      <c r="AJ57" s="70">
        <v>1</v>
      </c>
      <c r="AK57" s="70">
        <v>0</v>
      </c>
      <c r="AL57" s="70">
        <v>3</v>
      </c>
      <c r="AM57" s="70">
        <v>134</v>
      </c>
      <c r="AN57" s="70">
        <v>0</v>
      </c>
      <c r="AO57" s="70">
        <v>44</v>
      </c>
      <c r="AP57" s="70">
        <v>308</v>
      </c>
      <c r="AQ57" s="70">
        <v>176</v>
      </c>
      <c r="AR57" s="70">
        <v>0</v>
      </c>
      <c r="AS57" s="70">
        <v>1</v>
      </c>
      <c r="AT57" s="70">
        <v>132</v>
      </c>
      <c r="AU57" s="70">
        <v>0</v>
      </c>
      <c r="AV57" s="70">
        <v>68</v>
      </c>
      <c r="AW57" s="70">
        <v>0</v>
      </c>
      <c r="AX57" s="70">
        <v>160</v>
      </c>
      <c r="AY57" s="70">
        <v>132</v>
      </c>
      <c r="AZ57" s="70">
        <v>177</v>
      </c>
      <c r="BA57" s="70">
        <v>541</v>
      </c>
      <c r="BB57" s="70">
        <v>108</v>
      </c>
      <c r="BC57" s="70">
        <v>372</v>
      </c>
      <c r="BD57" s="70">
        <v>563</v>
      </c>
      <c r="BE57" s="70">
        <v>809</v>
      </c>
      <c r="BF57" s="70">
        <v>1592</v>
      </c>
      <c r="BG57" s="70">
        <v>45</v>
      </c>
      <c r="BH57" s="70">
        <v>156</v>
      </c>
      <c r="BI57" s="70">
        <v>650</v>
      </c>
      <c r="BJ57" s="70">
        <v>560</v>
      </c>
      <c r="BK57" s="70">
        <v>349</v>
      </c>
      <c r="BL57" s="70">
        <v>636</v>
      </c>
      <c r="BM57" s="70">
        <v>612</v>
      </c>
      <c r="BN57" s="70">
        <v>1076</v>
      </c>
      <c r="BO57" s="70">
        <v>1195</v>
      </c>
      <c r="BP57" s="70">
        <v>248</v>
      </c>
      <c r="BQ57" s="70">
        <v>514</v>
      </c>
      <c r="BR57" s="70">
        <v>564</v>
      </c>
      <c r="BS57" s="70">
        <v>171</v>
      </c>
      <c r="BT57" s="70">
        <v>206</v>
      </c>
      <c r="BU57" s="70">
        <v>404</v>
      </c>
      <c r="BV57" s="70">
        <v>488</v>
      </c>
      <c r="BW57" s="70">
        <v>504</v>
      </c>
      <c r="BX57" s="70">
        <v>1933</v>
      </c>
      <c r="BY57" s="70">
        <v>2701</v>
      </c>
      <c r="BZ57" s="70">
        <v>4570</v>
      </c>
      <c r="CA57" s="70">
        <v>2276</v>
      </c>
      <c r="CB57" s="70">
        <v>1132</v>
      </c>
      <c r="CC57" s="70">
        <v>896</v>
      </c>
      <c r="CD57" s="70">
        <v>1393</v>
      </c>
      <c r="CE57" s="70">
        <v>1259</v>
      </c>
      <c r="CF57" s="70">
        <v>1712</v>
      </c>
      <c r="CG57" s="70">
        <v>1698</v>
      </c>
      <c r="CH57" s="70">
        <v>2072</v>
      </c>
      <c r="CI57" s="70">
        <v>2452</v>
      </c>
      <c r="CJ57" s="70">
        <v>2369</v>
      </c>
      <c r="CK57" s="70">
        <v>2791</v>
      </c>
      <c r="CL57" s="70">
        <v>2328</v>
      </c>
      <c r="CM57" s="70">
        <v>2038</v>
      </c>
      <c r="CN57" s="70">
        <v>1370</v>
      </c>
      <c r="CO57" s="70">
        <v>1576</v>
      </c>
      <c r="CP57" s="70">
        <v>1256</v>
      </c>
      <c r="CQ57" s="70">
        <v>1574</v>
      </c>
      <c r="CR57" s="70">
        <v>2049</v>
      </c>
      <c r="CS57" s="70">
        <v>870</v>
      </c>
      <c r="CT57" s="70"/>
      <c r="CU57" s="70">
        <v>1220</v>
      </c>
      <c r="CV57" s="70">
        <v>2760</v>
      </c>
      <c r="CW57" s="70">
        <v>1087</v>
      </c>
      <c r="CX57" s="70">
        <v>868</v>
      </c>
      <c r="CY57" s="70">
        <v>2979</v>
      </c>
      <c r="CZ57" s="70">
        <v>3272</v>
      </c>
      <c r="DA57" s="70">
        <v>2983</v>
      </c>
      <c r="DB57" s="70">
        <v>1058</v>
      </c>
      <c r="DC57" s="70">
        <v>1556</v>
      </c>
      <c r="DD57" s="70">
        <v>2004</v>
      </c>
      <c r="DE57" s="70">
        <v>1863</v>
      </c>
      <c r="DF57" s="70">
        <v>2248</v>
      </c>
      <c r="DG57" s="70">
        <v>1923</v>
      </c>
      <c r="DH57" s="70">
        <v>4510</v>
      </c>
      <c r="DI57" s="70">
        <v>2070</v>
      </c>
      <c r="DJ57" s="70">
        <v>3375</v>
      </c>
      <c r="DK57" s="70">
        <v>3045</v>
      </c>
      <c r="DL57" s="70">
        <v>848</v>
      </c>
      <c r="DM57" s="70">
        <v>384</v>
      </c>
      <c r="DN57" s="70">
        <v>1284</v>
      </c>
      <c r="DO57" s="70">
        <v>1322</v>
      </c>
      <c r="DP57" s="70">
        <v>1815</v>
      </c>
      <c r="DQ57" s="70">
        <v>3070</v>
      </c>
      <c r="DR57" s="70">
        <v>1820</v>
      </c>
      <c r="DS57" s="70">
        <v>1800</v>
      </c>
      <c r="DT57" s="70">
        <v>1580</v>
      </c>
      <c r="DU57" s="70">
        <v>1136</v>
      </c>
      <c r="DV57" s="70">
        <v>1664</v>
      </c>
      <c r="DW57" s="70">
        <v>1468</v>
      </c>
      <c r="DX57" s="70">
        <v>1784</v>
      </c>
      <c r="DY57" s="70">
        <v>1196</v>
      </c>
      <c r="DZ57" s="70">
        <v>1272</v>
      </c>
      <c r="EA57" s="70">
        <v>1696</v>
      </c>
      <c r="EB57" s="70">
        <v>1216</v>
      </c>
      <c r="EC57" s="70">
        <v>2579</v>
      </c>
      <c r="ED57" s="70">
        <v>1446</v>
      </c>
      <c r="EE57" s="70">
        <v>1457</v>
      </c>
      <c r="EF57" s="70">
        <v>1576</v>
      </c>
      <c r="EG57" s="70">
        <v>1718</v>
      </c>
      <c r="EH57" s="70">
        <v>780</v>
      </c>
      <c r="EI57" s="70">
        <v>1156</v>
      </c>
      <c r="EJ57" s="70">
        <v>766</v>
      </c>
      <c r="EK57" s="70">
        <v>1034</v>
      </c>
      <c r="EL57" s="70">
        <v>786</v>
      </c>
      <c r="EM57" s="70">
        <v>504</v>
      </c>
      <c r="EN57" s="70">
        <v>1232</v>
      </c>
      <c r="EO57" s="70">
        <v>2344</v>
      </c>
      <c r="EP57" s="70">
        <v>1884</v>
      </c>
      <c r="EQ57" s="70">
        <v>1478</v>
      </c>
      <c r="ER57" s="70">
        <v>1456</v>
      </c>
      <c r="ES57" s="70">
        <v>1072</v>
      </c>
      <c r="ET57" s="70">
        <v>1388</v>
      </c>
      <c r="EU57" s="70">
        <v>1228</v>
      </c>
      <c r="EV57" s="70">
        <v>864</v>
      </c>
      <c r="EW57" s="70">
        <v>1106</v>
      </c>
      <c r="EX57" s="70">
        <v>1921</v>
      </c>
      <c r="EY57" s="70">
        <v>1240</v>
      </c>
      <c r="EZ57" s="70">
        <v>920</v>
      </c>
      <c r="FA57" s="70">
        <v>2005</v>
      </c>
      <c r="FB57" s="70">
        <v>1109</v>
      </c>
      <c r="FC57" s="70">
        <v>1138</v>
      </c>
      <c r="FD57" s="70">
        <v>1760</v>
      </c>
      <c r="FE57" s="70">
        <v>408</v>
      </c>
      <c r="FF57" s="70">
        <v>744</v>
      </c>
      <c r="FG57" s="70">
        <v>1585</v>
      </c>
      <c r="FH57" s="70">
        <v>1497</v>
      </c>
      <c r="FI57" s="70">
        <v>792</v>
      </c>
      <c r="FJ57" s="70">
        <v>2075</v>
      </c>
      <c r="FN57" s="114">
        <f t="shared" si="76"/>
        <v>0</v>
      </c>
      <c r="FO57" s="114">
        <f t="shared" si="77"/>
        <v>0</v>
      </c>
      <c r="FP57" s="114">
        <f t="shared" si="11"/>
        <v>0</v>
      </c>
      <c r="FQ57" s="114">
        <f t="shared" si="12"/>
        <v>0</v>
      </c>
      <c r="FR57" s="114">
        <f t="shared" si="13"/>
        <v>0</v>
      </c>
      <c r="FS57" s="114">
        <f t="shared" si="14"/>
        <v>0</v>
      </c>
      <c r="FT57" s="114">
        <f t="shared" si="15"/>
        <v>0</v>
      </c>
      <c r="FU57" s="114">
        <f t="shared" si="16"/>
        <v>0</v>
      </c>
      <c r="FV57" s="114">
        <f t="shared" si="17"/>
        <v>2</v>
      </c>
      <c r="FW57" s="114">
        <f t="shared" si="18"/>
        <v>2</v>
      </c>
      <c r="FX57" s="114">
        <f t="shared" si="19"/>
        <v>5</v>
      </c>
      <c r="FY57" s="114">
        <f t="shared" si="20"/>
        <v>1</v>
      </c>
      <c r="FZ57" s="114">
        <f t="shared" si="21"/>
        <v>137</v>
      </c>
      <c r="GA57" s="114">
        <f t="shared" si="22"/>
        <v>528</v>
      </c>
      <c r="GB57" s="114">
        <f t="shared" si="23"/>
        <v>133</v>
      </c>
      <c r="GC57" s="114">
        <f t="shared" si="24"/>
        <v>68</v>
      </c>
      <c r="GD57" s="114">
        <f t="shared" si="25"/>
        <v>469</v>
      </c>
      <c r="GE57" s="114">
        <f t="shared" si="26"/>
        <v>1021</v>
      </c>
      <c r="GF57" s="114">
        <f t="shared" si="27"/>
        <v>2964</v>
      </c>
      <c r="GG57" s="114">
        <f t="shared" si="28"/>
        <v>851</v>
      </c>
      <c r="GH57" s="114">
        <f t="shared" si="29"/>
        <v>1545</v>
      </c>
      <c r="GI57" s="114">
        <f t="shared" si="30"/>
        <v>2883</v>
      </c>
      <c r="GJ57" s="114">
        <f t="shared" si="31"/>
        <v>1326</v>
      </c>
      <c r="GK57" s="114">
        <f t="shared" si="32"/>
        <v>781</v>
      </c>
      <c r="GL57" s="114">
        <f t="shared" si="33"/>
        <v>2925</v>
      </c>
      <c r="GM57" s="114">
        <f t="shared" si="34"/>
        <v>9547</v>
      </c>
      <c r="GN57" s="114">
        <f t="shared" si="35"/>
        <v>3421</v>
      </c>
      <c r="GO57" s="114">
        <f t="shared" si="36"/>
        <v>4669</v>
      </c>
      <c r="GP57" s="114">
        <f t="shared" si="37"/>
        <v>6893</v>
      </c>
      <c r="GQ57" s="114">
        <f t="shared" si="38"/>
        <v>7157</v>
      </c>
      <c r="GR57" s="114">
        <f t="shared" si="39"/>
        <v>4202</v>
      </c>
      <c r="GS57" s="114">
        <f t="shared" si="40"/>
        <v>4493</v>
      </c>
      <c r="GT57" s="114">
        <f t="shared" si="41"/>
        <v>3980</v>
      </c>
      <c r="GU57" s="114">
        <f t="shared" si="42"/>
        <v>4934</v>
      </c>
      <c r="GV57" s="114">
        <f t="shared" si="43"/>
        <v>7313</v>
      </c>
      <c r="GW57" s="114">
        <f t="shared" si="44"/>
        <v>5423</v>
      </c>
      <c r="GX57" s="114">
        <f t="shared" si="45"/>
        <v>8681</v>
      </c>
      <c r="GY57" s="114">
        <f t="shared" si="46"/>
        <v>8490</v>
      </c>
      <c r="GZ57" s="114">
        <f t="shared" si="80"/>
        <v>2516</v>
      </c>
      <c r="HA57" s="114">
        <f t="shared" si="81"/>
        <v>6207</v>
      </c>
      <c r="HB57" s="114">
        <f t="shared" si="82"/>
        <v>5200</v>
      </c>
      <c r="HC57" s="114">
        <f t="shared" si="83"/>
        <v>4268</v>
      </c>
      <c r="HD57" s="114">
        <f t="shared" si="84"/>
        <v>4252</v>
      </c>
      <c r="HE57" s="114">
        <f t="shared" si="85"/>
        <v>5491</v>
      </c>
      <c r="HF57" s="114">
        <f t="shared" si="86"/>
        <v>4479</v>
      </c>
      <c r="HG57" s="114">
        <f t="shared" si="87"/>
        <v>3654</v>
      </c>
      <c r="HH57" s="114">
        <f t="shared" si="88"/>
        <v>2586</v>
      </c>
      <c r="HI57" s="114">
        <f t="shared" si="89"/>
        <v>4080</v>
      </c>
      <c r="HJ57" s="114">
        <f t="shared" si="116"/>
        <v>4818</v>
      </c>
      <c r="HK57" s="114">
        <f t="shared" si="122"/>
        <v>3688</v>
      </c>
      <c r="HL57" s="114">
        <f t="shared" si="123"/>
        <v>3891</v>
      </c>
      <c r="HM57" s="114">
        <f t="shared" si="124"/>
        <v>4165</v>
      </c>
      <c r="HN57" s="114">
        <f t="shared" si="125"/>
        <v>4007</v>
      </c>
      <c r="HO57" s="114">
        <f t="shared" si="126"/>
        <v>2737</v>
      </c>
      <c r="HP57" s="114">
        <f t="shared" si="127"/>
        <v>4364</v>
      </c>
      <c r="HQ57" s="114"/>
      <c r="HU57" s="115">
        <f t="shared" si="63"/>
        <v>0</v>
      </c>
      <c r="HV57" s="116">
        <f t="shared" si="64"/>
        <v>0</v>
      </c>
      <c r="HW57" s="116">
        <f t="shared" si="65"/>
        <v>10</v>
      </c>
      <c r="HX57" s="117">
        <f t="shared" si="66"/>
        <v>866</v>
      </c>
      <c r="HY57" s="118">
        <f t="shared" si="67"/>
        <v>5305</v>
      </c>
      <c r="HZ57" s="118">
        <f t="shared" si="68"/>
        <v>6535</v>
      </c>
      <c r="IA57" s="118">
        <f t="shared" si="69"/>
        <v>20562</v>
      </c>
      <c r="IB57" s="118">
        <f t="shared" si="70"/>
        <v>22745</v>
      </c>
      <c r="IC57" s="118">
        <f t="shared" si="71"/>
        <v>21650</v>
      </c>
      <c r="ID57" s="118">
        <f t="shared" si="96"/>
        <v>25894</v>
      </c>
      <c r="IE57" s="118">
        <f t="shared" si="97"/>
        <v>19211</v>
      </c>
      <c r="IF57" s="118">
        <f t="shared" si="98"/>
        <v>14799</v>
      </c>
      <c r="IG57" s="118">
        <f t="shared" si="99"/>
        <v>16562</v>
      </c>
    </row>
    <row r="58" spans="1:241" outlineLevel="2" x14ac:dyDescent="0.3">
      <c r="A58" s="106" t="s">
        <v>123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>
        <v>72</v>
      </c>
      <c r="AA58" s="80">
        <v>353</v>
      </c>
      <c r="AB58" s="80">
        <v>218</v>
      </c>
      <c r="AC58" s="80">
        <v>250</v>
      </c>
      <c r="AD58" s="80">
        <v>370</v>
      </c>
      <c r="AE58" s="80">
        <v>188</v>
      </c>
      <c r="AF58" s="80">
        <v>150</v>
      </c>
      <c r="AG58" s="80">
        <v>263</v>
      </c>
      <c r="AH58" s="80">
        <v>1618</v>
      </c>
      <c r="AI58" s="80">
        <v>568</v>
      </c>
      <c r="AJ58" s="80">
        <v>603</v>
      </c>
      <c r="AK58" s="80">
        <v>1059</v>
      </c>
      <c r="AL58" s="80">
        <v>566</v>
      </c>
      <c r="AM58" s="80">
        <v>886</v>
      </c>
      <c r="AN58" s="80">
        <v>767</v>
      </c>
      <c r="AO58" s="80">
        <v>378</v>
      </c>
      <c r="AP58" s="80">
        <v>1476</v>
      </c>
      <c r="AQ58" s="80">
        <v>522</v>
      </c>
      <c r="AR58" s="80">
        <v>605</v>
      </c>
      <c r="AS58" s="80">
        <v>397</v>
      </c>
      <c r="AT58" s="80">
        <v>240</v>
      </c>
      <c r="AU58" s="80">
        <v>332</v>
      </c>
      <c r="AV58" s="80">
        <v>1144</v>
      </c>
      <c r="AW58" s="80">
        <v>1197</v>
      </c>
      <c r="AX58" s="80">
        <v>376</v>
      </c>
      <c r="AY58" s="80">
        <v>833</v>
      </c>
      <c r="AZ58" s="80">
        <v>962</v>
      </c>
      <c r="BA58" s="80">
        <v>879</v>
      </c>
      <c r="BB58" s="80">
        <v>680</v>
      </c>
      <c r="BC58" s="80">
        <v>589</v>
      </c>
      <c r="BD58" s="80">
        <v>476</v>
      </c>
      <c r="BE58" s="80">
        <v>544</v>
      </c>
      <c r="BF58" s="80">
        <v>720</v>
      </c>
      <c r="BG58" s="80">
        <v>998</v>
      </c>
      <c r="BH58" s="80">
        <v>402</v>
      </c>
      <c r="BI58" s="80">
        <v>1052</v>
      </c>
      <c r="BJ58" s="80">
        <v>688</v>
      </c>
      <c r="BK58" s="80">
        <v>376</v>
      </c>
      <c r="BL58" s="80">
        <v>616</v>
      </c>
      <c r="BM58" s="80">
        <v>796</v>
      </c>
      <c r="BN58" s="80">
        <v>303</v>
      </c>
      <c r="BO58" s="80">
        <v>922</v>
      </c>
      <c r="BP58" s="80">
        <v>548</v>
      </c>
      <c r="BQ58" s="80">
        <v>790</v>
      </c>
      <c r="BR58" s="80">
        <v>1021</v>
      </c>
      <c r="BS58" s="80">
        <v>808</v>
      </c>
      <c r="BT58" s="80">
        <v>1030</v>
      </c>
      <c r="BU58" s="80">
        <v>688</v>
      </c>
      <c r="BV58" s="80">
        <v>577</v>
      </c>
      <c r="BW58" s="80">
        <v>486</v>
      </c>
      <c r="BX58" s="80">
        <v>572</v>
      </c>
      <c r="BY58" s="80">
        <v>516</v>
      </c>
      <c r="BZ58" s="80">
        <v>882</v>
      </c>
      <c r="CA58" s="80">
        <v>1496</v>
      </c>
      <c r="CB58" s="80">
        <v>433</v>
      </c>
      <c r="CC58" s="80">
        <v>504</v>
      </c>
      <c r="CD58" s="80">
        <v>2096</v>
      </c>
      <c r="CE58" s="80">
        <v>2063</v>
      </c>
      <c r="CF58" s="80">
        <v>1653</v>
      </c>
      <c r="CG58" s="80">
        <v>1500</v>
      </c>
      <c r="CH58" s="80">
        <v>1727</v>
      </c>
      <c r="CI58" s="80">
        <v>1858</v>
      </c>
      <c r="CJ58" s="80">
        <v>1818</v>
      </c>
      <c r="CK58" s="80">
        <v>1976</v>
      </c>
      <c r="CL58" s="80">
        <v>2555</v>
      </c>
      <c r="CM58" s="80">
        <v>2913</v>
      </c>
      <c r="CN58" s="80">
        <v>1247</v>
      </c>
      <c r="CO58" s="80">
        <v>2146</v>
      </c>
      <c r="CP58" s="80">
        <v>1730</v>
      </c>
      <c r="CQ58" s="80">
        <v>1498</v>
      </c>
      <c r="CR58" s="80">
        <v>2064</v>
      </c>
      <c r="CS58" s="80">
        <v>1316</v>
      </c>
      <c r="CT58" s="80"/>
      <c r="CU58" s="80">
        <v>0</v>
      </c>
      <c r="CV58" s="80">
        <v>320</v>
      </c>
      <c r="CW58" s="80">
        <v>120</v>
      </c>
      <c r="CX58" s="80">
        <v>752</v>
      </c>
      <c r="CY58" s="80">
        <v>1501</v>
      </c>
      <c r="CZ58" s="80">
        <v>2259</v>
      </c>
      <c r="DA58" s="80">
        <v>664</v>
      </c>
      <c r="DB58" s="80">
        <v>1998</v>
      </c>
      <c r="DC58" s="80">
        <v>2568</v>
      </c>
      <c r="DD58" s="80">
        <v>3048</v>
      </c>
      <c r="DE58" s="80">
        <v>1378</v>
      </c>
      <c r="DF58" s="80">
        <v>6908</v>
      </c>
      <c r="DG58" s="80">
        <v>2072</v>
      </c>
      <c r="DH58" s="80">
        <v>4624</v>
      </c>
      <c r="DI58" s="80">
        <v>3866</v>
      </c>
      <c r="DJ58" s="80">
        <v>3600</v>
      </c>
      <c r="DK58" s="80">
        <v>3807</v>
      </c>
      <c r="DL58" s="80">
        <v>5257</v>
      </c>
      <c r="DM58" s="80">
        <v>2211</v>
      </c>
      <c r="DN58" s="80">
        <v>4239</v>
      </c>
      <c r="DO58" s="80">
        <v>2670</v>
      </c>
      <c r="DP58" s="80">
        <v>3654</v>
      </c>
      <c r="DQ58" s="80">
        <v>2840</v>
      </c>
      <c r="DR58" s="80">
        <v>6508</v>
      </c>
      <c r="DS58" s="80">
        <v>2928</v>
      </c>
      <c r="DT58" s="80">
        <v>3600</v>
      </c>
      <c r="DU58" s="80">
        <v>8355</v>
      </c>
      <c r="DV58" s="80">
        <v>6821</v>
      </c>
      <c r="DW58" s="80">
        <v>6695</v>
      </c>
      <c r="DX58" s="80">
        <v>5803</v>
      </c>
      <c r="DY58" s="80">
        <v>6229</v>
      </c>
      <c r="DZ58" s="80">
        <v>8821</v>
      </c>
      <c r="EA58" s="80">
        <v>9360</v>
      </c>
      <c r="EB58" s="80">
        <v>8958</v>
      </c>
      <c r="EC58" s="80">
        <v>10587</v>
      </c>
      <c r="ED58" s="80">
        <v>13716</v>
      </c>
      <c r="EE58" s="80">
        <v>11399</v>
      </c>
      <c r="EF58" s="80">
        <v>7806</v>
      </c>
      <c r="EG58" s="80">
        <v>10893</v>
      </c>
      <c r="EH58" s="80">
        <v>6852</v>
      </c>
      <c r="EI58" s="80">
        <v>3876</v>
      </c>
      <c r="EJ58" s="80">
        <v>4662</v>
      </c>
      <c r="EK58" s="80">
        <v>2891</v>
      </c>
      <c r="EL58" s="80">
        <v>2243</v>
      </c>
      <c r="EM58" s="80">
        <v>4563</v>
      </c>
      <c r="EN58" s="80">
        <v>5060</v>
      </c>
      <c r="EO58" s="80">
        <v>3977</v>
      </c>
      <c r="EP58" s="80">
        <v>2694</v>
      </c>
      <c r="EQ58" s="80">
        <v>5532</v>
      </c>
      <c r="ER58" s="80">
        <v>4843</v>
      </c>
      <c r="ES58" s="80">
        <v>5574</v>
      </c>
      <c r="ET58" s="80">
        <v>4263</v>
      </c>
      <c r="EU58" s="80">
        <v>6962</v>
      </c>
      <c r="EV58" s="80">
        <v>2166</v>
      </c>
      <c r="EW58" s="80">
        <v>3487</v>
      </c>
      <c r="EX58" s="80">
        <v>3858</v>
      </c>
      <c r="EY58" s="80">
        <v>3177</v>
      </c>
      <c r="EZ58" s="80">
        <v>3474</v>
      </c>
      <c r="FA58" s="80">
        <v>2556</v>
      </c>
      <c r="FB58" s="80">
        <v>3498</v>
      </c>
      <c r="FC58" s="80">
        <v>5814</v>
      </c>
      <c r="FD58" s="80">
        <v>4074</v>
      </c>
      <c r="FE58" s="80">
        <v>4683</v>
      </c>
      <c r="FF58" s="80">
        <v>7407</v>
      </c>
      <c r="FG58" s="80">
        <v>4728</v>
      </c>
      <c r="FH58" s="80">
        <v>6439</v>
      </c>
      <c r="FI58" s="80">
        <v>7863</v>
      </c>
      <c r="FJ58" s="80">
        <v>6672</v>
      </c>
      <c r="FN58" s="108">
        <f t="shared" si="76"/>
        <v>0</v>
      </c>
      <c r="FO58" s="108">
        <f t="shared" si="77"/>
        <v>0</v>
      </c>
      <c r="FP58" s="108">
        <f t="shared" si="11"/>
        <v>0</v>
      </c>
      <c r="FQ58" s="108">
        <f t="shared" si="12"/>
        <v>0</v>
      </c>
      <c r="FR58" s="108">
        <f t="shared" si="13"/>
        <v>0</v>
      </c>
      <c r="FS58" s="108">
        <f t="shared" si="14"/>
        <v>0</v>
      </c>
      <c r="FT58" s="108">
        <f t="shared" si="15"/>
        <v>0</v>
      </c>
      <c r="FU58" s="108">
        <f t="shared" si="16"/>
        <v>0</v>
      </c>
      <c r="FV58" s="108">
        <f t="shared" si="17"/>
        <v>643</v>
      </c>
      <c r="FW58" s="108">
        <f t="shared" si="18"/>
        <v>808</v>
      </c>
      <c r="FX58" s="108">
        <f t="shared" si="19"/>
        <v>2031</v>
      </c>
      <c r="FY58" s="108">
        <f t="shared" si="20"/>
        <v>2230</v>
      </c>
      <c r="FZ58" s="108">
        <f t="shared" si="21"/>
        <v>2219</v>
      </c>
      <c r="GA58" s="108">
        <f t="shared" si="22"/>
        <v>2376</v>
      </c>
      <c r="GB58" s="108">
        <f t="shared" si="23"/>
        <v>1242</v>
      </c>
      <c r="GC58" s="108">
        <f t="shared" si="24"/>
        <v>2673</v>
      </c>
      <c r="GD58" s="108">
        <f t="shared" si="25"/>
        <v>2171</v>
      </c>
      <c r="GE58" s="108">
        <f t="shared" si="26"/>
        <v>2148</v>
      </c>
      <c r="GF58" s="108">
        <f t="shared" si="27"/>
        <v>1740</v>
      </c>
      <c r="GG58" s="108">
        <f t="shared" si="28"/>
        <v>2452</v>
      </c>
      <c r="GH58" s="108">
        <f t="shared" si="29"/>
        <v>1680</v>
      </c>
      <c r="GI58" s="108">
        <f t="shared" si="30"/>
        <v>2021</v>
      </c>
      <c r="GJ58" s="108">
        <f t="shared" si="31"/>
        <v>2359</v>
      </c>
      <c r="GK58" s="108">
        <f t="shared" si="32"/>
        <v>2526</v>
      </c>
      <c r="GL58" s="108">
        <f t="shared" si="33"/>
        <v>1635</v>
      </c>
      <c r="GM58" s="108">
        <f t="shared" si="34"/>
        <v>2894</v>
      </c>
      <c r="GN58" s="108">
        <f t="shared" si="35"/>
        <v>3033</v>
      </c>
      <c r="GO58" s="108">
        <f t="shared" si="36"/>
        <v>5216</v>
      </c>
      <c r="GP58" s="108">
        <f t="shared" si="37"/>
        <v>5403</v>
      </c>
      <c r="GQ58" s="108">
        <f t="shared" si="38"/>
        <v>7444</v>
      </c>
      <c r="GR58" s="108">
        <f t="shared" si="39"/>
        <v>5123</v>
      </c>
      <c r="GS58" s="108">
        <f t="shared" si="40"/>
        <v>4878</v>
      </c>
      <c r="GT58" s="108">
        <f t="shared" si="41"/>
        <v>320</v>
      </c>
      <c r="GU58" s="108">
        <f t="shared" si="42"/>
        <v>2373</v>
      </c>
      <c r="GV58" s="108">
        <f t="shared" si="43"/>
        <v>4921</v>
      </c>
      <c r="GW58" s="108">
        <f t="shared" si="44"/>
        <v>6994</v>
      </c>
      <c r="GX58" s="108">
        <f t="shared" si="45"/>
        <v>13604</v>
      </c>
      <c r="GY58" s="108">
        <f t="shared" si="46"/>
        <v>11273</v>
      </c>
      <c r="GZ58" s="108">
        <f t="shared" si="80"/>
        <v>11707</v>
      </c>
      <c r="HA58" s="108">
        <f t="shared" si="81"/>
        <v>9164</v>
      </c>
      <c r="HB58" s="108">
        <f t="shared" si="82"/>
        <v>13036</v>
      </c>
      <c r="HC58" s="108">
        <f t="shared" si="83"/>
        <v>21871</v>
      </c>
      <c r="HD58" s="108">
        <f t="shared" si="84"/>
        <v>20853</v>
      </c>
      <c r="HE58" s="108">
        <f t="shared" si="85"/>
        <v>28905</v>
      </c>
      <c r="HF58" s="108">
        <f t="shared" si="86"/>
        <v>32921</v>
      </c>
      <c r="HG58" s="108">
        <f t="shared" si="87"/>
        <v>21621</v>
      </c>
      <c r="HH58" s="108">
        <f t="shared" si="88"/>
        <v>9796</v>
      </c>
      <c r="HI58" s="108">
        <f t="shared" si="89"/>
        <v>13600</v>
      </c>
      <c r="HJ58" s="108">
        <f t="shared" si="116"/>
        <v>13069</v>
      </c>
      <c r="HK58" s="108">
        <f t="shared" si="122"/>
        <v>16799</v>
      </c>
      <c r="HL58" s="108">
        <f t="shared" si="123"/>
        <v>9511</v>
      </c>
      <c r="HM58" s="108">
        <f t="shared" si="124"/>
        <v>9207</v>
      </c>
      <c r="HN58" s="108">
        <f t="shared" si="125"/>
        <v>13386</v>
      </c>
      <c r="HO58" s="108">
        <f t="shared" si="126"/>
        <v>16818</v>
      </c>
      <c r="HP58" s="108">
        <f t="shared" si="127"/>
        <v>20974</v>
      </c>
      <c r="HQ58" s="108"/>
      <c r="HU58" s="109">
        <f t="shared" si="63"/>
        <v>0</v>
      </c>
      <c r="HV58" s="110">
        <f t="shared" si="64"/>
        <v>0</v>
      </c>
      <c r="HW58" s="110">
        <f t="shared" si="65"/>
        <v>5712</v>
      </c>
      <c r="HX58" s="111">
        <f t="shared" si="66"/>
        <v>8510</v>
      </c>
      <c r="HY58" s="112">
        <f t="shared" si="67"/>
        <v>8511</v>
      </c>
      <c r="HZ58" s="112">
        <f t="shared" si="68"/>
        <v>8586</v>
      </c>
      <c r="IA58" s="112">
        <f t="shared" si="69"/>
        <v>12778</v>
      </c>
      <c r="IB58" s="112">
        <f t="shared" si="70"/>
        <v>22848</v>
      </c>
      <c r="IC58" s="112">
        <f t="shared" si="71"/>
        <v>14608</v>
      </c>
      <c r="ID58" s="112">
        <f t="shared" si="96"/>
        <v>45748</v>
      </c>
      <c r="IE58" s="112">
        <f t="shared" si="97"/>
        <v>84665</v>
      </c>
      <c r="IF58" s="112">
        <f t="shared" si="98"/>
        <v>77938</v>
      </c>
      <c r="IG58" s="112">
        <f t="shared" si="99"/>
        <v>48586</v>
      </c>
    </row>
    <row r="59" spans="1:241" outlineLevel="2" x14ac:dyDescent="0.3">
      <c r="A59" s="119" t="s">
        <v>124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>
        <v>1583</v>
      </c>
      <c r="AA59" s="70">
        <v>1576</v>
      </c>
      <c r="AB59" s="70">
        <v>2098</v>
      </c>
      <c r="AC59" s="70">
        <v>3252</v>
      </c>
      <c r="AD59" s="70">
        <v>1919</v>
      </c>
      <c r="AE59" s="70">
        <v>2417</v>
      </c>
      <c r="AF59" s="70">
        <v>3323</v>
      </c>
      <c r="AG59" s="70">
        <v>887</v>
      </c>
      <c r="AH59" s="70">
        <v>836</v>
      </c>
      <c r="AI59" s="70">
        <v>143</v>
      </c>
      <c r="AJ59" s="70">
        <v>2095</v>
      </c>
      <c r="AK59" s="70">
        <v>2328</v>
      </c>
      <c r="AL59" s="70">
        <v>1532</v>
      </c>
      <c r="AM59" s="70">
        <v>3038</v>
      </c>
      <c r="AN59" s="70">
        <v>3497</v>
      </c>
      <c r="AO59" s="70">
        <v>3696</v>
      </c>
      <c r="AP59" s="70">
        <v>3769</v>
      </c>
      <c r="AQ59" s="70">
        <v>4066</v>
      </c>
      <c r="AR59" s="70">
        <v>4971</v>
      </c>
      <c r="AS59" s="70">
        <v>4323</v>
      </c>
      <c r="AT59" s="70">
        <v>2917</v>
      </c>
      <c r="AU59" s="70">
        <v>2389</v>
      </c>
      <c r="AV59" s="70">
        <v>2274</v>
      </c>
      <c r="AW59" s="70">
        <v>2458</v>
      </c>
      <c r="AX59" s="70">
        <v>2886</v>
      </c>
      <c r="AY59" s="70">
        <v>6487</v>
      </c>
      <c r="AZ59" s="70">
        <v>3187</v>
      </c>
      <c r="BA59" s="70">
        <v>3329</v>
      </c>
      <c r="BB59" s="70">
        <v>2811</v>
      </c>
      <c r="BC59" s="70">
        <v>6316</v>
      </c>
      <c r="BD59" s="70">
        <v>4607</v>
      </c>
      <c r="BE59" s="70">
        <v>3376</v>
      </c>
      <c r="BF59" s="70">
        <v>3420</v>
      </c>
      <c r="BG59" s="70">
        <v>3315</v>
      </c>
      <c r="BH59" s="70">
        <v>2354</v>
      </c>
      <c r="BI59" s="70">
        <v>1720</v>
      </c>
      <c r="BJ59" s="70">
        <v>2000</v>
      </c>
      <c r="BK59" s="70">
        <v>2343</v>
      </c>
      <c r="BL59" s="70">
        <v>4152</v>
      </c>
      <c r="BM59" s="70">
        <v>2732</v>
      </c>
      <c r="BN59" s="70">
        <v>4889</v>
      </c>
      <c r="BO59" s="70">
        <v>3427</v>
      </c>
      <c r="BP59" s="70">
        <v>3890</v>
      </c>
      <c r="BQ59" s="70">
        <v>2313</v>
      </c>
      <c r="BR59" s="70">
        <v>3500</v>
      </c>
      <c r="BS59" s="70">
        <v>1381</v>
      </c>
      <c r="BT59" s="70">
        <v>2518</v>
      </c>
      <c r="BU59" s="70">
        <v>2638</v>
      </c>
      <c r="BV59" s="70">
        <v>3659</v>
      </c>
      <c r="BW59" s="70">
        <v>5142</v>
      </c>
      <c r="BX59" s="70">
        <v>3656</v>
      </c>
      <c r="BY59" s="70">
        <v>6758</v>
      </c>
      <c r="BZ59" s="70">
        <v>6478</v>
      </c>
      <c r="CA59" s="70">
        <v>5408</v>
      </c>
      <c r="CB59" s="70">
        <v>5303</v>
      </c>
      <c r="CC59" s="70">
        <v>6187</v>
      </c>
      <c r="CD59" s="70">
        <v>4517</v>
      </c>
      <c r="CE59" s="70">
        <v>1505</v>
      </c>
      <c r="CF59" s="70">
        <v>3784</v>
      </c>
      <c r="CG59" s="70">
        <v>7352</v>
      </c>
      <c r="CH59" s="70">
        <v>5072</v>
      </c>
      <c r="CI59" s="70">
        <v>4504</v>
      </c>
      <c r="CJ59" s="70">
        <v>3500</v>
      </c>
      <c r="CK59" s="70">
        <v>4893</v>
      </c>
      <c r="CL59" s="70">
        <v>5052</v>
      </c>
      <c r="CM59" s="70">
        <v>6052</v>
      </c>
      <c r="CN59" s="70">
        <v>7422</v>
      </c>
      <c r="CO59" s="70">
        <v>2920</v>
      </c>
      <c r="CP59" s="70">
        <v>4992</v>
      </c>
      <c r="CQ59" s="70">
        <v>4598</v>
      </c>
      <c r="CR59" s="70">
        <v>5245</v>
      </c>
      <c r="CS59" s="70">
        <v>2544</v>
      </c>
      <c r="CT59" s="70"/>
      <c r="CU59" s="70">
        <v>460</v>
      </c>
      <c r="CV59" s="70">
        <v>834</v>
      </c>
      <c r="CW59" s="70">
        <v>1634</v>
      </c>
      <c r="CX59" s="70">
        <v>3991</v>
      </c>
      <c r="CY59" s="70">
        <v>4413</v>
      </c>
      <c r="CZ59" s="70">
        <v>4833</v>
      </c>
      <c r="DA59" s="70">
        <v>3167</v>
      </c>
      <c r="DB59" s="70">
        <v>5490</v>
      </c>
      <c r="DC59" s="70">
        <v>5538</v>
      </c>
      <c r="DD59" s="70">
        <v>4490</v>
      </c>
      <c r="DE59" s="70">
        <v>6531</v>
      </c>
      <c r="DF59" s="70">
        <v>6767</v>
      </c>
      <c r="DG59" s="70">
        <v>7018</v>
      </c>
      <c r="DH59" s="70">
        <v>922</v>
      </c>
      <c r="DI59" s="70">
        <v>3042</v>
      </c>
      <c r="DJ59" s="70">
        <v>5944</v>
      </c>
      <c r="DK59" s="70">
        <v>6438</v>
      </c>
      <c r="DL59" s="70">
        <v>4644</v>
      </c>
      <c r="DM59" s="70">
        <v>4007</v>
      </c>
      <c r="DN59" s="70">
        <v>5315</v>
      </c>
      <c r="DO59" s="70">
        <v>6380</v>
      </c>
      <c r="DP59" s="70">
        <v>2938</v>
      </c>
      <c r="DQ59" s="70">
        <v>2312</v>
      </c>
      <c r="DR59" s="70">
        <v>3113</v>
      </c>
      <c r="DS59" s="70">
        <v>3032</v>
      </c>
      <c r="DT59" s="70">
        <v>8264</v>
      </c>
      <c r="DU59" s="70">
        <v>9444</v>
      </c>
      <c r="DV59" s="70">
        <v>6444</v>
      </c>
      <c r="DW59" s="70">
        <v>10111</v>
      </c>
      <c r="DX59" s="70">
        <v>9294</v>
      </c>
      <c r="DY59" s="70">
        <v>3357</v>
      </c>
      <c r="DZ59" s="70">
        <v>4753</v>
      </c>
      <c r="EA59" s="70">
        <v>6183</v>
      </c>
      <c r="EB59" s="70">
        <v>8173</v>
      </c>
      <c r="EC59" s="70">
        <v>15764</v>
      </c>
      <c r="ED59" s="70">
        <v>11902</v>
      </c>
      <c r="EE59" s="70">
        <v>10740</v>
      </c>
      <c r="EF59" s="70">
        <v>7305</v>
      </c>
      <c r="EG59" s="70">
        <v>9061</v>
      </c>
      <c r="EH59" s="70">
        <v>11919</v>
      </c>
      <c r="EI59" s="70">
        <v>12928</v>
      </c>
      <c r="EJ59" s="70">
        <v>11272</v>
      </c>
      <c r="EK59" s="70">
        <v>7790</v>
      </c>
      <c r="EL59" s="70">
        <v>8215</v>
      </c>
      <c r="EM59" s="70">
        <v>7002</v>
      </c>
      <c r="EN59" s="70">
        <v>7843</v>
      </c>
      <c r="EO59" s="70">
        <v>9605</v>
      </c>
      <c r="EP59" s="70">
        <v>11097</v>
      </c>
      <c r="EQ59" s="70">
        <v>14923</v>
      </c>
      <c r="ER59" s="70">
        <v>4436</v>
      </c>
      <c r="ES59" s="70">
        <v>6718</v>
      </c>
      <c r="ET59" s="70">
        <v>7054</v>
      </c>
      <c r="EU59" s="70">
        <v>7960</v>
      </c>
      <c r="EV59" s="70">
        <v>4904</v>
      </c>
      <c r="EW59" s="70">
        <v>5105</v>
      </c>
      <c r="EX59" s="70">
        <v>5713</v>
      </c>
      <c r="EY59" s="70">
        <v>5174</v>
      </c>
      <c r="EZ59" s="70">
        <v>9040</v>
      </c>
      <c r="FA59" s="70">
        <v>3812</v>
      </c>
      <c r="FB59" s="70">
        <v>6182</v>
      </c>
      <c r="FC59" s="70">
        <v>7893</v>
      </c>
      <c r="FD59" s="70">
        <v>7940</v>
      </c>
      <c r="FE59" s="70">
        <v>14082</v>
      </c>
      <c r="FF59" s="70">
        <f>15698</f>
        <v>15698</v>
      </c>
      <c r="FG59" s="70">
        <v>4657</v>
      </c>
      <c r="FH59" s="70">
        <v>2763</v>
      </c>
      <c r="FI59" s="70">
        <v>7795</v>
      </c>
      <c r="FJ59" s="70">
        <v>6017</v>
      </c>
      <c r="FN59" s="114">
        <f t="shared" si="76"/>
        <v>0</v>
      </c>
      <c r="FO59" s="114">
        <f t="shared" si="77"/>
        <v>0</v>
      </c>
      <c r="FP59" s="114">
        <f t="shared" si="11"/>
        <v>0</v>
      </c>
      <c r="FQ59" s="114">
        <f t="shared" si="12"/>
        <v>0</v>
      </c>
      <c r="FR59" s="114">
        <f t="shared" si="13"/>
        <v>0</v>
      </c>
      <c r="FS59" s="114">
        <f t="shared" si="14"/>
        <v>0</v>
      </c>
      <c r="FT59" s="114">
        <f t="shared" si="15"/>
        <v>0</v>
      </c>
      <c r="FU59" s="114">
        <f t="shared" si="16"/>
        <v>0</v>
      </c>
      <c r="FV59" s="114">
        <f t="shared" si="17"/>
        <v>5257</v>
      </c>
      <c r="FW59" s="114">
        <f t="shared" si="18"/>
        <v>7588</v>
      </c>
      <c r="FX59" s="114">
        <f t="shared" si="19"/>
        <v>5046</v>
      </c>
      <c r="FY59" s="114">
        <f t="shared" si="20"/>
        <v>4566</v>
      </c>
      <c r="FZ59" s="114">
        <f t="shared" si="21"/>
        <v>8067</v>
      </c>
      <c r="GA59" s="114">
        <f t="shared" si="22"/>
        <v>11531</v>
      </c>
      <c r="GB59" s="114">
        <f t="shared" si="23"/>
        <v>12211</v>
      </c>
      <c r="GC59" s="114">
        <f t="shared" si="24"/>
        <v>7121</v>
      </c>
      <c r="GD59" s="114">
        <f t="shared" si="25"/>
        <v>12560</v>
      </c>
      <c r="GE59" s="114">
        <f t="shared" si="26"/>
        <v>12456</v>
      </c>
      <c r="GF59" s="114">
        <f t="shared" si="27"/>
        <v>11403</v>
      </c>
      <c r="GG59" s="114">
        <f t="shared" si="28"/>
        <v>7389</v>
      </c>
      <c r="GH59" s="114">
        <f t="shared" si="29"/>
        <v>8495</v>
      </c>
      <c r="GI59" s="114">
        <f t="shared" si="30"/>
        <v>11048</v>
      </c>
      <c r="GJ59" s="114">
        <f t="shared" si="31"/>
        <v>9703</v>
      </c>
      <c r="GK59" s="114">
        <f t="shared" si="32"/>
        <v>6537</v>
      </c>
      <c r="GL59" s="114">
        <f t="shared" si="33"/>
        <v>12457</v>
      </c>
      <c r="GM59" s="114">
        <f t="shared" si="34"/>
        <v>18644</v>
      </c>
      <c r="GN59" s="114">
        <f t="shared" si="35"/>
        <v>16007</v>
      </c>
      <c r="GO59" s="114">
        <f t="shared" si="36"/>
        <v>12641</v>
      </c>
      <c r="GP59" s="114">
        <f t="shared" si="37"/>
        <v>13076</v>
      </c>
      <c r="GQ59" s="114">
        <f t="shared" si="38"/>
        <v>15997</v>
      </c>
      <c r="GR59" s="114">
        <f t="shared" si="39"/>
        <v>15334</v>
      </c>
      <c r="GS59" s="114">
        <f t="shared" si="40"/>
        <v>12387</v>
      </c>
      <c r="GT59" s="114">
        <f t="shared" si="41"/>
        <v>1294</v>
      </c>
      <c r="GU59" s="114">
        <f t="shared" si="42"/>
        <v>10038</v>
      </c>
      <c r="GV59" s="114">
        <f t="shared" si="43"/>
        <v>13490</v>
      </c>
      <c r="GW59" s="114">
        <f t="shared" si="44"/>
        <v>16559</v>
      </c>
      <c r="GX59" s="114">
        <f t="shared" si="45"/>
        <v>14707</v>
      </c>
      <c r="GY59" s="114">
        <f t="shared" si="46"/>
        <v>15424</v>
      </c>
      <c r="GZ59" s="114">
        <f t="shared" si="80"/>
        <v>13966</v>
      </c>
      <c r="HA59" s="114">
        <f t="shared" si="81"/>
        <v>11630</v>
      </c>
      <c r="HB59" s="114">
        <f t="shared" si="82"/>
        <v>14409</v>
      </c>
      <c r="HC59" s="114">
        <f t="shared" si="83"/>
        <v>25999</v>
      </c>
      <c r="HD59" s="114">
        <f t="shared" si="84"/>
        <v>17404</v>
      </c>
      <c r="HE59" s="114">
        <f t="shared" si="85"/>
        <v>30120</v>
      </c>
      <c r="HF59" s="114">
        <f t="shared" si="86"/>
        <v>29947</v>
      </c>
      <c r="HG59" s="114">
        <f t="shared" si="87"/>
        <v>33908</v>
      </c>
      <c r="HH59" s="114">
        <f t="shared" si="88"/>
        <v>27277</v>
      </c>
      <c r="HI59" s="114">
        <f t="shared" si="89"/>
        <v>24450</v>
      </c>
      <c r="HJ59" s="114">
        <f t="shared" si="116"/>
        <v>30456</v>
      </c>
      <c r="HK59" s="114">
        <f t="shared" si="122"/>
        <v>21732</v>
      </c>
      <c r="HL59" s="114">
        <f t="shared" si="123"/>
        <v>15722</v>
      </c>
      <c r="HM59" s="114">
        <f t="shared" si="124"/>
        <v>18026</v>
      </c>
      <c r="HN59" s="114">
        <f t="shared" si="125"/>
        <v>22015</v>
      </c>
      <c r="HO59" s="114">
        <f t="shared" si="126"/>
        <v>34437</v>
      </c>
      <c r="HP59" s="114">
        <f t="shared" si="127"/>
        <v>16575</v>
      </c>
      <c r="HQ59" s="114"/>
      <c r="HU59" s="115">
        <f t="shared" si="63"/>
        <v>0</v>
      </c>
      <c r="HV59" s="116">
        <f t="shared" si="64"/>
        <v>0</v>
      </c>
      <c r="HW59" s="116">
        <f t="shared" si="65"/>
        <v>22457</v>
      </c>
      <c r="HX59" s="117">
        <f t="shared" si="66"/>
        <v>38930</v>
      </c>
      <c r="HY59" s="118">
        <f t="shared" si="67"/>
        <v>43808</v>
      </c>
      <c r="HZ59" s="118">
        <f t="shared" si="68"/>
        <v>35783</v>
      </c>
      <c r="IA59" s="118">
        <f t="shared" si="69"/>
        <v>59749</v>
      </c>
      <c r="IB59" s="118">
        <f t="shared" si="70"/>
        <v>56794</v>
      </c>
      <c r="IC59" s="118">
        <f t="shared" si="71"/>
        <v>41381</v>
      </c>
      <c r="ID59" s="118">
        <f t="shared" si="96"/>
        <v>55727</v>
      </c>
      <c r="IE59" s="118">
        <f t="shared" si="97"/>
        <v>87932</v>
      </c>
      <c r="IF59" s="118">
        <f t="shared" si="98"/>
        <v>115582</v>
      </c>
      <c r="IG59" s="118">
        <f t="shared" si="99"/>
        <v>85936</v>
      </c>
    </row>
    <row r="60" spans="1:241" outlineLevel="2" x14ac:dyDescent="0.3">
      <c r="A60" s="121" t="s">
        <v>125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>
        <v>9407</v>
      </c>
      <c r="AA60" s="80">
        <v>9975</v>
      </c>
      <c r="AB60" s="80">
        <v>10258</v>
      </c>
      <c r="AC60" s="80">
        <v>15642</v>
      </c>
      <c r="AD60" s="80">
        <v>22805</v>
      </c>
      <c r="AE60" s="80">
        <v>22899</v>
      </c>
      <c r="AF60" s="80">
        <v>28540</v>
      </c>
      <c r="AG60" s="80">
        <v>28380</v>
      </c>
      <c r="AH60" s="80">
        <v>17749</v>
      </c>
      <c r="AI60" s="80">
        <v>7391</v>
      </c>
      <c r="AJ60" s="80">
        <v>10805</v>
      </c>
      <c r="AK60" s="80">
        <v>10157</v>
      </c>
      <c r="AL60" s="80">
        <v>9051</v>
      </c>
      <c r="AM60" s="80">
        <v>13631</v>
      </c>
      <c r="AN60" s="80">
        <v>30141</v>
      </c>
      <c r="AO60" s="80">
        <v>26324</v>
      </c>
      <c r="AP60" s="80">
        <v>25293</v>
      </c>
      <c r="AQ60" s="80">
        <v>17790</v>
      </c>
      <c r="AR60" s="80">
        <v>20637</v>
      </c>
      <c r="AS60" s="80">
        <v>21181</v>
      </c>
      <c r="AT60" s="80">
        <v>27323</v>
      </c>
      <c r="AU60" s="80">
        <v>22015</v>
      </c>
      <c r="AV60" s="80">
        <v>21465</v>
      </c>
      <c r="AW60" s="80">
        <v>22630</v>
      </c>
      <c r="AX60" s="80">
        <v>15485</v>
      </c>
      <c r="AY60" s="80">
        <v>24334</v>
      </c>
      <c r="AZ60" s="80">
        <v>21130</v>
      </c>
      <c r="BA60" s="80">
        <v>24114</v>
      </c>
      <c r="BB60" s="80">
        <v>23705</v>
      </c>
      <c r="BC60" s="80">
        <v>36092</v>
      </c>
      <c r="BD60" s="80">
        <v>24951</v>
      </c>
      <c r="BE60" s="80">
        <v>27618</v>
      </c>
      <c r="BF60" s="80">
        <v>30779</v>
      </c>
      <c r="BG60" s="80">
        <v>20121</v>
      </c>
      <c r="BH60" s="80">
        <v>20490</v>
      </c>
      <c r="BI60" s="80">
        <v>24009</v>
      </c>
      <c r="BJ60" s="80">
        <v>20169</v>
      </c>
      <c r="BK60" s="80">
        <v>20116</v>
      </c>
      <c r="BL60" s="80">
        <v>24641</v>
      </c>
      <c r="BM60" s="80">
        <v>26312</v>
      </c>
      <c r="BN60" s="80">
        <v>32995</v>
      </c>
      <c r="BO60" s="80">
        <v>33318</v>
      </c>
      <c r="BP60" s="80">
        <v>26562</v>
      </c>
      <c r="BQ60" s="80">
        <v>27466</v>
      </c>
      <c r="BR60" s="80">
        <v>26903</v>
      </c>
      <c r="BS60" s="80">
        <v>23794</v>
      </c>
      <c r="BT60" s="80">
        <v>28629</v>
      </c>
      <c r="BU60" s="80">
        <v>23402</v>
      </c>
      <c r="BV60" s="80">
        <v>38193</v>
      </c>
      <c r="BW60" s="80">
        <v>28665</v>
      </c>
      <c r="BX60" s="80">
        <v>36864</v>
      </c>
      <c r="BY60" s="80">
        <v>40754</v>
      </c>
      <c r="BZ60" s="80">
        <v>42812</v>
      </c>
      <c r="CA60" s="80">
        <v>38533</v>
      </c>
      <c r="CB60" s="80">
        <v>31782</v>
      </c>
      <c r="CC60" s="80">
        <v>28079</v>
      </c>
      <c r="CD60" s="80">
        <v>26887</v>
      </c>
      <c r="CE60" s="80">
        <v>19628</v>
      </c>
      <c r="CF60" s="80">
        <v>30031</v>
      </c>
      <c r="CG60" s="80">
        <v>36088</v>
      </c>
      <c r="CH60" s="80">
        <v>32497</v>
      </c>
      <c r="CI60" s="80">
        <v>27084</v>
      </c>
      <c r="CJ60" s="80">
        <v>31795</v>
      </c>
      <c r="CK60" s="80">
        <v>39354</v>
      </c>
      <c r="CL60" s="80">
        <v>36235</v>
      </c>
      <c r="CM60" s="80">
        <v>34312</v>
      </c>
      <c r="CN60" s="80">
        <v>33154</v>
      </c>
      <c r="CO60" s="80">
        <v>26391</v>
      </c>
      <c r="CP60" s="80">
        <v>25406</v>
      </c>
      <c r="CQ60" s="80">
        <v>29844</v>
      </c>
      <c r="CR60" s="80">
        <v>31075</v>
      </c>
      <c r="CS60" s="80">
        <v>22801</v>
      </c>
      <c r="CT60" s="80"/>
      <c r="CU60" s="80">
        <v>3056</v>
      </c>
      <c r="CV60" s="80">
        <v>9810</v>
      </c>
      <c r="CW60" s="80">
        <v>8971</v>
      </c>
      <c r="CX60" s="80">
        <v>13448</v>
      </c>
      <c r="CY60" s="80">
        <v>29257</v>
      </c>
      <c r="CZ60" s="80">
        <v>37280</v>
      </c>
      <c r="DA60" s="80">
        <v>19188</v>
      </c>
      <c r="DB60" s="80">
        <v>26767</v>
      </c>
      <c r="DC60" s="80">
        <v>25595</v>
      </c>
      <c r="DD60" s="80">
        <v>28887</v>
      </c>
      <c r="DE60" s="80">
        <v>27883</v>
      </c>
      <c r="DF60" s="80">
        <v>40024</v>
      </c>
      <c r="DG60" s="80">
        <v>26126</v>
      </c>
      <c r="DH60" s="80">
        <v>23995</v>
      </c>
      <c r="DI60" s="80">
        <v>33678</v>
      </c>
      <c r="DJ60" s="80">
        <v>34456</v>
      </c>
      <c r="DK60" s="80">
        <v>27182</v>
      </c>
      <c r="DL60" s="80">
        <v>38619</v>
      </c>
      <c r="DM60" s="80">
        <v>24481</v>
      </c>
      <c r="DN60" s="80">
        <v>21728</v>
      </c>
      <c r="DO60" s="80">
        <v>33369</v>
      </c>
      <c r="DP60" s="80">
        <v>24830</v>
      </c>
      <c r="DQ60" s="80">
        <v>21842</v>
      </c>
      <c r="DR60" s="80">
        <v>36160</v>
      </c>
      <c r="DS60" s="80">
        <v>27080</v>
      </c>
      <c r="DT60" s="80">
        <v>33535</v>
      </c>
      <c r="DU60" s="80">
        <v>50491</v>
      </c>
      <c r="DV60" s="80">
        <v>45578</v>
      </c>
      <c r="DW60" s="80">
        <v>34780</v>
      </c>
      <c r="DX60" s="80">
        <v>30151</v>
      </c>
      <c r="DY60" s="80">
        <v>25459</v>
      </c>
      <c r="DZ60" s="80">
        <v>27146</v>
      </c>
      <c r="EA60" s="80">
        <v>30256</v>
      </c>
      <c r="EB60" s="80">
        <v>33378</v>
      </c>
      <c r="EC60" s="80">
        <v>42921</v>
      </c>
      <c r="ED60" s="80">
        <v>49463</v>
      </c>
      <c r="EE60" s="80">
        <v>40685</v>
      </c>
      <c r="EF60" s="80">
        <v>35668</v>
      </c>
      <c r="EG60" s="80">
        <v>44829</v>
      </c>
      <c r="EH60" s="80">
        <v>43808</v>
      </c>
      <c r="EI60" s="80">
        <v>50428</v>
      </c>
      <c r="EJ60" s="80">
        <v>43929</v>
      </c>
      <c r="EK60" s="80">
        <v>40301</v>
      </c>
      <c r="EL60" s="80">
        <v>35330</v>
      </c>
      <c r="EM60" s="80">
        <v>36249</v>
      </c>
      <c r="EN60" s="80">
        <v>47171</v>
      </c>
      <c r="EO60" s="80">
        <v>43807</v>
      </c>
      <c r="EP60" s="80">
        <v>65144</v>
      </c>
      <c r="EQ60" s="80">
        <v>50844</v>
      </c>
      <c r="ER60" s="80">
        <v>38622</v>
      </c>
      <c r="ES60" s="80">
        <v>49608</v>
      </c>
      <c r="ET60" s="80">
        <v>53560</v>
      </c>
      <c r="EU60" s="80">
        <v>53792</v>
      </c>
      <c r="EV60" s="80">
        <v>43008</v>
      </c>
      <c r="EW60" s="80">
        <v>44331</v>
      </c>
      <c r="EX60" s="80">
        <v>42559</v>
      </c>
      <c r="EY60" s="80">
        <v>44631</v>
      </c>
      <c r="EZ60" s="80">
        <v>44339</v>
      </c>
      <c r="FA60" s="80">
        <v>33256</v>
      </c>
      <c r="FB60" s="80">
        <v>53799</v>
      </c>
      <c r="FC60" s="80">
        <v>46746</v>
      </c>
      <c r="FD60" s="80">
        <v>43390</v>
      </c>
      <c r="FE60" s="80">
        <v>58150</v>
      </c>
      <c r="FF60" s="80">
        <v>64362</v>
      </c>
      <c r="FG60" s="80">
        <v>53027</v>
      </c>
      <c r="FH60" s="80">
        <v>46300</v>
      </c>
      <c r="FI60" s="80">
        <v>64692</v>
      </c>
      <c r="FJ60" s="80">
        <v>61290</v>
      </c>
      <c r="FN60" s="108">
        <f t="shared" si="76"/>
        <v>0</v>
      </c>
      <c r="FO60" s="108">
        <f t="shared" si="77"/>
        <v>0</v>
      </c>
      <c r="FP60" s="108">
        <f t="shared" si="11"/>
        <v>0</v>
      </c>
      <c r="FQ60" s="108">
        <f t="shared" si="12"/>
        <v>0</v>
      </c>
      <c r="FR60" s="108">
        <f t="shared" si="13"/>
        <v>0</v>
      </c>
      <c r="FS60" s="108">
        <f t="shared" si="14"/>
        <v>0</v>
      </c>
      <c r="FT60" s="108">
        <f t="shared" si="15"/>
        <v>0</v>
      </c>
      <c r="FU60" s="108">
        <f t="shared" si="16"/>
        <v>0</v>
      </c>
      <c r="FV60" s="108">
        <f t="shared" si="17"/>
        <v>29640</v>
      </c>
      <c r="FW60" s="108">
        <f t="shared" si="18"/>
        <v>61346</v>
      </c>
      <c r="FX60" s="108">
        <f t="shared" si="19"/>
        <v>74669</v>
      </c>
      <c r="FY60" s="108">
        <f t="shared" si="20"/>
        <v>28353</v>
      </c>
      <c r="FZ60" s="108">
        <f t="shared" si="21"/>
        <v>52823</v>
      </c>
      <c r="GA60" s="108">
        <f t="shared" si="22"/>
        <v>69407</v>
      </c>
      <c r="GB60" s="108">
        <f t="shared" si="23"/>
        <v>69141</v>
      </c>
      <c r="GC60" s="108">
        <f t="shared" si="24"/>
        <v>66110</v>
      </c>
      <c r="GD60" s="108">
        <f t="shared" si="25"/>
        <v>60949</v>
      </c>
      <c r="GE60" s="108">
        <f t="shared" si="26"/>
        <v>83911</v>
      </c>
      <c r="GF60" s="108">
        <f t="shared" si="27"/>
        <v>83348</v>
      </c>
      <c r="GG60" s="108">
        <f t="shared" si="28"/>
        <v>64620</v>
      </c>
      <c r="GH60" s="108">
        <f t="shared" si="29"/>
        <v>64926</v>
      </c>
      <c r="GI60" s="108">
        <f t="shared" si="30"/>
        <v>92625</v>
      </c>
      <c r="GJ60" s="108">
        <f t="shared" si="31"/>
        <v>80931</v>
      </c>
      <c r="GK60" s="108">
        <f t="shared" si="32"/>
        <v>75825</v>
      </c>
      <c r="GL60" s="108">
        <f t="shared" si="33"/>
        <v>103722</v>
      </c>
      <c r="GM60" s="108">
        <f t="shared" si="34"/>
        <v>122099</v>
      </c>
      <c r="GN60" s="108">
        <f t="shared" si="35"/>
        <v>86748</v>
      </c>
      <c r="GO60" s="108">
        <f t="shared" si="36"/>
        <v>85747</v>
      </c>
      <c r="GP60" s="108">
        <f t="shared" si="37"/>
        <v>91376</v>
      </c>
      <c r="GQ60" s="108">
        <f t="shared" si="38"/>
        <v>109901</v>
      </c>
      <c r="GR60" s="108">
        <f t="shared" si="39"/>
        <v>84951</v>
      </c>
      <c r="GS60" s="108">
        <f t="shared" si="40"/>
        <v>83720</v>
      </c>
      <c r="GT60" s="108">
        <f t="shared" si="41"/>
        <v>12866</v>
      </c>
      <c r="GU60" s="108">
        <f t="shared" si="42"/>
        <v>51676</v>
      </c>
      <c r="GV60" s="108">
        <f t="shared" si="43"/>
        <v>83235</v>
      </c>
      <c r="GW60" s="108">
        <f t="shared" si="44"/>
        <v>82365</v>
      </c>
      <c r="GX60" s="108">
        <f t="shared" si="45"/>
        <v>90145</v>
      </c>
      <c r="GY60" s="108">
        <f t="shared" si="46"/>
        <v>95316</v>
      </c>
      <c r="GZ60" s="108">
        <f t="shared" si="80"/>
        <v>84828</v>
      </c>
      <c r="HA60" s="108">
        <f t="shared" si="81"/>
        <v>80041</v>
      </c>
      <c r="HB60" s="108">
        <f t="shared" si="82"/>
        <v>96775</v>
      </c>
      <c r="HC60" s="108">
        <f t="shared" si="83"/>
        <v>130849</v>
      </c>
      <c r="HD60" s="108">
        <f t="shared" si="84"/>
        <v>82756</v>
      </c>
      <c r="HE60" s="108">
        <f t="shared" si="85"/>
        <v>106555</v>
      </c>
      <c r="HF60" s="108">
        <f t="shared" si="86"/>
        <v>125816</v>
      </c>
      <c r="HG60" s="108">
        <f t="shared" si="87"/>
        <v>139065</v>
      </c>
      <c r="HH60" s="108">
        <f t="shared" si="88"/>
        <v>119560</v>
      </c>
      <c r="HI60" s="108">
        <f t="shared" si="89"/>
        <v>127227</v>
      </c>
      <c r="HJ60" s="108">
        <f t="shared" si="116"/>
        <v>154610</v>
      </c>
      <c r="HK60" s="108">
        <f t="shared" si="122"/>
        <v>156960</v>
      </c>
      <c r="HL60" s="108">
        <f t="shared" si="123"/>
        <v>129898</v>
      </c>
      <c r="HM60" s="108">
        <f t="shared" si="124"/>
        <v>122226</v>
      </c>
      <c r="HN60" s="108">
        <f t="shared" si="125"/>
        <v>143935</v>
      </c>
      <c r="HO60" s="108">
        <f t="shared" si="126"/>
        <v>175539</v>
      </c>
      <c r="HP60" s="108">
        <f t="shared" si="127"/>
        <v>172282</v>
      </c>
      <c r="HQ60" s="108"/>
      <c r="HU60" s="109">
        <f t="shared" si="63"/>
        <v>0</v>
      </c>
      <c r="HV60" s="110">
        <f t="shared" si="64"/>
        <v>0</v>
      </c>
      <c r="HW60" s="110">
        <f t="shared" si="65"/>
        <v>194008</v>
      </c>
      <c r="HX60" s="111">
        <f t="shared" si="66"/>
        <v>257481</v>
      </c>
      <c r="HY60" s="112">
        <f t="shared" si="67"/>
        <v>292828</v>
      </c>
      <c r="HZ60" s="112">
        <f t="shared" si="68"/>
        <v>314307</v>
      </c>
      <c r="IA60" s="112">
        <f t="shared" si="69"/>
        <v>398316</v>
      </c>
      <c r="IB60" s="112">
        <f t="shared" si="70"/>
        <v>369948</v>
      </c>
      <c r="IC60" s="112">
        <f t="shared" si="71"/>
        <v>230142</v>
      </c>
      <c r="ID60" s="112">
        <f t="shared" si="96"/>
        <v>350330</v>
      </c>
      <c r="IE60" s="112">
        <f t="shared" si="97"/>
        <v>416935</v>
      </c>
      <c r="IF60" s="112">
        <f t="shared" si="98"/>
        <v>511668</v>
      </c>
      <c r="IG60" s="112">
        <f t="shared" si="99"/>
        <v>563694</v>
      </c>
    </row>
    <row r="61" spans="1:241" outlineLevel="2" x14ac:dyDescent="0.3">
      <c r="A61" s="122" t="s">
        <v>126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120"/>
      <c r="CL61" s="120"/>
      <c r="CM61" s="120"/>
      <c r="CN61" s="120"/>
      <c r="CO61" s="120"/>
      <c r="CP61" s="120"/>
      <c r="CQ61" s="120"/>
      <c r="CR61" s="120"/>
      <c r="CS61" s="120"/>
      <c r="CT61" s="120"/>
      <c r="CU61" s="120"/>
      <c r="CV61" s="120"/>
      <c r="CW61" s="120"/>
      <c r="CX61" s="120"/>
      <c r="CY61" s="120"/>
      <c r="CZ61" s="120"/>
      <c r="DA61" s="120"/>
      <c r="DB61" s="120"/>
      <c r="DC61" s="120"/>
      <c r="DD61" s="120"/>
      <c r="DE61" s="120"/>
      <c r="DF61" s="120"/>
      <c r="DG61" s="120"/>
      <c r="DH61" s="120"/>
      <c r="DI61" s="120"/>
      <c r="DJ61" s="120"/>
      <c r="DK61" s="120"/>
      <c r="DL61" s="120"/>
      <c r="DM61" s="120"/>
      <c r="DN61" s="120"/>
      <c r="DO61" s="120"/>
      <c r="DP61" s="120"/>
      <c r="DQ61" s="120"/>
      <c r="DR61" s="120"/>
      <c r="DS61" s="120"/>
      <c r="DT61" s="120"/>
      <c r="DU61" s="120"/>
      <c r="DV61" s="120"/>
      <c r="DW61" s="120"/>
      <c r="DX61" s="120"/>
      <c r="DY61" s="120"/>
      <c r="DZ61" s="120"/>
      <c r="EA61" s="120"/>
      <c r="EB61" s="120"/>
      <c r="EC61" s="120"/>
      <c r="ED61" s="120"/>
      <c r="EE61" s="120"/>
      <c r="EF61" s="120"/>
      <c r="EG61" s="120"/>
      <c r="EH61" s="120"/>
      <c r="EI61" s="120"/>
      <c r="EJ61" s="120"/>
      <c r="EK61" s="120"/>
      <c r="EL61" s="120"/>
      <c r="EM61" s="120"/>
      <c r="EN61" s="120"/>
      <c r="EO61" s="120"/>
      <c r="EP61" s="120"/>
      <c r="EQ61" s="120"/>
      <c r="ER61" s="120"/>
      <c r="ES61" s="120"/>
      <c r="ET61" s="120"/>
      <c r="EU61" s="120"/>
      <c r="EV61" s="120"/>
      <c r="EW61" s="120"/>
      <c r="EX61" s="120"/>
      <c r="EY61" s="120"/>
      <c r="EZ61" s="120"/>
      <c r="FA61" s="120"/>
      <c r="FB61" s="120"/>
      <c r="FC61" s="120"/>
      <c r="FD61" s="120"/>
      <c r="FE61" s="120"/>
      <c r="FF61" s="120"/>
      <c r="FG61" s="120"/>
      <c r="FH61" s="120"/>
      <c r="FI61" s="120"/>
      <c r="FJ61" s="120"/>
      <c r="FN61" s="114">
        <f t="shared" si="76"/>
        <v>0</v>
      </c>
      <c r="FO61" s="114">
        <f t="shared" si="77"/>
        <v>0</v>
      </c>
      <c r="FP61" s="114">
        <f t="shared" si="11"/>
        <v>0</v>
      </c>
      <c r="FQ61" s="114">
        <f t="shared" si="12"/>
        <v>0</v>
      </c>
      <c r="FR61" s="114">
        <f t="shared" si="13"/>
        <v>0</v>
      </c>
      <c r="FS61" s="114">
        <f t="shared" si="14"/>
        <v>0</v>
      </c>
      <c r="FT61" s="114">
        <f t="shared" si="15"/>
        <v>0</v>
      </c>
      <c r="FU61" s="114">
        <f t="shared" si="16"/>
        <v>0</v>
      </c>
      <c r="FV61" s="114">
        <f t="shared" si="17"/>
        <v>0</v>
      </c>
      <c r="FW61" s="114">
        <f t="shared" si="18"/>
        <v>0</v>
      </c>
      <c r="FX61" s="114">
        <f t="shared" si="19"/>
        <v>0</v>
      </c>
      <c r="FY61" s="114">
        <f t="shared" si="20"/>
        <v>0</v>
      </c>
      <c r="FZ61" s="114">
        <f t="shared" si="21"/>
        <v>0</v>
      </c>
      <c r="GA61" s="114">
        <f t="shared" si="22"/>
        <v>0</v>
      </c>
      <c r="GB61" s="114">
        <f t="shared" si="23"/>
        <v>0</v>
      </c>
      <c r="GC61" s="114">
        <f t="shared" si="24"/>
        <v>0</v>
      </c>
      <c r="GD61" s="114">
        <f t="shared" si="25"/>
        <v>0</v>
      </c>
      <c r="GE61" s="114">
        <f t="shared" si="26"/>
        <v>0</v>
      </c>
      <c r="GF61" s="114">
        <f t="shared" si="27"/>
        <v>0</v>
      </c>
      <c r="GG61" s="114">
        <f t="shared" si="28"/>
        <v>0</v>
      </c>
      <c r="GH61" s="114">
        <f t="shared" si="29"/>
        <v>0</v>
      </c>
      <c r="GI61" s="114">
        <f t="shared" si="30"/>
        <v>0</v>
      </c>
      <c r="GJ61" s="114">
        <f t="shared" si="31"/>
        <v>0</v>
      </c>
      <c r="GK61" s="114">
        <f t="shared" si="32"/>
        <v>0</v>
      </c>
      <c r="GL61" s="114">
        <f t="shared" si="33"/>
        <v>0</v>
      </c>
      <c r="GM61" s="114">
        <f t="shared" si="34"/>
        <v>0</v>
      </c>
      <c r="GN61" s="114">
        <f t="shared" si="35"/>
        <v>0</v>
      </c>
      <c r="GO61" s="114">
        <f t="shared" si="36"/>
        <v>0</v>
      </c>
      <c r="GP61" s="114">
        <f t="shared" si="37"/>
        <v>0</v>
      </c>
      <c r="GQ61" s="114">
        <f t="shared" si="38"/>
        <v>0</v>
      </c>
      <c r="GR61" s="114">
        <f t="shared" si="39"/>
        <v>0</v>
      </c>
      <c r="GS61" s="114">
        <f t="shared" si="40"/>
        <v>0</v>
      </c>
      <c r="GT61" s="114">
        <f t="shared" si="41"/>
        <v>0</v>
      </c>
      <c r="GU61" s="114">
        <f t="shared" si="42"/>
        <v>0</v>
      </c>
      <c r="GV61" s="114">
        <f t="shared" si="43"/>
        <v>0</v>
      </c>
      <c r="GW61" s="114">
        <f t="shared" si="44"/>
        <v>0</v>
      </c>
      <c r="GX61" s="114">
        <f t="shared" si="45"/>
        <v>0</v>
      </c>
      <c r="GY61" s="114">
        <f t="shared" si="46"/>
        <v>0</v>
      </c>
      <c r="GZ61" s="114">
        <f t="shared" si="80"/>
        <v>0</v>
      </c>
      <c r="HA61" s="114">
        <f t="shared" si="81"/>
        <v>0</v>
      </c>
      <c r="HB61" s="114">
        <f t="shared" si="82"/>
        <v>0</v>
      </c>
      <c r="HC61" s="114">
        <f t="shared" si="83"/>
        <v>0</v>
      </c>
      <c r="HD61" s="114">
        <f t="shared" si="84"/>
        <v>0</v>
      </c>
      <c r="HE61" s="114">
        <f t="shared" si="85"/>
        <v>0</v>
      </c>
      <c r="HF61" s="114">
        <f t="shared" si="86"/>
        <v>0</v>
      </c>
      <c r="HG61" s="114">
        <f t="shared" si="87"/>
        <v>0</v>
      </c>
      <c r="HH61" s="114">
        <f t="shared" si="88"/>
        <v>0</v>
      </c>
      <c r="HI61" s="114">
        <f t="shared" si="89"/>
        <v>0</v>
      </c>
      <c r="HJ61" s="114">
        <f t="shared" si="116"/>
        <v>0</v>
      </c>
      <c r="HK61" s="114">
        <f t="shared" si="122"/>
        <v>0</v>
      </c>
      <c r="HL61" s="114">
        <f t="shared" si="123"/>
        <v>0</v>
      </c>
      <c r="HM61" s="114">
        <f t="shared" si="124"/>
        <v>0</v>
      </c>
      <c r="HN61" s="114">
        <f t="shared" si="125"/>
        <v>0</v>
      </c>
      <c r="HO61" s="114">
        <f t="shared" si="126"/>
        <v>0</v>
      </c>
      <c r="HP61" s="114">
        <f t="shared" si="127"/>
        <v>0</v>
      </c>
      <c r="HQ61" s="114"/>
      <c r="HU61" s="115">
        <f t="shared" si="63"/>
        <v>0</v>
      </c>
      <c r="HV61" s="116">
        <f t="shared" si="64"/>
        <v>0</v>
      </c>
      <c r="HW61" s="116">
        <f t="shared" si="65"/>
        <v>0</v>
      </c>
      <c r="HX61" s="117">
        <f t="shared" si="66"/>
        <v>0</v>
      </c>
      <c r="HY61" s="118">
        <f t="shared" si="67"/>
        <v>0</v>
      </c>
      <c r="HZ61" s="118">
        <f t="shared" si="68"/>
        <v>0</v>
      </c>
      <c r="IA61" s="118">
        <f t="shared" si="69"/>
        <v>0</v>
      </c>
      <c r="IB61" s="118">
        <f t="shared" si="70"/>
        <v>0</v>
      </c>
      <c r="IC61" s="118">
        <f t="shared" si="71"/>
        <v>0</v>
      </c>
      <c r="ID61" s="118">
        <f t="shared" si="96"/>
        <v>0</v>
      </c>
      <c r="IE61" s="118">
        <f t="shared" si="97"/>
        <v>0</v>
      </c>
      <c r="IF61" s="118">
        <f t="shared" si="98"/>
        <v>0</v>
      </c>
      <c r="IG61" s="118">
        <f t="shared" si="99"/>
        <v>0</v>
      </c>
    </row>
    <row r="62" spans="1:241" outlineLevel="2" x14ac:dyDescent="0.3">
      <c r="A62" s="106" t="s">
        <v>116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>
        <v>132762</v>
      </c>
      <c r="AA62" s="80">
        <v>136743</v>
      </c>
      <c r="AB62" s="80">
        <v>114512</v>
      </c>
      <c r="AC62" s="80">
        <v>142788</v>
      </c>
      <c r="AD62" s="80">
        <v>146955</v>
      </c>
      <c r="AE62" s="80">
        <v>147759</v>
      </c>
      <c r="AF62" s="80">
        <v>132642</v>
      </c>
      <c r="AG62" s="80">
        <v>134299</v>
      </c>
      <c r="AH62" s="80">
        <v>139314</v>
      </c>
      <c r="AI62" s="80">
        <v>118018</v>
      </c>
      <c r="AJ62" s="80">
        <v>100237</v>
      </c>
      <c r="AK62" s="80">
        <v>75277</v>
      </c>
      <c r="AL62" s="80">
        <v>125237</v>
      </c>
      <c r="AM62" s="80">
        <v>131194</v>
      </c>
      <c r="AN62" s="80">
        <v>132986</v>
      </c>
      <c r="AO62" s="80">
        <v>138762</v>
      </c>
      <c r="AP62" s="80">
        <v>152488</v>
      </c>
      <c r="AQ62" s="80">
        <v>142517</v>
      </c>
      <c r="AR62" s="80">
        <v>106691</v>
      </c>
      <c r="AS62" s="80">
        <v>118223</v>
      </c>
      <c r="AT62" s="80">
        <v>127460</v>
      </c>
      <c r="AU62" s="80">
        <v>112135</v>
      </c>
      <c r="AV62" s="80">
        <v>84141</v>
      </c>
      <c r="AW62" s="80">
        <v>87461</v>
      </c>
      <c r="AX62" s="80">
        <v>91465</v>
      </c>
      <c r="AY62" s="80">
        <v>127522</v>
      </c>
      <c r="AZ62" s="80">
        <v>104673</v>
      </c>
      <c r="BA62" s="80">
        <v>111203</v>
      </c>
      <c r="BB62" s="80">
        <v>105192</v>
      </c>
      <c r="BC62" s="80">
        <v>101474</v>
      </c>
      <c r="BD62" s="80">
        <v>94895</v>
      </c>
      <c r="BE62" s="80">
        <v>97992</v>
      </c>
      <c r="BF62" s="80">
        <v>96647</v>
      </c>
      <c r="BG62" s="80">
        <v>92021</v>
      </c>
      <c r="BH62" s="80">
        <v>102671</v>
      </c>
      <c r="BI62" s="80">
        <v>92786</v>
      </c>
      <c r="BJ62" s="80">
        <v>132002</v>
      </c>
      <c r="BK62" s="80">
        <v>120592</v>
      </c>
      <c r="BL62" s="80">
        <v>96558</v>
      </c>
      <c r="BM62" s="80">
        <v>100267</v>
      </c>
      <c r="BN62" s="80">
        <v>112197</v>
      </c>
      <c r="BO62" s="80">
        <v>122260</v>
      </c>
      <c r="BP62" s="80">
        <v>114225</v>
      </c>
      <c r="BQ62" s="80">
        <v>122022</v>
      </c>
      <c r="BR62" s="80">
        <v>115832</v>
      </c>
      <c r="BS62" s="80">
        <v>125825</v>
      </c>
      <c r="BT62" s="80">
        <v>122025</v>
      </c>
      <c r="BU62" s="80">
        <v>110952</v>
      </c>
      <c r="BV62" s="80">
        <v>148875</v>
      </c>
      <c r="BW62" s="80">
        <v>150052</v>
      </c>
      <c r="BX62" s="80">
        <v>136803</v>
      </c>
      <c r="BY62" s="80">
        <v>131247</v>
      </c>
      <c r="BZ62" s="80">
        <v>144486</v>
      </c>
      <c r="CA62" s="80">
        <v>157910</v>
      </c>
      <c r="CB62" s="80">
        <v>151403</v>
      </c>
      <c r="CC62" s="80">
        <v>141285</v>
      </c>
      <c r="CD62" s="80">
        <v>141603</v>
      </c>
      <c r="CE62" s="80">
        <v>147102</v>
      </c>
      <c r="CF62" s="80">
        <v>141462</v>
      </c>
      <c r="CG62" s="80">
        <v>103325</v>
      </c>
      <c r="CH62" s="80">
        <v>160393</v>
      </c>
      <c r="CI62" s="80">
        <v>159347</v>
      </c>
      <c r="CJ62" s="80">
        <v>151951</v>
      </c>
      <c r="CK62" s="80">
        <v>151232</v>
      </c>
      <c r="CL62" s="80">
        <v>152276</v>
      </c>
      <c r="CM62" s="80">
        <v>159382</v>
      </c>
      <c r="CN62" s="80">
        <v>156397</v>
      </c>
      <c r="CO62" s="80">
        <v>167109</v>
      </c>
      <c r="CP62" s="80">
        <v>160677</v>
      </c>
      <c r="CQ62" s="80">
        <v>174546</v>
      </c>
      <c r="CR62" s="80">
        <v>163346</v>
      </c>
      <c r="CS62" s="80">
        <v>112564</v>
      </c>
      <c r="CT62" s="80"/>
      <c r="CU62" s="80">
        <v>73512</v>
      </c>
      <c r="CV62" s="80">
        <v>108427</v>
      </c>
      <c r="CW62" s="80">
        <v>86082</v>
      </c>
      <c r="CX62" s="80">
        <v>142838</v>
      </c>
      <c r="CY62" s="80">
        <v>185351</v>
      </c>
      <c r="CZ62" s="80">
        <v>201659</v>
      </c>
      <c r="DA62" s="80">
        <v>196797</v>
      </c>
      <c r="DB62" s="80">
        <v>209942</v>
      </c>
      <c r="DC62" s="80">
        <v>227532</v>
      </c>
      <c r="DD62" s="80">
        <v>183629</v>
      </c>
      <c r="DE62" s="80">
        <v>148740</v>
      </c>
      <c r="DF62" s="80">
        <v>221603</v>
      </c>
      <c r="DG62" s="80">
        <v>180212</v>
      </c>
      <c r="DH62" s="80">
        <v>154938</v>
      </c>
      <c r="DI62" s="80">
        <v>174337</v>
      </c>
      <c r="DJ62" s="80">
        <v>180339</v>
      </c>
      <c r="DK62" s="80">
        <v>187091</v>
      </c>
      <c r="DL62" s="80">
        <v>192565</v>
      </c>
      <c r="DM62" s="80">
        <v>193520</v>
      </c>
      <c r="DN62" s="80">
        <v>191176</v>
      </c>
      <c r="DO62" s="80">
        <v>187934</v>
      </c>
      <c r="DP62" s="80">
        <v>182814</v>
      </c>
      <c r="DQ62" s="80">
        <v>149243</v>
      </c>
      <c r="DR62" s="80">
        <v>188478</v>
      </c>
      <c r="DS62" s="80">
        <v>153397</v>
      </c>
      <c r="DT62" s="80">
        <v>190865</v>
      </c>
      <c r="DU62" s="80">
        <v>150670</v>
      </c>
      <c r="DV62" s="80">
        <v>121787</v>
      </c>
      <c r="DW62" s="80">
        <v>125443</v>
      </c>
      <c r="DX62" s="80">
        <v>135769</v>
      </c>
      <c r="DY62" s="80">
        <v>138630</v>
      </c>
      <c r="DZ62" s="80">
        <v>121497</v>
      </c>
      <c r="EA62" s="80">
        <v>100679</v>
      </c>
      <c r="EB62" s="80">
        <v>115021</v>
      </c>
      <c r="EC62" s="80">
        <v>94715</v>
      </c>
      <c r="ED62" s="80">
        <v>106085</v>
      </c>
      <c r="EE62" s="80">
        <v>112883</v>
      </c>
      <c r="EF62" s="80">
        <v>127357</v>
      </c>
      <c r="EG62" s="80">
        <v>126850</v>
      </c>
      <c r="EH62" s="80">
        <v>124211</v>
      </c>
      <c r="EI62" s="80">
        <v>125202</v>
      </c>
      <c r="EJ62" s="80">
        <v>129658</v>
      </c>
      <c r="EK62" s="80">
        <v>130451</v>
      </c>
      <c r="EL62" s="80">
        <v>124631</v>
      </c>
      <c r="EM62" s="80">
        <v>114898</v>
      </c>
      <c r="EN62" s="80">
        <v>124157</v>
      </c>
      <c r="EO62" s="80">
        <v>130881</v>
      </c>
      <c r="EP62" s="80">
        <v>124839</v>
      </c>
      <c r="EQ62" s="80">
        <v>117142</v>
      </c>
      <c r="ER62" s="80">
        <v>126437</v>
      </c>
      <c r="ES62" s="80">
        <v>128694</v>
      </c>
      <c r="ET62" s="80">
        <v>126557</v>
      </c>
      <c r="EU62" s="80">
        <v>141156</v>
      </c>
      <c r="EV62" s="80">
        <v>158463</v>
      </c>
      <c r="EW62" s="80">
        <v>164465</v>
      </c>
      <c r="EX62" s="80">
        <v>143838</v>
      </c>
      <c r="EY62" s="80">
        <v>157112</v>
      </c>
      <c r="EZ62" s="80">
        <v>153279</v>
      </c>
      <c r="FA62" s="80">
        <v>131953</v>
      </c>
      <c r="FB62" s="80">
        <v>129322</v>
      </c>
      <c r="FC62" s="80">
        <v>140958</v>
      </c>
      <c r="FD62" s="80">
        <v>149167</v>
      </c>
      <c r="FE62" s="80">
        <v>156848</v>
      </c>
      <c r="FF62" s="80">
        <v>157688</v>
      </c>
      <c r="FG62" s="80">
        <v>157665</v>
      </c>
      <c r="FH62" s="80">
        <v>175726</v>
      </c>
      <c r="FI62" s="80">
        <v>177163</v>
      </c>
      <c r="FJ62" s="80">
        <v>177917</v>
      </c>
      <c r="FN62" s="108">
        <f t="shared" si="76"/>
        <v>0</v>
      </c>
      <c r="FO62" s="108">
        <f t="shared" si="77"/>
        <v>0</v>
      </c>
      <c r="FP62" s="108">
        <f t="shared" si="11"/>
        <v>0</v>
      </c>
      <c r="FQ62" s="108">
        <f t="shared" si="12"/>
        <v>0</v>
      </c>
      <c r="FR62" s="108">
        <f t="shared" si="13"/>
        <v>0</v>
      </c>
      <c r="FS62" s="108">
        <f t="shared" si="14"/>
        <v>0</v>
      </c>
      <c r="FT62" s="108">
        <f t="shared" si="15"/>
        <v>0</v>
      </c>
      <c r="FU62" s="108">
        <f t="shared" si="16"/>
        <v>0</v>
      </c>
      <c r="FV62" s="108">
        <f t="shared" si="17"/>
        <v>384017</v>
      </c>
      <c r="FW62" s="108">
        <f t="shared" si="18"/>
        <v>437502</v>
      </c>
      <c r="FX62" s="108">
        <f t="shared" si="19"/>
        <v>406255</v>
      </c>
      <c r="FY62" s="108">
        <f t="shared" si="20"/>
        <v>293532</v>
      </c>
      <c r="FZ62" s="108">
        <f t="shared" si="21"/>
        <v>389417</v>
      </c>
      <c r="GA62" s="108">
        <f t="shared" si="22"/>
        <v>433767</v>
      </c>
      <c r="GB62" s="108">
        <f t="shared" si="23"/>
        <v>352374</v>
      </c>
      <c r="GC62" s="108">
        <f t="shared" si="24"/>
        <v>283737</v>
      </c>
      <c r="GD62" s="108">
        <f t="shared" si="25"/>
        <v>323660</v>
      </c>
      <c r="GE62" s="108">
        <f t="shared" si="26"/>
        <v>317869</v>
      </c>
      <c r="GF62" s="108">
        <f t="shared" si="27"/>
        <v>289534</v>
      </c>
      <c r="GG62" s="108">
        <f t="shared" si="28"/>
        <v>287478</v>
      </c>
      <c r="GH62" s="108">
        <f t="shared" si="29"/>
        <v>349152</v>
      </c>
      <c r="GI62" s="108">
        <f t="shared" si="30"/>
        <v>334724</v>
      </c>
      <c r="GJ62" s="108">
        <f t="shared" si="31"/>
        <v>352079</v>
      </c>
      <c r="GK62" s="108">
        <f t="shared" si="32"/>
        <v>358802</v>
      </c>
      <c r="GL62" s="108">
        <f t="shared" si="33"/>
        <v>435730</v>
      </c>
      <c r="GM62" s="108">
        <f t="shared" si="34"/>
        <v>433643</v>
      </c>
      <c r="GN62" s="108">
        <f t="shared" si="35"/>
        <v>434291</v>
      </c>
      <c r="GO62" s="108">
        <f t="shared" si="36"/>
        <v>391889</v>
      </c>
      <c r="GP62" s="108">
        <f t="shared" si="37"/>
        <v>471691</v>
      </c>
      <c r="GQ62" s="108">
        <f t="shared" si="38"/>
        <v>462890</v>
      </c>
      <c r="GR62" s="108">
        <f t="shared" si="39"/>
        <v>484183</v>
      </c>
      <c r="GS62" s="108">
        <f t="shared" si="40"/>
        <v>450456</v>
      </c>
      <c r="GT62" s="108">
        <f t="shared" si="41"/>
        <v>181939</v>
      </c>
      <c r="GU62" s="108">
        <f t="shared" si="42"/>
        <v>414271</v>
      </c>
      <c r="GV62" s="108">
        <f t="shared" si="43"/>
        <v>608398</v>
      </c>
      <c r="GW62" s="108">
        <f t="shared" si="44"/>
        <v>559901</v>
      </c>
      <c r="GX62" s="108">
        <f t="shared" si="45"/>
        <v>556753</v>
      </c>
      <c r="GY62" s="108">
        <f t="shared" si="46"/>
        <v>541767</v>
      </c>
      <c r="GZ62" s="108">
        <f t="shared" si="80"/>
        <v>577261</v>
      </c>
      <c r="HA62" s="108">
        <f t="shared" si="81"/>
        <v>519991</v>
      </c>
      <c r="HB62" s="108">
        <f t="shared" si="82"/>
        <v>532740</v>
      </c>
      <c r="HC62" s="108">
        <f t="shared" si="83"/>
        <v>397900</v>
      </c>
      <c r="HD62" s="108">
        <f t="shared" si="84"/>
        <v>395896</v>
      </c>
      <c r="HE62" s="108">
        <f t="shared" si="85"/>
        <v>310415</v>
      </c>
      <c r="HF62" s="108">
        <f t="shared" si="86"/>
        <v>346325</v>
      </c>
      <c r="HG62" s="108">
        <f t="shared" si="87"/>
        <v>376263</v>
      </c>
      <c r="HH62" s="108">
        <f t="shared" si="88"/>
        <v>384740</v>
      </c>
      <c r="HI62" s="108">
        <f t="shared" si="89"/>
        <v>369936</v>
      </c>
      <c r="HJ62" s="108">
        <f t="shared" si="116"/>
        <v>368418</v>
      </c>
      <c r="HK62" s="108">
        <f t="shared" si="122"/>
        <v>396407</v>
      </c>
      <c r="HL62" s="108">
        <f t="shared" si="123"/>
        <v>466766</v>
      </c>
      <c r="HM62" s="108">
        <f t="shared" si="124"/>
        <v>442344</v>
      </c>
      <c r="HN62" s="108">
        <f t="shared" si="125"/>
        <v>419447</v>
      </c>
      <c r="HO62" s="108">
        <f t="shared" si="126"/>
        <v>472201</v>
      </c>
      <c r="HP62" s="108">
        <f t="shared" si="127"/>
        <v>530806</v>
      </c>
      <c r="HQ62" s="108"/>
      <c r="HU62" s="109">
        <f t="shared" si="63"/>
        <v>0</v>
      </c>
      <c r="HV62" s="110">
        <f t="shared" si="64"/>
        <v>0</v>
      </c>
      <c r="HW62" s="110">
        <f t="shared" si="65"/>
        <v>1521306</v>
      </c>
      <c r="HX62" s="111">
        <f t="shared" si="66"/>
        <v>1459295</v>
      </c>
      <c r="HY62" s="112">
        <f t="shared" si="67"/>
        <v>1218541</v>
      </c>
      <c r="HZ62" s="112">
        <f t="shared" si="68"/>
        <v>1394757</v>
      </c>
      <c r="IA62" s="112">
        <f t="shared" si="69"/>
        <v>1695553</v>
      </c>
      <c r="IB62" s="112">
        <f t="shared" si="70"/>
        <v>1869220</v>
      </c>
      <c r="IC62" s="112">
        <f t="shared" si="71"/>
        <v>1764509</v>
      </c>
      <c r="ID62" s="112">
        <f t="shared" si="96"/>
        <v>2195772</v>
      </c>
      <c r="IE62" s="112">
        <f t="shared" si="97"/>
        <v>1636951</v>
      </c>
      <c r="IF62" s="112">
        <f t="shared" si="98"/>
        <v>1477264</v>
      </c>
      <c r="IG62" s="112">
        <f t="shared" si="99"/>
        <v>1673935</v>
      </c>
    </row>
    <row r="63" spans="1:241" outlineLevel="2" x14ac:dyDescent="0.3">
      <c r="A63" s="119" t="s">
        <v>127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>
        <v>0</v>
      </c>
      <c r="AA63" s="70">
        <v>0</v>
      </c>
      <c r="AB63" s="70">
        <v>0</v>
      </c>
      <c r="AC63" s="70">
        <v>0</v>
      </c>
      <c r="AD63" s="70">
        <v>144</v>
      </c>
      <c r="AE63" s="70">
        <v>0</v>
      </c>
      <c r="AF63" s="70">
        <v>168</v>
      </c>
      <c r="AG63" s="70">
        <v>142</v>
      </c>
      <c r="AH63" s="70">
        <v>0</v>
      </c>
      <c r="AI63" s="70">
        <v>307</v>
      </c>
      <c r="AJ63" s="70">
        <v>648</v>
      </c>
      <c r="AK63" s="70">
        <v>720</v>
      </c>
      <c r="AL63" s="70">
        <v>0</v>
      </c>
      <c r="AM63" s="70">
        <v>0</v>
      </c>
      <c r="AN63" s="70">
        <v>0</v>
      </c>
      <c r="AO63" s="70">
        <v>424</v>
      </c>
      <c r="AP63" s="70">
        <v>792</v>
      </c>
      <c r="AQ63" s="70">
        <v>847</v>
      </c>
      <c r="AR63" s="70">
        <v>477</v>
      </c>
      <c r="AS63" s="70">
        <v>129</v>
      </c>
      <c r="AT63" s="70">
        <v>1035</v>
      </c>
      <c r="AU63" s="70">
        <v>408</v>
      </c>
      <c r="AV63" s="70">
        <v>528</v>
      </c>
      <c r="AW63" s="70">
        <v>601</v>
      </c>
      <c r="AX63" s="70">
        <v>528</v>
      </c>
      <c r="AY63" s="70">
        <v>336</v>
      </c>
      <c r="AZ63" s="70">
        <v>124</v>
      </c>
      <c r="BA63" s="70">
        <v>603</v>
      </c>
      <c r="BB63" s="70">
        <v>503</v>
      </c>
      <c r="BC63" s="70">
        <v>602</v>
      </c>
      <c r="BD63" s="70">
        <v>733</v>
      </c>
      <c r="BE63" s="70">
        <v>528</v>
      </c>
      <c r="BF63" s="70">
        <v>587</v>
      </c>
      <c r="BG63" s="70">
        <v>630</v>
      </c>
      <c r="BH63" s="70">
        <v>264</v>
      </c>
      <c r="BI63" s="70">
        <v>0</v>
      </c>
      <c r="BJ63" s="70">
        <v>600</v>
      </c>
      <c r="BK63" s="70">
        <v>477</v>
      </c>
      <c r="BL63" s="70">
        <v>192</v>
      </c>
      <c r="BM63" s="70">
        <v>960</v>
      </c>
      <c r="BN63" s="70">
        <v>651</v>
      </c>
      <c r="BO63" s="70">
        <v>651</v>
      </c>
      <c r="BP63" s="70">
        <v>164</v>
      </c>
      <c r="BQ63" s="70">
        <v>384</v>
      </c>
      <c r="BR63" s="70">
        <v>559</v>
      </c>
      <c r="BS63" s="70">
        <v>390</v>
      </c>
      <c r="BT63" s="70">
        <v>432</v>
      </c>
      <c r="BU63" s="70">
        <v>648</v>
      </c>
      <c r="BV63" s="70">
        <v>553</v>
      </c>
      <c r="BW63" s="70">
        <v>528</v>
      </c>
      <c r="BX63" s="70">
        <v>264</v>
      </c>
      <c r="BY63" s="70">
        <v>596</v>
      </c>
      <c r="BZ63" s="70">
        <v>324</v>
      </c>
      <c r="CA63" s="70">
        <v>782</v>
      </c>
      <c r="CB63" s="70">
        <v>1005</v>
      </c>
      <c r="CC63" s="70">
        <v>707</v>
      </c>
      <c r="CD63" s="70">
        <v>300</v>
      </c>
      <c r="CE63" s="70">
        <v>0</v>
      </c>
      <c r="CF63" s="70">
        <v>161</v>
      </c>
      <c r="CG63" s="70">
        <v>175</v>
      </c>
      <c r="CH63" s="70">
        <v>243</v>
      </c>
      <c r="CI63" s="70">
        <v>36</v>
      </c>
      <c r="CJ63" s="70">
        <v>104</v>
      </c>
      <c r="CK63" s="70">
        <v>153</v>
      </c>
      <c r="CL63" s="70">
        <v>255</v>
      </c>
      <c r="CM63" s="70">
        <v>223</v>
      </c>
      <c r="CN63" s="70">
        <v>318</v>
      </c>
      <c r="CO63" s="70">
        <v>228</v>
      </c>
      <c r="CP63" s="70">
        <v>147</v>
      </c>
      <c r="CQ63" s="70">
        <v>151</v>
      </c>
      <c r="CR63" s="70">
        <v>278</v>
      </c>
      <c r="CS63" s="70">
        <v>0</v>
      </c>
      <c r="CT63" s="70"/>
      <c r="CU63" s="70">
        <v>117</v>
      </c>
      <c r="CV63" s="70">
        <v>112</v>
      </c>
      <c r="CW63" s="70">
        <v>221</v>
      </c>
      <c r="CX63" s="70">
        <v>211</v>
      </c>
      <c r="CY63" s="70">
        <v>260</v>
      </c>
      <c r="CZ63" s="70">
        <v>0</v>
      </c>
      <c r="DA63" s="70">
        <v>0</v>
      </c>
      <c r="DB63" s="70">
        <v>0</v>
      </c>
      <c r="DC63" s="70">
        <v>0</v>
      </c>
      <c r="DD63" s="70">
        <v>0</v>
      </c>
      <c r="DE63" s="70">
        <v>0</v>
      </c>
      <c r="DF63" s="70"/>
      <c r="DG63" s="70"/>
      <c r="DH63" s="70"/>
      <c r="DI63" s="70"/>
      <c r="DJ63" s="70"/>
      <c r="DK63" s="70">
        <v>0</v>
      </c>
      <c r="DL63" s="70">
        <v>0</v>
      </c>
      <c r="DM63" s="70">
        <v>0</v>
      </c>
      <c r="DN63" s="70">
        <v>0</v>
      </c>
      <c r="DO63" s="70">
        <v>0</v>
      </c>
      <c r="DP63" s="70">
        <v>0</v>
      </c>
      <c r="DQ63" s="70">
        <v>0</v>
      </c>
      <c r="DR63" s="70"/>
      <c r="DS63" s="70"/>
      <c r="DT63" s="70"/>
      <c r="DU63" s="70"/>
      <c r="DV63" s="70"/>
      <c r="DW63" s="70"/>
      <c r="DX63" s="70"/>
      <c r="DY63" s="70"/>
      <c r="DZ63" s="70"/>
      <c r="EA63" s="70"/>
      <c r="EB63" s="70"/>
      <c r="EC63" s="70"/>
      <c r="ED63" s="70"/>
      <c r="EE63" s="70"/>
      <c r="EF63" s="70"/>
      <c r="EG63" s="70"/>
      <c r="EH63" s="70"/>
      <c r="EI63" s="70"/>
      <c r="EJ63" s="70"/>
      <c r="EK63" s="70"/>
      <c r="EL63" s="70"/>
      <c r="EM63" s="70"/>
      <c r="EN63" s="70"/>
      <c r="EO63" s="70"/>
      <c r="EP63" s="70"/>
      <c r="EQ63" s="70"/>
      <c r="ER63" s="70"/>
      <c r="ES63" s="70"/>
      <c r="ET63" s="70"/>
      <c r="EU63" s="70"/>
      <c r="EV63" s="70"/>
      <c r="EW63" s="70"/>
      <c r="EX63" s="70"/>
      <c r="EY63" s="70"/>
      <c r="EZ63" s="70"/>
      <c r="FA63" s="70"/>
      <c r="FB63" s="70"/>
      <c r="FC63" s="70"/>
      <c r="FD63" s="70"/>
      <c r="FE63" s="70"/>
      <c r="FF63" s="70"/>
      <c r="FG63" s="70"/>
      <c r="FH63" s="70"/>
      <c r="FI63" s="70"/>
      <c r="FJ63" s="70"/>
      <c r="FN63" s="114">
        <f t="shared" si="76"/>
        <v>0</v>
      </c>
      <c r="FO63" s="114">
        <f t="shared" si="77"/>
        <v>0</v>
      </c>
      <c r="FP63" s="114">
        <f t="shared" si="11"/>
        <v>0</v>
      </c>
      <c r="FQ63" s="114">
        <f t="shared" si="12"/>
        <v>0</v>
      </c>
      <c r="FR63" s="114">
        <f t="shared" si="13"/>
        <v>0</v>
      </c>
      <c r="FS63" s="114">
        <f t="shared" si="14"/>
        <v>0</v>
      </c>
      <c r="FT63" s="114">
        <f t="shared" si="15"/>
        <v>0</v>
      </c>
      <c r="FU63" s="114">
        <f t="shared" si="16"/>
        <v>0</v>
      </c>
      <c r="FV63" s="114">
        <f t="shared" si="17"/>
        <v>0</v>
      </c>
      <c r="FW63" s="114">
        <f t="shared" si="18"/>
        <v>144</v>
      </c>
      <c r="FX63" s="114">
        <f t="shared" si="19"/>
        <v>310</v>
      </c>
      <c r="FY63" s="114">
        <f t="shared" si="20"/>
        <v>1675</v>
      </c>
      <c r="FZ63" s="114">
        <f t="shared" si="21"/>
        <v>0</v>
      </c>
      <c r="GA63" s="114">
        <f t="shared" si="22"/>
        <v>2063</v>
      </c>
      <c r="GB63" s="114">
        <f t="shared" si="23"/>
        <v>1641</v>
      </c>
      <c r="GC63" s="114">
        <f t="shared" si="24"/>
        <v>1537</v>
      </c>
      <c r="GD63" s="114">
        <f t="shared" si="25"/>
        <v>988</v>
      </c>
      <c r="GE63" s="114">
        <f t="shared" si="26"/>
        <v>1708</v>
      </c>
      <c r="GF63" s="114">
        <f t="shared" si="27"/>
        <v>1848</v>
      </c>
      <c r="GG63" s="114">
        <f t="shared" si="28"/>
        <v>894</v>
      </c>
      <c r="GH63" s="114">
        <f t="shared" si="29"/>
        <v>1269</v>
      </c>
      <c r="GI63" s="114">
        <f t="shared" si="30"/>
        <v>2262</v>
      </c>
      <c r="GJ63" s="114">
        <f t="shared" si="31"/>
        <v>1107</v>
      </c>
      <c r="GK63" s="114">
        <f t="shared" si="32"/>
        <v>1470</v>
      </c>
      <c r="GL63" s="114">
        <f t="shared" si="33"/>
        <v>1345</v>
      </c>
      <c r="GM63" s="114">
        <f t="shared" si="34"/>
        <v>1702</v>
      </c>
      <c r="GN63" s="114">
        <f t="shared" si="35"/>
        <v>2012</v>
      </c>
      <c r="GO63" s="114">
        <f t="shared" si="36"/>
        <v>336</v>
      </c>
      <c r="GP63" s="114">
        <f t="shared" si="37"/>
        <v>383</v>
      </c>
      <c r="GQ63" s="114">
        <f t="shared" si="38"/>
        <v>631</v>
      </c>
      <c r="GR63" s="114">
        <f t="shared" si="39"/>
        <v>693</v>
      </c>
      <c r="GS63" s="114">
        <f t="shared" si="40"/>
        <v>429</v>
      </c>
      <c r="GT63" s="114">
        <f t="shared" si="41"/>
        <v>229</v>
      </c>
      <c r="GU63" s="114">
        <f t="shared" si="42"/>
        <v>692</v>
      </c>
      <c r="GV63" s="114">
        <f t="shared" si="43"/>
        <v>0</v>
      </c>
      <c r="GW63" s="114">
        <f t="shared" si="44"/>
        <v>0</v>
      </c>
      <c r="GX63" s="114">
        <f t="shared" si="45"/>
        <v>0</v>
      </c>
      <c r="GY63" s="114">
        <f t="shared" si="46"/>
        <v>0</v>
      </c>
      <c r="GZ63" s="114">
        <f t="shared" si="80"/>
        <v>0</v>
      </c>
      <c r="HA63" s="114">
        <f t="shared" si="81"/>
        <v>0</v>
      </c>
      <c r="HB63" s="114">
        <f t="shared" si="82"/>
        <v>0</v>
      </c>
      <c r="HC63" s="114">
        <f t="shared" si="83"/>
        <v>0</v>
      </c>
      <c r="HD63" s="114">
        <f t="shared" si="84"/>
        <v>0</v>
      </c>
      <c r="HE63" s="114">
        <f t="shared" si="85"/>
        <v>0</v>
      </c>
      <c r="HF63" s="114">
        <f t="shared" si="86"/>
        <v>0</v>
      </c>
      <c r="HG63" s="114">
        <f t="shared" si="87"/>
        <v>0</v>
      </c>
      <c r="HH63" s="114">
        <f t="shared" si="88"/>
        <v>0</v>
      </c>
      <c r="HI63" s="114">
        <f t="shared" si="89"/>
        <v>0</v>
      </c>
      <c r="HJ63" s="114">
        <f t="shared" si="116"/>
        <v>0</v>
      </c>
      <c r="HK63" s="114">
        <f t="shared" si="122"/>
        <v>0</v>
      </c>
      <c r="HL63" s="114">
        <f t="shared" si="123"/>
        <v>0</v>
      </c>
      <c r="HM63" s="114">
        <f t="shared" si="124"/>
        <v>0</v>
      </c>
      <c r="HN63" s="114">
        <f t="shared" si="125"/>
        <v>0</v>
      </c>
      <c r="HO63" s="114">
        <f t="shared" si="126"/>
        <v>0</v>
      </c>
      <c r="HP63" s="114">
        <f t="shared" si="127"/>
        <v>0</v>
      </c>
      <c r="HQ63" s="114"/>
      <c r="HU63" s="115">
        <f t="shared" si="63"/>
        <v>0</v>
      </c>
      <c r="HV63" s="116">
        <f t="shared" si="64"/>
        <v>0</v>
      </c>
      <c r="HW63" s="116">
        <f t="shared" si="65"/>
        <v>2129</v>
      </c>
      <c r="HX63" s="117">
        <f t="shared" si="66"/>
        <v>5241</v>
      </c>
      <c r="HY63" s="118">
        <f t="shared" si="67"/>
        <v>5438</v>
      </c>
      <c r="HZ63" s="118">
        <f t="shared" si="68"/>
        <v>6108</v>
      </c>
      <c r="IA63" s="118">
        <f t="shared" si="69"/>
        <v>5395</v>
      </c>
      <c r="IB63" s="118">
        <f t="shared" si="70"/>
        <v>2136</v>
      </c>
      <c r="IC63" s="118">
        <f t="shared" si="71"/>
        <v>921</v>
      </c>
      <c r="ID63" s="118">
        <f t="shared" si="96"/>
        <v>0</v>
      </c>
      <c r="IE63" s="118">
        <f t="shared" si="97"/>
        <v>0</v>
      </c>
      <c r="IF63" s="118">
        <f t="shared" si="98"/>
        <v>0</v>
      </c>
      <c r="IG63" s="118">
        <f t="shared" si="99"/>
        <v>0</v>
      </c>
    </row>
    <row r="64" spans="1:241" outlineLevel="2" x14ac:dyDescent="0.3">
      <c r="A64" s="106" t="s">
        <v>117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>
        <v>10176</v>
      </c>
      <c r="AA64" s="80">
        <v>11056</v>
      </c>
      <c r="AB64" s="80">
        <v>8799</v>
      </c>
      <c r="AC64" s="80">
        <v>9127</v>
      </c>
      <c r="AD64" s="80">
        <v>10641</v>
      </c>
      <c r="AE64" s="80">
        <v>11428</v>
      </c>
      <c r="AF64" s="80">
        <v>7940</v>
      </c>
      <c r="AG64" s="80">
        <v>9678</v>
      </c>
      <c r="AH64" s="80">
        <v>11020</v>
      </c>
      <c r="AI64" s="80">
        <v>11758</v>
      </c>
      <c r="AJ64" s="80">
        <v>8158</v>
      </c>
      <c r="AK64" s="80">
        <v>10280</v>
      </c>
      <c r="AL64" s="80">
        <v>6983</v>
      </c>
      <c r="AM64" s="80">
        <v>8125</v>
      </c>
      <c r="AN64" s="80">
        <v>10295</v>
      </c>
      <c r="AO64" s="80">
        <v>13133</v>
      </c>
      <c r="AP64" s="80">
        <v>14082</v>
      </c>
      <c r="AQ64" s="80">
        <v>15278</v>
      </c>
      <c r="AR64" s="80">
        <v>10243</v>
      </c>
      <c r="AS64" s="80">
        <v>6351</v>
      </c>
      <c r="AT64" s="80">
        <v>12805</v>
      </c>
      <c r="AU64" s="80">
        <v>9536</v>
      </c>
      <c r="AV64" s="80">
        <v>9026</v>
      </c>
      <c r="AW64" s="80">
        <v>16861</v>
      </c>
      <c r="AX64" s="80">
        <v>9716</v>
      </c>
      <c r="AY64" s="80">
        <v>12596</v>
      </c>
      <c r="AZ64" s="80">
        <v>8685</v>
      </c>
      <c r="BA64" s="80">
        <v>8868</v>
      </c>
      <c r="BB64" s="80">
        <v>12028</v>
      </c>
      <c r="BC64" s="80">
        <v>12775</v>
      </c>
      <c r="BD64" s="80">
        <v>10534</v>
      </c>
      <c r="BE64" s="80">
        <v>9038</v>
      </c>
      <c r="BF64" s="80">
        <v>15649</v>
      </c>
      <c r="BG64" s="80">
        <v>11623</v>
      </c>
      <c r="BH64" s="80">
        <v>8995</v>
      </c>
      <c r="BI64" s="80">
        <v>20072</v>
      </c>
      <c r="BJ64" s="80">
        <v>8416</v>
      </c>
      <c r="BK64" s="80">
        <v>18259</v>
      </c>
      <c r="BL64" s="80">
        <v>9740</v>
      </c>
      <c r="BM64" s="80">
        <v>10207</v>
      </c>
      <c r="BN64" s="80">
        <v>15089</v>
      </c>
      <c r="BO64" s="80">
        <v>15028</v>
      </c>
      <c r="BP64" s="80">
        <v>9074</v>
      </c>
      <c r="BQ64" s="80">
        <v>14475</v>
      </c>
      <c r="BR64" s="80">
        <v>15130</v>
      </c>
      <c r="BS64" s="80">
        <v>19606</v>
      </c>
      <c r="BT64" s="80">
        <v>20784</v>
      </c>
      <c r="BU64" s="80">
        <v>22348</v>
      </c>
      <c r="BV64" s="80">
        <v>14541</v>
      </c>
      <c r="BW64" s="80">
        <v>12398</v>
      </c>
      <c r="BX64" s="80">
        <v>12883</v>
      </c>
      <c r="BY64" s="80">
        <v>14843</v>
      </c>
      <c r="BZ64" s="80">
        <v>20695</v>
      </c>
      <c r="CA64" s="80">
        <v>18683</v>
      </c>
      <c r="CB64" s="80">
        <v>15269</v>
      </c>
      <c r="CC64" s="80">
        <v>7789</v>
      </c>
      <c r="CD64" s="80">
        <v>16902</v>
      </c>
      <c r="CE64" s="80">
        <v>12134</v>
      </c>
      <c r="CF64" s="80">
        <v>14811</v>
      </c>
      <c r="CG64" s="80">
        <v>26237</v>
      </c>
      <c r="CH64" s="80">
        <v>5744</v>
      </c>
      <c r="CI64" s="80">
        <v>13445</v>
      </c>
      <c r="CJ64" s="80">
        <v>14152</v>
      </c>
      <c r="CK64" s="80">
        <v>22368</v>
      </c>
      <c r="CL64" s="80">
        <v>16911</v>
      </c>
      <c r="CM64" s="80">
        <v>10263</v>
      </c>
      <c r="CN64" s="80">
        <v>11000</v>
      </c>
      <c r="CO64" s="80">
        <v>9533</v>
      </c>
      <c r="CP64" s="80">
        <v>12418</v>
      </c>
      <c r="CQ64" s="80">
        <v>12461</v>
      </c>
      <c r="CR64" s="80">
        <v>16958</v>
      </c>
      <c r="CS64" s="80">
        <v>16314</v>
      </c>
      <c r="CT64" s="80"/>
      <c r="CU64" s="80">
        <v>3134</v>
      </c>
      <c r="CV64" s="80">
        <v>20439</v>
      </c>
      <c r="CW64" s="80">
        <v>7395</v>
      </c>
      <c r="CX64" s="80">
        <v>15049</v>
      </c>
      <c r="CY64" s="80">
        <v>10684</v>
      </c>
      <c r="CZ64" s="80">
        <v>14707</v>
      </c>
      <c r="DA64" s="80">
        <v>14781</v>
      </c>
      <c r="DB64" s="80">
        <v>18856</v>
      </c>
      <c r="DC64" s="80">
        <v>15759</v>
      </c>
      <c r="DD64" s="80">
        <v>20326</v>
      </c>
      <c r="DE64" s="80">
        <v>30833</v>
      </c>
      <c r="DF64" s="80">
        <v>28814</v>
      </c>
      <c r="DG64" s="80">
        <v>22509</v>
      </c>
      <c r="DH64" s="80">
        <v>29012</v>
      </c>
      <c r="DI64" s="80">
        <v>24332</v>
      </c>
      <c r="DJ64" s="80">
        <v>21052</v>
      </c>
      <c r="DK64" s="80">
        <v>24098</v>
      </c>
      <c r="DL64" s="80">
        <v>19706</v>
      </c>
      <c r="DM64" s="80">
        <v>20113</v>
      </c>
      <c r="DN64" s="80">
        <v>19815</v>
      </c>
      <c r="DO64" s="80">
        <v>21172</v>
      </c>
      <c r="DP64" s="80">
        <v>26290</v>
      </c>
      <c r="DQ64" s="80">
        <v>33218</v>
      </c>
      <c r="DR64" s="80">
        <v>19574</v>
      </c>
      <c r="DS64" s="80">
        <v>19692</v>
      </c>
      <c r="DT64" s="80">
        <v>20200</v>
      </c>
      <c r="DU64" s="80">
        <v>14150</v>
      </c>
      <c r="DV64" s="80">
        <v>11184</v>
      </c>
      <c r="DW64" s="80">
        <v>11521</v>
      </c>
      <c r="DX64" s="80">
        <v>11309</v>
      </c>
      <c r="DY64" s="80">
        <v>10214</v>
      </c>
      <c r="DZ64" s="80">
        <v>10782</v>
      </c>
      <c r="EA64" s="80">
        <v>7171</v>
      </c>
      <c r="EB64" s="80">
        <v>11689</v>
      </c>
      <c r="EC64" s="80">
        <v>14416</v>
      </c>
      <c r="ED64" s="80">
        <v>8030</v>
      </c>
      <c r="EE64" s="80">
        <v>10427</v>
      </c>
      <c r="EF64" s="80">
        <v>11425</v>
      </c>
      <c r="EG64" s="80">
        <v>16023</v>
      </c>
      <c r="EH64" s="80">
        <v>12017</v>
      </c>
      <c r="EI64" s="80">
        <v>12583</v>
      </c>
      <c r="EJ64" s="80">
        <v>12501</v>
      </c>
      <c r="EK64" s="80">
        <v>11206</v>
      </c>
      <c r="EL64" s="80">
        <v>15116</v>
      </c>
      <c r="EM64" s="80">
        <v>12304</v>
      </c>
      <c r="EN64" s="80">
        <v>22052</v>
      </c>
      <c r="EO64" s="80">
        <v>26903</v>
      </c>
      <c r="EP64" s="80">
        <v>14960</v>
      </c>
      <c r="EQ64" s="80">
        <v>16538</v>
      </c>
      <c r="ER64" s="80">
        <v>10683</v>
      </c>
      <c r="ES64" s="80">
        <v>20018</v>
      </c>
      <c r="ET64" s="80">
        <v>17659</v>
      </c>
      <c r="EU64" s="80">
        <v>19316</v>
      </c>
      <c r="EV64" s="80">
        <v>21104</v>
      </c>
      <c r="EW64" s="80">
        <v>16562</v>
      </c>
      <c r="EX64" s="80">
        <v>28910</v>
      </c>
      <c r="EY64" s="80">
        <v>26079</v>
      </c>
      <c r="EZ64" s="80">
        <v>30309</v>
      </c>
      <c r="FA64" s="80">
        <v>36280</v>
      </c>
      <c r="FB64" s="80">
        <v>15546</v>
      </c>
      <c r="FC64" s="80">
        <v>18703</v>
      </c>
      <c r="FD64" s="80">
        <v>26294</v>
      </c>
      <c r="FE64" s="80">
        <v>34207</v>
      </c>
      <c r="FF64" s="80">
        <v>30688</v>
      </c>
      <c r="FG64" s="80">
        <v>35844</v>
      </c>
      <c r="FH64" s="80">
        <v>27643</v>
      </c>
      <c r="FI64" s="80">
        <v>26941</v>
      </c>
      <c r="FJ64" s="80">
        <v>28793</v>
      </c>
      <c r="FN64" s="108">
        <f t="shared" si="76"/>
        <v>0</v>
      </c>
      <c r="FO64" s="108">
        <f t="shared" si="77"/>
        <v>0</v>
      </c>
      <c r="FP64" s="108">
        <f t="shared" si="11"/>
        <v>0</v>
      </c>
      <c r="FQ64" s="108">
        <f t="shared" si="12"/>
        <v>0</v>
      </c>
      <c r="FR64" s="108">
        <f t="shared" si="13"/>
        <v>0</v>
      </c>
      <c r="FS64" s="108">
        <f t="shared" si="14"/>
        <v>0</v>
      </c>
      <c r="FT64" s="108">
        <f t="shared" si="15"/>
        <v>0</v>
      </c>
      <c r="FU64" s="108">
        <f t="shared" si="16"/>
        <v>0</v>
      </c>
      <c r="FV64" s="108">
        <f t="shared" si="17"/>
        <v>30031</v>
      </c>
      <c r="FW64" s="108">
        <f t="shared" si="18"/>
        <v>31196</v>
      </c>
      <c r="FX64" s="108">
        <f t="shared" si="19"/>
        <v>28638</v>
      </c>
      <c r="FY64" s="108">
        <f t="shared" si="20"/>
        <v>30196</v>
      </c>
      <c r="FZ64" s="108">
        <f t="shared" si="21"/>
        <v>25403</v>
      </c>
      <c r="GA64" s="108">
        <f t="shared" si="22"/>
        <v>42493</v>
      </c>
      <c r="GB64" s="108">
        <f t="shared" si="23"/>
        <v>29399</v>
      </c>
      <c r="GC64" s="108">
        <f t="shared" si="24"/>
        <v>35423</v>
      </c>
      <c r="GD64" s="108">
        <f t="shared" si="25"/>
        <v>30997</v>
      </c>
      <c r="GE64" s="108">
        <f t="shared" si="26"/>
        <v>33671</v>
      </c>
      <c r="GF64" s="108">
        <f t="shared" si="27"/>
        <v>35221</v>
      </c>
      <c r="GG64" s="108">
        <f t="shared" si="28"/>
        <v>40690</v>
      </c>
      <c r="GH64" s="108">
        <f t="shared" si="29"/>
        <v>36415</v>
      </c>
      <c r="GI64" s="108">
        <f t="shared" si="30"/>
        <v>40324</v>
      </c>
      <c r="GJ64" s="108">
        <f t="shared" si="31"/>
        <v>38679</v>
      </c>
      <c r="GK64" s="108">
        <f t="shared" si="32"/>
        <v>62738</v>
      </c>
      <c r="GL64" s="108">
        <f t="shared" si="33"/>
        <v>39822</v>
      </c>
      <c r="GM64" s="108">
        <f t="shared" si="34"/>
        <v>54221</v>
      </c>
      <c r="GN64" s="108">
        <f t="shared" si="35"/>
        <v>39960</v>
      </c>
      <c r="GO64" s="108">
        <f t="shared" si="36"/>
        <v>53182</v>
      </c>
      <c r="GP64" s="108">
        <f t="shared" si="37"/>
        <v>33341</v>
      </c>
      <c r="GQ64" s="108">
        <f t="shared" si="38"/>
        <v>49542</v>
      </c>
      <c r="GR64" s="108">
        <f t="shared" si="39"/>
        <v>32951</v>
      </c>
      <c r="GS64" s="108">
        <f t="shared" si="40"/>
        <v>45733</v>
      </c>
      <c r="GT64" s="108">
        <f t="shared" si="41"/>
        <v>23573</v>
      </c>
      <c r="GU64" s="108">
        <f t="shared" si="42"/>
        <v>33128</v>
      </c>
      <c r="GV64" s="108">
        <f t="shared" si="43"/>
        <v>48344</v>
      </c>
      <c r="GW64" s="108">
        <f t="shared" si="44"/>
        <v>66918</v>
      </c>
      <c r="GX64" s="108">
        <f t="shared" si="45"/>
        <v>80335</v>
      </c>
      <c r="GY64" s="108">
        <f t="shared" si="46"/>
        <v>69482</v>
      </c>
      <c r="GZ64" s="108">
        <f t="shared" si="80"/>
        <v>59634</v>
      </c>
      <c r="HA64" s="108">
        <f t="shared" si="81"/>
        <v>80680</v>
      </c>
      <c r="HB64" s="108">
        <f t="shared" si="82"/>
        <v>59466</v>
      </c>
      <c r="HC64" s="108">
        <f t="shared" si="83"/>
        <v>36855</v>
      </c>
      <c r="HD64" s="108">
        <f t="shared" si="84"/>
        <v>32305</v>
      </c>
      <c r="HE64" s="108">
        <f t="shared" si="85"/>
        <v>33276</v>
      </c>
      <c r="HF64" s="108">
        <f t="shared" si="86"/>
        <v>29882</v>
      </c>
      <c r="HG64" s="108">
        <f t="shared" si="87"/>
        <v>40623</v>
      </c>
      <c r="HH64" s="108">
        <f t="shared" si="88"/>
        <v>38823</v>
      </c>
      <c r="HI64" s="108">
        <f t="shared" si="89"/>
        <v>61259</v>
      </c>
      <c r="HJ64" s="108">
        <f t="shared" si="116"/>
        <v>42181</v>
      </c>
      <c r="HK64" s="108">
        <f t="shared" si="122"/>
        <v>56993</v>
      </c>
      <c r="HL64" s="108">
        <f t="shared" si="123"/>
        <v>66576</v>
      </c>
      <c r="HM64" s="108">
        <f t="shared" si="124"/>
        <v>92668</v>
      </c>
      <c r="HN64" s="108">
        <f t="shared" si="125"/>
        <v>60543</v>
      </c>
      <c r="HO64" s="108">
        <f t="shared" si="126"/>
        <v>100739</v>
      </c>
      <c r="HP64" s="108">
        <f t="shared" si="127"/>
        <v>83377</v>
      </c>
      <c r="HQ64" s="108"/>
      <c r="HU64" s="109">
        <f t="shared" si="63"/>
        <v>0</v>
      </c>
      <c r="HV64" s="110">
        <f t="shared" si="64"/>
        <v>0</v>
      </c>
      <c r="HW64" s="110">
        <f t="shared" si="65"/>
        <v>120061</v>
      </c>
      <c r="HX64" s="111">
        <f t="shared" si="66"/>
        <v>132718</v>
      </c>
      <c r="HY64" s="112">
        <f t="shared" si="67"/>
        <v>140579</v>
      </c>
      <c r="HZ64" s="112">
        <f t="shared" si="68"/>
        <v>178156</v>
      </c>
      <c r="IA64" s="112">
        <f t="shared" si="69"/>
        <v>187185</v>
      </c>
      <c r="IB64" s="112">
        <f t="shared" si="70"/>
        <v>161567</v>
      </c>
      <c r="IC64" s="112">
        <f t="shared" si="71"/>
        <v>171963</v>
      </c>
      <c r="ID64" s="112">
        <f t="shared" si="96"/>
        <v>290131</v>
      </c>
      <c r="IE64" s="112">
        <f t="shared" si="97"/>
        <v>161902</v>
      </c>
      <c r="IF64" s="112">
        <f t="shared" si="98"/>
        <v>170587</v>
      </c>
      <c r="IG64" s="112">
        <f t="shared" si="99"/>
        <v>258418</v>
      </c>
    </row>
    <row r="65" spans="1:241" outlineLevel="2" x14ac:dyDescent="0.3">
      <c r="A65" s="119" t="s">
        <v>118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>
        <v>6651</v>
      </c>
      <c r="AA65" s="70">
        <v>7654</v>
      </c>
      <c r="AB65" s="70">
        <v>8325</v>
      </c>
      <c r="AC65" s="70">
        <v>9734</v>
      </c>
      <c r="AD65" s="70">
        <v>9595</v>
      </c>
      <c r="AE65" s="70">
        <v>9685</v>
      </c>
      <c r="AF65" s="70">
        <v>6835</v>
      </c>
      <c r="AG65" s="70">
        <v>8987</v>
      </c>
      <c r="AH65" s="70">
        <v>12504</v>
      </c>
      <c r="AI65" s="70">
        <v>11824</v>
      </c>
      <c r="AJ65" s="70">
        <v>8862</v>
      </c>
      <c r="AK65" s="70">
        <v>9858</v>
      </c>
      <c r="AL65" s="70">
        <v>6714</v>
      </c>
      <c r="AM65" s="70">
        <v>7183</v>
      </c>
      <c r="AN65" s="70">
        <v>9330</v>
      </c>
      <c r="AO65" s="70">
        <v>9192</v>
      </c>
      <c r="AP65" s="70">
        <v>12343</v>
      </c>
      <c r="AQ65" s="70">
        <v>11172</v>
      </c>
      <c r="AR65" s="70">
        <v>9110</v>
      </c>
      <c r="AS65" s="70">
        <v>7331</v>
      </c>
      <c r="AT65" s="70">
        <v>6559</v>
      </c>
      <c r="AU65" s="70">
        <v>6183</v>
      </c>
      <c r="AV65" s="70">
        <v>6472</v>
      </c>
      <c r="AW65" s="70">
        <v>5314</v>
      </c>
      <c r="AX65" s="70">
        <v>8245</v>
      </c>
      <c r="AY65" s="70">
        <v>7380</v>
      </c>
      <c r="AZ65" s="70">
        <v>7901</v>
      </c>
      <c r="BA65" s="70">
        <v>10388</v>
      </c>
      <c r="BB65" s="70">
        <v>13209</v>
      </c>
      <c r="BC65" s="70">
        <v>10276</v>
      </c>
      <c r="BD65" s="70">
        <v>8237</v>
      </c>
      <c r="BE65" s="70">
        <v>10867</v>
      </c>
      <c r="BF65" s="70">
        <v>7940</v>
      </c>
      <c r="BG65" s="70">
        <v>11034</v>
      </c>
      <c r="BH65" s="70">
        <v>12132</v>
      </c>
      <c r="BI65" s="70">
        <v>12990</v>
      </c>
      <c r="BJ65" s="70">
        <v>13535</v>
      </c>
      <c r="BK65" s="70">
        <v>13116</v>
      </c>
      <c r="BL65" s="70">
        <v>13308</v>
      </c>
      <c r="BM65" s="70">
        <v>14847</v>
      </c>
      <c r="BN65" s="70">
        <v>16854</v>
      </c>
      <c r="BO65" s="70">
        <v>13141</v>
      </c>
      <c r="BP65" s="70">
        <v>12687</v>
      </c>
      <c r="BQ65" s="70">
        <v>11819</v>
      </c>
      <c r="BR65" s="70">
        <v>11775</v>
      </c>
      <c r="BS65" s="70">
        <v>12871</v>
      </c>
      <c r="BT65" s="70">
        <v>13105</v>
      </c>
      <c r="BU65" s="70">
        <v>12094</v>
      </c>
      <c r="BV65" s="70">
        <v>18980</v>
      </c>
      <c r="BW65" s="70">
        <v>16716</v>
      </c>
      <c r="BX65" s="70">
        <v>13742</v>
      </c>
      <c r="BY65" s="70">
        <v>16154</v>
      </c>
      <c r="BZ65" s="70">
        <v>12836</v>
      </c>
      <c r="CA65" s="70">
        <v>12540</v>
      </c>
      <c r="CB65" s="70">
        <v>13731</v>
      </c>
      <c r="CC65" s="70">
        <v>10345</v>
      </c>
      <c r="CD65" s="70">
        <v>8479</v>
      </c>
      <c r="CE65" s="70">
        <v>9941</v>
      </c>
      <c r="CF65" s="70">
        <v>8990</v>
      </c>
      <c r="CG65" s="70">
        <v>7931</v>
      </c>
      <c r="CH65" s="70">
        <v>16272</v>
      </c>
      <c r="CI65" s="70">
        <v>9830</v>
      </c>
      <c r="CJ65" s="70">
        <v>10314</v>
      </c>
      <c r="CK65" s="70">
        <v>11963</v>
      </c>
      <c r="CL65" s="70">
        <v>9499</v>
      </c>
      <c r="CM65" s="70">
        <v>12725</v>
      </c>
      <c r="CN65" s="70">
        <v>13230</v>
      </c>
      <c r="CO65" s="70">
        <v>9758</v>
      </c>
      <c r="CP65" s="70">
        <v>11788</v>
      </c>
      <c r="CQ65" s="70">
        <v>13072</v>
      </c>
      <c r="CR65" s="70">
        <v>10306</v>
      </c>
      <c r="CS65" s="70">
        <v>6134</v>
      </c>
      <c r="CT65" s="70"/>
      <c r="CU65" s="70">
        <v>144</v>
      </c>
      <c r="CV65" s="70">
        <v>4373</v>
      </c>
      <c r="CW65" s="70">
        <v>7845</v>
      </c>
      <c r="CX65" s="70">
        <v>11626</v>
      </c>
      <c r="CY65" s="70">
        <v>15239</v>
      </c>
      <c r="CZ65" s="70">
        <v>12859</v>
      </c>
      <c r="DA65" s="70">
        <v>12265</v>
      </c>
      <c r="DB65" s="70">
        <v>9521</v>
      </c>
      <c r="DC65" s="70">
        <v>8082</v>
      </c>
      <c r="DD65" s="70">
        <v>16925</v>
      </c>
      <c r="DE65" s="70">
        <v>8123</v>
      </c>
      <c r="DF65" s="70">
        <v>24617</v>
      </c>
      <c r="DG65" s="70">
        <v>8006</v>
      </c>
      <c r="DH65" s="70">
        <v>11169</v>
      </c>
      <c r="DI65" s="70">
        <v>24159</v>
      </c>
      <c r="DJ65" s="70">
        <v>15438</v>
      </c>
      <c r="DK65" s="70">
        <v>8058</v>
      </c>
      <c r="DL65" s="70">
        <v>14437</v>
      </c>
      <c r="DM65" s="70">
        <v>10628</v>
      </c>
      <c r="DN65" s="70">
        <v>8213</v>
      </c>
      <c r="DO65" s="70">
        <v>19396</v>
      </c>
      <c r="DP65" s="70">
        <v>12986</v>
      </c>
      <c r="DQ65" s="70">
        <v>5836</v>
      </c>
      <c r="DR65" s="70">
        <v>21339</v>
      </c>
      <c r="DS65" s="70">
        <v>16094</v>
      </c>
      <c r="DT65" s="70">
        <v>13178</v>
      </c>
      <c r="DU65" s="70">
        <v>13528</v>
      </c>
      <c r="DV65" s="70">
        <v>14119</v>
      </c>
      <c r="DW65" s="70">
        <v>17248</v>
      </c>
      <c r="DX65" s="70">
        <v>12362</v>
      </c>
      <c r="DY65" s="70">
        <v>8369</v>
      </c>
      <c r="DZ65" s="70">
        <v>7540</v>
      </c>
      <c r="EA65" s="70">
        <v>6804</v>
      </c>
      <c r="EB65" s="70">
        <v>6746</v>
      </c>
      <c r="EC65" s="70">
        <v>4329</v>
      </c>
      <c r="ED65" s="70">
        <v>17660</v>
      </c>
      <c r="EE65" s="70">
        <v>5478</v>
      </c>
      <c r="EF65" s="70">
        <v>7635</v>
      </c>
      <c r="EG65" s="70">
        <v>10781</v>
      </c>
      <c r="EH65" s="70">
        <v>9140</v>
      </c>
      <c r="EI65" s="70">
        <v>10219</v>
      </c>
      <c r="EJ65" s="70">
        <v>8964</v>
      </c>
      <c r="EK65" s="70">
        <v>6748</v>
      </c>
      <c r="EL65" s="70">
        <v>12002</v>
      </c>
      <c r="EM65" s="70">
        <v>14355</v>
      </c>
      <c r="EN65" s="70">
        <v>16736</v>
      </c>
      <c r="EO65" s="70">
        <v>12319</v>
      </c>
      <c r="EP65" s="70">
        <v>24526</v>
      </c>
      <c r="EQ65" s="70">
        <v>18368</v>
      </c>
      <c r="ER65" s="70">
        <v>14804</v>
      </c>
      <c r="ES65" s="70">
        <v>15905</v>
      </c>
      <c r="ET65" s="70">
        <v>14657</v>
      </c>
      <c r="EU65" s="70">
        <v>16408</v>
      </c>
      <c r="EV65" s="70">
        <v>16688</v>
      </c>
      <c r="EW65" s="70">
        <v>14254</v>
      </c>
      <c r="EX65" s="70">
        <v>16134</v>
      </c>
      <c r="EY65" s="70">
        <v>16723</v>
      </c>
      <c r="EZ65" s="70">
        <v>14241</v>
      </c>
      <c r="FA65" s="70">
        <v>10327</v>
      </c>
      <c r="FB65" s="70">
        <v>20788</v>
      </c>
      <c r="FC65" s="70">
        <v>21318</v>
      </c>
      <c r="FD65" s="70">
        <v>16746</v>
      </c>
      <c r="FE65" s="70">
        <v>20561</v>
      </c>
      <c r="FF65" s="70">
        <v>25077</v>
      </c>
      <c r="FG65" s="70">
        <v>28050</v>
      </c>
      <c r="FH65" s="70">
        <v>23919</v>
      </c>
      <c r="FI65" s="70">
        <v>25191</v>
      </c>
      <c r="FJ65" s="70">
        <v>23728</v>
      </c>
      <c r="FN65" s="114">
        <f t="shared" si="76"/>
        <v>0</v>
      </c>
      <c r="FO65" s="114">
        <f t="shared" si="77"/>
        <v>0</v>
      </c>
      <c r="FP65" s="114">
        <f t="shared" si="11"/>
        <v>0</v>
      </c>
      <c r="FQ65" s="114">
        <f t="shared" si="12"/>
        <v>0</v>
      </c>
      <c r="FR65" s="114">
        <f t="shared" si="13"/>
        <v>0</v>
      </c>
      <c r="FS65" s="114">
        <f t="shared" si="14"/>
        <v>0</v>
      </c>
      <c r="FT65" s="114">
        <f t="shared" si="15"/>
        <v>0</v>
      </c>
      <c r="FU65" s="114">
        <f t="shared" si="16"/>
        <v>0</v>
      </c>
      <c r="FV65" s="114">
        <f t="shared" si="17"/>
        <v>22630</v>
      </c>
      <c r="FW65" s="114">
        <f t="shared" si="18"/>
        <v>29014</v>
      </c>
      <c r="FX65" s="114">
        <f t="shared" si="19"/>
        <v>28326</v>
      </c>
      <c r="FY65" s="114">
        <f t="shared" si="20"/>
        <v>30544</v>
      </c>
      <c r="FZ65" s="114">
        <f t="shared" si="21"/>
        <v>23227</v>
      </c>
      <c r="GA65" s="114">
        <f t="shared" si="22"/>
        <v>32707</v>
      </c>
      <c r="GB65" s="114">
        <f t="shared" si="23"/>
        <v>23000</v>
      </c>
      <c r="GC65" s="114">
        <f t="shared" si="24"/>
        <v>17969</v>
      </c>
      <c r="GD65" s="114">
        <f t="shared" si="25"/>
        <v>23526</v>
      </c>
      <c r="GE65" s="114">
        <f t="shared" si="26"/>
        <v>33873</v>
      </c>
      <c r="GF65" s="114">
        <f t="shared" si="27"/>
        <v>27044</v>
      </c>
      <c r="GG65" s="114">
        <f t="shared" si="28"/>
        <v>36156</v>
      </c>
      <c r="GH65" s="114">
        <f t="shared" si="29"/>
        <v>39959</v>
      </c>
      <c r="GI65" s="114">
        <f t="shared" si="30"/>
        <v>44842</v>
      </c>
      <c r="GJ65" s="114">
        <f t="shared" si="31"/>
        <v>36281</v>
      </c>
      <c r="GK65" s="114">
        <f t="shared" si="32"/>
        <v>38070</v>
      </c>
      <c r="GL65" s="114">
        <f t="shared" si="33"/>
        <v>49438</v>
      </c>
      <c r="GM65" s="114">
        <f t="shared" si="34"/>
        <v>41530</v>
      </c>
      <c r="GN65" s="114">
        <f t="shared" si="35"/>
        <v>32555</v>
      </c>
      <c r="GO65" s="114">
        <f t="shared" si="36"/>
        <v>26862</v>
      </c>
      <c r="GP65" s="114">
        <f t="shared" si="37"/>
        <v>36416</v>
      </c>
      <c r="GQ65" s="114">
        <f t="shared" si="38"/>
        <v>34187</v>
      </c>
      <c r="GR65" s="114">
        <f t="shared" si="39"/>
        <v>34776</v>
      </c>
      <c r="GS65" s="114">
        <f t="shared" si="40"/>
        <v>29512</v>
      </c>
      <c r="GT65" s="114">
        <f t="shared" si="41"/>
        <v>4517</v>
      </c>
      <c r="GU65" s="114">
        <f t="shared" si="42"/>
        <v>34710</v>
      </c>
      <c r="GV65" s="114">
        <f t="shared" si="43"/>
        <v>34645</v>
      </c>
      <c r="GW65" s="114">
        <f t="shared" si="44"/>
        <v>33130</v>
      </c>
      <c r="GX65" s="114">
        <f t="shared" si="45"/>
        <v>43792</v>
      </c>
      <c r="GY65" s="114">
        <f t="shared" si="46"/>
        <v>47655</v>
      </c>
      <c r="GZ65" s="114">
        <f t="shared" si="80"/>
        <v>33278</v>
      </c>
      <c r="HA65" s="114">
        <f t="shared" si="81"/>
        <v>38218</v>
      </c>
      <c r="HB65" s="114">
        <f t="shared" si="82"/>
        <v>50611</v>
      </c>
      <c r="HC65" s="114">
        <f t="shared" si="83"/>
        <v>44895</v>
      </c>
      <c r="HD65" s="114">
        <f t="shared" si="84"/>
        <v>28271</v>
      </c>
      <c r="HE65" s="114">
        <f t="shared" si="85"/>
        <v>17879</v>
      </c>
      <c r="HF65" s="114">
        <f t="shared" si="86"/>
        <v>30773</v>
      </c>
      <c r="HG65" s="114">
        <f t="shared" si="87"/>
        <v>30140</v>
      </c>
      <c r="HH65" s="114">
        <f t="shared" si="88"/>
        <v>27714</v>
      </c>
      <c r="HI65" s="114">
        <f t="shared" si="89"/>
        <v>43410</v>
      </c>
      <c r="HJ65" s="114">
        <f t="shared" si="116"/>
        <v>57698</v>
      </c>
      <c r="HK65" s="114">
        <f t="shared" si="122"/>
        <v>46970</v>
      </c>
      <c r="HL65" s="114">
        <f t="shared" si="123"/>
        <v>47076</v>
      </c>
      <c r="HM65" s="114">
        <f t="shared" si="124"/>
        <v>41291</v>
      </c>
      <c r="HN65" s="114">
        <f t="shared" si="125"/>
        <v>58852</v>
      </c>
      <c r="HO65" s="114">
        <f t="shared" si="126"/>
        <v>73688</v>
      </c>
      <c r="HP65" s="114">
        <f t="shared" si="127"/>
        <v>72838</v>
      </c>
      <c r="HQ65" s="114"/>
      <c r="HU65" s="115">
        <f t="shared" si="63"/>
        <v>0</v>
      </c>
      <c r="HV65" s="116">
        <f t="shared" si="64"/>
        <v>0</v>
      </c>
      <c r="HW65" s="116">
        <f t="shared" si="65"/>
        <v>110514</v>
      </c>
      <c r="HX65" s="117">
        <f t="shared" si="66"/>
        <v>96903</v>
      </c>
      <c r="HY65" s="118">
        <f t="shared" si="67"/>
        <v>120599</v>
      </c>
      <c r="HZ65" s="118">
        <f t="shared" si="68"/>
        <v>159152</v>
      </c>
      <c r="IA65" s="118">
        <f t="shared" si="69"/>
        <v>150385</v>
      </c>
      <c r="IB65" s="118">
        <f t="shared" si="70"/>
        <v>134891</v>
      </c>
      <c r="IC65" s="118">
        <f t="shared" si="71"/>
        <v>107002</v>
      </c>
      <c r="ID65" s="118">
        <f t="shared" si="96"/>
        <v>162943</v>
      </c>
      <c r="IE65" s="118">
        <f t="shared" si="97"/>
        <v>141656</v>
      </c>
      <c r="IF65" s="118">
        <f t="shared" si="98"/>
        <v>132037</v>
      </c>
      <c r="IG65" s="118">
        <f t="shared" si="99"/>
        <v>193035</v>
      </c>
    </row>
    <row r="66" spans="1:241" outlineLevel="2" x14ac:dyDescent="0.3">
      <c r="A66" s="106" t="s">
        <v>128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0">
        <v>0</v>
      </c>
      <c r="AH66" s="80">
        <v>0</v>
      </c>
      <c r="AI66" s="80">
        <v>0</v>
      </c>
      <c r="AJ66" s="80">
        <v>0</v>
      </c>
      <c r="AK66" s="80">
        <v>0</v>
      </c>
      <c r="AL66" s="80">
        <v>0</v>
      </c>
      <c r="AM66" s="80">
        <v>0</v>
      </c>
      <c r="AN66" s="80">
        <v>0</v>
      </c>
      <c r="AO66" s="80">
        <v>0</v>
      </c>
      <c r="AP66" s="80">
        <v>0</v>
      </c>
      <c r="AQ66" s="80">
        <v>0</v>
      </c>
      <c r="AR66" s="80">
        <v>0</v>
      </c>
      <c r="AS66" s="80">
        <v>0</v>
      </c>
      <c r="AT66" s="80">
        <v>0</v>
      </c>
      <c r="AU66" s="80">
        <v>0</v>
      </c>
      <c r="AV66" s="80">
        <v>0</v>
      </c>
      <c r="AW66" s="80">
        <v>0</v>
      </c>
      <c r="AX66" s="80">
        <v>0</v>
      </c>
      <c r="AY66" s="80">
        <v>0</v>
      </c>
      <c r="AZ66" s="80">
        <v>0</v>
      </c>
      <c r="BA66" s="80">
        <v>0</v>
      </c>
      <c r="BB66" s="80">
        <v>0</v>
      </c>
      <c r="BC66" s="80">
        <v>0</v>
      </c>
      <c r="BD66" s="80">
        <v>0</v>
      </c>
      <c r="BE66" s="80">
        <v>0</v>
      </c>
      <c r="BF66" s="80">
        <v>0</v>
      </c>
      <c r="BG66" s="80">
        <v>0</v>
      </c>
      <c r="BH66" s="80">
        <v>0</v>
      </c>
      <c r="BI66" s="80">
        <v>0</v>
      </c>
      <c r="BJ66" s="80">
        <v>0</v>
      </c>
      <c r="BK66" s="80">
        <v>0</v>
      </c>
      <c r="BL66" s="80">
        <v>0</v>
      </c>
      <c r="BM66" s="80">
        <v>0</v>
      </c>
      <c r="BN66" s="80">
        <v>0</v>
      </c>
      <c r="BO66" s="80">
        <v>0</v>
      </c>
      <c r="BP66" s="80">
        <v>0</v>
      </c>
      <c r="BQ66" s="80">
        <v>0</v>
      </c>
      <c r="BR66" s="80">
        <v>0</v>
      </c>
      <c r="BS66" s="80">
        <v>0</v>
      </c>
      <c r="BT66" s="80">
        <v>0</v>
      </c>
      <c r="BU66" s="80">
        <v>0</v>
      </c>
      <c r="BV66" s="80">
        <v>0</v>
      </c>
      <c r="BW66" s="80">
        <v>0</v>
      </c>
      <c r="BX66" s="80">
        <v>0</v>
      </c>
      <c r="BY66" s="80">
        <v>0</v>
      </c>
      <c r="BZ66" s="80">
        <v>0</v>
      </c>
      <c r="CA66" s="80">
        <v>0</v>
      </c>
      <c r="CB66" s="80">
        <v>0</v>
      </c>
      <c r="CC66" s="80">
        <v>0</v>
      </c>
      <c r="CD66" s="80">
        <v>0</v>
      </c>
      <c r="CE66" s="80">
        <v>0</v>
      </c>
      <c r="CF66" s="80">
        <v>0</v>
      </c>
      <c r="CG66" s="80">
        <v>0</v>
      </c>
      <c r="CH66" s="80">
        <v>0</v>
      </c>
      <c r="CI66" s="80">
        <v>0</v>
      </c>
      <c r="CJ66" s="80">
        <v>0</v>
      </c>
      <c r="CK66" s="80">
        <v>0</v>
      </c>
      <c r="CL66" s="80">
        <v>0</v>
      </c>
      <c r="CM66" s="80">
        <v>0</v>
      </c>
      <c r="CN66" s="80">
        <v>0</v>
      </c>
      <c r="CO66" s="80">
        <v>0</v>
      </c>
      <c r="CP66" s="80">
        <v>0</v>
      </c>
      <c r="CQ66" s="80">
        <v>0</v>
      </c>
      <c r="CR66" s="80">
        <v>0</v>
      </c>
      <c r="CS66" s="80">
        <v>0</v>
      </c>
      <c r="CT66" s="80"/>
      <c r="CU66" s="80">
        <v>0</v>
      </c>
      <c r="CV66" s="80">
        <v>0</v>
      </c>
      <c r="CW66" s="80">
        <v>0</v>
      </c>
      <c r="CX66" s="80">
        <v>0</v>
      </c>
      <c r="CY66" s="80">
        <v>0</v>
      </c>
      <c r="CZ66" s="80">
        <v>0</v>
      </c>
      <c r="DA66" s="80">
        <v>0</v>
      </c>
      <c r="DB66" s="80">
        <v>0</v>
      </c>
      <c r="DC66" s="80">
        <v>0</v>
      </c>
      <c r="DD66" s="80">
        <v>0</v>
      </c>
      <c r="DE66" s="80">
        <v>0</v>
      </c>
      <c r="DF66" s="80">
        <v>0</v>
      </c>
      <c r="DG66" s="80">
        <v>0</v>
      </c>
      <c r="DH66" s="80">
        <v>0</v>
      </c>
      <c r="DI66" s="80">
        <v>0</v>
      </c>
      <c r="DJ66" s="80">
        <v>0</v>
      </c>
      <c r="DK66" s="80">
        <v>0</v>
      </c>
      <c r="DL66" s="80">
        <v>0</v>
      </c>
      <c r="DM66" s="80">
        <v>0</v>
      </c>
      <c r="DN66" s="80">
        <v>0</v>
      </c>
      <c r="DO66" s="80">
        <v>0</v>
      </c>
      <c r="DP66" s="80"/>
      <c r="DQ66" s="80">
        <v>0</v>
      </c>
      <c r="DR66" s="80">
        <v>0</v>
      </c>
      <c r="DS66" s="80">
        <v>0</v>
      </c>
      <c r="DT66" s="80">
        <v>0</v>
      </c>
      <c r="DU66" s="80">
        <v>0</v>
      </c>
      <c r="DV66" s="80">
        <v>0</v>
      </c>
      <c r="DW66" s="80">
        <v>0</v>
      </c>
      <c r="DX66" s="80">
        <v>0</v>
      </c>
      <c r="DY66" s="80">
        <v>0</v>
      </c>
      <c r="DZ66" s="80">
        <v>0</v>
      </c>
      <c r="EA66" s="80">
        <v>0</v>
      </c>
      <c r="EB66" s="80">
        <v>0</v>
      </c>
      <c r="EC66" s="80">
        <v>0</v>
      </c>
      <c r="ED66" s="80"/>
      <c r="EE66" s="80">
        <v>0</v>
      </c>
      <c r="EF66" s="80"/>
      <c r="EG66" s="80"/>
      <c r="EH66" s="80"/>
      <c r="EI66" s="80"/>
      <c r="EJ66" s="80"/>
      <c r="EK66" s="80"/>
      <c r="EL66" s="80"/>
      <c r="EM66" s="80"/>
      <c r="EN66" s="80"/>
      <c r="EO66" s="80">
        <v>0</v>
      </c>
      <c r="EP66" s="80"/>
      <c r="EQ66" s="80"/>
      <c r="ER66" s="80"/>
      <c r="ES66" s="80"/>
      <c r="ET66" s="80">
        <v>0</v>
      </c>
      <c r="EU66" s="80">
        <v>0</v>
      </c>
      <c r="EV66" s="80">
        <v>0</v>
      </c>
      <c r="EW66" s="80">
        <v>0</v>
      </c>
      <c r="EX66" s="80"/>
      <c r="EY66" s="80"/>
      <c r="EZ66" s="80"/>
      <c r="FA66" s="80">
        <v>0</v>
      </c>
      <c r="FB66" s="80"/>
      <c r="FC66" s="80"/>
      <c r="FD66" s="80"/>
      <c r="FE66" s="80">
        <v>0</v>
      </c>
      <c r="FF66" s="80">
        <v>0</v>
      </c>
      <c r="FG66" s="80"/>
      <c r="FH66" s="80"/>
      <c r="FI66" s="80"/>
      <c r="FJ66" s="80">
        <v>0</v>
      </c>
      <c r="FN66" s="108">
        <f t="shared" si="76"/>
        <v>0</v>
      </c>
      <c r="FO66" s="108">
        <f t="shared" si="77"/>
        <v>0</v>
      </c>
      <c r="FP66" s="108">
        <f t="shared" si="11"/>
        <v>0</v>
      </c>
      <c r="FQ66" s="108">
        <f t="shared" si="12"/>
        <v>0</v>
      </c>
      <c r="FR66" s="108">
        <f t="shared" si="13"/>
        <v>0</v>
      </c>
      <c r="FS66" s="108">
        <f t="shared" si="14"/>
        <v>0</v>
      </c>
      <c r="FT66" s="108">
        <f t="shared" si="15"/>
        <v>0</v>
      </c>
      <c r="FU66" s="108">
        <f t="shared" si="16"/>
        <v>0</v>
      </c>
      <c r="FV66" s="108">
        <f t="shared" si="17"/>
        <v>0</v>
      </c>
      <c r="FW66" s="108">
        <f t="shared" si="18"/>
        <v>0</v>
      </c>
      <c r="FX66" s="108">
        <f t="shared" si="19"/>
        <v>0</v>
      </c>
      <c r="FY66" s="108">
        <f t="shared" si="20"/>
        <v>0</v>
      </c>
      <c r="FZ66" s="108">
        <f t="shared" si="21"/>
        <v>0</v>
      </c>
      <c r="GA66" s="108">
        <f t="shared" si="22"/>
        <v>0</v>
      </c>
      <c r="GB66" s="108">
        <f t="shared" si="23"/>
        <v>0</v>
      </c>
      <c r="GC66" s="108">
        <f t="shared" si="24"/>
        <v>0</v>
      </c>
      <c r="GD66" s="108">
        <f t="shared" si="25"/>
        <v>0</v>
      </c>
      <c r="GE66" s="108">
        <f t="shared" si="26"/>
        <v>0</v>
      </c>
      <c r="GF66" s="108">
        <f t="shared" si="27"/>
        <v>0</v>
      </c>
      <c r="GG66" s="108">
        <f t="shared" si="28"/>
        <v>0</v>
      </c>
      <c r="GH66" s="108">
        <f t="shared" si="29"/>
        <v>0</v>
      </c>
      <c r="GI66" s="108">
        <f t="shared" si="30"/>
        <v>0</v>
      </c>
      <c r="GJ66" s="108">
        <f t="shared" si="31"/>
        <v>0</v>
      </c>
      <c r="GK66" s="108">
        <f t="shared" si="32"/>
        <v>0</v>
      </c>
      <c r="GL66" s="108">
        <f t="shared" si="33"/>
        <v>0</v>
      </c>
      <c r="GM66" s="108">
        <f t="shared" si="34"/>
        <v>0</v>
      </c>
      <c r="GN66" s="108">
        <f t="shared" si="35"/>
        <v>0</v>
      </c>
      <c r="GO66" s="108">
        <f t="shared" si="36"/>
        <v>0</v>
      </c>
      <c r="GP66" s="108">
        <f t="shared" si="37"/>
        <v>0</v>
      </c>
      <c r="GQ66" s="108">
        <f t="shared" si="38"/>
        <v>0</v>
      </c>
      <c r="GR66" s="108">
        <f t="shared" si="39"/>
        <v>0</v>
      </c>
      <c r="GS66" s="108">
        <f t="shared" si="40"/>
        <v>0</v>
      </c>
      <c r="GT66" s="108">
        <f t="shared" si="41"/>
        <v>0</v>
      </c>
      <c r="GU66" s="108">
        <f t="shared" si="42"/>
        <v>0</v>
      </c>
      <c r="GV66" s="108">
        <f t="shared" si="43"/>
        <v>0</v>
      </c>
      <c r="GW66" s="108">
        <f t="shared" si="44"/>
        <v>0</v>
      </c>
      <c r="GX66" s="108">
        <f t="shared" si="45"/>
        <v>0</v>
      </c>
      <c r="GY66" s="108">
        <f t="shared" si="46"/>
        <v>0</v>
      </c>
      <c r="GZ66" s="108">
        <f t="shared" si="80"/>
        <v>0</v>
      </c>
      <c r="HA66" s="108">
        <f t="shared" si="81"/>
        <v>0</v>
      </c>
      <c r="HB66" s="108">
        <f t="shared" si="82"/>
        <v>0</v>
      </c>
      <c r="HC66" s="108">
        <f t="shared" si="83"/>
        <v>0</v>
      </c>
      <c r="HD66" s="108">
        <f t="shared" si="84"/>
        <v>0</v>
      </c>
      <c r="HE66" s="108">
        <f t="shared" si="85"/>
        <v>0</v>
      </c>
      <c r="HF66" s="108">
        <f t="shared" si="86"/>
        <v>0</v>
      </c>
      <c r="HG66" s="108">
        <f t="shared" si="87"/>
        <v>0</v>
      </c>
      <c r="HH66" s="108">
        <f t="shared" si="88"/>
        <v>0</v>
      </c>
      <c r="HI66" s="108">
        <f t="shared" si="89"/>
        <v>0</v>
      </c>
      <c r="HJ66" s="108">
        <f t="shared" si="116"/>
        <v>0</v>
      </c>
      <c r="HK66" s="108">
        <f t="shared" si="122"/>
        <v>0</v>
      </c>
      <c r="HL66" s="108">
        <f t="shared" si="123"/>
        <v>0</v>
      </c>
      <c r="HM66" s="108">
        <f t="shared" si="124"/>
        <v>0</v>
      </c>
      <c r="HN66" s="108">
        <f t="shared" si="125"/>
        <v>0</v>
      </c>
      <c r="HO66" s="108">
        <f t="shared" si="126"/>
        <v>0</v>
      </c>
      <c r="HP66" s="108">
        <f t="shared" si="127"/>
        <v>0</v>
      </c>
      <c r="HQ66" s="108"/>
      <c r="HU66" s="109">
        <f t="shared" si="63"/>
        <v>0</v>
      </c>
      <c r="HV66" s="110">
        <f t="shared" si="64"/>
        <v>0</v>
      </c>
      <c r="HW66" s="110">
        <f t="shared" si="65"/>
        <v>0</v>
      </c>
      <c r="HX66" s="111">
        <f t="shared" si="66"/>
        <v>0</v>
      </c>
      <c r="HY66" s="112">
        <f t="shared" si="67"/>
        <v>0</v>
      </c>
      <c r="HZ66" s="112">
        <f t="shared" si="68"/>
        <v>0</v>
      </c>
      <c r="IA66" s="112">
        <f t="shared" si="69"/>
        <v>0</v>
      </c>
      <c r="IB66" s="112">
        <f t="shared" si="70"/>
        <v>0</v>
      </c>
      <c r="IC66" s="112">
        <f t="shared" si="71"/>
        <v>0</v>
      </c>
      <c r="ID66" s="112">
        <f t="shared" si="96"/>
        <v>0</v>
      </c>
      <c r="IE66" s="112">
        <f t="shared" si="97"/>
        <v>0</v>
      </c>
      <c r="IF66" s="112">
        <f t="shared" si="98"/>
        <v>0</v>
      </c>
      <c r="IG66" s="112">
        <f t="shared" si="99"/>
        <v>0</v>
      </c>
    </row>
    <row r="67" spans="1:241" outlineLevel="2" x14ac:dyDescent="0.3">
      <c r="A67" s="119" t="s">
        <v>119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>
        <v>13715</v>
      </c>
      <c r="AA67" s="70">
        <v>19440</v>
      </c>
      <c r="AB67" s="70">
        <v>12819</v>
      </c>
      <c r="AC67" s="70">
        <v>15654</v>
      </c>
      <c r="AD67" s="70">
        <v>14811</v>
      </c>
      <c r="AE67" s="70">
        <v>12352</v>
      </c>
      <c r="AF67" s="70">
        <v>11968</v>
      </c>
      <c r="AG67" s="70">
        <v>14193</v>
      </c>
      <c r="AH67" s="70">
        <v>14193</v>
      </c>
      <c r="AI67" s="70">
        <v>8735</v>
      </c>
      <c r="AJ67" s="70">
        <v>13275</v>
      </c>
      <c r="AK67" s="70">
        <v>15806</v>
      </c>
      <c r="AL67" s="70">
        <v>9911</v>
      </c>
      <c r="AM67" s="70">
        <v>12147</v>
      </c>
      <c r="AN67" s="70">
        <v>13416</v>
      </c>
      <c r="AO67" s="70">
        <v>13848</v>
      </c>
      <c r="AP67" s="70">
        <v>10505</v>
      </c>
      <c r="AQ67" s="70">
        <v>12788</v>
      </c>
      <c r="AR67" s="70">
        <v>10165</v>
      </c>
      <c r="AS67" s="70">
        <v>10019</v>
      </c>
      <c r="AT67" s="70">
        <v>9196</v>
      </c>
      <c r="AU67" s="70">
        <v>14131</v>
      </c>
      <c r="AV67" s="70">
        <v>7953</v>
      </c>
      <c r="AW67" s="70">
        <v>8143</v>
      </c>
      <c r="AX67" s="70">
        <v>11214</v>
      </c>
      <c r="AY67" s="70">
        <v>13716</v>
      </c>
      <c r="AZ67" s="70">
        <v>9325</v>
      </c>
      <c r="BA67" s="70">
        <v>10361</v>
      </c>
      <c r="BB67" s="70">
        <v>9797</v>
      </c>
      <c r="BC67" s="70">
        <v>9814</v>
      </c>
      <c r="BD67" s="70">
        <v>11043</v>
      </c>
      <c r="BE67" s="70">
        <v>11619</v>
      </c>
      <c r="BF67" s="70">
        <v>19116</v>
      </c>
      <c r="BG67" s="70">
        <v>7109</v>
      </c>
      <c r="BH67" s="70">
        <v>12106</v>
      </c>
      <c r="BI67" s="70">
        <v>16837</v>
      </c>
      <c r="BJ67" s="70">
        <v>13443</v>
      </c>
      <c r="BK67" s="70">
        <v>15617</v>
      </c>
      <c r="BL67" s="70">
        <v>12929</v>
      </c>
      <c r="BM67" s="70">
        <v>13097</v>
      </c>
      <c r="BN67" s="70">
        <v>13280</v>
      </c>
      <c r="BO67" s="70">
        <v>19586</v>
      </c>
      <c r="BP67" s="70">
        <v>18913</v>
      </c>
      <c r="BQ67" s="70">
        <v>21148</v>
      </c>
      <c r="BR67" s="70">
        <v>25594</v>
      </c>
      <c r="BS67" s="70">
        <v>16564</v>
      </c>
      <c r="BT67" s="70">
        <v>16007</v>
      </c>
      <c r="BU67" s="70">
        <v>22717</v>
      </c>
      <c r="BV67" s="70">
        <v>17215</v>
      </c>
      <c r="BW67" s="70">
        <v>20459</v>
      </c>
      <c r="BX67" s="70">
        <v>20038</v>
      </c>
      <c r="BY67" s="70">
        <v>14156</v>
      </c>
      <c r="BZ67" s="70">
        <v>11715</v>
      </c>
      <c r="CA67" s="70">
        <v>15263</v>
      </c>
      <c r="CB67" s="70">
        <v>15734</v>
      </c>
      <c r="CC67" s="70">
        <v>13471</v>
      </c>
      <c r="CD67" s="70">
        <v>23400</v>
      </c>
      <c r="CE67" s="70">
        <v>11930</v>
      </c>
      <c r="CF67" s="70">
        <v>14080</v>
      </c>
      <c r="CG67" s="70">
        <v>12277</v>
      </c>
      <c r="CH67" s="70">
        <v>15593</v>
      </c>
      <c r="CI67" s="70">
        <v>21884</v>
      </c>
      <c r="CJ67" s="70">
        <v>23524</v>
      </c>
      <c r="CK67" s="70">
        <v>19443</v>
      </c>
      <c r="CL67" s="70">
        <v>21538</v>
      </c>
      <c r="CM67" s="70">
        <v>22814</v>
      </c>
      <c r="CN67" s="70">
        <v>21564</v>
      </c>
      <c r="CO67" s="70">
        <v>22037</v>
      </c>
      <c r="CP67" s="70">
        <v>25305</v>
      </c>
      <c r="CQ67" s="70">
        <v>11454</v>
      </c>
      <c r="CR67" s="70">
        <v>19233</v>
      </c>
      <c r="CS67" s="70">
        <v>14600</v>
      </c>
      <c r="CT67" s="70"/>
      <c r="CU67" s="70">
        <v>1198</v>
      </c>
      <c r="CV67" s="70">
        <v>4547</v>
      </c>
      <c r="CW67" s="70">
        <v>12700</v>
      </c>
      <c r="CX67" s="70">
        <v>11185</v>
      </c>
      <c r="CY67" s="70">
        <v>14189</v>
      </c>
      <c r="CZ67" s="70">
        <v>17186</v>
      </c>
      <c r="DA67" s="70">
        <v>12980</v>
      </c>
      <c r="DB67" s="70">
        <v>18147</v>
      </c>
      <c r="DC67" s="70">
        <v>14228</v>
      </c>
      <c r="DD67" s="70">
        <v>16294</v>
      </c>
      <c r="DE67" s="70">
        <v>27625</v>
      </c>
      <c r="DF67" s="70">
        <v>16642</v>
      </c>
      <c r="DG67" s="70">
        <v>14772</v>
      </c>
      <c r="DH67" s="70">
        <v>24367</v>
      </c>
      <c r="DI67" s="70">
        <v>22799</v>
      </c>
      <c r="DJ67" s="70">
        <v>17794</v>
      </c>
      <c r="DK67" s="70">
        <v>15317</v>
      </c>
      <c r="DL67" s="70">
        <v>19987</v>
      </c>
      <c r="DM67" s="70">
        <v>15483</v>
      </c>
      <c r="DN67" s="70">
        <v>18012</v>
      </c>
      <c r="DO67" s="70">
        <v>17220</v>
      </c>
      <c r="DP67" s="70">
        <v>20312</v>
      </c>
      <c r="DQ67" s="70">
        <v>26331</v>
      </c>
      <c r="DR67" s="70">
        <v>24057</v>
      </c>
      <c r="DS67" s="70">
        <v>20742</v>
      </c>
      <c r="DT67" s="70">
        <v>22638</v>
      </c>
      <c r="DU67" s="70">
        <v>24378</v>
      </c>
      <c r="DV67" s="70">
        <v>25950</v>
      </c>
      <c r="DW67" s="70">
        <v>21835</v>
      </c>
      <c r="DX67" s="70">
        <v>20197</v>
      </c>
      <c r="DY67" s="70">
        <v>20830</v>
      </c>
      <c r="DZ67" s="70">
        <v>20883</v>
      </c>
      <c r="EA67" s="70">
        <v>16696</v>
      </c>
      <c r="EB67" s="70">
        <v>14482</v>
      </c>
      <c r="EC67" s="70">
        <v>11899</v>
      </c>
      <c r="ED67" s="70">
        <v>14938</v>
      </c>
      <c r="EE67" s="70">
        <v>15062</v>
      </c>
      <c r="EF67" s="70">
        <v>10350</v>
      </c>
      <c r="EG67" s="70">
        <v>11328</v>
      </c>
      <c r="EH67" s="70">
        <v>16478</v>
      </c>
      <c r="EI67" s="70">
        <v>15662</v>
      </c>
      <c r="EJ67" s="70">
        <v>16692</v>
      </c>
      <c r="EK67" s="70">
        <v>16028</v>
      </c>
      <c r="EL67" s="70">
        <v>19261</v>
      </c>
      <c r="EM67" s="70">
        <v>11386</v>
      </c>
      <c r="EN67" s="70">
        <v>17941</v>
      </c>
      <c r="EO67" s="70">
        <v>14905</v>
      </c>
      <c r="EP67" s="70">
        <v>12738</v>
      </c>
      <c r="EQ67" s="70">
        <v>13620</v>
      </c>
      <c r="ER67" s="70">
        <v>16464</v>
      </c>
      <c r="ES67" s="70">
        <v>14220</v>
      </c>
      <c r="ET67" s="70">
        <v>21594</v>
      </c>
      <c r="EU67" s="70">
        <v>24353</v>
      </c>
      <c r="EV67" s="70">
        <v>21290</v>
      </c>
      <c r="EW67" s="70">
        <v>17687</v>
      </c>
      <c r="EX67" s="70">
        <v>26345</v>
      </c>
      <c r="EY67" s="70">
        <v>18110</v>
      </c>
      <c r="EZ67" s="70">
        <v>17816</v>
      </c>
      <c r="FA67" s="70">
        <v>22108</v>
      </c>
      <c r="FB67" s="70">
        <v>21880</v>
      </c>
      <c r="FC67" s="70">
        <v>24072</v>
      </c>
      <c r="FD67" s="70">
        <v>24888</v>
      </c>
      <c r="FE67" s="70">
        <v>22632</v>
      </c>
      <c r="FF67" s="70">
        <v>21292</v>
      </c>
      <c r="FG67" s="70">
        <v>24006</v>
      </c>
      <c r="FH67" s="70">
        <v>27404</v>
      </c>
      <c r="FI67" s="70">
        <v>23820</v>
      </c>
      <c r="FJ67" s="70">
        <v>24468</v>
      </c>
      <c r="FN67" s="114">
        <f t="shared" si="76"/>
        <v>0</v>
      </c>
      <c r="FO67" s="114">
        <f t="shared" si="77"/>
        <v>0</v>
      </c>
      <c r="FP67" s="114">
        <f t="shared" si="11"/>
        <v>0</v>
      </c>
      <c r="FQ67" s="114">
        <f t="shared" si="12"/>
        <v>0</v>
      </c>
      <c r="FR67" s="114">
        <f t="shared" si="13"/>
        <v>0</v>
      </c>
      <c r="FS67" s="114">
        <f t="shared" si="14"/>
        <v>0</v>
      </c>
      <c r="FT67" s="114">
        <f t="shared" si="15"/>
        <v>0</v>
      </c>
      <c r="FU67" s="114">
        <f t="shared" si="16"/>
        <v>0</v>
      </c>
      <c r="FV67" s="114">
        <f t="shared" si="17"/>
        <v>45974</v>
      </c>
      <c r="FW67" s="114">
        <f t="shared" si="18"/>
        <v>42817</v>
      </c>
      <c r="FX67" s="114">
        <f t="shared" si="19"/>
        <v>40354</v>
      </c>
      <c r="FY67" s="114">
        <f t="shared" si="20"/>
        <v>37816</v>
      </c>
      <c r="FZ67" s="114">
        <f t="shared" si="21"/>
        <v>35474</v>
      </c>
      <c r="GA67" s="114">
        <f t="shared" si="22"/>
        <v>37141</v>
      </c>
      <c r="GB67" s="114">
        <f t="shared" si="23"/>
        <v>29380</v>
      </c>
      <c r="GC67" s="114">
        <f t="shared" si="24"/>
        <v>30227</v>
      </c>
      <c r="GD67" s="114">
        <f t="shared" si="25"/>
        <v>34255</v>
      </c>
      <c r="GE67" s="114">
        <f t="shared" si="26"/>
        <v>29972</v>
      </c>
      <c r="GF67" s="114">
        <f t="shared" si="27"/>
        <v>41778</v>
      </c>
      <c r="GG67" s="114">
        <f t="shared" si="28"/>
        <v>36052</v>
      </c>
      <c r="GH67" s="114">
        <f t="shared" si="29"/>
        <v>41989</v>
      </c>
      <c r="GI67" s="114">
        <f t="shared" si="30"/>
        <v>45963</v>
      </c>
      <c r="GJ67" s="114">
        <f t="shared" si="31"/>
        <v>65655</v>
      </c>
      <c r="GK67" s="114">
        <f t="shared" si="32"/>
        <v>55288</v>
      </c>
      <c r="GL67" s="114">
        <f t="shared" si="33"/>
        <v>57712</v>
      </c>
      <c r="GM67" s="114">
        <f t="shared" si="34"/>
        <v>41134</v>
      </c>
      <c r="GN67" s="114">
        <f t="shared" si="35"/>
        <v>52605</v>
      </c>
      <c r="GO67" s="114">
        <f t="shared" si="36"/>
        <v>38287</v>
      </c>
      <c r="GP67" s="114">
        <f t="shared" si="37"/>
        <v>61001</v>
      </c>
      <c r="GQ67" s="114">
        <f t="shared" si="38"/>
        <v>63795</v>
      </c>
      <c r="GR67" s="114">
        <f t="shared" si="39"/>
        <v>68906</v>
      </c>
      <c r="GS67" s="114">
        <f t="shared" si="40"/>
        <v>45287</v>
      </c>
      <c r="GT67" s="114">
        <f t="shared" si="41"/>
        <v>5745</v>
      </c>
      <c r="GU67" s="114">
        <f t="shared" si="42"/>
        <v>38074</v>
      </c>
      <c r="GV67" s="114">
        <f t="shared" si="43"/>
        <v>48313</v>
      </c>
      <c r="GW67" s="114">
        <f t="shared" si="44"/>
        <v>58147</v>
      </c>
      <c r="GX67" s="114">
        <f t="shared" si="45"/>
        <v>55781</v>
      </c>
      <c r="GY67" s="114">
        <f t="shared" si="46"/>
        <v>55910</v>
      </c>
      <c r="GZ67" s="114">
        <f t="shared" si="80"/>
        <v>53482</v>
      </c>
      <c r="HA67" s="114">
        <f t="shared" si="81"/>
        <v>63863</v>
      </c>
      <c r="HB67" s="114">
        <f t="shared" si="82"/>
        <v>67437</v>
      </c>
      <c r="HC67" s="114">
        <f t="shared" si="83"/>
        <v>72163</v>
      </c>
      <c r="HD67" s="114">
        <f t="shared" si="84"/>
        <v>61910</v>
      </c>
      <c r="HE67" s="114">
        <f t="shared" si="85"/>
        <v>43077</v>
      </c>
      <c r="HF67" s="114">
        <f t="shared" si="86"/>
        <v>40350</v>
      </c>
      <c r="HG67" s="114">
        <f t="shared" si="87"/>
        <v>43468</v>
      </c>
      <c r="HH67" s="114">
        <f t="shared" si="88"/>
        <v>51981</v>
      </c>
      <c r="HI67" s="114">
        <f t="shared" si="89"/>
        <v>44232</v>
      </c>
      <c r="HJ67" s="114">
        <f t="shared" si="116"/>
        <v>42822</v>
      </c>
      <c r="HK67" s="114">
        <f t="shared" si="122"/>
        <v>60167</v>
      </c>
      <c r="HL67" s="114">
        <f t="shared" si="123"/>
        <v>65322</v>
      </c>
      <c r="HM67" s="114">
        <f t="shared" si="124"/>
        <v>58034</v>
      </c>
      <c r="HN67" s="114">
        <f t="shared" si="125"/>
        <v>70840</v>
      </c>
      <c r="HO67" s="114">
        <f t="shared" si="126"/>
        <v>67930</v>
      </c>
      <c r="HP67" s="114">
        <f t="shared" si="127"/>
        <v>75692</v>
      </c>
      <c r="HQ67" s="114"/>
      <c r="HU67" s="115">
        <f t="shared" si="63"/>
        <v>0</v>
      </c>
      <c r="HV67" s="116">
        <f t="shared" si="64"/>
        <v>0</v>
      </c>
      <c r="HW67" s="116">
        <f t="shared" si="65"/>
        <v>166961</v>
      </c>
      <c r="HX67" s="117">
        <f t="shared" si="66"/>
        <v>132222</v>
      </c>
      <c r="HY67" s="118">
        <f t="shared" si="67"/>
        <v>142057</v>
      </c>
      <c r="HZ67" s="118">
        <f t="shared" si="68"/>
        <v>208895</v>
      </c>
      <c r="IA67" s="118">
        <f t="shared" si="69"/>
        <v>189738</v>
      </c>
      <c r="IB67" s="118">
        <f t="shared" si="70"/>
        <v>238989</v>
      </c>
      <c r="IC67" s="118">
        <f t="shared" si="71"/>
        <v>150279</v>
      </c>
      <c r="ID67" s="118">
        <f t="shared" si="96"/>
        <v>229036</v>
      </c>
      <c r="IE67" s="118">
        <f t="shared" si="97"/>
        <v>244587</v>
      </c>
      <c r="IF67" s="118">
        <f t="shared" si="98"/>
        <v>180031</v>
      </c>
      <c r="IG67" s="118">
        <f t="shared" si="99"/>
        <v>226345</v>
      </c>
    </row>
    <row r="68" spans="1:241" outlineLevel="2" x14ac:dyDescent="0.3">
      <c r="A68" s="106" t="s">
        <v>120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>
        <v>798</v>
      </c>
      <c r="AA68" s="80">
        <v>716</v>
      </c>
      <c r="AB68" s="80">
        <v>807</v>
      </c>
      <c r="AC68" s="80">
        <v>964</v>
      </c>
      <c r="AD68" s="80">
        <v>928</v>
      </c>
      <c r="AE68" s="80">
        <v>609</v>
      </c>
      <c r="AF68" s="80">
        <v>434</v>
      </c>
      <c r="AG68" s="80">
        <v>577</v>
      </c>
      <c r="AH68" s="80">
        <v>507</v>
      </c>
      <c r="AI68" s="80">
        <v>382</v>
      </c>
      <c r="AJ68" s="80">
        <v>295</v>
      </c>
      <c r="AK68" s="80">
        <v>849</v>
      </c>
      <c r="AL68" s="80">
        <v>1202</v>
      </c>
      <c r="AM68" s="80">
        <v>1216</v>
      </c>
      <c r="AN68" s="80">
        <v>886</v>
      </c>
      <c r="AO68" s="80">
        <v>1391</v>
      </c>
      <c r="AP68" s="80">
        <v>1020</v>
      </c>
      <c r="AQ68" s="80">
        <v>1432</v>
      </c>
      <c r="AR68" s="80">
        <v>1077</v>
      </c>
      <c r="AS68" s="80">
        <v>451</v>
      </c>
      <c r="AT68" s="80">
        <v>1266</v>
      </c>
      <c r="AU68" s="80">
        <v>672</v>
      </c>
      <c r="AV68" s="80">
        <v>1048</v>
      </c>
      <c r="AW68" s="80">
        <v>233</v>
      </c>
      <c r="AX68" s="80">
        <v>957</v>
      </c>
      <c r="AY68" s="80">
        <v>1116</v>
      </c>
      <c r="AZ68" s="80">
        <v>679</v>
      </c>
      <c r="BA68" s="80">
        <v>1561</v>
      </c>
      <c r="BB68" s="80">
        <v>1864</v>
      </c>
      <c r="BC68" s="80">
        <v>1841</v>
      </c>
      <c r="BD68" s="80">
        <v>2039</v>
      </c>
      <c r="BE68" s="80">
        <v>837</v>
      </c>
      <c r="BF68" s="80">
        <v>1295</v>
      </c>
      <c r="BG68" s="80">
        <v>2187</v>
      </c>
      <c r="BH68" s="80">
        <v>2709</v>
      </c>
      <c r="BI68" s="80">
        <v>2731</v>
      </c>
      <c r="BJ68" s="80">
        <v>1577</v>
      </c>
      <c r="BK68" s="80">
        <v>2897</v>
      </c>
      <c r="BL68" s="80">
        <v>1348</v>
      </c>
      <c r="BM68" s="80">
        <v>284</v>
      </c>
      <c r="BN68" s="80">
        <v>1316</v>
      </c>
      <c r="BO68" s="80">
        <v>600</v>
      </c>
      <c r="BP68" s="80">
        <v>339</v>
      </c>
      <c r="BQ68" s="80">
        <v>324</v>
      </c>
      <c r="BR68" s="80">
        <v>63</v>
      </c>
      <c r="BS68" s="80">
        <v>1406</v>
      </c>
      <c r="BT68" s="80">
        <v>1096</v>
      </c>
      <c r="BU68" s="80">
        <v>2041</v>
      </c>
      <c r="BV68" s="80">
        <v>22</v>
      </c>
      <c r="BW68" s="80">
        <v>1777</v>
      </c>
      <c r="BX68" s="80">
        <v>739</v>
      </c>
      <c r="BY68" s="80">
        <v>137</v>
      </c>
      <c r="BZ68" s="80">
        <v>0</v>
      </c>
      <c r="CA68" s="80">
        <v>219</v>
      </c>
      <c r="CB68" s="80">
        <v>514</v>
      </c>
      <c r="CC68" s="80">
        <v>10</v>
      </c>
      <c r="CD68" s="80">
        <v>0</v>
      </c>
      <c r="CE68" s="80">
        <v>1174</v>
      </c>
      <c r="CF68" s="80">
        <v>456</v>
      </c>
      <c r="CG68" s="80">
        <v>210</v>
      </c>
      <c r="CH68" s="80">
        <v>38</v>
      </c>
      <c r="CI68" s="80">
        <v>0</v>
      </c>
      <c r="CJ68" s="80">
        <v>20</v>
      </c>
      <c r="CK68" s="80">
        <v>0</v>
      </c>
      <c r="CL68" s="80">
        <v>0</v>
      </c>
      <c r="CM68" s="80">
        <v>0</v>
      </c>
      <c r="CN68" s="80">
        <v>0</v>
      </c>
      <c r="CO68" s="80">
        <v>10</v>
      </c>
      <c r="CP68" s="80">
        <v>0</v>
      </c>
      <c r="CQ68" s="80">
        <v>0</v>
      </c>
      <c r="CR68" s="80">
        <v>0</v>
      </c>
      <c r="CS68" s="80">
        <v>0</v>
      </c>
      <c r="CT68" s="80"/>
      <c r="CU68" s="80">
        <v>0</v>
      </c>
      <c r="CV68" s="80">
        <v>0</v>
      </c>
      <c r="CW68" s="80">
        <v>20</v>
      </c>
      <c r="CX68" s="80">
        <v>0</v>
      </c>
      <c r="CY68" s="80">
        <v>0</v>
      </c>
      <c r="CZ68" s="80">
        <v>0</v>
      </c>
      <c r="DA68" s="80">
        <v>0</v>
      </c>
      <c r="DB68" s="80">
        <v>0</v>
      </c>
      <c r="DC68" s="80">
        <v>0</v>
      </c>
      <c r="DD68" s="80">
        <v>10</v>
      </c>
      <c r="DE68" s="80">
        <v>0</v>
      </c>
      <c r="DF68" s="80"/>
      <c r="DG68" s="80"/>
      <c r="DH68" s="80">
        <v>0</v>
      </c>
      <c r="DI68" s="80">
        <v>0</v>
      </c>
      <c r="DJ68" s="80">
        <v>0</v>
      </c>
      <c r="DK68" s="80">
        <v>0</v>
      </c>
      <c r="DL68" s="80">
        <v>0</v>
      </c>
      <c r="DM68" s="80">
        <v>0</v>
      </c>
      <c r="DN68" s="80">
        <v>0</v>
      </c>
      <c r="DO68" s="80">
        <v>0</v>
      </c>
      <c r="DP68" s="80"/>
      <c r="DQ68" s="80">
        <v>0</v>
      </c>
      <c r="DR68" s="80">
        <v>0</v>
      </c>
      <c r="DS68" s="80">
        <v>0</v>
      </c>
      <c r="DT68" s="80">
        <v>0</v>
      </c>
      <c r="DU68" s="80">
        <v>0</v>
      </c>
      <c r="DV68" s="80">
        <v>0</v>
      </c>
      <c r="DW68" s="80">
        <v>0</v>
      </c>
      <c r="DX68" s="80">
        <v>0</v>
      </c>
      <c r="DY68" s="80">
        <v>0</v>
      </c>
      <c r="DZ68" s="80">
        <v>0</v>
      </c>
      <c r="EA68" s="80">
        <v>0</v>
      </c>
      <c r="EB68" s="80">
        <v>0</v>
      </c>
      <c r="EC68" s="80">
        <v>0</v>
      </c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>
        <v>0</v>
      </c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80"/>
      <c r="FF68" s="80"/>
      <c r="FG68" s="80"/>
      <c r="FH68" s="80"/>
      <c r="FI68" s="80"/>
      <c r="FJ68" s="80"/>
      <c r="FN68" s="108">
        <f t="shared" si="76"/>
        <v>0</v>
      </c>
      <c r="FO68" s="108">
        <f t="shared" si="77"/>
        <v>0</v>
      </c>
      <c r="FP68" s="108">
        <f t="shared" si="11"/>
        <v>0</v>
      </c>
      <c r="FQ68" s="108">
        <f t="shared" si="12"/>
        <v>0</v>
      </c>
      <c r="FR68" s="108">
        <f t="shared" si="13"/>
        <v>0</v>
      </c>
      <c r="FS68" s="108">
        <f t="shared" si="14"/>
        <v>0</v>
      </c>
      <c r="FT68" s="108">
        <f t="shared" si="15"/>
        <v>0</v>
      </c>
      <c r="FU68" s="108">
        <f t="shared" si="16"/>
        <v>0</v>
      </c>
      <c r="FV68" s="108">
        <f t="shared" si="17"/>
        <v>2321</v>
      </c>
      <c r="FW68" s="108">
        <f t="shared" si="18"/>
        <v>2501</v>
      </c>
      <c r="FX68" s="108">
        <f t="shared" si="19"/>
        <v>1518</v>
      </c>
      <c r="FY68" s="108">
        <f t="shared" si="20"/>
        <v>1526</v>
      </c>
      <c r="FZ68" s="108">
        <f t="shared" si="21"/>
        <v>3304</v>
      </c>
      <c r="GA68" s="108">
        <f t="shared" si="22"/>
        <v>3843</v>
      </c>
      <c r="GB68" s="108">
        <f t="shared" si="23"/>
        <v>2794</v>
      </c>
      <c r="GC68" s="108">
        <f t="shared" si="24"/>
        <v>1953</v>
      </c>
      <c r="GD68" s="108">
        <f t="shared" si="25"/>
        <v>2752</v>
      </c>
      <c r="GE68" s="108">
        <f t="shared" si="26"/>
        <v>5266</v>
      </c>
      <c r="GF68" s="108">
        <f t="shared" si="27"/>
        <v>4171</v>
      </c>
      <c r="GG68" s="108">
        <f t="shared" si="28"/>
        <v>7627</v>
      </c>
      <c r="GH68" s="108">
        <f t="shared" si="29"/>
        <v>5822</v>
      </c>
      <c r="GI68" s="108">
        <f t="shared" si="30"/>
        <v>2200</v>
      </c>
      <c r="GJ68" s="108">
        <f t="shared" si="31"/>
        <v>726</v>
      </c>
      <c r="GK68" s="108">
        <f t="shared" si="32"/>
        <v>4543</v>
      </c>
      <c r="GL68" s="108">
        <f t="shared" si="33"/>
        <v>2538</v>
      </c>
      <c r="GM68" s="108">
        <f t="shared" si="34"/>
        <v>356</v>
      </c>
      <c r="GN68" s="108">
        <f t="shared" si="35"/>
        <v>524</v>
      </c>
      <c r="GO68" s="108">
        <f t="shared" si="36"/>
        <v>1840</v>
      </c>
      <c r="GP68" s="108">
        <f t="shared" si="37"/>
        <v>58</v>
      </c>
      <c r="GQ68" s="108">
        <f t="shared" si="38"/>
        <v>0</v>
      </c>
      <c r="GR68" s="108">
        <f t="shared" si="39"/>
        <v>10</v>
      </c>
      <c r="GS68" s="108">
        <f t="shared" si="40"/>
        <v>0</v>
      </c>
      <c r="GT68" s="108">
        <f t="shared" si="41"/>
        <v>0</v>
      </c>
      <c r="GU68" s="108">
        <f t="shared" si="42"/>
        <v>20</v>
      </c>
      <c r="GV68" s="108">
        <f t="shared" si="43"/>
        <v>0</v>
      </c>
      <c r="GW68" s="108">
        <f t="shared" si="44"/>
        <v>10</v>
      </c>
      <c r="GX68" s="108">
        <f t="shared" si="45"/>
        <v>0</v>
      </c>
      <c r="GY68" s="108">
        <f t="shared" si="46"/>
        <v>0</v>
      </c>
      <c r="GZ68" s="108">
        <f t="shared" si="80"/>
        <v>0</v>
      </c>
      <c r="HA68" s="108">
        <f t="shared" si="81"/>
        <v>0</v>
      </c>
      <c r="HB68" s="108">
        <f t="shared" si="82"/>
        <v>0</v>
      </c>
      <c r="HC68" s="108">
        <f t="shared" si="83"/>
        <v>0</v>
      </c>
      <c r="HD68" s="108">
        <f t="shared" si="84"/>
        <v>0</v>
      </c>
      <c r="HE68" s="108">
        <f t="shared" si="85"/>
        <v>0</v>
      </c>
      <c r="HF68" s="108">
        <f t="shared" si="86"/>
        <v>0</v>
      </c>
      <c r="HG68" s="108">
        <f t="shared" si="87"/>
        <v>0</v>
      </c>
      <c r="HH68" s="108">
        <f t="shared" si="88"/>
        <v>0</v>
      </c>
      <c r="HI68" s="108">
        <f t="shared" si="89"/>
        <v>0</v>
      </c>
      <c r="HJ68" s="108">
        <f t="shared" si="116"/>
        <v>0</v>
      </c>
      <c r="HK68" s="108">
        <f t="shared" si="122"/>
        <v>0</v>
      </c>
      <c r="HL68" s="108">
        <f t="shared" si="123"/>
        <v>0</v>
      </c>
      <c r="HM68" s="108">
        <f t="shared" si="124"/>
        <v>0</v>
      </c>
      <c r="HN68" s="108">
        <f t="shared" si="125"/>
        <v>0</v>
      </c>
      <c r="HO68" s="108">
        <f t="shared" si="126"/>
        <v>0</v>
      </c>
      <c r="HP68" s="108">
        <f t="shared" si="127"/>
        <v>0</v>
      </c>
      <c r="HQ68" s="108"/>
      <c r="HU68" s="109">
        <f t="shared" si="63"/>
        <v>0</v>
      </c>
      <c r="HV68" s="110">
        <f t="shared" si="64"/>
        <v>0</v>
      </c>
      <c r="HW68" s="110">
        <f t="shared" si="65"/>
        <v>7866</v>
      </c>
      <c r="HX68" s="111">
        <f t="shared" si="66"/>
        <v>11894</v>
      </c>
      <c r="HY68" s="112">
        <f t="shared" si="67"/>
        <v>19816</v>
      </c>
      <c r="HZ68" s="112">
        <f t="shared" si="68"/>
        <v>13291</v>
      </c>
      <c r="IA68" s="112">
        <f t="shared" si="69"/>
        <v>5258</v>
      </c>
      <c r="IB68" s="112">
        <f t="shared" si="70"/>
        <v>68</v>
      </c>
      <c r="IC68" s="112">
        <f t="shared" si="71"/>
        <v>30</v>
      </c>
      <c r="ID68" s="112">
        <f t="shared" si="96"/>
        <v>0</v>
      </c>
      <c r="IE68" s="112">
        <f t="shared" si="97"/>
        <v>0</v>
      </c>
      <c r="IF68" s="112">
        <f t="shared" si="98"/>
        <v>0</v>
      </c>
      <c r="IG68" s="112">
        <f t="shared" si="99"/>
        <v>0</v>
      </c>
    </row>
    <row r="69" spans="1:241" outlineLevel="2" x14ac:dyDescent="0.3">
      <c r="A69" s="106" t="s">
        <v>122</v>
      </c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>
        <v>11</v>
      </c>
      <c r="EJ69" s="80">
        <v>8</v>
      </c>
      <c r="EK69" s="80"/>
      <c r="EL69" s="80"/>
      <c r="EM69" s="80">
        <v>21</v>
      </c>
      <c r="EN69" s="80">
        <v>396</v>
      </c>
      <c r="EO69" s="80">
        <v>878</v>
      </c>
      <c r="EP69" s="80">
        <v>1136</v>
      </c>
      <c r="EQ69" s="80">
        <v>952</v>
      </c>
      <c r="ER69" s="80">
        <v>575</v>
      </c>
      <c r="ES69" s="80">
        <v>1120</v>
      </c>
      <c r="ET69" s="80">
        <v>644</v>
      </c>
      <c r="EU69" s="80">
        <v>70</v>
      </c>
      <c r="EV69" s="80">
        <v>210</v>
      </c>
      <c r="EW69" s="80">
        <v>162</v>
      </c>
      <c r="EX69" s="80">
        <v>228</v>
      </c>
      <c r="EY69" s="80">
        <v>1148</v>
      </c>
      <c r="EZ69" s="80">
        <v>1498</v>
      </c>
      <c r="FA69" s="80">
        <v>1442</v>
      </c>
      <c r="FB69" s="80">
        <v>1572</v>
      </c>
      <c r="FC69" s="80">
        <v>1183</v>
      </c>
      <c r="FD69" s="80">
        <v>672</v>
      </c>
      <c r="FE69" s="80">
        <v>448</v>
      </c>
      <c r="FF69" s="80">
        <v>224</v>
      </c>
      <c r="FG69" s="80">
        <v>238</v>
      </c>
      <c r="FH69" s="80">
        <v>294</v>
      </c>
      <c r="FI69" s="80">
        <v>224</v>
      </c>
      <c r="FJ69" s="80">
        <v>98</v>
      </c>
      <c r="FN69" s="114">
        <f t="shared" si="76"/>
        <v>0</v>
      </c>
      <c r="FO69" s="114">
        <f t="shared" si="77"/>
        <v>0</v>
      </c>
      <c r="FP69" s="114">
        <f t="shared" si="11"/>
        <v>0</v>
      </c>
      <c r="FQ69" s="114">
        <f t="shared" si="12"/>
        <v>0</v>
      </c>
      <c r="FR69" s="114">
        <f t="shared" si="13"/>
        <v>0</v>
      </c>
      <c r="FS69" s="114">
        <f t="shared" si="14"/>
        <v>0</v>
      </c>
      <c r="FT69" s="114">
        <f t="shared" si="15"/>
        <v>0</v>
      </c>
      <c r="FU69" s="114">
        <f t="shared" si="16"/>
        <v>0</v>
      </c>
      <c r="FV69" s="114">
        <f t="shared" si="17"/>
        <v>0</v>
      </c>
      <c r="FW69" s="114">
        <f t="shared" si="18"/>
        <v>0</v>
      </c>
      <c r="FX69" s="114">
        <f t="shared" si="19"/>
        <v>0</v>
      </c>
      <c r="FY69" s="114">
        <f t="shared" si="20"/>
        <v>0</v>
      </c>
      <c r="FZ69" s="114">
        <f t="shared" si="21"/>
        <v>0</v>
      </c>
      <c r="GA69" s="114">
        <f t="shared" si="22"/>
        <v>0</v>
      </c>
      <c r="GB69" s="114">
        <f t="shared" si="23"/>
        <v>0</v>
      </c>
      <c r="GC69" s="114">
        <f t="shared" si="24"/>
        <v>0</v>
      </c>
      <c r="GD69" s="114">
        <f t="shared" si="25"/>
        <v>0</v>
      </c>
      <c r="GE69" s="114">
        <f t="shared" si="26"/>
        <v>0</v>
      </c>
      <c r="GF69" s="114">
        <f t="shared" si="27"/>
        <v>0</v>
      </c>
      <c r="GG69" s="114">
        <f t="shared" si="28"/>
        <v>0</v>
      </c>
      <c r="GH69" s="114">
        <f t="shared" si="29"/>
        <v>0</v>
      </c>
      <c r="GI69" s="114">
        <f t="shared" si="30"/>
        <v>0</v>
      </c>
      <c r="GJ69" s="114">
        <f t="shared" si="31"/>
        <v>0</v>
      </c>
      <c r="GK69" s="114">
        <f t="shared" si="32"/>
        <v>0</v>
      </c>
      <c r="GL69" s="114">
        <f t="shared" si="33"/>
        <v>0</v>
      </c>
      <c r="GM69" s="114">
        <f t="shared" si="34"/>
        <v>0</v>
      </c>
      <c r="GN69" s="114">
        <f t="shared" si="35"/>
        <v>0</v>
      </c>
      <c r="GO69" s="114">
        <f t="shared" si="36"/>
        <v>0</v>
      </c>
      <c r="GP69" s="114">
        <f t="shared" si="37"/>
        <v>0</v>
      </c>
      <c r="GQ69" s="114">
        <f t="shared" si="38"/>
        <v>0</v>
      </c>
      <c r="GR69" s="114">
        <f t="shared" si="39"/>
        <v>0</v>
      </c>
      <c r="GS69" s="114">
        <f t="shared" si="40"/>
        <v>0</v>
      </c>
      <c r="GT69" s="114">
        <f t="shared" si="41"/>
        <v>0</v>
      </c>
      <c r="GU69" s="114">
        <f t="shared" si="42"/>
        <v>0</v>
      </c>
      <c r="GV69" s="114">
        <f t="shared" si="43"/>
        <v>0</v>
      </c>
      <c r="GW69" s="114">
        <f t="shared" si="44"/>
        <v>0</v>
      </c>
      <c r="GX69" s="114">
        <f t="shared" si="45"/>
        <v>0</v>
      </c>
      <c r="GY69" s="114">
        <f t="shared" si="46"/>
        <v>0</v>
      </c>
      <c r="GZ69" s="114">
        <f t="shared" si="80"/>
        <v>0</v>
      </c>
      <c r="HA69" s="114">
        <f t="shared" si="81"/>
        <v>0</v>
      </c>
      <c r="HB69" s="114">
        <f t="shared" si="82"/>
        <v>0</v>
      </c>
      <c r="HC69" s="114">
        <f t="shared" si="83"/>
        <v>0</v>
      </c>
      <c r="HD69" s="114">
        <f t="shared" si="84"/>
        <v>0</v>
      </c>
      <c r="HE69" s="114">
        <f t="shared" si="85"/>
        <v>0</v>
      </c>
      <c r="HF69" s="114">
        <f t="shared" si="86"/>
        <v>0</v>
      </c>
      <c r="HG69" s="114">
        <f t="shared" si="87"/>
        <v>11</v>
      </c>
      <c r="HH69" s="114">
        <f t="shared" si="88"/>
        <v>8</v>
      </c>
      <c r="HI69" s="114">
        <f t="shared" si="89"/>
        <v>1295</v>
      </c>
      <c r="HJ69" s="114">
        <f t="shared" si="116"/>
        <v>2663</v>
      </c>
      <c r="HK69" s="114">
        <f t="shared" si="122"/>
        <v>1834</v>
      </c>
      <c r="HL69" s="114">
        <f t="shared" si="123"/>
        <v>600</v>
      </c>
      <c r="HM69" s="114">
        <f t="shared" si="124"/>
        <v>4088</v>
      </c>
      <c r="HN69" s="114">
        <f t="shared" si="125"/>
        <v>3427</v>
      </c>
      <c r="HO69" s="114">
        <f t="shared" si="126"/>
        <v>910</v>
      </c>
      <c r="HP69" s="114">
        <f t="shared" si="127"/>
        <v>616</v>
      </c>
      <c r="HQ69" s="114"/>
      <c r="HU69" s="115">
        <f t="shared" si="63"/>
        <v>0</v>
      </c>
      <c r="HV69" s="116">
        <f t="shared" si="64"/>
        <v>0</v>
      </c>
      <c r="HW69" s="116">
        <f t="shared" si="65"/>
        <v>0</v>
      </c>
      <c r="HX69" s="117">
        <f t="shared" si="66"/>
        <v>0</v>
      </c>
      <c r="HY69" s="118">
        <f t="shared" si="67"/>
        <v>0</v>
      </c>
      <c r="HZ69" s="118">
        <f t="shared" si="68"/>
        <v>0</v>
      </c>
      <c r="IA69" s="118">
        <f t="shared" si="69"/>
        <v>0</v>
      </c>
      <c r="IB69" s="118">
        <f t="shared" si="70"/>
        <v>0</v>
      </c>
      <c r="IC69" s="118">
        <f t="shared" si="71"/>
        <v>0</v>
      </c>
      <c r="ID69" s="118">
        <f t="shared" si="96"/>
        <v>0</v>
      </c>
      <c r="IE69" s="118">
        <f t="shared" si="97"/>
        <v>0</v>
      </c>
      <c r="IF69" s="118">
        <f t="shared" si="98"/>
        <v>1314</v>
      </c>
      <c r="IG69" s="118">
        <f t="shared" si="99"/>
        <v>9185</v>
      </c>
    </row>
    <row r="70" spans="1:241" outlineLevel="2" x14ac:dyDescent="0.3">
      <c r="A70" s="119" t="s">
        <v>129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>
        <v>638</v>
      </c>
      <c r="AA70" s="70">
        <v>501</v>
      </c>
      <c r="AB70" s="70">
        <v>784</v>
      </c>
      <c r="AC70" s="70">
        <v>518</v>
      </c>
      <c r="AD70" s="70">
        <v>522</v>
      </c>
      <c r="AE70" s="70">
        <v>480</v>
      </c>
      <c r="AF70" s="70">
        <v>529</v>
      </c>
      <c r="AG70" s="70">
        <v>344</v>
      </c>
      <c r="AH70" s="70">
        <v>455</v>
      </c>
      <c r="AI70" s="70">
        <v>770</v>
      </c>
      <c r="AJ70" s="70">
        <v>749</v>
      </c>
      <c r="AK70" s="70">
        <v>825</v>
      </c>
      <c r="AL70" s="70">
        <v>800</v>
      </c>
      <c r="AM70" s="70">
        <v>739</v>
      </c>
      <c r="AN70" s="70">
        <v>744</v>
      </c>
      <c r="AO70" s="70">
        <v>893</v>
      </c>
      <c r="AP70" s="70">
        <v>760</v>
      </c>
      <c r="AQ70" s="70">
        <v>750</v>
      </c>
      <c r="AR70" s="70">
        <v>384</v>
      </c>
      <c r="AS70" s="70">
        <v>457</v>
      </c>
      <c r="AT70" s="70">
        <v>416</v>
      </c>
      <c r="AU70" s="70">
        <v>570</v>
      </c>
      <c r="AV70" s="70">
        <v>1589</v>
      </c>
      <c r="AW70" s="70">
        <v>1261</v>
      </c>
      <c r="AX70" s="70">
        <v>1160</v>
      </c>
      <c r="AY70" s="70">
        <v>1372</v>
      </c>
      <c r="AZ70" s="70">
        <v>1622</v>
      </c>
      <c r="BA70" s="70">
        <v>1250</v>
      </c>
      <c r="BB70" s="70">
        <v>986</v>
      </c>
      <c r="BC70" s="70">
        <v>884</v>
      </c>
      <c r="BD70" s="70">
        <v>748</v>
      </c>
      <c r="BE70" s="70">
        <v>1470</v>
      </c>
      <c r="BF70" s="70">
        <v>1082</v>
      </c>
      <c r="BG70" s="70">
        <v>1543</v>
      </c>
      <c r="BH70" s="70">
        <v>1702</v>
      </c>
      <c r="BI70" s="70">
        <v>1564</v>
      </c>
      <c r="BJ70" s="70">
        <v>1578</v>
      </c>
      <c r="BK70" s="70">
        <v>2049</v>
      </c>
      <c r="BL70" s="70">
        <v>1489</v>
      </c>
      <c r="BM70" s="70">
        <v>1302</v>
      </c>
      <c r="BN70" s="70">
        <v>1105</v>
      </c>
      <c r="BO70" s="70">
        <v>1038</v>
      </c>
      <c r="BP70" s="70">
        <v>1478</v>
      </c>
      <c r="BQ70" s="70">
        <v>2350</v>
      </c>
      <c r="BR70" s="70">
        <v>1601</v>
      </c>
      <c r="BS70" s="70">
        <v>1673</v>
      </c>
      <c r="BT70" s="70">
        <v>1723</v>
      </c>
      <c r="BU70" s="70">
        <v>1878</v>
      </c>
      <c r="BV70" s="70">
        <v>1560</v>
      </c>
      <c r="BW70" s="70">
        <v>2187</v>
      </c>
      <c r="BX70" s="70">
        <v>1889</v>
      </c>
      <c r="BY70" s="70">
        <v>2062</v>
      </c>
      <c r="BZ70" s="70">
        <v>1363</v>
      </c>
      <c r="CA70" s="70">
        <v>1597</v>
      </c>
      <c r="CB70" s="70">
        <v>407</v>
      </c>
      <c r="CC70" s="70">
        <v>718</v>
      </c>
      <c r="CD70" s="70">
        <v>2252</v>
      </c>
      <c r="CE70" s="70">
        <v>1829</v>
      </c>
      <c r="CF70" s="70">
        <v>2564</v>
      </c>
      <c r="CG70" s="70">
        <v>2397</v>
      </c>
      <c r="CH70" s="70">
        <v>3742</v>
      </c>
      <c r="CI70" s="70">
        <v>2160</v>
      </c>
      <c r="CJ70" s="70">
        <v>3257</v>
      </c>
      <c r="CK70" s="70">
        <v>5003</v>
      </c>
      <c r="CL70" s="70">
        <v>4152</v>
      </c>
      <c r="CM70" s="70">
        <v>4642</v>
      </c>
      <c r="CN70" s="70">
        <v>4426</v>
      </c>
      <c r="CO70" s="70">
        <v>2119</v>
      </c>
      <c r="CP70" s="70">
        <v>1927</v>
      </c>
      <c r="CQ70" s="70">
        <v>2228</v>
      </c>
      <c r="CR70" s="70">
        <v>2348</v>
      </c>
      <c r="CS70" s="70">
        <v>3184</v>
      </c>
      <c r="CT70" s="70"/>
      <c r="CU70" s="70">
        <v>684</v>
      </c>
      <c r="CV70" s="70">
        <v>1555</v>
      </c>
      <c r="CW70" s="70">
        <v>2409</v>
      </c>
      <c r="CX70" s="70">
        <v>2573</v>
      </c>
      <c r="CY70" s="70">
        <v>4131</v>
      </c>
      <c r="CZ70" s="70">
        <v>4033</v>
      </c>
      <c r="DA70" s="70">
        <v>4698</v>
      </c>
      <c r="DB70" s="70">
        <v>3503</v>
      </c>
      <c r="DC70" s="70">
        <v>4515</v>
      </c>
      <c r="DD70" s="70">
        <v>4545</v>
      </c>
      <c r="DE70" s="70">
        <v>5885</v>
      </c>
      <c r="DF70" s="70">
        <v>4509</v>
      </c>
      <c r="DG70" s="70">
        <v>7221</v>
      </c>
      <c r="DH70" s="70">
        <v>7233</v>
      </c>
      <c r="DI70" s="70">
        <v>4748</v>
      </c>
      <c r="DJ70" s="70">
        <v>6790</v>
      </c>
      <c r="DK70" s="70">
        <v>6296</v>
      </c>
      <c r="DL70" s="70">
        <v>3522</v>
      </c>
      <c r="DM70" s="70">
        <v>6824</v>
      </c>
      <c r="DN70" s="70">
        <v>8552</v>
      </c>
      <c r="DO70" s="70">
        <v>9112</v>
      </c>
      <c r="DP70" s="70">
        <v>7025</v>
      </c>
      <c r="DQ70" s="70">
        <v>9200</v>
      </c>
      <c r="DR70" s="70">
        <v>8303</v>
      </c>
      <c r="DS70" s="70">
        <v>10118</v>
      </c>
      <c r="DT70" s="70">
        <v>11142</v>
      </c>
      <c r="DU70" s="70">
        <v>9026</v>
      </c>
      <c r="DV70" s="70">
        <v>7220</v>
      </c>
      <c r="DW70" s="70">
        <v>8451</v>
      </c>
      <c r="DX70" s="70">
        <v>5707</v>
      </c>
      <c r="DY70" s="70">
        <v>5006</v>
      </c>
      <c r="DZ70" s="70">
        <v>8579</v>
      </c>
      <c r="EA70" s="70">
        <v>7044</v>
      </c>
      <c r="EB70" s="70">
        <v>7108</v>
      </c>
      <c r="EC70" s="70">
        <v>12351</v>
      </c>
      <c r="ED70" s="70">
        <v>4255</v>
      </c>
      <c r="EE70" s="70">
        <v>6666</v>
      </c>
      <c r="EF70" s="70">
        <v>9614</v>
      </c>
      <c r="EG70" s="70">
        <v>7055</v>
      </c>
      <c r="EH70" s="70">
        <v>8190</v>
      </c>
      <c r="EI70" s="70">
        <v>4319</v>
      </c>
      <c r="EJ70" s="70">
        <v>3477</v>
      </c>
      <c r="EK70" s="70">
        <v>5114</v>
      </c>
      <c r="EL70" s="70">
        <v>6096</v>
      </c>
      <c r="EM70" s="70">
        <v>5631</v>
      </c>
      <c r="EN70" s="70">
        <v>8013</v>
      </c>
      <c r="EO70" s="70">
        <v>9507</v>
      </c>
      <c r="EP70" s="70">
        <v>6832</v>
      </c>
      <c r="EQ70" s="70">
        <v>7479</v>
      </c>
      <c r="ER70" s="70">
        <v>7024</v>
      </c>
      <c r="ES70" s="70">
        <v>6057</v>
      </c>
      <c r="ET70" s="70">
        <v>8006</v>
      </c>
      <c r="EU70" s="70">
        <v>7652</v>
      </c>
      <c r="EV70" s="70">
        <v>8688</v>
      </c>
      <c r="EW70" s="70">
        <v>10021</v>
      </c>
      <c r="EX70" s="70">
        <v>11575</v>
      </c>
      <c r="EY70" s="70">
        <v>10080</v>
      </c>
      <c r="EZ70" s="70">
        <v>9871</v>
      </c>
      <c r="FA70" s="70">
        <v>12971</v>
      </c>
      <c r="FB70" s="70">
        <v>10557</v>
      </c>
      <c r="FC70" s="70">
        <v>13609</v>
      </c>
      <c r="FD70" s="70">
        <v>12583</v>
      </c>
      <c r="FE70" s="70">
        <v>11791</v>
      </c>
      <c r="FF70" s="70">
        <v>11126</v>
      </c>
      <c r="FG70" s="70">
        <v>10775</v>
      </c>
      <c r="FH70" s="70">
        <v>8107</v>
      </c>
      <c r="FI70" s="70">
        <v>10265</v>
      </c>
      <c r="FJ70" s="70">
        <v>10397</v>
      </c>
      <c r="FN70" s="114">
        <f t="shared" si="76"/>
        <v>0</v>
      </c>
      <c r="FO70" s="114">
        <f t="shared" si="77"/>
        <v>0</v>
      </c>
      <c r="FP70" s="114">
        <f t="shared" ref="FP70:FP85" si="132">+SUM(H70:J70)</f>
        <v>0</v>
      </c>
      <c r="FQ70" s="114">
        <f t="shared" ref="FQ70:FQ85" si="133">+SUM(K70:M70)</f>
        <v>0</v>
      </c>
      <c r="FR70" s="114">
        <f t="shared" ref="FR70:FR85" si="134">+SUM(N70:P70)</f>
        <v>0</v>
      </c>
      <c r="FS70" s="114">
        <f t="shared" ref="FS70:FS85" si="135">+SUM(Q70:S70)</f>
        <v>0</v>
      </c>
      <c r="FT70" s="114">
        <f t="shared" ref="FT70:FT85" si="136">+SUM(T70:V70)</f>
        <v>0</v>
      </c>
      <c r="FU70" s="114">
        <f t="shared" ref="FU70:FU85" si="137">+SUM(W70:Y70)</f>
        <v>0</v>
      </c>
      <c r="FV70" s="114">
        <f t="shared" ref="FV70:FV85" si="138">+SUM(Z70:AB70)</f>
        <v>1923</v>
      </c>
      <c r="FW70" s="114">
        <f t="shared" ref="FW70:FW85" si="139">+SUM(AC70:AE70)</f>
        <v>1520</v>
      </c>
      <c r="FX70" s="114">
        <f t="shared" ref="FX70:FX85" si="140">+SUM(AF70:AH70)</f>
        <v>1328</v>
      </c>
      <c r="FY70" s="114">
        <f t="shared" ref="FY70:FY85" si="141">+SUM(AI70:AK70)</f>
        <v>2344</v>
      </c>
      <c r="FZ70" s="114">
        <f t="shared" ref="FZ70:FZ85" si="142">+SUM(AL70:AN70)</f>
        <v>2283</v>
      </c>
      <c r="GA70" s="114">
        <f t="shared" ref="GA70:GA85" si="143">+SUM(AO70:AQ70)</f>
        <v>2403</v>
      </c>
      <c r="GB70" s="114">
        <f t="shared" ref="GB70:GB85" si="144">+SUM(AR70:AT70)</f>
        <v>1257</v>
      </c>
      <c r="GC70" s="114">
        <f t="shared" ref="GC70:GC85" si="145">+SUM(AU70:AW70)</f>
        <v>3420</v>
      </c>
      <c r="GD70" s="114">
        <f t="shared" ref="GD70:GD85" si="146">+SUM(AX70:AZ70)</f>
        <v>4154</v>
      </c>
      <c r="GE70" s="114">
        <f t="shared" ref="GE70:GE85" si="147">+SUM(BA70:BC70)</f>
        <v>3120</v>
      </c>
      <c r="GF70" s="114">
        <f t="shared" ref="GF70:GF85" si="148">+SUM(BD70:BF70)</f>
        <v>3300</v>
      </c>
      <c r="GG70" s="114">
        <f t="shared" ref="GG70:GG85" si="149">+SUM(BG70:BI70)</f>
        <v>4809</v>
      </c>
      <c r="GH70" s="114">
        <f t="shared" ref="GH70:GH85" si="150">+SUM(BJ70:BL70)</f>
        <v>5116</v>
      </c>
      <c r="GI70" s="114">
        <f t="shared" ref="GI70:GI85" si="151">+SUM(BM70:BO70)</f>
        <v>3445</v>
      </c>
      <c r="GJ70" s="114">
        <f t="shared" ref="GJ70:GJ85" si="152">+SUM(BP70:BR70)</f>
        <v>5429</v>
      </c>
      <c r="GK70" s="114">
        <f t="shared" ref="GK70:GK85" si="153">+SUM(BS70:BU70)</f>
        <v>5274</v>
      </c>
      <c r="GL70" s="114">
        <f t="shared" ref="GL70:GL85" si="154">+SUM(BV70:BX70)</f>
        <v>5636</v>
      </c>
      <c r="GM70" s="114">
        <f t="shared" ref="GM70:GM85" si="155">+SUM(BY70:CA70)</f>
        <v>5022</v>
      </c>
      <c r="GN70" s="114">
        <f t="shared" ref="GN70:GN85" si="156">+SUM(CB70:CD70)</f>
        <v>3377</v>
      </c>
      <c r="GO70" s="114">
        <f t="shared" ref="GO70:GO85" si="157">+SUM(CE70:CG70)</f>
        <v>6790</v>
      </c>
      <c r="GP70" s="114">
        <f t="shared" ref="GP70:GP85" si="158">+SUM(CH70:CJ70)</f>
        <v>9159</v>
      </c>
      <c r="GQ70" s="114">
        <f t="shared" ref="GQ70:GQ85" si="159">+SUM(CK70:CM70)</f>
        <v>13797</v>
      </c>
      <c r="GR70" s="114">
        <f t="shared" ref="GR70:GR85" si="160">+SUM(CN70:CP70)</f>
        <v>8472</v>
      </c>
      <c r="GS70" s="114">
        <f t="shared" ref="GS70:GS85" si="161">+SUM(CQ70:CS70)</f>
        <v>7760</v>
      </c>
      <c r="GT70" s="114">
        <f t="shared" ref="GT70:GT85" si="162">+SUM(CT70:CV70)</f>
        <v>2239</v>
      </c>
      <c r="GU70" s="114">
        <f t="shared" ref="GU70:GU85" si="163">+SUM(CW70:CY70)</f>
        <v>9113</v>
      </c>
      <c r="GV70" s="114">
        <f t="shared" ref="GV70:GV85" si="164">+SUM(CZ70:DB70)</f>
        <v>12234</v>
      </c>
      <c r="GW70" s="114">
        <f t="shared" ref="GW70:GW85" si="165">+SUM(DC70:DE70)</f>
        <v>14945</v>
      </c>
      <c r="GX70" s="114">
        <f t="shared" ref="GX70:GX85" si="166">+SUM(DF70:DH70)</f>
        <v>18963</v>
      </c>
      <c r="GY70" s="114">
        <f t="shared" ref="GY70:GY85" si="167">+SUM(DI70:DK70)</f>
        <v>17834</v>
      </c>
      <c r="GZ70" s="114">
        <f t="shared" si="80"/>
        <v>18898</v>
      </c>
      <c r="HA70" s="114">
        <f t="shared" si="81"/>
        <v>25337</v>
      </c>
      <c r="HB70" s="114">
        <f t="shared" si="82"/>
        <v>29563</v>
      </c>
      <c r="HC70" s="114">
        <f t="shared" si="83"/>
        <v>24697</v>
      </c>
      <c r="HD70" s="114">
        <f t="shared" si="84"/>
        <v>19292</v>
      </c>
      <c r="HE70" s="114">
        <f t="shared" si="85"/>
        <v>26503</v>
      </c>
      <c r="HF70" s="114">
        <f t="shared" si="86"/>
        <v>20535</v>
      </c>
      <c r="HG70" s="114">
        <f t="shared" si="87"/>
        <v>19564</v>
      </c>
      <c r="HH70" s="114">
        <f t="shared" si="88"/>
        <v>14687</v>
      </c>
      <c r="HI70" s="114">
        <f t="shared" si="89"/>
        <v>23151</v>
      </c>
      <c r="HJ70" s="114">
        <f t="shared" si="116"/>
        <v>21335</v>
      </c>
      <c r="HK70" s="114">
        <f t="shared" si="122"/>
        <v>21715</v>
      </c>
      <c r="HL70" s="114">
        <f t="shared" si="123"/>
        <v>30284</v>
      </c>
      <c r="HM70" s="114">
        <f t="shared" si="124"/>
        <v>32922</v>
      </c>
      <c r="HN70" s="114">
        <f t="shared" si="125"/>
        <v>36749</v>
      </c>
      <c r="HO70" s="114">
        <f t="shared" si="126"/>
        <v>33692</v>
      </c>
      <c r="HP70" s="114">
        <f t="shared" si="127"/>
        <v>28769</v>
      </c>
      <c r="HQ70" s="114"/>
      <c r="HU70" s="115">
        <f t="shared" ref="HU70:HU88" si="168">SUM(B70:M70)</f>
        <v>0</v>
      </c>
      <c r="HV70" s="116">
        <f t="shared" ref="HV70:HV88" si="169">SUM(N70:Y70)</f>
        <v>0</v>
      </c>
      <c r="HW70" s="116">
        <f t="shared" ref="HW70:HW88" si="170">SUM(Z70:AK70)</f>
        <v>7115</v>
      </c>
      <c r="HX70" s="117">
        <f t="shared" ref="HX70:HX88" si="171">SUM(AL70:AW70)</f>
        <v>9363</v>
      </c>
      <c r="HY70" s="118">
        <f t="shared" ref="HY70:HY88" si="172">SUM(AX70:BI70)</f>
        <v>15383</v>
      </c>
      <c r="HZ70" s="118">
        <f t="shared" ref="HZ70:HZ88" si="173">SUM(BJ70:BU70)</f>
        <v>19264</v>
      </c>
      <c r="IA70" s="118">
        <f t="shared" ref="IA70:IA88" si="174">SUM(BV70:CG70)</f>
        <v>20825</v>
      </c>
      <c r="IB70" s="118">
        <f t="shared" ref="IB70:IB88" si="175">SUM(CH70:CS70)</f>
        <v>39188</v>
      </c>
      <c r="IC70" s="118">
        <f t="shared" ref="IC70:IC88" si="176">SUM(CT70:DE70)</f>
        <v>38531</v>
      </c>
      <c r="ID70" s="118">
        <f t="shared" si="96"/>
        <v>81032</v>
      </c>
      <c r="IE70" s="118">
        <f t="shared" si="97"/>
        <v>100055</v>
      </c>
      <c r="IF70" s="118">
        <f t="shared" si="98"/>
        <v>77937</v>
      </c>
      <c r="IG70" s="118">
        <f t="shared" si="99"/>
        <v>106256</v>
      </c>
    </row>
    <row r="71" spans="1:241" outlineLevel="2" x14ac:dyDescent="0.3">
      <c r="A71" s="106" t="s">
        <v>123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>
        <v>607</v>
      </c>
      <c r="AA71" s="80">
        <v>1684</v>
      </c>
      <c r="AB71" s="80">
        <v>1345</v>
      </c>
      <c r="AC71" s="80">
        <v>1851</v>
      </c>
      <c r="AD71" s="80">
        <v>1954</v>
      </c>
      <c r="AE71" s="80">
        <v>2321</v>
      </c>
      <c r="AF71" s="80">
        <v>1482</v>
      </c>
      <c r="AG71" s="80">
        <v>1413</v>
      </c>
      <c r="AH71" s="80">
        <v>3499</v>
      </c>
      <c r="AI71" s="80">
        <v>2395</v>
      </c>
      <c r="AJ71" s="80">
        <v>3903</v>
      </c>
      <c r="AK71" s="80">
        <v>4570</v>
      </c>
      <c r="AL71" s="80">
        <v>2770</v>
      </c>
      <c r="AM71" s="80">
        <v>5313</v>
      </c>
      <c r="AN71" s="80">
        <v>3474</v>
      </c>
      <c r="AO71" s="80">
        <v>3492</v>
      </c>
      <c r="AP71" s="80">
        <v>5290</v>
      </c>
      <c r="AQ71" s="80">
        <v>3886</v>
      </c>
      <c r="AR71" s="80">
        <v>3264</v>
      </c>
      <c r="AS71" s="80">
        <v>2455</v>
      </c>
      <c r="AT71" s="80">
        <v>5539</v>
      </c>
      <c r="AU71" s="80">
        <v>5856</v>
      </c>
      <c r="AV71" s="80">
        <v>7697</v>
      </c>
      <c r="AW71" s="80">
        <v>7455</v>
      </c>
      <c r="AX71" s="80">
        <v>4914</v>
      </c>
      <c r="AY71" s="80">
        <v>6360</v>
      </c>
      <c r="AZ71" s="80">
        <v>8056</v>
      </c>
      <c r="BA71" s="80">
        <v>4784</v>
      </c>
      <c r="BB71" s="80">
        <v>4202</v>
      </c>
      <c r="BC71" s="80">
        <v>5567</v>
      </c>
      <c r="BD71" s="80">
        <v>4018</v>
      </c>
      <c r="BE71" s="80">
        <v>4724</v>
      </c>
      <c r="BF71" s="80">
        <v>4413</v>
      </c>
      <c r="BG71" s="80">
        <v>5334</v>
      </c>
      <c r="BH71" s="80">
        <v>6228</v>
      </c>
      <c r="BI71" s="80">
        <v>5005</v>
      </c>
      <c r="BJ71" s="80">
        <v>6847</v>
      </c>
      <c r="BK71" s="80">
        <v>4765</v>
      </c>
      <c r="BL71" s="80">
        <v>4265</v>
      </c>
      <c r="BM71" s="80">
        <v>5107</v>
      </c>
      <c r="BN71" s="80">
        <v>9305</v>
      </c>
      <c r="BO71" s="80">
        <v>5794</v>
      </c>
      <c r="BP71" s="80">
        <v>3641</v>
      </c>
      <c r="BQ71" s="80">
        <v>6023</v>
      </c>
      <c r="BR71" s="80">
        <v>6210</v>
      </c>
      <c r="BS71" s="80">
        <v>3667</v>
      </c>
      <c r="BT71" s="80">
        <v>4654</v>
      </c>
      <c r="BU71" s="80">
        <v>4631</v>
      </c>
      <c r="BV71" s="80">
        <v>5763</v>
      </c>
      <c r="BW71" s="80">
        <v>5029</v>
      </c>
      <c r="BX71" s="80">
        <v>5569</v>
      </c>
      <c r="BY71" s="80">
        <v>4968</v>
      </c>
      <c r="BZ71" s="80">
        <v>6739</v>
      </c>
      <c r="CA71" s="80">
        <v>7498</v>
      </c>
      <c r="CB71" s="80">
        <v>3472</v>
      </c>
      <c r="CC71" s="80">
        <v>2969</v>
      </c>
      <c r="CD71" s="80">
        <v>6392</v>
      </c>
      <c r="CE71" s="80">
        <v>3890</v>
      </c>
      <c r="CF71" s="80">
        <v>6803</v>
      </c>
      <c r="CG71" s="80">
        <v>6824</v>
      </c>
      <c r="CH71" s="80">
        <v>7143</v>
      </c>
      <c r="CI71" s="80">
        <v>7186</v>
      </c>
      <c r="CJ71" s="80">
        <v>8650</v>
      </c>
      <c r="CK71" s="80">
        <v>4894</v>
      </c>
      <c r="CL71" s="80">
        <v>6289</v>
      </c>
      <c r="CM71" s="80">
        <v>7363</v>
      </c>
      <c r="CN71" s="80">
        <v>7148</v>
      </c>
      <c r="CO71" s="80">
        <v>6754</v>
      </c>
      <c r="CP71" s="80">
        <v>6253</v>
      </c>
      <c r="CQ71" s="80">
        <v>7897</v>
      </c>
      <c r="CR71" s="80">
        <v>7253</v>
      </c>
      <c r="CS71" s="80">
        <v>5390</v>
      </c>
      <c r="CT71" s="80"/>
      <c r="CU71" s="80">
        <v>0</v>
      </c>
      <c r="CV71" s="80">
        <v>878</v>
      </c>
      <c r="CW71" s="80">
        <v>2871</v>
      </c>
      <c r="CX71" s="80">
        <v>4015</v>
      </c>
      <c r="CY71" s="80">
        <v>4965</v>
      </c>
      <c r="CZ71" s="80">
        <v>7381</v>
      </c>
      <c r="DA71" s="80">
        <v>6131</v>
      </c>
      <c r="DB71" s="80">
        <v>4948</v>
      </c>
      <c r="DC71" s="80">
        <v>5338</v>
      </c>
      <c r="DD71" s="80">
        <v>9084</v>
      </c>
      <c r="DE71" s="80">
        <v>8332</v>
      </c>
      <c r="DF71" s="80">
        <v>7062</v>
      </c>
      <c r="DG71" s="80">
        <v>4596</v>
      </c>
      <c r="DH71" s="80">
        <v>4564</v>
      </c>
      <c r="DI71" s="80">
        <v>8628</v>
      </c>
      <c r="DJ71" s="80">
        <v>8054</v>
      </c>
      <c r="DK71" s="80">
        <v>8597</v>
      </c>
      <c r="DL71" s="80">
        <v>7144</v>
      </c>
      <c r="DM71" s="80">
        <v>7694</v>
      </c>
      <c r="DN71" s="80">
        <v>14360</v>
      </c>
      <c r="DO71" s="80">
        <v>6799</v>
      </c>
      <c r="DP71" s="80">
        <v>9943</v>
      </c>
      <c r="DQ71" s="80">
        <v>11921</v>
      </c>
      <c r="DR71" s="80">
        <v>11152</v>
      </c>
      <c r="DS71" s="80">
        <v>8080</v>
      </c>
      <c r="DT71" s="80">
        <v>11489</v>
      </c>
      <c r="DU71" s="80">
        <v>6983</v>
      </c>
      <c r="DV71" s="80">
        <v>8084</v>
      </c>
      <c r="DW71" s="80">
        <v>8043</v>
      </c>
      <c r="DX71" s="80">
        <v>12422</v>
      </c>
      <c r="DY71" s="80">
        <v>9974</v>
      </c>
      <c r="DZ71" s="80">
        <v>14186</v>
      </c>
      <c r="EA71" s="80">
        <v>9397</v>
      </c>
      <c r="EB71" s="80">
        <v>9212</v>
      </c>
      <c r="EC71" s="80">
        <v>13928</v>
      </c>
      <c r="ED71" s="80">
        <v>7756</v>
      </c>
      <c r="EE71" s="80">
        <v>12877</v>
      </c>
      <c r="EF71" s="80">
        <v>9872</v>
      </c>
      <c r="EG71" s="80">
        <v>16634</v>
      </c>
      <c r="EH71" s="80">
        <v>13439</v>
      </c>
      <c r="EI71" s="80">
        <v>10262</v>
      </c>
      <c r="EJ71" s="80">
        <v>11543</v>
      </c>
      <c r="EK71" s="80">
        <v>11070</v>
      </c>
      <c r="EL71" s="80">
        <v>8215</v>
      </c>
      <c r="EM71" s="80">
        <v>10689</v>
      </c>
      <c r="EN71" s="80">
        <v>9071</v>
      </c>
      <c r="EO71" s="80">
        <v>13528</v>
      </c>
      <c r="EP71" s="80">
        <v>8616</v>
      </c>
      <c r="EQ71" s="80">
        <v>13948</v>
      </c>
      <c r="ER71" s="80">
        <v>12358</v>
      </c>
      <c r="ES71" s="80">
        <v>10538</v>
      </c>
      <c r="ET71" s="80">
        <v>13057</v>
      </c>
      <c r="EU71" s="80">
        <v>14960</v>
      </c>
      <c r="EV71" s="80">
        <v>12949</v>
      </c>
      <c r="EW71" s="80">
        <v>12550</v>
      </c>
      <c r="EX71" s="80">
        <v>14112</v>
      </c>
      <c r="EY71" s="80">
        <v>17910</v>
      </c>
      <c r="EZ71" s="80">
        <v>13277</v>
      </c>
      <c r="FA71" s="80">
        <v>17632</v>
      </c>
      <c r="FB71" s="80">
        <v>14236</v>
      </c>
      <c r="FC71" s="80">
        <v>15302</v>
      </c>
      <c r="FD71" s="80">
        <v>17236</v>
      </c>
      <c r="FE71" s="80">
        <v>12888</v>
      </c>
      <c r="FF71" s="80">
        <v>14900</v>
      </c>
      <c r="FG71" s="80">
        <v>12936</v>
      </c>
      <c r="FH71" s="80">
        <v>19358</v>
      </c>
      <c r="FI71" s="80">
        <v>18077</v>
      </c>
      <c r="FJ71" s="80">
        <v>17870</v>
      </c>
      <c r="FN71" s="108">
        <f t="shared" ref="FN71:FN85" si="177">+SUM(B71:D71)</f>
        <v>0</v>
      </c>
      <c r="FO71" s="108">
        <f t="shared" ref="FO71:FO85" si="178">+SUM(E71:G71)</f>
        <v>0</v>
      </c>
      <c r="FP71" s="108">
        <f t="shared" si="132"/>
        <v>0</v>
      </c>
      <c r="FQ71" s="108">
        <f t="shared" si="133"/>
        <v>0</v>
      </c>
      <c r="FR71" s="108">
        <f t="shared" si="134"/>
        <v>0</v>
      </c>
      <c r="FS71" s="108">
        <f t="shared" si="135"/>
        <v>0</v>
      </c>
      <c r="FT71" s="108">
        <f t="shared" si="136"/>
        <v>0</v>
      </c>
      <c r="FU71" s="108">
        <f t="shared" si="137"/>
        <v>0</v>
      </c>
      <c r="FV71" s="108">
        <f t="shared" si="138"/>
        <v>3636</v>
      </c>
      <c r="FW71" s="108">
        <f t="shared" si="139"/>
        <v>6126</v>
      </c>
      <c r="FX71" s="108">
        <f t="shared" si="140"/>
        <v>6394</v>
      </c>
      <c r="FY71" s="108">
        <f t="shared" si="141"/>
        <v>10868</v>
      </c>
      <c r="FZ71" s="108">
        <f t="shared" si="142"/>
        <v>11557</v>
      </c>
      <c r="GA71" s="108">
        <f t="shared" si="143"/>
        <v>12668</v>
      </c>
      <c r="GB71" s="108">
        <f t="shared" si="144"/>
        <v>11258</v>
      </c>
      <c r="GC71" s="108">
        <f t="shared" si="145"/>
        <v>21008</v>
      </c>
      <c r="GD71" s="108">
        <f t="shared" si="146"/>
        <v>19330</v>
      </c>
      <c r="GE71" s="108">
        <f t="shared" si="147"/>
        <v>14553</v>
      </c>
      <c r="GF71" s="108">
        <f t="shared" si="148"/>
        <v>13155</v>
      </c>
      <c r="GG71" s="108">
        <f t="shared" si="149"/>
        <v>16567</v>
      </c>
      <c r="GH71" s="108">
        <f t="shared" si="150"/>
        <v>15877</v>
      </c>
      <c r="GI71" s="108">
        <f t="shared" si="151"/>
        <v>20206</v>
      </c>
      <c r="GJ71" s="108">
        <f t="shared" si="152"/>
        <v>15874</v>
      </c>
      <c r="GK71" s="108">
        <f t="shared" si="153"/>
        <v>12952</v>
      </c>
      <c r="GL71" s="108">
        <f t="shared" si="154"/>
        <v>16361</v>
      </c>
      <c r="GM71" s="108">
        <f t="shared" si="155"/>
        <v>19205</v>
      </c>
      <c r="GN71" s="108">
        <f t="shared" si="156"/>
        <v>12833</v>
      </c>
      <c r="GO71" s="108">
        <f t="shared" si="157"/>
        <v>17517</v>
      </c>
      <c r="GP71" s="108">
        <f t="shared" si="158"/>
        <v>22979</v>
      </c>
      <c r="GQ71" s="108">
        <f t="shared" si="159"/>
        <v>18546</v>
      </c>
      <c r="GR71" s="108">
        <f t="shared" si="160"/>
        <v>20155</v>
      </c>
      <c r="GS71" s="108">
        <f t="shared" si="161"/>
        <v>20540</v>
      </c>
      <c r="GT71" s="108">
        <f t="shared" si="162"/>
        <v>878</v>
      </c>
      <c r="GU71" s="108">
        <f t="shared" si="163"/>
        <v>11851</v>
      </c>
      <c r="GV71" s="108">
        <f t="shared" si="164"/>
        <v>18460</v>
      </c>
      <c r="GW71" s="108">
        <f t="shared" si="165"/>
        <v>22754</v>
      </c>
      <c r="GX71" s="108">
        <f t="shared" si="166"/>
        <v>16222</v>
      </c>
      <c r="GY71" s="108">
        <f t="shared" si="167"/>
        <v>25279</v>
      </c>
      <c r="GZ71" s="108">
        <f t="shared" si="80"/>
        <v>29198</v>
      </c>
      <c r="HA71" s="108">
        <f t="shared" si="81"/>
        <v>28663</v>
      </c>
      <c r="HB71" s="108">
        <f t="shared" si="82"/>
        <v>30721</v>
      </c>
      <c r="HC71" s="108">
        <f t="shared" si="83"/>
        <v>23110</v>
      </c>
      <c r="HD71" s="108">
        <f t="shared" si="84"/>
        <v>36582</v>
      </c>
      <c r="HE71" s="108">
        <f t="shared" si="85"/>
        <v>32537</v>
      </c>
      <c r="HF71" s="108">
        <f t="shared" si="86"/>
        <v>30505</v>
      </c>
      <c r="HG71" s="108">
        <f t="shared" si="87"/>
        <v>40335</v>
      </c>
      <c r="HH71" s="108">
        <f t="shared" si="88"/>
        <v>30828</v>
      </c>
      <c r="HI71" s="108">
        <f t="shared" si="89"/>
        <v>33288</v>
      </c>
      <c r="HJ71" s="108">
        <f t="shared" si="116"/>
        <v>34922</v>
      </c>
      <c r="HK71" s="108">
        <f t="shared" si="122"/>
        <v>38555</v>
      </c>
      <c r="HL71" s="108">
        <f t="shared" si="123"/>
        <v>39611</v>
      </c>
      <c r="HM71" s="108">
        <f t="shared" si="124"/>
        <v>48819</v>
      </c>
      <c r="HN71" s="108">
        <f t="shared" si="125"/>
        <v>46774</v>
      </c>
      <c r="HO71" s="108">
        <f t="shared" si="126"/>
        <v>40724</v>
      </c>
      <c r="HP71" s="108">
        <f t="shared" si="127"/>
        <v>55305</v>
      </c>
      <c r="HQ71" s="108"/>
      <c r="HU71" s="109">
        <f t="shared" si="168"/>
        <v>0</v>
      </c>
      <c r="HV71" s="110">
        <f t="shared" si="169"/>
        <v>0</v>
      </c>
      <c r="HW71" s="110">
        <f t="shared" si="170"/>
        <v>27024</v>
      </c>
      <c r="HX71" s="111">
        <f t="shared" si="171"/>
        <v>56491</v>
      </c>
      <c r="HY71" s="112">
        <f t="shared" si="172"/>
        <v>63605</v>
      </c>
      <c r="HZ71" s="112">
        <f t="shared" si="173"/>
        <v>64909</v>
      </c>
      <c r="IA71" s="112">
        <f t="shared" si="174"/>
        <v>65916</v>
      </c>
      <c r="IB71" s="112">
        <f t="shared" si="175"/>
        <v>82220</v>
      </c>
      <c r="IC71" s="112">
        <f t="shared" si="176"/>
        <v>53943</v>
      </c>
      <c r="ID71" s="112">
        <f t="shared" si="96"/>
        <v>99362</v>
      </c>
      <c r="IE71" s="112">
        <f t="shared" si="97"/>
        <v>122950</v>
      </c>
      <c r="IF71" s="112">
        <f t="shared" si="98"/>
        <v>134956</v>
      </c>
      <c r="IG71" s="112">
        <f t="shared" si="99"/>
        <v>161907</v>
      </c>
    </row>
    <row r="72" spans="1:241" outlineLevel="2" x14ac:dyDescent="0.3">
      <c r="A72" s="119" t="s">
        <v>130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>
        <v>0</v>
      </c>
      <c r="AA72" s="70">
        <v>0</v>
      </c>
      <c r="AB72" s="70">
        <v>0</v>
      </c>
      <c r="AC72" s="70">
        <v>0</v>
      </c>
      <c r="AD72" s="70">
        <v>0</v>
      </c>
      <c r="AE72" s="70">
        <v>0</v>
      </c>
      <c r="AF72" s="70">
        <v>0</v>
      </c>
      <c r="AG72" s="70">
        <v>0</v>
      </c>
      <c r="AH72" s="70">
        <v>0</v>
      </c>
      <c r="AI72" s="70">
        <v>0</v>
      </c>
      <c r="AJ72" s="70">
        <v>0</v>
      </c>
      <c r="AK72" s="70">
        <v>0</v>
      </c>
      <c r="AL72" s="70">
        <v>0</v>
      </c>
      <c r="AM72" s="70">
        <v>0</v>
      </c>
      <c r="AN72" s="70">
        <v>0</v>
      </c>
      <c r="AO72" s="70">
        <v>0</v>
      </c>
      <c r="AP72" s="70">
        <v>0</v>
      </c>
      <c r="AQ72" s="70">
        <v>0</v>
      </c>
      <c r="AR72" s="70">
        <v>0</v>
      </c>
      <c r="AS72" s="70">
        <v>0</v>
      </c>
      <c r="AT72" s="70">
        <v>0</v>
      </c>
      <c r="AU72" s="70">
        <v>0</v>
      </c>
      <c r="AV72" s="70">
        <v>0</v>
      </c>
      <c r="AW72" s="70">
        <v>0</v>
      </c>
      <c r="AX72" s="70">
        <v>0</v>
      </c>
      <c r="AY72" s="70">
        <v>0</v>
      </c>
      <c r="AZ72" s="70">
        <v>0</v>
      </c>
      <c r="BA72" s="70">
        <v>0</v>
      </c>
      <c r="BB72" s="70">
        <v>0</v>
      </c>
      <c r="BC72" s="70">
        <v>0</v>
      </c>
      <c r="BD72" s="70">
        <v>0</v>
      </c>
      <c r="BE72" s="70">
        <v>0</v>
      </c>
      <c r="BF72" s="70">
        <v>0</v>
      </c>
      <c r="BG72" s="70">
        <v>0</v>
      </c>
      <c r="BH72" s="70">
        <v>0</v>
      </c>
      <c r="BI72" s="70">
        <v>0</v>
      </c>
      <c r="BJ72" s="70">
        <v>0</v>
      </c>
      <c r="BK72" s="70">
        <v>0</v>
      </c>
      <c r="BL72" s="70">
        <v>0</v>
      </c>
      <c r="BM72" s="70">
        <v>0</v>
      </c>
      <c r="BN72" s="70">
        <v>0</v>
      </c>
      <c r="BO72" s="70">
        <v>0</v>
      </c>
      <c r="BP72" s="70">
        <v>0</v>
      </c>
      <c r="BQ72" s="70">
        <v>0</v>
      </c>
      <c r="BR72" s="70">
        <v>0</v>
      </c>
      <c r="BS72" s="70">
        <v>0</v>
      </c>
      <c r="BT72" s="70">
        <v>0</v>
      </c>
      <c r="BU72" s="70">
        <v>0</v>
      </c>
      <c r="BV72" s="70">
        <v>0</v>
      </c>
      <c r="BW72" s="70">
        <v>0</v>
      </c>
      <c r="BX72" s="70">
        <v>0</v>
      </c>
      <c r="BY72" s="70">
        <v>0</v>
      </c>
      <c r="BZ72" s="70">
        <v>0</v>
      </c>
      <c r="CA72" s="70">
        <v>0</v>
      </c>
      <c r="CB72" s="70">
        <v>0</v>
      </c>
      <c r="CC72" s="70">
        <v>0</v>
      </c>
      <c r="CD72" s="70">
        <v>0</v>
      </c>
      <c r="CE72" s="70">
        <v>0</v>
      </c>
      <c r="CF72" s="70">
        <v>0</v>
      </c>
      <c r="CG72" s="70">
        <v>0</v>
      </c>
      <c r="CH72" s="70">
        <v>0</v>
      </c>
      <c r="CI72" s="70">
        <v>0</v>
      </c>
      <c r="CJ72" s="70">
        <v>0</v>
      </c>
      <c r="CK72" s="70">
        <v>0</v>
      </c>
      <c r="CL72" s="70">
        <v>0</v>
      </c>
      <c r="CM72" s="70">
        <v>0</v>
      </c>
      <c r="CN72" s="70">
        <v>0</v>
      </c>
      <c r="CO72" s="70">
        <v>0</v>
      </c>
      <c r="CP72" s="70">
        <v>0</v>
      </c>
      <c r="CQ72" s="70">
        <v>0</v>
      </c>
      <c r="CR72" s="70">
        <v>0</v>
      </c>
      <c r="CS72" s="70">
        <v>0</v>
      </c>
      <c r="CT72" s="70"/>
      <c r="CU72" s="70">
        <v>0</v>
      </c>
      <c r="CV72" s="70">
        <v>0</v>
      </c>
      <c r="CW72" s="70">
        <v>0</v>
      </c>
      <c r="CX72" s="70">
        <v>0</v>
      </c>
      <c r="CY72" s="70">
        <v>0</v>
      </c>
      <c r="CZ72" s="70">
        <v>0</v>
      </c>
      <c r="DA72" s="70">
        <v>0</v>
      </c>
      <c r="DB72" s="70">
        <v>0</v>
      </c>
      <c r="DC72" s="70">
        <v>0</v>
      </c>
      <c r="DD72" s="70">
        <v>0</v>
      </c>
      <c r="DE72" s="70">
        <v>0</v>
      </c>
      <c r="DF72" s="70"/>
      <c r="DG72" s="70">
        <v>0</v>
      </c>
      <c r="DH72" s="70">
        <v>0</v>
      </c>
      <c r="DI72" s="70">
        <v>0</v>
      </c>
      <c r="DJ72" s="70">
        <v>0</v>
      </c>
      <c r="DK72" s="70">
        <v>0</v>
      </c>
      <c r="DL72" s="70">
        <v>0</v>
      </c>
      <c r="DM72" s="70">
        <v>0</v>
      </c>
      <c r="DN72" s="70">
        <v>0</v>
      </c>
      <c r="DO72" s="70">
        <v>0</v>
      </c>
      <c r="DP72" s="70"/>
      <c r="DQ72" s="70"/>
      <c r="DR72" s="70">
        <v>0</v>
      </c>
      <c r="DS72" s="70">
        <v>0</v>
      </c>
      <c r="DT72" s="70">
        <v>0</v>
      </c>
      <c r="DU72" s="70">
        <v>0</v>
      </c>
      <c r="DV72" s="70">
        <v>0</v>
      </c>
      <c r="DW72" s="70">
        <v>0</v>
      </c>
      <c r="DX72" s="70"/>
      <c r="DY72" s="70"/>
      <c r="DZ72" s="70"/>
      <c r="EA72" s="70"/>
      <c r="EB72" s="70"/>
      <c r="EC72" s="70"/>
      <c r="ED72" s="70"/>
      <c r="EE72" s="70">
        <v>0</v>
      </c>
      <c r="EF72" s="70"/>
      <c r="EG72" s="70"/>
      <c r="EH72" s="70"/>
      <c r="EI72" s="70"/>
      <c r="EJ72" s="70"/>
      <c r="EK72" s="70"/>
      <c r="EL72" s="70"/>
      <c r="EM72" s="70"/>
      <c r="EN72" s="70"/>
      <c r="EO72" s="70">
        <v>0</v>
      </c>
      <c r="EP72" s="70"/>
      <c r="EQ72" s="70"/>
      <c r="ER72" s="70"/>
      <c r="ES72" s="70"/>
      <c r="ET72" s="70">
        <v>0</v>
      </c>
      <c r="EU72" s="70">
        <v>0</v>
      </c>
      <c r="EV72" s="70">
        <v>0</v>
      </c>
      <c r="EW72" s="70">
        <v>0</v>
      </c>
      <c r="EX72" s="70"/>
      <c r="EY72" s="70">
        <v>0</v>
      </c>
      <c r="EZ72" s="70">
        <v>0</v>
      </c>
      <c r="FA72" s="70">
        <v>0</v>
      </c>
      <c r="FB72" s="70">
        <v>0</v>
      </c>
      <c r="FC72" s="70"/>
      <c r="FD72" s="70"/>
      <c r="FE72" s="70">
        <v>0</v>
      </c>
      <c r="FF72" s="70">
        <v>0</v>
      </c>
      <c r="FG72" s="70"/>
      <c r="FH72" s="70"/>
      <c r="FI72" s="70"/>
      <c r="FJ72" s="70">
        <v>0</v>
      </c>
      <c r="FN72" s="114">
        <f t="shared" si="177"/>
        <v>0</v>
      </c>
      <c r="FO72" s="114">
        <f t="shared" si="178"/>
        <v>0</v>
      </c>
      <c r="FP72" s="114">
        <f t="shared" si="132"/>
        <v>0</v>
      </c>
      <c r="FQ72" s="114">
        <f t="shared" si="133"/>
        <v>0</v>
      </c>
      <c r="FR72" s="114">
        <f t="shared" si="134"/>
        <v>0</v>
      </c>
      <c r="FS72" s="114">
        <f t="shared" si="135"/>
        <v>0</v>
      </c>
      <c r="FT72" s="114">
        <f t="shared" si="136"/>
        <v>0</v>
      </c>
      <c r="FU72" s="114">
        <f t="shared" si="137"/>
        <v>0</v>
      </c>
      <c r="FV72" s="114">
        <f t="shared" si="138"/>
        <v>0</v>
      </c>
      <c r="FW72" s="114">
        <f t="shared" si="139"/>
        <v>0</v>
      </c>
      <c r="FX72" s="114">
        <f t="shared" si="140"/>
        <v>0</v>
      </c>
      <c r="FY72" s="114">
        <f t="shared" si="141"/>
        <v>0</v>
      </c>
      <c r="FZ72" s="114">
        <f t="shared" si="142"/>
        <v>0</v>
      </c>
      <c r="GA72" s="114">
        <f t="shared" si="143"/>
        <v>0</v>
      </c>
      <c r="GB72" s="114">
        <f t="shared" si="144"/>
        <v>0</v>
      </c>
      <c r="GC72" s="114">
        <f t="shared" si="145"/>
        <v>0</v>
      </c>
      <c r="GD72" s="114">
        <f t="shared" si="146"/>
        <v>0</v>
      </c>
      <c r="GE72" s="114">
        <f t="shared" si="147"/>
        <v>0</v>
      </c>
      <c r="GF72" s="114">
        <f t="shared" si="148"/>
        <v>0</v>
      </c>
      <c r="GG72" s="114">
        <f t="shared" si="149"/>
        <v>0</v>
      </c>
      <c r="GH72" s="114">
        <f t="shared" si="150"/>
        <v>0</v>
      </c>
      <c r="GI72" s="114">
        <f t="shared" si="151"/>
        <v>0</v>
      </c>
      <c r="GJ72" s="114">
        <f t="shared" si="152"/>
        <v>0</v>
      </c>
      <c r="GK72" s="114">
        <f t="shared" si="153"/>
        <v>0</v>
      </c>
      <c r="GL72" s="114">
        <f t="shared" si="154"/>
        <v>0</v>
      </c>
      <c r="GM72" s="114">
        <f t="shared" si="155"/>
        <v>0</v>
      </c>
      <c r="GN72" s="114">
        <f t="shared" si="156"/>
        <v>0</v>
      </c>
      <c r="GO72" s="114">
        <f t="shared" si="157"/>
        <v>0</v>
      </c>
      <c r="GP72" s="114">
        <f t="shared" si="158"/>
        <v>0</v>
      </c>
      <c r="GQ72" s="114">
        <f t="shared" si="159"/>
        <v>0</v>
      </c>
      <c r="GR72" s="114">
        <f t="shared" si="160"/>
        <v>0</v>
      </c>
      <c r="GS72" s="114">
        <f t="shared" si="161"/>
        <v>0</v>
      </c>
      <c r="GT72" s="114">
        <f t="shared" si="162"/>
        <v>0</v>
      </c>
      <c r="GU72" s="114">
        <f t="shared" si="163"/>
        <v>0</v>
      </c>
      <c r="GV72" s="114">
        <f t="shared" si="164"/>
        <v>0</v>
      </c>
      <c r="GW72" s="114">
        <f t="shared" si="165"/>
        <v>0</v>
      </c>
      <c r="GX72" s="114">
        <f t="shared" si="166"/>
        <v>0</v>
      </c>
      <c r="GY72" s="114">
        <f t="shared" si="167"/>
        <v>0</v>
      </c>
      <c r="GZ72" s="114">
        <f t="shared" si="80"/>
        <v>0</v>
      </c>
      <c r="HA72" s="114">
        <f t="shared" si="81"/>
        <v>0</v>
      </c>
      <c r="HB72" s="114">
        <f t="shared" si="82"/>
        <v>0</v>
      </c>
      <c r="HC72" s="114">
        <f t="shared" si="83"/>
        <v>0</v>
      </c>
      <c r="HD72" s="114">
        <f t="shared" si="84"/>
        <v>0</v>
      </c>
      <c r="HE72" s="114">
        <f t="shared" si="85"/>
        <v>0</v>
      </c>
      <c r="HF72" s="114">
        <f t="shared" si="86"/>
        <v>0</v>
      </c>
      <c r="HG72" s="114">
        <f t="shared" si="87"/>
        <v>0</v>
      </c>
      <c r="HH72" s="114">
        <f t="shared" si="88"/>
        <v>0</v>
      </c>
      <c r="HI72" s="114">
        <f t="shared" si="89"/>
        <v>0</v>
      </c>
      <c r="HJ72" s="114">
        <f t="shared" si="116"/>
        <v>0</v>
      </c>
      <c r="HK72" s="114">
        <f t="shared" si="122"/>
        <v>0</v>
      </c>
      <c r="HL72" s="114">
        <f t="shared" si="123"/>
        <v>0</v>
      </c>
      <c r="HM72" s="114">
        <f t="shared" si="124"/>
        <v>0</v>
      </c>
      <c r="HN72" s="114">
        <f t="shared" si="125"/>
        <v>0</v>
      </c>
      <c r="HO72" s="114">
        <f t="shared" si="126"/>
        <v>0</v>
      </c>
      <c r="HP72" s="114">
        <f t="shared" si="127"/>
        <v>0</v>
      </c>
      <c r="HQ72" s="114"/>
      <c r="HU72" s="115">
        <f t="shared" si="168"/>
        <v>0</v>
      </c>
      <c r="HV72" s="116">
        <f t="shared" si="169"/>
        <v>0</v>
      </c>
      <c r="HW72" s="116">
        <f t="shared" si="170"/>
        <v>0</v>
      </c>
      <c r="HX72" s="117">
        <f t="shared" si="171"/>
        <v>0</v>
      </c>
      <c r="HY72" s="118">
        <f t="shared" si="172"/>
        <v>0</v>
      </c>
      <c r="HZ72" s="118">
        <f t="shared" si="173"/>
        <v>0</v>
      </c>
      <c r="IA72" s="118">
        <f t="shared" si="174"/>
        <v>0</v>
      </c>
      <c r="IB72" s="118">
        <f t="shared" si="175"/>
        <v>0</v>
      </c>
      <c r="IC72" s="118">
        <f t="shared" si="176"/>
        <v>0</v>
      </c>
      <c r="ID72" s="118">
        <f t="shared" si="96"/>
        <v>0</v>
      </c>
      <c r="IE72" s="118">
        <f t="shared" si="97"/>
        <v>0</v>
      </c>
      <c r="IF72" s="118">
        <f t="shared" si="98"/>
        <v>0</v>
      </c>
      <c r="IG72" s="118">
        <f t="shared" si="99"/>
        <v>0</v>
      </c>
    </row>
    <row r="73" spans="1:241" outlineLevel="2" x14ac:dyDescent="0.3">
      <c r="A73" s="106" t="s">
        <v>124</v>
      </c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22074</v>
      </c>
      <c r="AA73" s="80">
        <v>24214</v>
      </c>
      <c r="AB73" s="80">
        <v>23587</v>
      </c>
      <c r="AC73" s="80">
        <v>25637</v>
      </c>
      <c r="AD73" s="80">
        <v>24798</v>
      </c>
      <c r="AE73" s="80">
        <v>21068</v>
      </c>
      <c r="AF73" s="80">
        <v>22799</v>
      </c>
      <c r="AG73" s="80">
        <v>29901</v>
      </c>
      <c r="AH73" s="80">
        <v>23254</v>
      </c>
      <c r="AI73" s="80">
        <v>18085</v>
      </c>
      <c r="AJ73" s="80">
        <v>27874</v>
      </c>
      <c r="AK73" s="80">
        <v>29608</v>
      </c>
      <c r="AL73" s="80">
        <v>20841</v>
      </c>
      <c r="AM73" s="80">
        <v>30754</v>
      </c>
      <c r="AN73" s="80">
        <v>27954</v>
      </c>
      <c r="AO73" s="80">
        <v>29091</v>
      </c>
      <c r="AP73" s="80">
        <v>26869</v>
      </c>
      <c r="AQ73" s="80">
        <v>26146</v>
      </c>
      <c r="AR73" s="80">
        <v>26384</v>
      </c>
      <c r="AS73" s="80">
        <v>21225</v>
      </c>
      <c r="AT73" s="80">
        <v>21969</v>
      </c>
      <c r="AU73" s="80">
        <v>25224</v>
      </c>
      <c r="AV73" s="80">
        <v>25141</v>
      </c>
      <c r="AW73" s="80">
        <v>23207</v>
      </c>
      <c r="AX73" s="80">
        <v>20299</v>
      </c>
      <c r="AY73" s="80">
        <v>23952</v>
      </c>
      <c r="AZ73" s="80">
        <v>27683</v>
      </c>
      <c r="BA73" s="80">
        <v>27754</v>
      </c>
      <c r="BB73" s="80">
        <v>24407</v>
      </c>
      <c r="BC73" s="80">
        <v>25778</v>
      </c>
      <c r="BD73" s="80">
        <v>24877</v>
      </c>
      <c r="BE73" s="80">
        <v>22537</v>
      </c>
      <c r="BF73" s="80">
        <v>21053</v>
      </c>
      <c r="BG73" s="80">
        <v>24281</v>
      </c>
      <c r="BH73" s="80">
        <v>29054</v>
      </c>
      <c r="BI73" s="80">
        <v>29604</v>
      </c>
      <c r="BJ73" s="80">
        <v>31749</v>
      </c>
      <c r="BK73" s="80">
        <v>31078</v>
      </c>
      <c r="BL73" s="80">
        <v>35226</v>
      </c>
      <c r="BM73" s="80">
        <v>40266</v>
      </c>
      <c r="BN73" s="80">
        <v>32767</v>
      </c>
      <c r="BO73" s="80">
        <v>39871</v>
      </c>
      <c r="BP73" s="80">
        <v>33094</v>
      </c>
      <c r="BQ73" s="80">
        <v>36036</v>
      </c>
      <c r="BR73" s="80">
        <v>34650</v>
      </c>
      <c r="BS73" s="80">
        <v>32106</v>
      </c>
      <c r="BT73" s="80">
        <v>45929</v>
      </c>
      <c r="BU73" s="80">
        <v>45993</v>
      </c>
      <c r="BV73" s="80">
        <v>43394</v>
      </c>
      <c r="BW73" s="80">
        <v>44284</v>
      </c>
      <c r="BX73" s="80">
        <v>48547</v>
      </c>
      <c r="BY73" s="80">
        <v>53396</v>
      </c>
      <c r="BZ73" s="80">
        <v>47136</v>
      </c>
      <c r="CA73" s="80">
        <v>42100</v>
      </c>
      <c r="CB73" s="80">
        <v>39535</v>
      </c>
      <c r="CC73" s="80">
        <v>39796</v>
      </c>
      <c r="CD73" s="80">
        <v>44074</v>
      </c>
      <c r="CE73" s="80">
        <v>38986</v>
      </c>
      <c r="CF73" s="80">
        <v>49121</v>
      </c>
      <c r="CG73" s="80">
        <v>55227</v>
      </c>
      <c r="CH73" s="80">
        <v>50583</v>
      </c>
      <c r="CI73" s="80">
        <v>51697</v>
      </c>
      <c r="CJ73" s="80">
        <v>52812</v>
      </c>
      <c r="CK73" s="80">
        <v>51219</v>
      </c>
      <c r="CL73" s="80">
        <v>49897</v>
      </c>
      <c r="CM73" s="80">
        <v>50714</v>
      </c>
      <c r="CN73" s="80">
        <v>47165</v>
      </c>
      <c r="CO73" s="80">
        <v>53540</v>
      </c>
      <c r="CP73" s="80">
        <v>51846</v>
      </c>
      <c r="CQ73" s="80">
        <v>51670</v>
      </c>
      <c r="CR73" s="80">
        <v>60020</v>
      </c>
      <c r="CS73" s="80">
        <v>37025</v>
      </c>
      <c r="CT73" s="80"/>
      <c r="CU73" s="80">
        <v>14453</v>
      </c>
      <c r="CV73" s="80">
        <v>45036</v>
      </c>
      <c r="CW73" s="80">
        <v>51787</v>
      </c>
      <c r="CX73" s="80">
        <v>54719</v>
      </c>
      <c r="CY73" s="80">
        <v>66329</v>
      </c>
      <c r="CZ73" s="80">
        <v>74456</v>
      </c>
      <c r="DA73" s="80">
        <v>59521</v>
      </c>
      <c r="DB73" s="80">
        <v>74277</v>
      </c>
      <c r="DC73" s="80">
        <v>83362</v>
      </c>
      <c r="DD73" s="80">
        <v>84594</v>
      </c>
      <c r="DE73" s="80">
        <v>97809</v>
      </c>
      <c r="DF73" s="80">
        <v>86264</v>
      </c>
      <c r="DG73" s="80">
        <v>92848</v>
      </c>
      <c r="DH73" s="80">
        <v>91031</v>
      </c>
      <c r="DI73" s="80">
        <v>84191</v>
      </c>
      <c r="DJ73" s="80">
        <v>87512</v>
      </c>
      <c r="DK73" s="80">
        <v>81279</v>
      </c>
      <c r="DL73" s="80">
        <v>77420</v>
      </c>
      <c r="DM73" s="80">
        <v>77730</v>
      </c>
      <c r="DN73" s="80">
        <v>82570</v>
      </c>
      <c r="DO73" s="80">
        <v>79820</v>
      </c>
      <c r="DP73" s="80">
        <v>89851</v>
      </c>
      <c r="DQ73" s="80">
        <v>93650</v>
      </c>
      <c r="DR73" s="80">
        <v>96370</v>
      </c>
      <c r="DS73" s="80">
        <v>92496</v>
      </c>
      <c r="DT73" s="80">
        <v>92073</v>
      </c>
      <c r="DU73" s="80">
        <v>87570</v>
      </c>
      <c r="DV73" s="80">
        <v>69704</v>
      </c>
      <c r="DW73" s="80">
        <v>67302</v>
      </c>
      <c r="DX73" s="80">
        <v>59168</v>
      </c>
      <c r="DY73" s="80">
        <v>68063</v>
      </c>
      <c r="DZ73" s="80">
        <v>61310</v>
      </c>
      <c r="EA73" s="80">
        <v>41648</v>
      </c>
      <c r="EB73" s="80">
        <v>36839</v>
      </c>
      <c r="EC73" s="80">
        <v>50337</v>
      </c>
      <c r="ED73" s="80">
        <v>49928</v>
      </c>
      <c r="EE73" s="80">
        <v>55811</v>
      </c>
      <c r="EF73" s="80">
        <v>60933</v>
      </c>
      <c r="EG73" s="80">
        <v>67800</v>
      </c>
      <c r="EH73" s="80">
        <v>63506</v>
      </c>
      <c r="EI73" s="80">
        <v>73486</v>
      </c>
      <c r="EJ73" s="80">
        <v>64033</v>
      </c>
      <c r="EK73" s="80">
        <v>57180</v>
      </c>
      <c r="EL73" s="80">
        <v>66247</v>
      </c>
      <c r="EM73" s="80">
        <v>54702</v>
      </c>
      <c r="EN73" s="80">
        <v>81776</v>
      </c>
      <c r="EO73" s="80">
        <v>72889</v>
      </c>
      <c r="EP73" s="80">
        <v>60924</v>
      </c>
      <c r="EQ73" s="80">
        <v>71819</v>
      </c>
      <c r="ER73" s="80">
        <v>61276</v>
      </c>
      <c r="ES73" s="80">
        <v>77286</v>
      </c>
      <c r="ET73" s="80">
        <v>81936</v>
      </c>
      <c r="EU73" s="80">
        <v>93553</v>
      </c>
      <c r="EV73" s="80">
        <v>81067</v>
      </c>
      <c r="EW73" s="80">
        <v>80724</v>
      </c>
      <c r="EX73" s="80">
        <v>90894</v>
      </c>
      <c r="EY73" s="80">
        <v>88191</v>
      </c>
      <c r="EZ73" s="80">
        <v>105431</v>
      </c>
      <c r="FA73" s="80">
        <v>96374</v>
      </c>
      <c r="FB73" s="80">
        <v>99107</v>
      </c>
      <c r="FC73" s="80">
        <v>98004</v>
      </c>
      <c r="FD73" s="80">
        <v>95306</v>
      </c>
      <c r="FE73" s="80">
        <v>110372</v>
      </c>
      <c r="FF73" s="80">
        <v>103492</v>
      </c>
      <c r="FG73" s="80">
        <v>104361</v>
      </c>
      <c r="FH73" s="80">
        <v>99098</v>
      </c>
      <c r="FI73" s="80">
        <v>123896</v>
      </c>
      <c r="FJ73" s="80">
        <v>124210</v>
      </c>
      <c r="FN73" s="108">
        <f t="shared" si="177"/>
        <v>0</v>
      </c>
      <c r="FO73" s="108">
        <f t="shared" si="178"/>
        <v>0</v>
      </c>
      <c r="FP73" s="108">
        <f t="shared" si="132"/>
        <v>0</v>
      </c>
      <c r="FQ73" s="108">
        <f t="shared" si="133"/>
        <v>0</v>
      </c>
      <c r="FR73" s="108">
        <f t="shared" si="134"/>
        <v>0</v>
      </c>
      <c r="FS73" s="108">
        <f t="shared" si="135"/>
        <v>0</v>
      </c>
      <c r="FT73" s="108">
        <f t="shared" si="136"/>
        <v>0</v>
      </c>
      <c r="FU73" s="108">
        <f t="shared" si="137"/>
        <v>0</v>
      </c>
      <c r="FV73" s="108">
        <f t="shared" si="138"/>
        <v>69875</v>
      </c>
      <c r="FW73" s="108">
        <f t="shared" si="139"/>
        <v>71503</v>
      </c>
      <c r="FX73" s="108">
        <f t="shared" si="140"/>
        <v>75954</v>
      </c>
      <c r="FY73" s="108">
        <f t="shared" si="141"/>
        <v>75567</v>
      </c>
      <c r="FZ73" s="108">
        <f t="shared" si="142"/>
        <v>79549</v>
      </c>
      <c r="GA73" s="108">
        <f t="shared" si="143"/>
        <v>82106</v>
      </c>
      <c r="GB73" s="108">
        <f t="shared" si="144"/>
        <v>69578</v>
      </c>
      <c r="GC73" s="108">
        <f t="shared" si="145"/>
        <v>73572</v>
      </c>
      <c r="GD73" s="108">
        <f t="shared" si="146"/>
        <v>71934</v>
      </c>
      <c r="GE73" s="108">
        <f t="shared" si="147"/>
        <v>77939</v>
      </c>
      <c r="GF73" s="108">
        <f t="shared" si="148"/>
        <v>68467</v>
      </c>
      <c r="GG73" s="108">
        <f t="shared" si="149"/>
        <v>82939</v>
      </c>
      <c r="GH73" s="108">
        <f t="shared" si="150"/>
        <v>98053</v>
      </c>
      <c r="GI73" s="108">
        <f t="shared" si="151"/>
        <v>112904</v>
      </c>
      <c r="GJ73" s="108">
        <f t="shared" si="152"/>
        <v>103780</v>
      </c>
      <c r="GK73" s="108">
        <f t="shared" si="153"/>
        <v>124028</v>
      </c>
      <c r="GL73" s="108">
        <f t="shared" si="154"/>
        <v>136225</v>
      </c>
      <c r="GM73" s="108">
        <f t="shared" si="155"/>
        <v>142632</v>
      </c>
      <c r="GN73" s="108">
        <f t="shared" si="156"/>
        <v>123405</v>
      </c>
      <c r="GO73" s="108">
        <f t="shared" si="157"/>
        <v>143334</v>
      </c>
      <c r="GP73" s="108">
        <f t="shared" si="158"/>
        <v>155092</v>
      </c>
      <c r="GQ73" s="108">
        <f t="shared" si="159"/>
        <v>151830</v>
      </c>
      <c r="GR73" s="108">
        <f t="shared" si="160"/>
        <v>152551</v>
      </c>
      <c r="GS73" s="108">
        <f t="shared" si="161"/>
        <v>148715</v>
      </c>
      <c r="GT73" s="108">
        <f t="shared" si="162"/>
        <v>59489</v>
      </c>
      <c r="GU73" s="108">
        <f t="shared" si="163"/>
        <v>172835</v>
      </c>
      <c r="GV73" s="108">
        <f t="shared" si="164"/>
        <v>208254</v>
      </c>
      <c r="GW73" s="108">
        <f t="shared" si="165"/>
        <v>265765</v>
      </c>
      <c r="GX73" s="108">
        <f t="shared" si="166"/>
        <v>270143</v>
      </c>
      <c r="GY73" s="108">
        <f t="shared" si="167"/>
        <v>252982</v>
      </c>
      <c r="GZ73" s="108">
        <f t="shared" si="80"/>
        <v>237720</v>
      </c>
      <c r="HA73" s="108">
        <f t="shared" si="81"/>
        <v>263321</v>
      </c>
      <c r="HB73" s="108">
        <f t="shared" si="82"/>
        <v>280939</v>
      </c>
      <c r="HC73" s="108">
        <f t="shared" si="83"/>
        <v>224576</v>
      </c>
      <c r="HD73" s="108">
        <f t="shared" si="84"/>
        <v>188541</v>
      </c>
      <c r="HE73" s="108">
        <f t="shared" si="85"/>
        <v>128824</v>
      </c>
      <c r="HF73" s="108">
        <f t="shared" si="86"/>
        <v>166672</v>
      </c>
      <c r="HG73" s="108">
        <f t="shared" si="87"/>
        <v>204792</v>
      </c>
      <c r="HH73" s="108">
        <f t="shared" si="88"/>
        <v>187460</v>
      </c>
      <c r="HI73" s="108">
        <f t="shared" si="89"/>
        <v>209367</v>
      </c>
      <c r="HJ73" s="108">
        <f t="shared" si="116"/>
        <v>194019</v>
      </c>
      <c r="HK73" s="108">
        <f t="shared" si="122"/>
        <v>252775</v>
      </c>
      <c r="HL73" s="108">
        <f t="shared" si="123"/>
        <v>252685</v>
      </c>
      <c r="HM73" s="108">
        <f t="shared" si="124"/>
        <v>289996</v>
      </c>
      <c r="HN73" s="108">
        <f t="shared" si="125"/>
        <v>292417</v>
      </c>
      <c r="HO73" s="108">
        <f t="shared" si="126"/>
        <v>318225</v>
      </c>
      <c r="HP73" s="108">
        <f t="shared" si="127"/>
        <v>347204</v>
      </c>
      <c r="HQ73" s="108"/>
      <c r="HU73" s="109">
        <f t="shared" si="168"/>
        <v>0</v>
      </c>
      <c r="HV73" s="110">
        <f t="shared" si="169"/>
        <v>0</v>
      </c>
      <c r="HW73" s="110">
        <f t="shared" si="170"/>
        <v>292899</v>
      </c>
      <c r="HX73" s="111">
        <f t="shared" si="171"/>
        <v>304805</v>
      </c>
      <c r="HY73" s="112">
        <f t="shared" si="172"/>
        <v>301279</v>
      </c>
      <c r="HZ73" s="112">
        <f t="shared" si="173"/>
        <v>438765</v>
      </c>
      <c r="IA73" s="112">
        <f t="shared" si="174"/>
        <v>545596</v>
      </c>
      <c r="IB73" s="112">
        <f t="shared" si="175"/>
        <v>608188</v>
      </c>
      <c r="IC73" s="112">
        <f t="shared" si="176"/>
        <v>706343</v>
      </c>
      <c r="ID73" s="112">
        <f t="shared" si="96"/>
        <v>1024166</v>
      </c>
      <c r="IE73" s="112">
        <f t="shared" si="97"/>
        <v>822880</v>
      </c>
      <c r="IF73" s="112">
        <f t="shared" si="98"/>
        <v>768291</v>
      </c>
      <c r="IG73" s="112">
        <f t="shared" si="99"/>
        <v>989475</v>
      </c>
    </row>
    <row r="74" spans="1:241" outlineLevel="2" x14ac:dyDescent="0.3">
      <c r="A74" s="119" t="s">
        <v>131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>
        <v>0</v>
      </c>
      <c r="BY74" s="70">
        <v>0</v>
      </c>
      <c r="BZ74" s="70">
        <v>0</v>
      </c>
      <c r="CA74" s="70">
        <v>0</v>
      </c>
      <c r="CB74" s="70">
        <v>0</v>
      </c>
      <c r="CC74" s="70">
        <v>0</v>
      </c>
      <c r="CD74" s="70">
        <v>0</v>
      </c>
      <c r="CE74" s="70">
        <v>0</v>
      </c>
      <c r="CF74" s="70">
        <v>0</v>
      </c>
      <c r="CG74" s="70">
        <v>0</v>
      </c>
      <c r="CH74" s="70">
        <v>0</v>
      </c>
      <c r="CI74" s="70">
        <v>0</v>
      </c>
      <c r="CJ74" s="70"/>
      <c r="CK74" s="70">
        <v>0</v>
      </c>
      <c r="CL74" s="70">
        <v>0</v>
      </c>
      <c r="CM74" s="70">
        <v>0</v>
      </c>
      <c r="CN74" s="70">
        <v>0</v>
      </c>
      <c r="CO74" s="70">
        <v>0</v>
      </c>
      <c r="CP74" s="70">
        <v>0</v>
      </c>
      <c r="CQ74" s="70">
        <v>0</v>
      </c>
      <c r="CR74" s="70"/>
      <c r="CS74" s="70">
        <v>0</v>
      </c>
      <c r="CT74" s="70"/>
      <c r="CU74" s="70"/>
      <c r="CV74" s="70"/>
      <c r="CW74" s="70"/>
      <c r="CX74" s="70"/>
      <c r="CY74" s="70"/>
      <c r="CZ74" s="70"/>
      <c r="DA74" s="70"/>
      <c r="DB74" s="70"/>
      <c r="DC74" s="70"/>
      <c r="DD74" s="70"/>
      <c r="DE74" s="70"/>
      <c r="DF74" s="70"/>
      <c r="DG74" s="70"/>
      <c r="DH74" s="70"/>
      <c r="DI74" s="70"/>
      <c r="DJ74" s="70"/>
      <c r="DK74" s="70"/>
      <c r="DL74" s="70"/>
      <c r="DM74" s="70"/>
      <c r="DN74" s="70"/>
      <c r="DO74" s="70"/>
      <c r="DP74" s="70"/>
      <c r="DQ74" s="70"/>
      <c r="DR74" s="70"/>
      <c r="DS74" s="70"/>
      <c r="DT74" s="70"/>
      <c r="DU74" s="70"/>
      <c r="DV74" s="70"/>
      <c r="DW74" s="70"/>
      <c r="DX74" s="70"/>
      <c r="DY74" s="70"/>
      <c r="DZ74" s="70"/>
      <c r="EA74" s="70"/>
      <c r="EB74" s="70"/>
      <c r="EC74" s="70"/>
      <c r="ED74" s="70"/>
      <c r="EE74" s="70"/>
      <c r="EF74" s="70"/>
      <c r="EG74" s="70"/>
      <c r="EH74" s="70"/>
      <c r="EI74" s="70"/>
      <c r="EJ74" s="70"/>
      <c r="EK74" s="70"/>
      <c r="EL74" s="70"/>
      <c r="EM74" s="70"/>
      <c r="EN74" s="70"/>
      <c r="EO74" s="70"/>
      <c r="EP74" s="70"/>
      <c r="EQ74" s="70"/>
      <c r="ER74" s="70"/>
      <c r="ES74" s="70"/>
      <c r="ET74" s="70"/>
      <c r="EU74" s="70"/>
      <c r="EV74" s="70"/>
      <c r="EW74" s="70"/>
      <c r="EX74" s="70"/>
      <c r="EY74" s="70"/>
      <c r="EZ74" s="70"/>
      <c r="FA74" s="70"/>
      <c r="FB74" s="70"/>
      <c r="FC74" s="70"/>
      <c r="FD74" s="70"/>
      <c r="FE74" s="70"/>
      <c r="FF74" s="70"/>
      <c r="FG74" s="70"/>
      <c r="FH74" s="70"/>
      <c r="FI74" s="70"/>
      <c r="FJ74" s="70"/>
      <c r="FN74" s="114">
        <f t="shared" si="177"/>
        <v>0</v>
      </c>
      <c r="FO74" s="114">
        <f t="shared" si="178"/>
        <v>0</v>
      </c>
      <c r="FP74" s="114">
        <f t="shared" si="132"/>
        <v>0</v>
      </c>
      <c r="FQ74" s="114">
        <f t="shared" si="133"/>
        <v>0</v>
      </c>
      <c r="FR74" s="114">
        <f t="shared" si="134"/>
        <v>0</v>
      </c>
      <c r="FS74" s="114">
        <f t="shared" si="135"/>
        <v>0</v>
      </c>
      <c r="FT74" s="114">
        <f t="shared" si="136"/>
        <v>0</v>
      </c>
      <c r="FU74" s="114">
        <f t="shared" si="137"/>
        <v>0</v>
      </c>
      <c r="FV74" s="114">
        <f t="shared" si="138"/>
        <v>0</v>
      </c>
      <c r="FW74" s="114">
        <f t="shared" si="139"/>
        <v>0</v>
      </c>
      <c r="FX74" s="114">
        <f t="shared" si="140"/>
        <v>0</v>
      </c>
      <c r="FY74" s="114">
        <f t="shared" si="141"/>
        <v>0</v>
      </c>
      <c r="FZ74" s="114">
        <f t="shared" si="142"/>
        <v>0</v>
      </c>
      <c r="GA74" s="114">
        <f t="shared" si="143"/>
        <v>0</v>
      </c>
      <c r="GB74" s="114">
        <f t="shared" si="144"/>
        <v>0</v>
      </c>
      <c r="GC74" s="114">
        <f t="shared" si="145"/>
        <v>0</v>
      </c>
      <c r="GD74" s="114">
        <f t="shared" si="146"/>
        <v>0</v>
      </c>
      <c r="GE74" s="114">
        <f t="shared" si="147"/>
        <v>0</v>
      </c>
      <c r="GF74" s="114">
        <f t="shared" si="148"/>
        <v>0</v>
      </c>
      <c r="GG74" s="114">
        <f t="shared" si="149"/>
        <v>0</v>
      </c>
      <c r="GH74" s="114">
        <f t="shared" si="150"/>
        <v>0</v>
      </c>
      <c r="GI74" s="114">
        <f t="shared" si="151"/>
        <v>0</v>
      </c>
      <c r="GJ74" s="114">
        <f t="shared" si="152"/>
        <v>0</v>
      </c>
      <c r="GK74" s="114">
        <f t="shared" si="153"/>
        <v>0</v>
      </c>
      <c r="GL74" s="114">
        <f t="shared" si="154"/>
        <v>0</v>
      </c>
      <c r="GM74" s="114">
        <f t="shared" si="155"/>
        <v>0</v>
      </c>
      <c r="GN74" s="114">
        <f t="shared" si="156"/>
        <v>0</v>
      </c>
      <c r="GO74" s="114">
        <f t="shared" si="157"/>
        <v>0</v>
      </c>
      <c r="GP74" s="114">
        <f t="shared" si="158"/>
        <v>0</v>
      </c>
      <c r="GQ74" s="114">
        <f t="shared" si="159"/>
        <v>0</v>
      </c>
      <c r="GR74" s="114">
        <f t="shared" si="160"/>
        <v>0</v>
      </c>
      <c r="GS74" s="114">
        <f t="shared" si="161"/>
        <v>0</v>
      </c>
      <c r="GT74" s="114">
        <f t="shared" si="162"/>
        <v>0</v>
      </c>
      <c r="GU74" s="114">
        <f t="shared" si="163"/>
        <v>0</v>
      </c>
      <c r="GV74" s="114">
        <f t="shared" si="164"/>
        <v>0</v>
      </c>
      <c r="GW74" s="114">
        <f t="shared" si="165"/>
        <v>0</v>
      </c>
      <c r="GX74" s="114">
        <f t="shared" si="166"/>
        <v>0</v>
      </c>
      <c r="GY74" s="114">
        <f t="shared" si="167"/>
        <v>0</v>
      </c>
      <c r="GZ74" s="114">
        <f t="shared" si="80"/>
        <v>0</v>
      </c>
      <c r="HA74" s="114">
        <f t="shared" si="81"/>
        <v>0</v>
      </c>
      <c r="HB74" s="114">
        <f t="shared" si="82"/>
        <v>0</v>
      </c>
      <c r="HC74" s="114">
        <f t="shared" si="83"/>
        <v>0</v>
      </c>
      <c r="HD74" s="114">
        <f t="shared" si="84"/>
        <v>0</v>
      </c>
      <c r="HE74" s="114">
        <f t="shared" si="85"/>
        <v>0</v>
      </c>
      <c r="HF74" s="114">
        <f t="shared" si="86"/>
        <v>0</v>
      </c>
      <c r="HG74" s="114">
        <f t="shared" si="87"/>
        <v>0</v>
      </c>
      <c r="HH74" s="114">
        <f t="shared" si="88"/>
        <v>0</v>
      </c>
      <c r="HI74" s="114">
        <f t="shared" si="89"/>
        <v>0</v>
      </c>
      <c r="HJ74" s="114">
        <f t="shared" si="116"/>
        <v>0</v>
      </c>
      <c r="HK74" s="114">
        <f t="shared" si="122"/>
        <v>0</v>
      </c>
      <c r="HL74" s="114">
        <f t="shared" si="123"/>
        <v>0</v>
      </c>
      <c r="HM74" s="114">
        <f t="shared" si="124"/>
        <v>0</v>
      </c>
      <c r="HN74" s="114">
        <f t="shared" si="125"/>
        <v>0</v>
      </c>
      <c r="HO74" s="114">
        <f t="shared" si="126"/>
        <v>0</v>
      </c>
      <c r="HP74" s="114">
        <f t="shared" si="127"/>
        <v>0</v>
      </c>
      <c r="HQ74" s="114"/>
      <c r="HU74" s="115">
        <f t="shared" si="168"/>
        <v>0</v>
      </c>
      <c r="HV74" s="116">
        <f t="shared" si="169"/>
        <v>0</v>
      </c>
      <c r="HW74" s="116">
        <f t="shared" si="170"/>
        <v>0</v>
      </c>
      <c r="HX74" s="117">
        <f t="shared" si="171"/>
        <v>0</v>
      </c>
      <c r="HY74" s="118">
        <f t="shared" si="172"/>
        <v>0</v>
      </c>
      <c r="HZ74" s="118">
        <f t="shared" si="173"/>
        <v>0</v>
      </c>
      <c r="IA74" s="118">
        <f t="shared" si="174"/>
        <v>0</v>
      </c>
      <c r="IB74" s="118">
        <f t="shared" si="175"/>
        <v>0</v>
      </c>
      <c r="IC74" s="118">
        <f t="shared" si="176"/>
        <v>0</v>
      </c>
      <c r="ID74" s="118">
        <f t="shared" si="96"/>
        <v>0</v>
      </c>
      <c r="IE74" s="118">
        <f t="shared" si="97"/>
        <v>0</v>
      </c>
      <c r="IF74" s="118">
        <f t="shared" si="98"/>
        <v>0</v>
      </c>
      <c r="IG74" s="118">
        <f t="shared" si="99"/>
        <v>0</v>
      </c>
    </row>
    <row r="75" spans="1:241" outlineLevel="2" x14ac:dyDescent="0.3">
      <c r="A75" s="121" t="s">
        <v>125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>
        <v>187421</v>
      </c>
      <c r="AA75" s="80">
        <v>202008</v>
      </c>
      <c r="AB75" s="80">
        <v>170978</v>
      </c>
      <c r="AC75" s="80">
        <v>206273</v>
      </c>
      <c r="AD75" s="80">
        <v>210348</v>
      </c>
      <c r="AE75" s="80">
        <v>205702</v>
      </c>
      <c r="AF75" s="80">
        <v>184797</v>
      </c>
      <c r="AG75" s="80">
        <v>199534</v>
      </c>
      <c r="AH75" s="80">
        <v>204746</v>
      </c>
      <c r="AI75" s="80">
        <v>172274</v>
      </c>
      <c r="AJ75" s="80">
        <v>164001</v>
      </c>
      <c r="AK75" s="80">
        <v>147793</v>
      </c>
      <c r="AL75" s="80">
        <v>174458</v>
      </c>
      <c r="AM75" s="80">
        <v>196671</v>
      </c>
      <c r="AN75" s="80">
        <v>199085</v>
      </c>
      <c r="AO75" s="80">
        <v>210226</v>
      </c>
      <c r="AP75" s="80">
        <v>224149</v>
      </c>
      <c r="AQ75" s="80">
        <v>214816</v>
      </c>
      <c r="AR75" s="80">
        <v>167795</v>
      </c>
      <c r="AS75" s="80">
        <v>166641</v>
      </c>
      <c r="AT75" s="80">
        <v>186245</v>
      </c>
      <c r="AU75" s="80">
        <v>174715</v>
      </c>
      <c r="AV75" s="80">
        <v>143595</v>
      </c>
      <c r="AW75" s="80">
        <v>150536</v>
      </c>
      <c r="AX75" s="80">
        <v>148498</v>
      </c>
      <c r="AY75" s="80">
        <v>194350</v>
      </c>
      <c r="AZ75" s="80">
        <v>168748</v>
      </c>
      <c r="BA75" s="80">
        <v>176772</v>
      </c>
      <c r="BB75" s="80">
        <v>172188</v>
      </c>
      <c r="BC75" s="80">
        <v>169011</v>
      </c>
      <c r="BD75" s="80">
        <v>157124</v>
      </c>
      <c r="BE75" s="80">
        <v>159612</v>
      </c>
      <c r="BF75" s="80">
        <v>167782</v>
      </c>
      <c r="BG75" s="80">
        <v>155762</v>
      </c>
      <c r="BH75" s="80">
        <v>175861</v>
      </c>
      <c r="BI75" s="80">
        <v>181589</v>
      </c>
      <c r="BJ75" s="80">
        <v>209747</v>
      </c>
      <c r="BK75" s="80">
        <v>208850</v>
      </c>
      <c r="BL75" s="80">
        <v>175055</v>
      </c>
      <c r="BM75" s="80">
        <v>186337</v>
      </c>
      <c r="BN75" s="80">
        <v>202564</v>
      </c>
      <c r="BO75" s="80">
        <v>217969</v>
      </c>
      <c r="BP75" s="80">
        <v>193615</v>
      </c>
      <c r="BQ75" s="80">
        <v>214581</v>
      </c>
      <c r="BR75" s="80">
        <v>211414</v>
      </c>
      <c r="BS75" s="80">
        <v>214108</v>
      </c>
      <c r="BT75" s="80">
        <v>225755</v>
      </c>
      <c r="BU75" s="80">
        <v>223302</v>
      </c>
      <c r="BV75" s="80">
        <v>250903</v>
      </c>
      <c r="BW75" s="80">
        <v>253430</v>
      </c>
      <c r="BX75" s="80">
        <v>240474</v>
      </c>
      <c r="BY75" s="80">
        <v>237559</v>
      </c>
      <c r="BZ75" s="80">
        <v>245294</v>
      </c>
      <c r="CA75" s="80">
        <v>256592</v>
      </c>
      <c r="CB75" s="80">
        <v>241070</v>
      </c>
      <c r="CC75" s="80">
        <v>217090</v>
      </c>
      <c r="CD75" s="80">
        <v>243402</v>
      </c>
      <c r="CE75" s="80">
        <v>226986</v>
      </c>
      <c r="CF75" s="80">
        <v>238448</v>
      </c>
      <c r="CG75" s="80">
        <v>214603</v>
      </c>
      <c r="CH75" s="80">
        <f>SUM(CH62:CH74)</f>
        <v>259751</v>
      </c>
      <c r="CI75" s="80">
        <f>SUM(CI62:CI74)</f>
        <v>265585</v>
      </c>
      <c r="CJ75" s="80">
        <f>SUM(CJ62:CJ74)</f>
        <v>264784</v>
      </c>
      <c r="CK75" s="80">
        <f>SUM(CK62:CK74)</f>
        <v>266275</v>
      </c>
      <c r="CL75" s="80">
        <f>SUM(CL62:CL74)</f>
        <v>260817</v>
      </c>
      <c r="CM75" s="80">
        <v>268126</v>
      </c>
      <c r="CN75" s="80">
        <v>261248</v>
      </c>
      <c r="CO75" s="80">
        <v>271088</v>
      </c>
      <c r="CP75" s="80">
        <v>270361</v>
      </c>
      <c r="CQ75" s="80">
        <v>273479</v>
      </c>
      <c r="CR75" s="80">
        <v>279742</v>
      </c>
      <c r="CS75" s="80">
        <v>195211</v>
      </c>
      <c r="CT75" s="80"/>
      <c r="CU75" s="80">
        <v>93242</v>
      </c>
      <c r="CV75" s="80">
        <v>185367</v>
      </c>
      <c r="CW75" s="80">
        <v>171330</v>
      </c>
      <c r="CX75" s="80">
        <v>242216</v>
      </c>
      <c r="CY75" s="80">
        <v>301148</v>
      </c>
      <c r="CZ75" s="80">
        <v>332281</v>
      </c>
      <c r="DA75" s="80">
        <v>307173</v>
      </c>
      <c r="DB75" s="80">
        <v>339194</v>
      </c>
      <c r="DC75" s="80">
        <v>358816</v>
      </c>
      <c r="DD75" s="80">
        <v>335407</v>
      </c>
      <c r="DE75" s="80">
        <v>327347</v>
      </c>
      <c r="DF75" s="80">
        <v>389511</v>
      </c>
      <c r="DG75" s="80">
        <v>330164</v>
      </c>
      <c r="DH75" s="80">
        <v>322314</v>
      </c>
      <c r="DI75" s="80">
        <v>343194</v>
      </c>
      <c r="DJ75" s="80">
        <v>336979</v>
      </c>
      <c r="DK75" s="80">
        <v>330736</v>
      </c>
      <c r="DL75" s="80">
        <v>334781</v>
      </c>
      <c r="DM75" s="80">
        <v>331992</v>
      </c>
      <c r="DN75" s="80">
        <v>342698</v>
      </c>
      <c r="DO75" s="80">
        <v>341453</v>
      </c>
      <c r="DP75" s="80">
        <v>349221</v>
      </c>
      <c r="DQ75" s="80">
        <v>329399</v>
      </c>
      <c r="DR75" s="80">
        <v>369273</v>
      </c>
      <c r="DS75" s="80">
        <v>320619</v>
      </c>
      <c r="DT75" s="80">
        <v>361585</v>
      </c>
      <c r="DU75" s="80">
        <v>306305</v>
      </c>
      <c r="DV75" s="80">
        <v>258048</v>
      </c>
      <c r="DW75" s="80">
        <v>259843</v>
      </c>
      <c r="DX75" s="80">
        <v>256934</v>
      </c>
      <c r="DY75" s="80">
        <v>261086</v>
      </c>
      <c r="DZ75" s="80">
        <v>244777</v>
      </c>
      <c r="EA75" s="80">
        <v>189439</v>
      </c>
      <c r="EB75" s="80">
        <v>201097</v>
      </c>
      <c r="EC75" s="80">
        <v>201975</v>
      </c>
      <c r="ED75" s="80">
        <v>208652</v>
      </c>
      <c r="EE75" s="80">
        <v>219204</v>
      </c>
      <c r="EF75" s="80">
        <v>237186</v>
      </c>
      <c r="EG75" s="80">
        <v>256471</v>
      </c>
      <c r="EH75" s="80">
        <v>246981</v>
      </c>
      <c r="EI75" s="80">
        <v>251744</v>
      </c>
      <c r="EJ75" s="80">
        <v>246876</v>
      </c>
      <c r="EK75" s="80">
        <v>237797</v>
      </c>
      <c r="EL75" s="80">
        <v>251568</v>
      </c>
      <c r="EM75" s="80">
        <v>223986</v>
      </c>
      <c r="EN75" s="80">
        <v>280142</v>
      </c>
      <c r="EO75" s="80">
        <v>281810</v>
      </c>
      <c r="EP75" s="80">
        <v>254571</v>
      </c>
      <c r="EQ75" s="80">
        <v>259866</v>
      </c>
      <c r="ER75" s="80">
        <v>249621</v>
      </c>
      <c r="ES75" s="80">
        <v>273838</v>
      </c>
      <c r="ET75" s="80">
        <v>284110</v>
      </c>
      <c r="EU75" s="80">
        <f>317468+80</f>
        <v>317548</v>
      </c>
      <c r="EV75" s="80">
        <v>320459</v>
      </c>
      <c r="EW75" s="80">
        <v>316425</v>
      </c>
      <c r="EX75" s="80">
        <v>332036</v>
      </c>
      <c r="EY75" s="80">
        <v>335353</v>
      </c>
      <c r="EZ75" s="80">
        <v>345722</v>
      </c>
      <c r="FA75" s="80">
        <v>329087</v>
      </c>
      <c r="FB75" s="80">
        <v>313008</v>
      </c>
      <c r="FC75" s="80">
        <v>333149</v>
      </c>
      <c r="FD75" s="80">
        <v>342892</v>
      </c>
      <c r="FE75" s="80">
        <v>369747</v>
      </c>
      <c r="FF75" s="80">
        <v>364487</v>
      </c>
      <c r="FG75" s="80">
        <v>373875</v>
      </c>
      <c r="FH75" s="80">
        <v>381549</v>
      </c>
      <c r="FI75" s="80">
        <v>405577</v>
      </c>
      <c r="FJ75" s="80">
        <v>407481</v>
      </c>
      <c r="FN75" s="108">
        <f t="shared" si="177"/>
        <v>0</v>
      </c>
      <c r="FO75" s="108">
        <f t="shared" si="178"/>
        <v>0</v>
      </c>
      <c r="FP75" s="108">
        <f t="shared" si="132"/>
        <v>0</v>
      </c>
      <c r="FQ75" s="108">
        <f t="shared" si="133"/>
        <v>0</v>
      </c>
      <c r="FR75" s="108">
        <f t="shared" si="134"/>
        <v>0</v>
      </c>
      <c r="FS75" s="108">
        <f t="shared" si="135"/>
        <v>0</v>
      </c>
      <c r="FT75" s="108">
        <f t="shared" si="136"/>
        <v>0</v>
      </c>
      <c r="FU75" s="108">
        <f t="shared" si="137"/>
        <v>0</v>
      </c>
      <c r="FV75" s="108">
        <f t="shared" si="138"/>
        <v>560407</v>
      </c>
      <c r="FW75" s="108">
        <f t="shared" si="139"/>
        <v>622323</v>
      </c>
      <c r="FX75" s="108">
        <f t="shared" si="140"/>
        <v>589077</v>
      </c>
      <c r="FY75" s="108">
        <f t="shared" si="141"/>
        <v>484068</v>
      </c>
      <c r="FZ75" s="108">
        <f t="shared" si="142"/>
        <v>570214</v>
      </c>
      <c r="GA75" s="108">
        <f t="shared" si="143"/>
        <v>649191</v>
      </c>
      <c r="GB75" s="108">
        <f t="shared" si="144"/>
        <v>520681</v>
      </c>
      <c r="GC75" s="108">
        <f t="shared" si="145"/>
        <v>468846</v>
      </c>
      <c r="GD75" s="108">
        <f t="shared" si="146"/>
        <v>511596</v>
      </c>
      <c r="GE75" s="108">
        <f t="shared" si="147"/>
        <v>517971</v>
      </c>
      <c r="GF75" s="108">
        <f t="shared" si="148"/>
        <v>484518</v>
      </c>
      <c r="GG75" s="108">
        <f t="shared" si="149"/>
        <v>513212</v>
      </c>
      <c r="GH75" s="108">
        <f t="shared" si="150"/>
        <v>593652</v>
      </c>
      <c r="GI75" s="108">
        <f t="shared" si="151"/>
        <v>606870</v>
      </c>
      <c r="GJ75" s="108">
        <f t="shared" si="152"/>
        <v>619610</v>
      </c>
      <c r="GK75" s="108">
        <f t="shared" si="153"/>
        <v>663165</v>
      </c>
      <c r="GL75" s="108">
        <f t="shared" si="154"/>
        <v>744807</v>
      </c>
      <c r="GM75" s="108">
        <f t="shared" si="155"/>
        <v>739445</v>
      </c>
      <c r="GN75" s="108">
        <f t="shared" si="156"/>
        <v>701562</v>
      </c>
      <c r="GO75" s="108">
        <f t="shared" si="157"/>
        <v>680037</v>
      </c>
      <c r="GP75" s="108">
        <f t="shared" si="158"/>
        <v>790120</v>
      </c>
      <c r="GQ75" s="108">
        <f t="shared" si="159"/>
        <v>795218</v>
      </c>
      <c r="GR75" s="108">
        <f t="shared" si="160"/>
        <v>802697</v>
      </c>
      <c r="GS75" s="108">
        <f t="shared" si="161"/>
        <v>748432</v>
      </c>
      <c r="GT75" s="108">
        <f t="shared" si="162"/>
        <v>278609</v>
      </c>
      <c r="GU75" s="108">
        <f t="shared" si="163"/>
        <v>714694</v>
      </c>
      <c r="GV75" s="108">
        <f t="shared" si="164"/>
        <v>978648</v>
      </c>
      <c r="GW75" s="108">
        <f t="shared" si="165"/>
        <v>1021570</v>
      </c>
      <c r="GX75" s="108">
        <f t="shared" si="166"/>
        <v>1041989</v>
      </c>
      <c r="GY75" s="108">
        <f t="shared" si="167"/>
        <v>1010909</v>
      </c>
      <c r="GZ75" s="108">
        <f t="shared" si="80"/>
        <v>1009471</v>
      </c>
      <c r="HA75" s="108">
        <f t="shared" si="81"/>
        <v>1020073</v>
      </c>
      <c r="HB75" s="108">
        <f t="shared" si="82"/>
        <v>1051477</v>
      </c>
      <c r="HC75" s="108">
        <f t="shared" si="83"/>
        <v>824196</v>
      </c>
      <c r="HD75" s="108">
        <f t="shared" si="84"/>
        <v>762797</v>
      </c>
      <c r="HE75" s="108">
        <f t="shared" si="85"/>
        <v>592511</v>
      </c>
      <c r="HF75" s="108">
        <f t="shared" si="86"/>
        <v>665042</v>
      </c>
      <c r="HG75" s="108">
        <f t="shared" si="87"/>
        <v>755196</v>
      </c>
      <c r="HH75" s="108">
        <f t="shared" si="88"/>
        <v>736241</v>
      </c>
      <c r="HI75" s="108">
        <f t="shared" si="89"/>
        <v>785938</v>
      </c>
      <c r="HJ75" s="108">
        <f t="shared" si="116"/>
        <v>764058</v>
      </c>
      <c r="HK75" s="108">
        <f t="shared" si="122"/>
        <v>875496</v>
      </c>
      <c r="HL75" s="108">
        <f t="shared" si="123"/>
        <v>968920</v>
      </c>
      <c r="HM75" s="108">
        <f t="shared" si="124"/>
        <v>1010162</v>
      </c>
      <c r="HN75" s="108">
        <f t="shared" si="125"/>
        <v>989049</v>
      </c>
      <c r="HO75" s="108">
        <f t="shared" si="126"/>
        <v>1108109</v>
      </c>
      <c r="HP75" s="108">
        <f t="shared" si="127"/>
        <v>1194607</v>
      </c>
      <c r="HQ75" s="108"/>
      <c r="HU75" s="109">
        <f t="shared" si="168"/>
        <v>0</v>
      </c>
      <c r="HV75" s="110">
        <f t="shared" si="169"/>
        <v>0</v>
      </c>
      <c r="HW75" s="110">
        <f t="shared" si="170"/>
        <v>2255875</v>
      </c>
      <c r="HX75" s="111">
        <f t="shared" si="171"/>
        <v>2208932</v>
      </c>
      <c r="HY75" s="112">
        <f t="shared" si="172"/>
        <v>2027297</v>
      </c>
      <c r="HZ75" s="112">
        <f t="shared" si="173"/>
        <v>2483297</v>
      </c>
      <c r="IA75" s="112">
        <f t="shared" si="174"/>
        <v>2865851</v>
      </c>
      <c r="IB75" s="112">
        <f t="shared" si="175"/>
        <v>3136467</v>
      </c>
      <c r="IC75" s="112">
        <f t="shared" si="176"/>
        <v>2993521</v>
      </c>
      <c r="ID75" s="112">
        <f t="shared" si="96"/>
        <v>4082442</v>
      </c>
      <c r="IE75" s="112">
        <f t="shared" si="97"/>
        <v>3230981</v>
      </c>
      <c r="IF75" s="112">
        <f t="shared" si="98"/>
        <v>2942417</v>
      </c>
      <c r="IG75" s="112">
        <f t="shared" si="99"/>
        <v>3618636</v>
      </c>
    </row>
    <row r="76" spans="1:241" outlineLevel="2" x14ac:dyDescent="0.3">
      <c r="A76" s="122" t="s">
        <v>132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120"/>
      <c r="CL76" s="120"/>
      <c r="CM76" s="120"/>
      <c r="CN76" s="120"/>
      <c r="CO76" s="120"/>
      <c r="CP76" s="120"/>
      <c r="CQ76" s="120"/>
      <c r="CR76" s="120"/>
      <c r="CS76" s="120"/>
      <c r="CT76" s="120"/>
      <c r="CU76" s="120"/>
      <c r="CV76" s="120"/>
      <c r="CW76" s="120"/>
      <c r="CX76" s="120"/>
      <c r="CY76" s="120"/>
      <c r="CZ76" s="120"/>
      <c r="DA76" s="120"/>
      <c r="DB76" s="120"/>
      <c r="DC76" s="120"/>
      <c r="DD76" s="120"/>
      <c r="DE76" s="120"/>
      <c r="DF76" s="120"/>
      <c r="DG76" s="120"/>
      <c r="DH76" s="120"/>
      <c r="DI76" s="120"/>
      <c r="DJ76" s="120"/>
      <c r="DK76" s="120"/>
      <c r="DL76" s="120"/>
      <c r="DM76" s="120"/>
      <c r="DN76" s="120"/>
      <c r="DO76" s="120"/>
      <c r="DP76" s="120"/>
      <c r="DQ76" s="120"/>
      <c r="DR76" s="120"/>
      <c r="DS76" s="120"/>
      <c r="DT76" s="120"/>
      <c r="DU76" s="120"/>
      <c r="DV76" s="120"/>
      <c r="DW76" s="120"/>
      <c r="DX76" s="120"/>
      <c r="DY76" s="120"/>
      <c r="DZ76" s="120"/>
      <c r="EA76" s="120"/>
      <c r="EB76" s="120"/>
      <c r="EC76" s="120"/>
      <c r="ED76" s="120"/>
      <c r="EE76" s="120"/>
      <c r="EF76" s="120"/>
      <c r="EG76" s="120"/>
      <c r="EH76" s="120"/>
      <c r="EI76" s="120"/>
      <c r="EJ76" s="120"/>
      <c r="EK76" s="120"/>
      <c r="EL76" s="120"/>
      <c r="EM76" s="120"/>
      <c r="EN76" s="120"/>
      <c r="EO76" s="120"/>
      <c r="EP76" s="120"/>
      <c r="EQ76" s="120"/>
      <c r="ER76" s="120"/>
      <c r="ES76" s="120"/>
      <c r="ET76" s="120"/>
      <c r="EU76" s="120"/>
      <c r="EV76" s="120"/>
      <c r="EW76" s="120"/>
      <c r="EX76" s="120"/>
      <c r="EY76" s="120"/>
      <c r="EZ76" s="120"/>
      <c r="FA76" s="120"/>
      <c r="FB76" s="120"/>
      <c r="FC76" s="120"/>
      <c r="FD76" s="120"/>
      <c r="FE76" s="120"/>
      <c r="FF76" s="120"/>
      <c r="FG76" s="120"/>
      <c r="FH76" s="120"/>
      <c r="FI76" s="120"/>
      <c r="FJ76" s="120"/>
      <c r="FN76" s="114">
        <f t="shared" si="177"/>
        <v>0</v>
      </c>
      <c r="FO76" s="114">
        <f t="shared" si="178"/>
        <v>0</v>
      </c>
      <c r="FP76" s="114">
        <f t="shared" si="132"/>
        <v>0</v>
      </c>
      <c r="FQ76" s="114">
        <f t="shared" si="133"/>
        <v>0</v>
      </c>
      <c r="FR76" s="114">
        <f t="shared" si="134"/>
        <v>0</v>
      </c>
      <c r="FS76" s="114">
        <f t="shared" si="135"/>
        <v>0</v>
      </c>
      <c r="FT76" s="114">
        <f t="shared" si="136"/>
        <v>0</v>
      </c>
      <c r="FU76" s="114">
        <f t="shared" si="137"/>
        <v>0</v>
      </c>
      <c r="FV76" s="114">
        <f t="shared" si="138"/>
        <v>0</v>
      </c>
      <c r="FW76" s="114">
        <f t="shared" si="139"/>
        <v>0</v>
      </c>
      <c r="FX76" s="114">
        <f t="shared" si="140"/>
        <v>0</v>
      </c>
      <c r="FY76" s="114">
        <f t="shared" si="141"/>
        <v>0</v>
      </c>
      <c r="FZ76" s="114">
        <f t="shared" si="142"/>
        <v>0</v>
      </c>
      <c r="GA76" s="114">
        <f t="shared" si="143"/>
        <v>0</v>
      </c>
      <c r="GB76" s="114">
        <f t="shared" si="144"/>
        <v>0</v>
      </c>
      <c r="GC76" s="114">
        <f t="shared" si="145"/>
        <v>0</v>
      </c>
      <c r="GD76" s="114">
        <f t="shared" si="146"/>
        <v>0</v>
      </c>
      <c r="GE76" s="114">
        <f t="shared" si="147"/>
        <v>0</v>
      </c>
      <c r="GF76" s="114">
        <f t="shared" si="148"/>
        <v>0</v>
      </c>
      <c r="GG76" s="114">
        <f t="shared" si="149"/>
        <v>0</v>
      </c>
      <c r="GH76" s="114">
        <f t="shared" si="150"/>
        <v>0</v>
      </c>
      <c r="GI76" s="114">
        <f t="shared" si="151"/>
        <v>0</v>
      </c>
      <c r="GJ76" s="114">
        <f t="shared" si="152"/>
        <v>0</v>
      </c>
      <c r="GK76" s="114">
        <f t="shared" si="153"/>
        <v>0</v>
      </c>
      <c r="GL76" s="114">
        <f t="shared" si="154"/>
        <v>0</v>
      </c>
      <c r="GM76" s="114">
        <f t="shared" si="155"/>
        <v>0</v>
      </c>
      <c r="GN76" s="114">
        <f t="shared" si="156"/>
        <v>0</v>
      </c>
      <c r="GO76" s="114">
        <f t="shared" si="157"/>
        <v>0</v>
      </c>
      <c r="GP76" s="114">
        <f t="shared" si="158"/>
        <v>0</v>
      </c>
      <c r="GQ76" s="114">
        <f t="shared" si="159"/>
        <v>0</v>
      </c>
      <c r="GR76" s="114">
        <f t="shared" si="160"/>
        <v>0</v>
      </c>
      <c r="GS76" s="114">
        <f t="shared" si="161"/>
        <v>0</v>
      </c>
      <c r="GT76" s="114">
        <f t="shared" si="162"/>
        <v>0</v>
      </c>
      <c r="GU76" s="114">
        <f t="shared" si="163"/>
        <v>0</v>
      </c>
      <c r="GV76" s="114">
        <f t="shared" si="164"/>
        <v>0</v>
      </c>
      <c r="GW76" s="114">
        <f t="shared" si="165"/>
        <v>0</v>
      </c>
      <c r="GX76" s="114">
        <f t="shared" si="166"/>
        <v>0</v>
      </c>
      <c r="GY76" s="114">
        <f t="shared" si="167"/>
        <v>0</v>
      </c>
      <c r="GZ76" s="114">
        <f t="shared" si="80"/>
        <v>0</v>
      </c>
      <c r="HA76" s="114">
        <f t="shared" si="81"/>
        <v>0</v>
      </c>
      <c r="HB76" s="114">
        <f t="shared" si="82"/>
        <v>0</v>
      </c>
      <c r="HC76" s="114">
        <f t="shared" si="83"/>
        <v>0</v>
      </c>
      <c r="HD76" s="114">
        <f t="shared" si="84"/>
        <v>0</v>
      </c>
      <c r="HE76" s="114">
        <f t="shared" si="85"/>
        <v>0</v>
      </c>
      <c r="HF76" s="114">
        <f t="shared" si="86"/>
        <v>0</v>
      </c>
      <c r="HG76" s="114">
        <f t="shared" si="87"/>
        <v>0</v>
      </c>
      <c r="HH76" s="114">
        <f t="shared" si="88"/>
        <v>0</v>
      </c>
      <c r="HI76" s="114">
        <f t="shared" si="89"/>
        <v>0</v>
      </c>
      <c r="HJ76" s="114">
        <f t="shared" si="116"/>
        <v>0</v>
      </c>
      <c r="HK76" s="114">
        <f t="shared" si="122"/>
        <v>0</v>
      </c>
      <c r="HL76" s="114">
        <f t="shared" si="123"/>
        <v>0</v>
      </c>
      <c r="HM76" s="114">
        <f t="shared" si="124"/>
        <v>0</v>
      </c>
      <c r="HN76" s="114">
        <f t="shared" si="125"/>
        <v>0</v>
      </c>
      <c r="HO76" s="114">
        <f t="shared" si="126"/>
        <v>0</v>
      </c>
      <c r="HP76" s="114">
        <f t="shared" si="127"/>
        <v>0</v>
      </c>
      <c r="HQ76" s="114"/>
      <c r="HU76" s="115">
        <f t="shared" si="168"/>
        <v>0</v>
      </c>
      <c r="HV76" s="116">
        <f t="shared" si="169"/>
        <v>0</v>
      </c>
      <c r="HW76" s="116">
        <f t="shared" si="170"/>
        <v>0</v>
      </c>
      <c r="HX76" s="117">
        <f t="shared" si="171"/>
        <v>0</v>
      </c>
      <c r="HY76" s="118">
        <f t="shared" si="172"/>
        <v>0</v>
      </c>
      <c r="HZ76" s="118">
        <f t="shared" si="173"/>
        <v>0</v>
      </c>
      <c r="IA76" s="118">
        <f t="shared" si="174"/>
        <v>0</v>
      </c>
      <c r="IB76" s="118">
        <f t="shared" si="175"/>
        <v>0</v>
      </c>
      <c r="IC76" s="118">
        <f t="shared" si="176"/>
        <v>0</v>
      </c>
      <c r="ID76" s="118">
        <f t="shared" si="96"/>
        <v>0</v>
      </c>
      <c r="IE76" s="118">
        <f t="shared" si="97"/>
        <v>0</v>
      </c>
      <c r="IF76" s="118">
        <f t="shared" si="98"/>
        <v>0</v>
      </c>
      <c r="IG76" s="118">
        <f t="shared" si="99"/>
        <v>0</v>
      </c>
    </row>
    <row r="77" spans="1:241" outlineLevel="2" x14ac:dyDescent="0.3">
      <c r="A77" s="106" t="s">
        <v>124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>
        <v>615</v>
      </c>
      <c r="AA77" s="80">
        <v>1038</v>
      </c>
      <c r="AB77" s="80">
        <v>572</v>
      </c>
      <c r="AC77" s="80">
        <v>668</v>
      </c>
      <c r="AD77" s="80">
        <v>398</v>
      </c>
      <c r="AE77" s="80">
        <v>736</v>
      </c>
      <c r="AF77" s="80">
        <v>1574</v>
      </c>
      <c r="AG77" s="80">
        <v>738</v>
      </c>
      <c r="AH77" s="80">
        <v>466</v>
      </c>
      <c r="AI77" s="80">
        <v>1004</v>
      </c>
      <c r="AJ77" s="80">
        <v>1032</v>
      </c>
      <c r="AK77" s="80">
        <v>874</v>
      </c>
      <c r="AL77" s="80">
        <v>1152</v>
      </c>
      <c r="AM77" s="80">
        <v>1518</v>
      </c>
      <c r="AN77" s="80">
        <v>1782</v>
      </c>
      <c r="AO77" s="80">
        <v>1158</v>
      </c>
      <c r="AP77" s="80">
        <v>1740</v>
      </c>
      <c r="AQ77" s="80">
        <v>696</v>
      </c>
      <c r="AR77" s="80">
        <v>1266</v>
      </c>
      <c r="AS77" s="80">
        <v>1668</v>
      </c>
      <c r="AT77" s="80">
        <v>1020</v>
      </c>
      <c r="AU77" s="80">
        <v>1458</v>
      </c>
      <c r="AV77" s="80">
        <v>534</v>
      </c>
      <c r="AW77" s="80">
        <v>788</v>
      </c>
      <c r="AX77" s="80">
        <v>1473</v>
      </c>
      <c r="AY77" s="80">
        <v>995</v>
      </c>
      <c r="AZ77" s="80">
        <v>2354</v>
      </c>
      <c r="BA77" s="80">
        <v>1957</v>
      </c>
      <c r="BB77" s="80">
        <v>1468</v>
      </c>
      <c r="BC77" s="80">
        <v>1381</v>
      </c>
      <c r="BD77" s="80">
        <v>2172</v>
      </c>
      <c r="BE77" s="80">
        <v>1676</v>
      </c>
      <c r="BF77" s="80">
        <v>1622</v>
      </c>
      <c r="BG77" s="80">
        <v>2512</v>
      </c>
      <c r="BH77" s="80">
        <v>1180</v>
      </c>
      <c r="BI77" s="80">
        <v>1362</v>
      </c>
      <c r="BJ77" s="80">
        <v>1736</v>
      </c>
      <c r="BK77" s="80">
        <v>1478</v>
      </c>
      <c r="BL77" s="80">
        <v>742</v>
      </c>
      <c r="BM77" s="80">
        <v>942</v>
      </c>
      <c r="BN77" s="80">
        <v>946</v>
      </c>
      <c r="BO77" s="80">
        <v>396</v>
      </c>
      <c r="BP77" s="80">
        <v>1008</v>
      </c>
      <c r="BQ77" s="80">
        <v>1836</v>
      </c>
      <c r="BR77" s="80">
        <v>1702</v>
      </c>
      <c r="BS77" s="80">
        <v>2516</v>
      </c>
      <c r="BT77" s="80">
        <v>2142</v>
      </c>
      <c r="BU77" s="80">
        <v>1968</v>
      </c>
      <c r="BV77" s="80">
        <v>4761</v>
      </c>
      <c r="BW77" s="80">
        <v>2478</v>
      </c>
      <c r="BX77" s="80">
        <v>2822</v>
      </c>
      <c r="BY77" s="80">
        <v>320</v>
      </c>
      <c r="BZ77" s="80">
        <v>774</v>
      </c>
      <c r="CA77" s="80">
        <v>2052</v>
      </c>
      <c r="CB77" s="80">
        <v>481</v>
      </c>
      <c r="CC77" s="80">
        <v>906</v>
      </c>
      <c r="CD77" s="80">
        <v>212</v>
      </c>
      <c r="CE77" s="80">
        <v>132</v>
      </c>
      <c r="CF77" s="80">
        <v>1124</v>
      </c>
      <c r="CG77" s="80">
        <v>612</v>
      </c>
      <c r="CH77" s="80">
        <v>1722</v>
      </c>
      <c r="CI77" s="80">
        <v>1318</v>
      </c>
      <c r="CJ77" s="80">
        <v>870</v>
      </c>
      <c r="CK77" s="80">
        <v>1078</v>
      </c>
      <c r="CL77" s="80">
        <v>1374</v>
      </c>
      <c r="CM77" s="80">
        <v>980</v>
      </c>
      <c r="CN77" s="80">
        <v>890</v>
      </c>
      <c r="CO77" s="80">
        <v>1668</v>
      </c>
      <c r="CP77" s="80">
        <v>1537</v>
      </c>
      <c r="CQ77" s="80">
        <v>1164</v>
      </c>
      <c r="CR77" s="80">
        <v>942</v>
      </c>
      <c r="CS77" s="80">
        <v>316</v>
      </c>
      <c r="CT77" s="80"/>
      <c r="CU77" s="80">
        <v>238</v>
      </c>
      <c r="CV77" s="80">
        <v>389</v>
      </c>
      <c r="CW77" s="80">
        <v>720</v>
      </c>
      <c r="CX77" s="80">
        <v>178</v>
      </c>
      <c r="CY77" s="80">
        <v>828</v>
      </c>
      <c r="CZ77" s="80">
        <v>1452</v>
      </c>
      <c r="DA77" s="80">
        <v>1042</v>
      </c>
      <c r="DB77" s="80">
        <v>1560</v>
      </c>
      <c r="DC77" s="80">
        <v>480</v>
      </c>
      <c r="DD77" s="80">
        <v>352</v>
      </c>
      <c r="DE77" s="80">
        <v>942</v>
      </c>
      <c r="DF77" s="80">
        <v>1776</v>
      </c>
      <c r="DG77" s="80">
        <v>2466</v>
      </c>
      <c r="DH77" s="80">
        <v>726</v>
      </c>
      <c r="DI77" s="80">
        <v>326</v>
      </c>
      <c r="DJ77" s="80">
        <v>858</v>
      </c>
      <c r="DK77" s="80">
        <v>710</v>
      </c>
      <c r="DL77" s="80">
        <v>672</v>
      </c>
      <c r="DM77" s="80">
        <v>186</v>
      </c>
      <c r="DN77" s="80">
        <v>744</v>
      </c>
      <c r="DO77" s="80">
        <v>144</v>
      </c>
      <c r="DP77" s="80">
        <v>1638</v>
      </c>
      <c r="DQ77" s="80">
        <v>0</v>
      </c>
      <c r="DR77" s="80">
        <v>6</v>
      </c>
      <c r="DS77" s="80">
        <v>48</v>
      </c>
      <c r="DT77" s="80">
        <v>288</v>
      </c>
      <c r="DU77" s="80">
        <v>702</v>
      </c>
      <c r="DV77" s="80">
        <v>66</v>
      </c>
      <c r="DW77" s="80">
        <v>438</v>
      </c>
      <c r="DX77" s="80">
        <v>234</v>
      </c>
      <c r="DY77" s="80">
        <v>492</v>
      </c>
      <c r="DZ77" s="80">
        <v>234</v>
      </c>
      <c r="EA77" s="80">
        <v>408</v>
      </c>
      <c r="EB77" s="80">
        <v>612</v>
      </c>
      <c r="EC77" s="80">
        <v>678</v>
      </c>
      <c r="ED77" s="80">
        <v>0</v>
      </c>
      <c r="EE77" s="80">
        <v>54</v>
      </c>
      <c r="EF77" s="80">
        <v>330</v>
      </c>
      <c r="EG77" s="80">
        <v>216</v>
      </c>
      <c r="EH77" s="80">
        <v>66</v>
      </c>
      <c r="EI77" s="80">
        <v>48</v>
      </c>
      <c r="EJ77" s="80">
        <v>348</v>
      </c>
      <c r="EK77" s="80">
        <v>36</v>
      </c>
      <c r="EL77" s="80">
        <v>558</v>
      </c>
      <c r="EM77" s="80"/>
      <c r="EN77" s="80">
        <v>576</v>
      </c>
      <c r="EO77" s="80">
        <v>496</v>
      </c>
      <c r="EP77" s="80">
        <v>432</v>
      </c>
      <c r="EQ77" s="80">
        <v>264</v>
      </c>
      <c r="ER77" s="80">
        <v>84</v>
      </c>
      <c r="ES77" s="80">
        <v>1044</v>
      </c>
      <c r="ET77" s="80">
        <v>180</v>
      </c>
      <c r="EU77" s="80">
        <v>804</v>
      </c>
      <c r="EV77" s="80">
        <v>1518</v>
      </c>
      <c r="EW77" s="80">
        <v>768</v>
      </c>
      <c r="EX77" s="65">
        <v>180</v>
      </c>
      <c r="EY77" s="80">
        <v>300</v>
      </c>
      <c r="EZ77" s="80">
        <v>942</v>
      </c>
      <c r="FA77" s="80">
        <v>1908</v>
      </c>
      <c r="FB77" s="80">
        <v>1314</v>
      </c>
      <c r="FC77" s="80">
        <v>648</v>
      </c>
      <c r="FD77" s="80">
        <v>1284</v>
      </c>
      <c r="FE77" s="80">
        <v>5040</v>
      </c>
      <c r="FF77" s="80">
        <v>2736</v>
      </c>
      <c r="FG77" s="80">
        <v>1626</v>
      </c>
      <c r="FH77" s="80">
        <v>1260</v>
      </c>
      <c r="FI77" s="80">
        <v>426</v>
      </c>
      <c r="FJ77" s="80">
        <v>54</v>
      </c>
      <c r="FN77" s="108">
        <f t="shared" si="177"/>
        <v>0</v>
      </c>
      <c r="FO77" s="108">
        <f t="shared" si="178"/>
        <v>0</v>
      </c>
      <c r="FP77" s="108">
        <f t="shared" si="132"/>
        <v>0</v>
      </c>
      <c r="FQ77" s="108">
        <f t="shared" si="133"/>
        <v>0</v>
      </c>
      <c r="FR77" s="108">
        <f t="shared" si="134"/>
        <v>0</v>
      </c>
      <c r="FS77" s="108">
        <f t="shared" si="135"/>
        <v>0</v>
      </c>
      <c r="FT77" s="108">
        <f t="shared" si="136"/>
        <v>0</v>
      </c>
      <c r="FU77" s="108">
        <f t="shared" si="137"/>
        <v>0</v>
      </c>
      <c r="FV77" s="108">
        <f t="shared" si="138"/>
        <v>2225</v>
      </c>
      <c r="FW77" s="108">
        <f t="shared" si="139"/>
        <v>1802</v>
      </c>
      <c r="FX77" s="108">
        <f t="shared" si="140"/>
        <v>2778</v>
      </c>
      <c r="FY77" s="108">
        <f t="shared" si="141"/>
        <v>2910</v>
      </c>
      <c r="FZ77" s="108">
        <f t="shared" si="142"/>
        <v>4452</v>
      </c>
      <c r="GA77" s="108">
        <f t="shared" si="143"/>
        <v>3594</v>
      </c>
      <c r="GB77" s="108">
        <f t="shared" si="144"/>
        <v>3954</v>
      </c>
      <c r="GC77" s="108">
        <f t="shared" si="145"/>
        <v>2780</v>
      </c>
      <c r="GD77" s="108">
        <f t="shared" si="146"/>
        <v>4822</v>
      </c>
      <c r="GE77" s="108">
        <f t="shared" si="147"/>
        <v>4806</v>
      </c>
      <c r="GF77" s="108">
        <f t="shared" si="148"/>
        <v>5470</v>
      </c>
      <c r="GG77" s="108">
        <f t="shared" si="149"/>
        <v>5054</v>
      </c>
      <c r="GH77" s="108">
        <f t="shared" si="150"/>
        <v>3956</v>
      </c>
      <c r="GI77" s="108">
        <f t="shared" si="151"/>
        <v>2284</v>
      </c>
      <c r="GJ77" s="108">
        <f t="shared" si="152"/>
        <v>4546</v>
      </c>
      <c r="GK77" s="108">
        <f t="shared" si="153"/>
        <v>6626</v>
      </c>
      <c r="GL77" s="108">
        <f t="shared" si="154"/>
        <v>10061</v>
      </c>
      <c r="GM77" s="108">
        <f t="shared" si="155"/>
        <v>3146</v>
      </c>
      <c r="GN77" s="108">
        <f t="shared" si="156"/>
        <v>1599</v>
      </c>
      <c r="GO77" s="108">
        <f t="shared" si="157"/>
        <v>1868</v>
      </c>
      <c r="GP77" s="108">
        <f t="shared" si="158"/>
        <v>3910</v>
      </c>
      <c r="GQ77" s="108">
        <f t="shared" si="159"/>
        <v>3432</v>
      </c>
      <c r="GR77" s="108">
        <f t="shared" si="160"/>
        <v>4095</v>
      </c>
      <c r="GS77" s="108">
        <f t="shared" si="161"/>
        <v>2422</v>
      </c>
      <c r="GT77" s="108">
        <f t="shared" si="162"/>
        <v>627</v>
      </c>
      <c r="GU77" s="108">
        <f t="shared" si="163"/>
        <v>1726</v>
      </c>
      <c r="GV77" s="108">
        <f t="shared" si="164"/>
        <v>4054</v>
      </c>
      <c r="GW77" s="108">
        <f t="shared" si="165"/>
        <v>1774</v>
      </c>
      <c r="GX77" s="108">
        <f t="shared" si="166"/>
        <v>4968</v>
      </c>
      <c r="GY77" s="108">
        <f t="shared" si="167"/>
        <v>1894</v>
      </c>
      <c r="GZ77" s="108">
        <f t="shared" si="80"/>
        <v>1602</v>
      </c>
      <c r="HA77" s="108">
        <f t="shared" si="81"/>
        <v>1782</v>
      </c>
      <c r="HB77" s="108">
        <f t="shared" si="82"/>
        <v>342</v>
      </c>
      <c r="HC77" s="108">
        <f t="shared" si="83"/>
        <v>1206</v>
      </c>
      <c r="HD77" s="108">
        <f t="shared" si="84"/>
        <v>960</v>
      </c>
      <c r="HE77" s="108">
        <f t="shared" si="85"/>
        <v>1698</v>
      </c>
      <c r="HF77" s="108">
        <f t="shared" si="86"/>
        <v>384</v>
      </c>
      <c r="HG77" s="108">
        <f t="shared" si="87"/>
        <v>330</v>
      </c>
      <c r="HH77" s="108">
        <f t="shared" si="88"/>
        <v>942</v>
      </c>
      <c r="HI77" s="108">
        <f t="shared" si="89"/>
        <v>1072</v>
      </c>
      <c r="HJ77" s="108">
        <f t="shared" si="116"/>
        <v>780</v>
      </c>
      <c r="HK77" s="108">
        <f t="shared" si="122"/>
        <v>2028</v>
      </c>
      <c r="HL77" s="108">
        <f t="shared" si="123"/>
        <v>2466</v>
      </c>
      <c r="HM77" s="108">
        <f t="shared" si="124"/>
        <v>3150</v>
      </c>
      <c r="HN77" s="108">
        <f t="shared" si="125"/>
        <v>3246</v>
      </c>
      <c r="HO77" s="108">
        <f t="shared" si="126"/>
        <v>9402</v>
      </c>
      <c r="HP77" s="108">
        <f t="shared" si="127"/>
        <v>1740</v>
      </c>
      <c r="HQ77" s="108"/>
      <c r="HU77" s="109">
        <f t="shared" si="168"/>
        <v>0</v>
      </c>
      <c r="HV77" s="110">
        <f t="shared" si="169"/>
        <v>0</v>
      </c>
      <c r="HW77" s="110">
        <f t="shared" si="170"/>
        <v>9715</v>
      </c>
      <c r="HX77" s="111">
        <f t="shared" si="171"/>
        <v>14780</v>
      </c>
      <c r="HY77" s="112">
        <f t="shared" si="172"/>
        <v>20152</v>
      </c>
      <c r="HZ77" s="112">
        <f t="shared" si="173"/>
        <v>17412</v>
      </c>
      <c r="IA77" s="112">
        <f t="shared" si="174"/>
        <v>16674</v>
      </c>
      <c r="IB77" s="112">
        <f t="shared" si="175"/>
        <v>13859</v>
      </c>
      <c r="IC77" s="112">
        <f t="shared" si="176"/>
        <v>8181</v>
      </c>
      <c r="ID77" s="112">
        <f t="shared" si="96"/>
        <v>10246</v>
      </c>
      <c r="IE77" s="112">
        <f t="shared" si="97"/>
        <v>4206</v>
      </c>
      <c r="IF77" s="112">
        <f t="shared" si="98"/>
        <v>2728</v>
      </c>
      <c r="IG77" s="112">
        <f t="shared" si="99"/>
        <v>8424</v>
      </c>
    </row>
    <row r="78" spans="1:241" outlineLevel="2" x14ac:dyDescent="0.3">
      <c r="A78" s="123" t="s">
        <v>125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>
        <v>615</v>
      </c>
      <c r="AA78" s="70">
        <v>1038</v>
      </c>
      <c r="AB78" s="70">
        <v>572</v>
      </c>
      <c r="AC78" s="70">
        <v>668</v>
      </c>
      <c r="AD78" s="70">
        <v>398</v>
      </c>
      <c r="AE78" s="70">
        <v>736</v>
      </c>
      <c r="AF78" s="70">
        <v>1574</v>
      </c>
      <c r="AG78" s="70">
        <v>738</v>
      </c>
      <c r="AH78" s="70">
        <v>466</v>
      </c>
      <c r="AI78" s="70">
        <v>1004</v>
      </c>
      <c r="AJ78" s="70">
        <v>1032</v>
      </c>
      <c r="AK78" s="70">
        <v>874</v>
      </c>
      <c r="AL78" s="70">
        <v>1152</v>
      </c>
      <c r="AM78" s="70">
        <v>1518</v>
      </c>
      <c r="AN78" s="70">
        <v>1782</v>
      </c>
      <c r="AO78" s="70">
        <v>1158</v>
      </c>
      <c r="AP78" s="70">
        <v>1740</v>
      </c>
      <c r="AQ78" s="70">
        <v>696</v>
      </c>
      <c r="AR78" s="70">
        <v>1266</v>
      </c>
      <c r="AS78" s="70">
        <v>1668</v>
      </c>
      <c r="AT78" s="70">
        <v>1020</v>
      </c>
      <c r="AU78" s="70">
        <v>1458</v>
      </c>
      <c r="AV78" s="70">
        <v>534</v>
      </c>
      <c r="AW78" s="70">
        <v>788</v>
      </c>
      <c r="AX78" s="70">
        <v>1473</v>
      </c>
      <c r="AY78" s="70">
        <v>995</v>
      </c>
      <c r="AZ78" s="70">
        <v>2354</v>
      </c>
      <c r="BA78" s="70">
        <v>1957</v>
      </c>
      <c r="BB78" s="70">
        <v>1468</v>
      </c>
      <c r="BC78" s="70">
        <v>1381</v>
      </c>
      <c r="BD78" s="70">
        <v>2172</v>
      </c>
      <c r="BE78" s="70">
        <v>1676</v>
      </c>
      <c r="BF78" s="70">
        <v>1622</v>
      </c>
      <c r="BG78" s="70">
        <v>2512</v>
      </c>
      <c r="BH78" s="70">
        <v>1180</v>
      </c>
      <c r="BI78" s="70">
        <v>1362</v>
      </c>
      <c r="BJ78" s="70">
        <v>1736</v>
      </c>
      <c r="BK78" s="70">
        <v>1478</v>
      </c>
      <c r="BL78" s="70">
        <v>742</v>
      </c>
      <c r="BM78" s="70">
        <v>942</v>
      </c>
      <c r="BN78" s="70">
        <v>946</v>
      </c>
      <c r="BO78" s="70">
        <v>396</v>
      </c>
      <c r="BP78" s="70">
        <v>1008</v>
      </c>
      <c r="BQ78" s="70">
        <v>1836</v>
      </c>
      <c r="BR78" s="70">
        <v>1702</v>
      </c>
      <c r="BS78" s="70">
        <v>2516</v>
      </c>
      <c r="BT78" s="70">
        <v>2142</v>
      </c>
      <c r="BU78" s="70">
        <v>1968</v>
      </c>
      <c r="BV78" s="70">
        <v>4761</v>
      </c>
      <c r="BW78" s="70">
        <v>2478</v>
      </c>
      <c r="BX78" s="70">
        <v>2822</v>
      </c>
      <c r="BY78" s="70">
        <v>320</v>
      </c>
      <c r="BZ78" s="70">
        <v>774</v>
      </c>
      <c r="CA78" s="70">
        <v>2052</v>
      </c>
      <c r="CB78" s="70">
        <v>481</v>
      </c>
      <c r="CC78" s="70">
        <v>906</v>
      </c>
      <c r="CD78" s="70">
        <v>212</v>
      </c>
      <c r="CE78" s="70">
        <v>132</v>
      </c>
      <c r="CF78" s="70">
        <v>1124</v>
      </c>
      <c r="CG78" s="70">
        <v>612</v>
      </c>
      <c r="CH78" s="70">
        <f>CH77</f>
        <v>1722</v>
      </c>
      <c r="CI78" s="70">
        <f>CI77</f>
        <v>1318</v>
      </c>
      <c r="CJ78" s="70">
        <f>CJ77</f>
        <v>870</v>
      </c>
      <c r="CK78" s="70">
        <f>CK77</f>
        <v>1078</v>
      </c>
      <c r="CL78" s="70">
        <f>CL77</f>
        <v>1374</v>
      </c>
      <c r="CM78" s="70">
        <v>980</v>
      </c>
      <c r="CN78" s="70">
        <v>890</v>
      </c>
      <c r="CO78" s="70">
        <v>1668</v>
      </c>
      <c r="CP78" s="70">
        <v>1537</v>
      </c>
      <c r="CQ78" s="70">
        <v>1164</v>
      </c>
      <c r="CR78" s="70">
        <v>942</v>
      </c>
      <c r="CS78" s="70">
        <v>316</v>
      </c>
      <c r="CT78" s="70"/>
      <c r="CU78" s="70">
        <v>238</v>
      </c>
      <c r="CV78" s="70">
        <v>389</v>
      </c>
      <c r="CW78" s="70">
        <v>720</v>
      </c>
      <c r="CX78" s="70">
        <v>178</v>
      </c>
      <c r="CY78" s="70">
        <v>828</v>
      </c>
      <c r="CZ78" s="70">
        <v>1452</v>
      </c>
      <c r="DA78" s="70">
        <v>1042</v>
      </c>
      <c r="DB78" s="70">
        <v>1560</v>
      </c>
      <c r="DC78" s="70">
        <v>480</v>
      </c>
      <c r="DD78" s="70">
        <v>352</v>
      </c>
      <c r="DE78" s="70">
        <v>942</v>
      </c>
      <c r="DF78" s="70">
        <v>1776</v>
      </c>
      <c r="DG78" s="70">
        <v>2466</v>
      </c>
      <c r="DH78" s="70">
        <v>726</v>
      </c>
      <c r="DI78" s="70">
        <v>326</v>
      </c>
      <c r="DJ78" s="70">
        <v>858</v>
      </c>
      <c r="DK78" s="70">
        <v>710</v>
      </c>
      <c r="DL78" s="70">
        <v>672</v>
      </c>
      <c r="DM78" s="70">
        <v>186</v>
      </c>
      <c r="DN78" s="70">
        <v>744</v>
      </c>
      <c r="DO78" s="70">
        <v>144</v>
      </c>
      <c r="DP78" s="70">
        <v>1638</v>
      </c>
      <c r="DQ78" s="70">
        <v>0</v>
      </c>
      <c r="DR78" s="70">
        <v>6</v>
      </c>
      <c r="DS78" s="70">
        <v>48</v>
      </c>
      <c r="DT78" s="70">
        <v>288</v>
      </c>
      <c r="DU78" s="70">
        <v>702</v>
      </c>
      <c r="DV78" s="70">
        <v>66</v>
      </c>
      <c r="DW78" s="70">
        <v>438</v>
      </c>
      <c r="DX78" s="70">
        <v>234</v>
      </c>
      <c r="DY78" s="70">
        <v>492</v>
      </c>
      <c r="DZ78" s="70">
        <v>234</v>
      </c>
      <c r="EA78" s="70">
        <v>408</v>
      </c>
      <c r="EB78" s="70">
        <v>612</v>
      </c>
      <c r="EC78" s="70">
        <v>678</v>
      </c>
      <c r="ED78" s="70">
        <v>0</v>
      </c>
      <c r="EE78" s="70">
        <v>54</v>
      </c>
      <c r="EF78" s="70">
        <v>330</v>
      </c>
      <c r="EG78" s="70">
        <v>216</v>
      </c>
      <c r="EH78" s="70">
        <v>66</v>
      </c>
      <c r="EI78" s="70">
        <v>48</v>
      </c>
      <c r="EJ78" s="70">
        <v>348</v>
      </c>
      <c r="EK78" s="70">
        <v>36</v>
      </c>
      <c r="EL78" s="70">
        <v>558</v>
      </c>
      <c r="EM78" s="70"/>
      <c r="EN78" s="70">
        <v>576</v>
      </c>
      <c r="EO78" s="70">
        <v>496</v>
      </c>
      <c r="EP78" s="70">
        <v>432</v>
      </c>
      <c r="EQ78" s="70">
        <v>264</v>
      </c>
      <c r="ER78" s="70">
        <v>84</v>
      </c>
      <c r="ES78" s="70">
        <v>1044</v>
      </c>
      <c r="ET78" s="70">
        <v>180</v>
      </c>
      <c r="EU78" s="70">
        <v>804</v>
      </c>
      <c r="EV78" s="70">
        <v>1518</v>
      </c>
      <c r="EW78" s="70">
        <v>768</v>
      </c>
      <c r="EX78" s="65">
        <f t="shared" ref="EX78" si="179">EX77</f>
        <v>180</v>
      </c>
      <c r="EY78" s="70">
        <v>300</v>
      </c>
      <c r="EZ78" s="70">
        <v>942</v>
      </c>
      <c r="FA78" s="70">
        <v>1908</v>
      </c>
      <c r="FB78" s="70">
        <v>1314</v>
      </c>
      <c r="FC78" s="70">
        <v>648</v>
      </c>
      <c r="FD78" s="70">
        <v>1284</v>
      </c>
      <c r="FE78" s="70">
        <v>5040</v>
      </c>
      <c r="FF78" s="70">
        <v>2736</v>
      </c>
      <c r="FG78" s="70">
        <v>1626</v>
      </c>
      <c r="FH78" s="70">
        <v>1260</v>
      </c>
      <c r="FI78" s="70">
        <v>426</v>
      </c>
      <c r="FJ78" s="70">
        <v>54</v>
      </c>
      <c r="FN78" s="114">
        <f t="shared" si="177"/>
        <v>0</v>
      </c>
      <c r="FO78" s="114">
        <f t="shared" si="178"/>
        <v>0</v>
      </c>
      <c r="FP78" s="114">
        <f t="shared" si="132"/>
        <v>0</v>
      </c>
      <c r="FQ78" s="114">
        <f t="shared" si="133"/>
        <v>0</v>
      </c>
      <c r="FR78" s="114">
        <f t="shared" si="134"/>
        <v>0</v>
      </c>
      <c r="FS78" s="114">
        <f t="shared" si="135"/>
        <v>0</v>
      </c>
      <c r="FT78" s="114">
        <f t="shared" si="136"/>
        <v>0</v>
      </c>
      <c r="FU78" s="114">
        <f t="shared" si="137"/>
        <v>0</v>
      </c>
      <c r="FV78" s="114">
        <f t="shared" si="138"/>
        <v>2225</v>
      </c>
      <c r="FW78" s="114">
        <f t="shared" si="139"/>
        <v>1802</v>
      </c>
      <c r="FX78" s="114">
        <f t="shared" si="140"/>
        <v>2778</v>
      </c>
      <c r="FY78" s="114">
        <f t="shared" si="141"/>
        <v>2910</v>
      </c>
      <c r="FZ78" s="114">
        <f t="shared" si="142"/>
        <v>4452</v>
      </c>
      <c r="GA78" s="114">
        <f t="shared" si="143"/>
        <v>3594</v>
      </c>
      <c r="GB78" s="114">
        <f t="shared" si="144"/>
        <v>3954</v>
      </c>
      <c r="GC78" s="114">
        <f t="shared" si="145"/>
        <v>2780</v>
      </c>
      <c r="GD78" s="114">
        <f t="shared" si="146"/>
        <v>4822</v>
      </c>
      <c r="GE78" s="114">
        <f t="shared" si="147"/>
        <v>4806</v>
      </c>
      <c r="GF78" s="114">
        <f t="shared" si="148"/>
        <v>5470</v>
      </c>
      <c r="GG78" s="114">
        <f t="shared" si="149"/>
        <v>5054</v>
      </c>
      <c r="GH78" s="114">
        <f t="shared" si="150"/>
        <v>3956</v>
      </c>
      <c r="GI78" s="114">
        <f t="shared" si="151"/>
        <v>2284</v>
      </c>
      <c r="GJ78" s="114">
        <f t="shared" si="152"/>
        <v>4546</v>
      </c>
      <c r="GK78" s="114">
        <f t="shared" si="153"/>
        <v>6626</v>
      </c>
      <c r="GL78" s="114">
        <f t="shared" si="154"/>
        <v>10061</v>
      </c>
      <c r="GM78" s="114">
        <f t="shared" si="155"/>
        <v>3146</v>
      </c>
      <c r="GN78" s="114">
        <f t="shared" si="156"/>
        <v>1599</v>
      </c>
      <c r="GO78" s="114">
        <f t="shared" si="157"/>
        <v>1868</v>
      </c>
      <c r="GP78" s="114">
        <f t="shared" si="158"/>
        <v>3910</v>
      </c>
      <c r="GQ78" s="114">
        <f t="shared" si="159"/>
        <v>3432</v>
      </c>
      <c r="GR78" s="114">
        <f t="shared" si="160"/>
        <v>4095</v>
      </c>
      <c r="GS78" s="114">
        <f t="shared" si="161"/>
        <v>2422</v>
      </c>
      <c r="GT78" s="114">
        <f t="shared" si="162"/>
        <v>627</v>
      </c>
      <c r="GU78" s="114">
        <f t="shared" si="163"/>
        <v>1726</v>
      </c>
      <c r="GV78" s="114">
        <f t="shared" si="164"/>
        <v>4054</v>
      </c>
      <c r="GW78" s="114">
        <f t="shared" si="165"/>
        <v>1774</v>
      </c>
      <c r="GX78" s="114">
        <f t="shared" si="166"/>
        <v>4968</v>
      </c>
      <c r="GY78" s="114">
        <f t="shared" si="167"/>
        <v>1894</v>
      </c>
      <c r="GZ78" s="114">
        <f t="shared" si="80"/>
        <v>1602</v>
      </c>
      <c r="HA78" s="114">
        <f t="shared" si="81"/>
        <v>1782</v>
      </c>
      <c r="HB78" s="114">
        <f t="shared" si="82"/>
        <v>342</v>
      </c>
      <c r="HC78" s="114">
        <f t="shared" si="83"/>
        <v>1206</v>
      </c>
      <c r="HD78" s="114">
        <f t="shared" si="84"/>
        <v>960</v>
      </c>
      <c r="HE78" s="114">
        <f t="shared" si="85"/>
        <v>1698</v>
      </c>
      <c r="HF78" s="114">
        <f t="shared" si="86"/>
        <v>384</v>
      </c>
      <c r="HG78" s="114">
        <f t="shared" si="87"/>
        <v>330</v>
      </c>
      <c r="HH78" s="114">
        <f t="shared" si="88"/>
        <v>942</v>
      </c>
      <c r="HI78" s="114">
        <f t="shared" si="89"/>
        <v>1072</v>
      </c>
      <c r="HJ78" s="114">
        <f t="shared" si="116"/>
        <v>780</v>
      </c>
      <c r="HK78" s="114">
        <f t="shared" si="122"/>
        <v>2028</v>
      </c>
      <c r="HL78" s="114">
        <f t="shared" si="123"/>
        <v>2466</v>
      </c>
      <c r="HM78" s="114">
        <f t="shared" si="124"/>
        <v>3150</v>
      </c>
      <c r="HN78" s="114">
        <f t="shared" si="125"/>
        <v>3246</v>
      </c>
      <c r="HO78" s="114">
        <f t="shared" si="126"/>
        <v>9402</v>
      </c>
      <c r="HP78" s="114">
        <f t="shared" si="127"/>
        <v>1740</v>
      </c>
      <c r="HQ78" s="114"/>
      <c r="HU78" s="115">
        <f t="shared" si="168"/>
        <v>0</v>
      </c>
      <c r="HV78" s="116">
        <f t="shared" si="169"/>
        <v>0</v>
      </c>
      <c r="HW78" s="116">
        <f t="shared" si="170"/>
        <v>9715</v>
      </c>
      <c r="HX78" s="117">
        <f t="shared" si="171"/>
        <v>14780</v>
      </c>
      <c r="HY78" s="118">
        <f t="shared" si="172"/>
        <v>20152</v>
      </c>
      <c r="HZ78" s="118">
        <f t="shared" si="173"/>
        <v>17412</v>
      </c>
      <c r="IA78" s="118">
        <f t="shared" si="174"/>
        <v>16674</v>
      </c>
      <c r="IB78" s="118">
        <f t="shared" si="175"/>
        <v>13859</v>
      </c>
      <c r="IC78" s="118">
        <f t="shared" si="176"/>
        <v>8181</v>
      </c>
      <c r="ID78" s="118">
        <f t="shared" si="96"/>
        <v>10246</v>
      </c>
      <c r="IE78" s="118">
        <f t="shared" si="97"/>
        <v>4206</v>
      </c>
      <c r="IF78" s="118">
        <f t="shared" si="98"/>
        <v>2728</v>
      </c>
      <c r="IG78" s="118">
        <f t="shared" si="99"/>
        <v>8424</v>
      </c>
    </row>
    <row r="79" spans="1:241" outlineLevel="2" x14ac:dyDescent="0.3">
      <c r="A79" s="122" t="s">
        <v>138</v>
      </c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120"/>
      <c r="CL79" s="120"/>
      <c r="CM79" s="120"/>
      <c r="CN79" s="120"/>
      <c r="CO79" s="120"/>
      <c r="CP79" s="120"/>
      <c r="CQ79" s="120"/>
      <c r="CR79" s="120"/>
      <c r="CS79" s="120"/>
      <c r="CT79" s="120"/>
      <c r="CU79" s="120"/>
      <c r="CV79" s="120"/>
      <c r="CW79" s="120"/>
      <c r="CX79" s="120"/>
      <c r="CY79" s="120"/>
      <c r="CZ79" s="120"/>
      <c r="DA79" s="120"/>
      <c r="DB79" s="120"/>
      <c r="DC79" s="120"/>
      <c r="DD79" s="120"/>
      <c r="DE79" s="120"/>
      <c r="DF79" s="120"/>
      <c r="DG79" s="120"/>
      <c r="DH79" s="120"/>
      <c r="DI79" s="120"/>
      <c r="DJ79" s="120"/>
      <c r="DK79" s="120"/>
      <c r="DL79" s="120"/>
      <c r="DM79" s="120"/>
      <c r="DN79" s="120"/>
      <c r="DO79" s="120"/>
      <c r="DP79" s="120"/>
      <c r="DQ79" s="120"/>
      <c r="DR79" s="120"/>
      <c r="DS79" s="120"/>
      <c r="DT79" s="120"/>
      <c r="DU79" s="120"/>
      <c r="DV79" s="120"/>
      <c r="DW79" s="120"/>
      <c r="DX79" s="120"/>
      <c r="DY79" s="120"/>
      <c r="DZ79" s="120"/>
      <c r="EA79" s="120"/>
      <c r="EB79" s="120"/>
      <c r="EC79" s="120"/>
      <c r="ED79" s="120"/>
      <c r="EE79" s="120"/>
      <c r="EF79" s="120"/>
      <c r="EG79" s="120"/>
      <c r="EH79" s="120"/>
      <c r="EI79" s="120"/>
      <c r="EJ79" s="120"/>
      <c r="EK79" s="120"/>
      <c r="EL79" s="120"/>
      <c r="EM79" s="120"/>
      <c r="EN79" s="120"/>
      <c r="EO79" s="120"/>
      <c r="EP79" s="120"/>
      <c r="EQ79" s="120"/>
      <c r="ER79" s="120"/>
      <c r="ES79" s="120"/>
      <c r="ET79" s="120"/>
      <c r="EU79" s="120"/>
      <c r="EV79" s="120"/>
      <c r="EW79" s="120"/>
      <c r="EX79" s="120"/>
      <c r="EY79" s="120"/>
      <c r="EZ79" s="120"/>
      <c r="FA79" s="120"/>
      <c r="FB79" s="120"/>
      <c r="FC79" s="120"/>
      <c r="FD79" s="120"/>
      <c r="FE79" s="120"/>
      <c r="FF79" s="120"/>
      <c r="FG79" s="120"/>
      <c r="FH79" s="120"/>
      <c r="FI79" s="120"/>
      <c r="FJ79" s="120"/>
      <c r="FN79" s="114">
        <f t="shared" si="177"/>
        <v>0</v>
      </c>
      <c r="FO79" s="114">
        <f t="shared" si="178"/>
        <v>0</v>
      </c>
      <c r="FP79" s="114">
        <f t="shared" si="132"/>
        <v>0</v>
      </c>
      <c r="FQ79" s="114">
        <f t="shared" si="133"/>
        <v>0</v>
      </c>
      <c r="FR79" s="114">
        <f t="shared" si="134"/>
        <v>0</v>
      </c>
      <c r="FS79" s="114">
        <f t="shared" si="135"/>
        <v>0</v>
      </c>
      <c r="FT79" s="114">
        <f t="shared" si="136"/>
        <v>0</v>
      </c>
      <c r="FU79" s="114">
        <f t="shared" si="137"/>
        <v>0</v>
      </c>
      <c r="FV79" s="114">
        <f t="shared" si="138"/>
        <v>0</v>
      </c>
      <c r="FW79" s="114">
        <f t="shared" si="139"/>
        <v>0</v>
      </c>
      <c r="FX79" s="114">
        <f t="shared" si="140"/>
        <v>0</v>
      </c>
      <c r="FY79" s="114">
        <f t="shared" si="141"/>
        <v>0</v>
      </c>
      <c r="FZ79" s="114">
        <f t="shared" si="142"/>
        <v>0</v>
      </c>
      <c r="GA79" s="114">
        <f t="shared" si="143"/>
        <v>0</v>
      </c>
      <c r="GB79" s="114">
        <f t="shared" si="144"/>
        <v>0</v>
      </c>
      <c r="GC79" s="114">
        <f t="shared" si="145"/>
        <v>0</v>
      </c>
      <c r="GD79" s="114">
        <f t="shared" si="146"/>
        <v>0</v>
      </c>
      <c r="GE79" s="114">
        <f t="shared" si="147"/>
        <v>0</v>
      </c>
      <c r="GF79" s="114">
        <f t="shared" si="148"/>
        <v>0</v>
      </c>
      <c r="GG79" s="114">
        <f t="shared" si="149"/>
        <v>0</v>
      </c>
      <c r="GH79" s="114">
        <f t="shared" si="150"/>
        <v>0</v>
      </c>
      <c r="GI79" s="114">
        <f t="shared" si="151"/>
        <v>0</v>
      </c>
      <c r="GJ79" s="114">
        <f t="shared" si="152"/>
        <v>0</v>
      </c>
      <c r="GK79" s="114">
        <f t="shared" si="153"/>
        <v>0</v>
      </c>
      <c r="GL79" s="114">
        <f t="shared" si="154"/>
        <v>0</v>
      </c>
      <c r="GM79" s="114">
        <f t="shared" si="155"/>
        <v>0</v>
      </c>
      <c r="GN79" s="114">
        <f t="shared" si="156"/>
        <v>0</v>
      </c>
      <c r="GO79" s="114">
        <f t="shared" si="157"/>
        <v>0</v>
      </c>
      <c r="GP79" s="114">
        <f t="shared" si="158"/>
        <v>0</v>
      </c>
      <c r="GQ79" s="114">
        <f t="shared" si="159"/>
        <v>0</v>
      </c>
      <c r="GR79" s="114">
        <f t="shared" si="160"/>
        <v>0</v>
      </c>
      <c r="GS79" s="114">
        <f t="shared" si="161"/>
        <v>0</v>
      </c>
      <c r="GT79" s="114">
        <f t="shared" si="162"/>
        <v>0</v>
      </c>
      <c r="GU79" s="114">
        <f t="shared" si="163"/>
        <v>0</v>
      </c>
      <c r="GV79" s="114">
        <f t="shared" si="164"/>
        <v>0</v>
      </c>
      <c r="GW79" s="114">
        <f t="shared" si="165"/>
        <v>0</v>
      </c>
      <c r="GX79" s="114">
        <f t="shared" si="166"/>
        <v>0</v>
      </c>
      <c r="GY79" s="114">
        <f t="shared" si="167"/>
        <v>0</v>
      </c>
      <c r="GZ79" s="114">
        <f t="shared" si="80"/>
        <v>0</v>
      </c>
      <c r="HA79" s="114">
        <f t="shared" si="81"/>
        <v>0</v>
      </c>
      <c r="HB79" s="114">
        <f t="shared" si="82"/>
        <v>0</v>
      </c>
      <c r="HC79" s="114">
        <f t="shared" si="83"/>
        <v>0</v>
      </c>
      <c r="HD79" s="114">
        <f t="shared" si="84"/>
        <v>0</v>
      </c>
      <c r="HE79" s="114">
        <f t="shared" si="85"/>
        <v>0</v>
      </c>
      <c r="HF79" s="114">
        <f t="shared" si="86"/>
        <v>0</v>
      </c>
      <c r="HG79" s="114">
        <f t="shared" si="87"/>
        <v>0</v>
      </c>
      <c r="HH79" s="114">
        <f t="shared" si="88"/>
        <v>0</v>
      </c>
      <c r="HI79" s="114">
        <f t="shared" si="89"/>
        <v>0</v>
      </c>
      <c r="HJ79" s="114">
        <f t="shared" si="116"/>
        <v>0</v>
      </c>
      <c r="HK79" s="114">
        <f t="shared" si="122"/>
        <v>0</v>
      </c>
      <c r="HL79" s="114">
        <f t="shared" si="123"/>
        <v>0</v>
      </c>
      <c r="HM79" s="114">
        <f t="shared" si="124"/>
        <v>0</v>
      </c>
      <c r="HN79" s="114">
        <f t="shared" si="125"/>
        <v>0</v>
      </c>
      <c r="HO79" s="114">
        <f t="shared" si="126"/>
        <v>0</v>
      </c>
      <c r="HP79" s="114">
        <f t="shared" si="127"/>
        <v>0</v>
      </c>
      <c r="HQ79" s="114"/>
      <c r="HU79" s="115">
        <f t="shared" si="168"/>
        <v>0</v>
      </c>
      <c r="HV79" s="116">
        <f t="shared" si="169"/>
        <v>0</v>
      </c>
      <c r="HW79" s="116">
        <f t="shared" si="170"/>
        <v>0</v>
      </c>
      <c r="HX79" s="117">
        <f t="shared" si="171"/>
        <v>0</v>
      </c>
      <c r="HY79" s="118">
        <f t="shared" si="172"/>
        <v>0</v>
      </c>
      <c r="HZ79" s="118">
        <f t="shared" si="173"/>
        <v>0</v>
      </c>
      <c r="IA79" s="118">
        <f t="shared" si="174"/>
        <v>0</v>
      </c>
      <c r="IB79" s="118">
        <f t="shared" si="175"/>
        <v>0</v>
      </c>
      <c r="IC79" s="118">
        <f t="shared" si="176"/>
        <v>0</v>
      </c>
      <c r="ID79" s="118">
        <f t="shared" si="96"/>
        <v>0</v>
      </c>
      <c r="IE79" s="118">
        <f t="shared" si="97"/>
        <v>0</v>
      </c>
      <c r="IF79" s="118">
        <f t="shared" si="98"/>
        <v>0</v>
      </c>
      <c r="IG79" s="118">
        <f t="shared" si="99"/>
        <v>0</v>
      </c>
    </row>
    <row r="80" spans="1:241" outlineLevel="2" x14ac:dyDescent="0.3">
      <c r="A80" s="106" t="s">
        <v>135</v>
      </c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  <c r="CN80" s="80"/>
      <c r="CO80" s="80"/>
      <c r="CP80" s="80"/>
      <c r="CQ80" s="80"/>
      <c r="CR80" s="80"/>
      <c r="CS80" s="80"/>
      <c r="CT80" s="80"/>
      <c r="CU80" s="80"/>
      <c r="CV80" s="80"/>
      <c r="CW80" s="80"/>
      <c r="CX80" s="80"/>
      <c r="CY80" s="80"/>
      <c r="CZ80" s="80"/>
      <c r="DA80" s="80"/>
      <c r="DB80" s="80"/>
      <c r="DC80" s="80"/>
      <c r="DD80" s="80"/>
      <c r="DE80" s="80"/>
      <c r="DF80" s="80"/>
      <c r="DG80" s="80"/>
      <c r="DH80" s="80"/>
      <c r="DI80" s="80"/>
      <c r="DJ80" s="80"/>
      <c r="DK80" s="80"/>
      <c r="DL80" s="80"/>
      <c r="DM80" s="80"/>
      <c r="DN80" s="80"/>
      <c r="DO80" s="80"/>
      <c r="DP80" s="80"/>
      <c r="DQ80" s="80"/>
      <c r="DR80" s="80"/>
      <c r="DS80" s="80"/>
      <c r="DT80" s="80"/>
      <c r="DU80" s="80"/>
      <c r="DV80" s="80"/>
      <c r="DW80" s="80"/>
      <c r="DX80" s="80"/>
      <c r="DY80" s="80"/>
      <c r="DZ80" s="80"/>
      <c r="EA80" s="80"/>
      <c r="EB80" s="80"/>
      <c r="EC80" s="80"/>
      <c r="ED80" s="80">
        <v>72</v>
      </c>
      <c r="EE80" s="80">
        <v>2</v>
      </c>
      <c r="EF80" s="80">
        <v>0</v>
      </c>
      <c r="EG80" s="80">
        <v>0</v>
      </c>
      <c r="EH80" s="80">
        <v>0</v>
      </c>
      <c r="EI80" s="80">
        <v>0</v>
      </c>
      <c r="EJ80" s="80">
        <v>0</v>
      </c>
      <c r="EK80" s="80">
        <v>0</v>
      </c>
      <c r="EL80" s="80"/>
      <c r="EM80" s="80"/>
      <c r="EN80" s="80"/>
      <c r="EO80" s="80"/>
      <c r="EP80" s="80"/>
      <c r="EQ80" s="80"/>
      <c r="ER80" s="80">
        <v>2</v>
      </c>
      <c r="ES80" s="80"/>
      <c r="ET80" s="80"/>
      <c r="EU80" s="80">
        <v>0</v>
      </c>
      <c r="EV80" s="80"/>
      <c r="EW80" s="80"/>
      <c r="EX80" s="80"/>
      <c r="EY80" s="80">
        <v>2</v>
      </c>
      <c r="EZ80" s="80">
        <v>1</v>
      </c>
      <c r="FA80" s="80">
        <v>120</v>
      </c>
      <c r="FB80" s="80">
        <v>0</v>
      </c>
      <c r="FC80" s="80"/>
      <c r="FD80" s="80">
        <v>0</v>
      </c>
      <c r="FE80" s="80">
        <v>120</v>
      </c>
      <c r="FF80" s="80">
        <v>90</v>
      </c>
      <c r="FG80" s="80"/>
      <c r="FH80" s="80">
        <v>120</v>
      </c>
      <c r="FI80" s="80">
        <v>41</v>
      </c>
      <c r="FJ80" s="80">
        <v>208</v>
      </c>
      <c r="FN80" s="114">
        <f t="shared" si="177"/>
        <v>0</v>
      </c>
      <c r="FO80" s="114">
        <f t="shared" si="178"/>
        <v>0</v>
      </c>
      <c r="FP80" s="114">
        <f t="shared" si="132"/>
        <v>0</v>
      </c>
      <c r="FQ80" s="114">
        <f t="shared" si="133"/>
        <v>0</v>
      </c>
      <c r="FR80" s="114">
        <f t="shared" si="134"/>
        <v>0</v>
      </c>
      <c r="FS80" s="114">
        <f t="shared" si="135"/>
        <v>0</v>
      </c>
      <c r="FT80" s="114">
        <f t="shared" si="136"/>
        <v>0</v>
      </c>
      <c r="FU80" s="114">
        <f t="shared" si="137"/>
        <v>0</v>
      </c>
      <c r="FV80" s="114">
        <f t="shared" si="138"/>
        <v>0</v>
      </c>
      <c r="FW80" s="114">
        <f t="shared" si="139"/>
        <v>0</v>
      </c>
      <c r="FX80" s="114">
        <f t="shared" si="140"/>
        <v>0</v>
      </c>
      <c r="FY80" s="114">
        <f t="shared" si="141"/>
        <v>0</v>
      </c>
      <c r="FZ80" s="114">
        <f t="shared" si="142"/>
        <v>0</v>
      </c>
      <c r="GA80" s="114">
        <f t="shared" si="143"/>
        <v>0</v>
      </c>
      <c r="GB80" s="114">
        <f t="shared" si="144"/>
        <v>0</v>
      </c>
      <c r="GC80" s="114">
        <f t="shared" si="145"/>
        <v>0</v>
      </c>
      <c r="GD80" s="114">
        <f t="shared" si="146"/>
        <v>0</v>
      </c>
      <c r="GE80" s="114">
        <f t="shared" si="147"/>
        <v>0</v>
      </c>
      <c r="GF80" s="114">
        <f t="shared" si="148"/>
        <v>0</v>
      </c>
      <c r="GG80" s="114">
        <f t="shared" si="149"/>
        <v>0</v>
      </c>
      <c r="GH80" s="114">
        <f t="shared" si="150"/>
        <v>0</v>
      </c>
      <c r="GI80" s="114">
        <f t="shared" si="151"/>
        <v>0</v>
      </c>
      <c r="GJ80" s="114">
        <f t="shared" si="152"/>
        <v>0</v>
      </c>
      <c r="GK80" s="114">
        <f t="shared" si="153"/>
        <v>0</v>
      </c>
      <c r="GL80" s="114">
        <f t="shared" si="154"/>
        <v>0</v>
      </c>
      <c r="GM80" s="114">
        <f t="shared" si="155"/>
        <v>0</v>
      </c>
      <c r="GN80" s="114">
        <f t="shared" si="156"/>
        <v>0</v>
      </c>
      <c r="GO80" s="114">
        <f t="shared" si="157"/>
        <v>0</v>
      </c>
      <c r="GP80" s="114">
        <f t="shared" si="158"/>
        <v>0</v>
      </c>
      <c r="GQ80" s="114">
        <f t="shared" si="159"/>
        <v>0</v>
      </c>
      <c r="GR80" s="114">
        <f t="shared" si="160"/>
        <v>0</v>
      </c>
      <c r="GS80" s="114">
        <f t="shared" si="161"/>
        <v>0</v>
      </c>
      <c r="GT80" s="114">
        <f t="shared" si="162"/>
        <v>0</v>
      </c>
      <c r="GU80" s="114">
        <f t="shared" si="163"/>
        <v>0</v>
      </c>
      <c r="GV80" s="114">
        <f t="shared" si="164"/>
        <v>0</v>
      </c>
      <c r="GW80" s="114">
        <f t="shared" si="165"/>
        <v>0</v>
      </c>
      <c r="GX80" s="114">
        <f t="shared" si="166"/>
        <v>0</v>
      </c>
      <c r="GY80" s="114">
        <f t="shared" si="167"/>
        <v>0</v>
      </c>
      <c r="GZ80" s="114">
        <f t="shared" si="80"/>
        <v>0</v>
      </c>
      <c r="HA80" s="114">
        <f t="shared" si="81"/>
        <v>0</v>
      </c>
      <c r="HB80" s="114">
        <f t="shared" si="82"/>
        <v>0</v>
      </c>
      <c r="HC80" s="114">
        <f t="shared" si="83"/>
        <v>0</v>
      </c>
      <c r="HD80" s="114">
        <f t="shared" si="84"/>
        <v>0</v>
      </c>
      <c r="HE80" s="114">
        <f t="shared" si="85"/>
        <v>0</v>
      </c>
      <c r="HF80" s="114">
        <f t="shared" si="86"/>
        <v>74</v>
      </c>
      <c r="HG80" s="114">
        <f t="shared" si="87"/>
        <v>0</v>
      </c>
      <c r="HH80" s="114">
        <f t="shared" si="88"/>
        <v>0</v>
      </c>
      <c r="HI80" s="114">
        <f t="shared" si="89"/>
        <v>0</v>
      </c>
      <c r="HJ80" s="114">
        <f t="shared" si="116"/>
        <v>2</v>
      </c>
      <c r="HK80" s="114">
        <f t="shared" si="122"/>
        <v>0</v>
      </c>
      <c r="HL80" s="114">
        <f t="shared" si="123"/>
        <v>0</v>
      </c>
      <c r="HM80" s="114">
        <f t="shared" si="124"/>
        <v>123</v>
      </c>
      <c r="HN80" s="114">
        <f t="shared" si="125"/>
        <v>0</v>
      </c>
      <c r="HO80" s="114">
        <f t="shared" si="126"/>
        <v>210</v>
      </c>
      <c r="HP80" s="114">
        <f t="shared" si="127"/>
        <v>369</v>
      </c>
      <c r="HQ80" s="108"/>
      <c r="HU80" s="109">
        <f t="shared" si="168"/>
        <v>0</v>
      </c>
      <c r="HV80" s="110">
        <f t="shared" si="169"/>
        <v>0</v>
      </c>
      <c r="HW80" s="110">
        <f t="shared" si="170"/>
        <v>0</v>
      </c>
      <c r="HX80" s="111">
        <f t="shared" si="171"/>
        <v>0</v>
      </c>
      <c r="HY80" s="112">
        <f t="shared" si="172"/>
        <v>0</v>
      </c>
      <c r="HZ80" s="112">
        <f t="shared" si="173"/>
        <v>0</v>
      </c>
      <c r="IA80" s="112">
        <f t="shared" si="174"/>
        <v>0</v>
      </c>
      <c r="IB80" s="112">
        <f t="shared" si="175"/>
        <v>0</v>
      </c>
      <c r="IC80" s="112">
        <f t="shared" si="176"/>
        <v>0</v>
      </c>
      <c r="ID80" s="112">
        <f t="shared" si="96"/>
        <v>0</v>
      </c>
      <c r="IE80" s="112">
        <f t="shared" si="97"/>
        <v>0</v>
      </c>
      <c r="IF80" s="112">
        <f t="shared" si="98"/>
        <v>74</v>
      </c>
      <c r="IG80" s="112">
        <f t="shared" si="99"/>
        <v>125</v>
      </c>
    </row>
    <row r="81" spans="1:241" outlineLevel="2" x14ac:dyDescent="0.3">
      <c r="A81" s="106" t="s">
        <v>115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80"/>
      <c r="CL81" s="80"/>
      <c r="CM81" s="80"/>
      <c r="CN81" s="80"/>
      <c r="CO81" s="80"/>
      <c r="CP81" s="80"/>
      <c r="CQ81" s="80"/>
      <c r="CR81" s="80"/>
      <c r="CS81" s="80"/>
      <c r="CT81" s="80"/>
      <c r="CU81" s="80"/>
      <c r="CV81" s="80"/>
      <c r="CW81" s="80"/>
      <c r="CX81" s="80"/>
      <c r="CY81" s="80"/>
      <c r="CZ81" s="80"/>
      <c r="DA81" s="80"/>
      <c r="DB81" s="80"/>
      <c r="DC81" s="80"/>
      <c r="DD81" s="80"/>
      <c r="DE81" s="80"/>
      <c r="DF81" s="80"/>
      <c r="DG81" s="80"/>
      <c r="DH81" s="80"/>
      <c r="DI81" s="80"/>
      <c r="DJ81" s="80"/>
      <c r="DK81" s="80"/>
      <c r="DL81" s="80"/>
      <c r="DM81" s="80"/>
      <c r="DN81" s="80"/>
      <c r="DO81" s="80"/>
      <c r="DP81" s="80"/>
      <c r="DQ81" s="80"/>
      <c r="DR81" s="80"/>
      <c r="DS81" s="80"/>
      <c r="DT81" s="80"/>
      <c r="DU81" s="80"/>
      <c r="DV81" s="80"/>
      <c r="DW81" s="80"/>
      <c r="DX81" s="80"/>
      <c r="DY81" s="80"/>
      <c r="DZ81" s="80"/>
      <c r="EA81" s="80"/>
      <c r="EB81" s="80"/>
      <c r="EC81" s="80"/>
      <c r="ED81" s="80"/>
      <c r="EE81" s="80"/>
      <c r="EF81" s="80"/>
      <c r="EG81" s="80"/>
      <c r="EH81" s="80"/>
      <c r="EI81" s="80"/>
      <c r="EJ81" s="80">
        <v>123</v>
      </c>
      <c r="EK81" s="80"/>
      <c r="EL81" s="80"/>
      <c r="EM81" s="80">
        <v>73</v>
      </c>
      <c r="EN81" s="80">
        <v>80</v>
      </c>
      <c r="EO81" s="80">
        <v>80</v>
      </c>
      <c r="EP81" s="80">
        <v>40</v>
      </c>
      <c r="EQ81" s="80"/>
      <c r="ER81" s="80"/>
      <c r="ES81" s="80">
        <v>40</v>
      </c>
      <c r="ET81" s="80">
        <v>160</v>
      </c>
      <c r="EU81" s="80">
        <v>80</v>
      </c>
      <c r="EV81" s="97">
        <v>176</v>
      </c>
      <c r="EW81" s="97">
        <v>80</v>
      </c>
      <c r="EX81" s="80">
        <v>96</v>
      </c>
      <c r="EY81" s="80">
        <v>96</v>
      </c>
      <c r="EZ81" s="80">
        <v>0</v>
      </c>
      <c r="FA81" s="80">
        <v>37</v>
      </c>
      <c r="FB81" s="80">
        <v>0</v>
      </c>
      <c r="FC81" s="80">
        <v>102</v>
      </c>
      <c r="FD81" s="80">
        <v>40</v>
      </c>
      <c r="FE81" s="80">
        <v>240</v>
      </c>
      <c r="FF81" s="80">
        <v>360</v>
      </c>
      <c r="FG81" s="80">
        <v>1034</v>
      </c>
      <c r="FH81" s="80">
        <v>408</v>
      </c>
      <c r="FI81" s="80">
        <v>160</v>
      </c>
      <c r="FJ81" s="80">
        <v>40</v>
      </c>
      <c r="FN81" s="114">
        <f t="shared" si="177"/>
        <v>0</v>
      </c>
      <c r="FO81" s="114">
        <f t="shared" si="178"/>
        <v>0</v>
      </c>
      <c r="FP81" s="114">
        <f t="shared" si="132"/>
        <v>0</v>
      </c>
      <c r="FQ81" s="114">
        <f t="shared" si="133"/>
        <v>0</v>
      </c>
      <c r="FR81" s="114">
        <f t="shared" si="134"/>
        <v>0</v>
      </c>
      <c r="FS81" s="114">
        <f t="shared" si="135"/>
        <v>0</v>
      </c>
      <c r="FT81" s="114">
        <f t="shared" si="136"/>
        <v>0</v>
      </c>
      <c r="FU81" s="114">
        <f t="shared" si="137"/>
        <v>0</v>
      </c>
      <c r="FV81" s="114">
        <f t="shared" si="138"/>
        <v>0</v>
      </c>
      <c r="FW81" s="114">
        <f t="shared" si="139"/>
        <v>0</v>
      </c>
      <c r="FX81" s="114">
        <f t="shared" si="140"/>
        <v>0</v>
      </c>
      <c r="FY81" s="114">
        <f t="shared" si="141"/>
        <v>0</v>
      </c>
      <c r="FZ81" s="114">
        <f t="shared" si="142"/>
        <v>0</v>
      </c>
      <c r="GA81" s="114">
        <f t="shared" si="143"/>
        <v>0</v>
      </c>
      <c r="GB81" s="114">
        <f t="shared" si="144"/>
        <v>0</v>
      </c>
      <c r="GC81" s="114">
        <f t="shared" si="145"/>
        <v>0</v>
      </c>
      <c r="GD81" s="114">
        <f t="shared" si="146"/>
        <v>0</v>
      </c>
      <c r="GE81" s="114">
        <f t="shared" si="147"/>
        <v>0</v>
      </c>
      <c r="GF81" s="114">
        <f t="shared" si="148"/>
        <v>0</v>
      </c>
      <c r="GG81" s="114">
        <f t="shared" si="149"/>
        <v>0</v>
      </c>
      <c r="GH81" s="114">
        <f t="shared" si="150"/>
        <v>0</v>
      </c>
      <c r="GI81" s="114">
        <f t="shared" si="151"/>
        <v>0</v>
      </c>
      <c r="GJ81" s="114">
        <f t="shared" si="152"/>
        <v>0</v>
      </c>
      <c r="GK81" s="114">
        <f t="shared" si="153"/>
        <v>0</v>
      </c>
      <c r="GL81" s="114">
        <f t="shared" si="154"/>
        <v>0</v>
      </c>
      <c r="GM81" s="114">
        <f t="shared" si="155"/>
        <v>0</v>
      </c>
      <c r="GN81" s="114">
        <f t="shared" si="156"/>
        <v>0</v>
      </c>
      <c r="GO81" s="114">
        <f t="shared" si="157"/>
        <v>0</v>
      </c>
      <c r="GP81" s="114">
        <f t="shared" si="158"/>
        <v>0</v>
      </c>
      <c r="GQ81" s="114">
        <f t="shared" si="159"/>
        <v>0</v>
      </c>
      <c r="GR81" s="114">
        <f t="shared" si="160"/>
        <v>0</v>
      </c>
      <c r="GS81" s="114">
        <f t="shared" si="161"/>
        <v>0</v>
      </c>
      <c r="GT81" s="114">
        <f t="shared" si="162"/>
        <v>0</v>
      </c>
      <c r="GU81" s="114">
        <f t="shared" si="163"/>
        <v>0</v>
      </c>
      <c r="GV81" s="114">
        <f t="shared" si="164"/>
        <v>0</v>
      </c>
      <c r="GW81" s="114">
        <f t="shared" si="165"/>
        <v>0</v>
      </c>
      <c r="GX81" s="114">
        <f t="shared" si="166"/>
        <v>0</v>
      </c>
      <c r="GY81" s="114">
        <f t="shared" si="167"/>
        <v>0</v>
      </c>
      <c r="GZ81" s="114">
        <f t="shared" si="80"/>
        <v>0</v>
      </c>
      <c r="HA81" s="114">
        <f t="shared" si="81"/>
        <v>0</v>
      </c>
      <c r="HB81" s="114">
        <f t="shared" si="82"/>
        <v>0</v>
      </c>
      <c r="HC81" s="114">
        <f t="shared" si="83"/>
        <v>0</v>
      </c>
      <c r="HD81" s="114">
        <f t="shared" si="84"/>
        <v>0</v>
      </c>
      <c r="HE81" s="114">
        <f t="shared" si="85"/>
        <v>0</v>
      </c>
      <c r="HF81" s="114">
        <f t="shared" si="86"/>
        <v>0</v>
      </c>
      <c r="HG81" s="114">
        <f t="shared" si="87"/>
        <v>0</v>
      </c>
      <c r="HH81" s="114">
        <f t="shared" si="88"/>
        <v>123</v>
      </c>
      <c r="HI81" s="114">
        <f t="shared" si="89"/>
        <v>233</v>
      </c>
      <c r="HJ81" s="114">
        <f t="shared" ref="HJ81" si="180">SUM(EP81:ER81)</f>
        <v>40</v>
      </c>
      <c r="HK81" s="114">
        <f t="shared" si="122"/>
        <v>280</v>
      </c>
      <c r="HL81" s="114">
        <f t="shared" si="123"/>
        <v>352</v>
      </c>
      <c r="HM81" s="114">
        <f t="shared" si="124"/>
        <v>133</v>
      </c>
      <c r="HN81" s="114">
        <f t="shared" si="125"/>
        <v>142</v>
      </c>
      <c r="HO81" s="114">
        <f t="shared" si="126"/>
        <v>1634</v>
      </c>
      <c r="HP81" s="114">
        <f t="shared" si="127"/>
        <v>608</v>
      </c>
      <c r="HQ81" s="108"/>
      <c r="HU81" s="109">
        <f t="shared" si="168"/>
        <v>0</v>
      </c>
      <c r="HV81" s="110">
        <f t="shared" si="169"/>
        <v>0</v>
      </c>
      <c r="HW81" s="110">
        <f t="shared" si="170"/>
        <v>0</v>
      </c>
      <c r="HX81" s="111">
        <f t="shared" si="171"/>
        <v>0</v>
      </c>
      <c r="HY81" s="112">
        <f t="shared" si="172"/>
        <v>0</v>
      </c>
      <c r="HZ81" s="112">
        <f t="shared" si="173"/>
        <v>0</v>
      </c>
      <c r="IA81" s="112">
        <f t="shared" si="174"/>
        <v>0</v>
      </c>
      <c r="IB81" s="112">
        <f t="shared" si="175"/>
        <v>0</v>
      </c>
      <c r="IC81" s="112">
        <f t="shared" si="176"/>
        <v>0</v>
      </c>
      <c r="ID81" s="112">
        <f t="shared" si="96"/>
        <v>0</v>
      </c>
      <c r="IE81" s="112">
        <f t="shared" si="97"/>
        <v>0</v>
      </c>
      <c r="IF81" s="112">
        <f t="shared" si="98"/>
        <v>356</v>
      </c>
      <c r="IG81" s="112">
        <f t="shared" si="99"/>
        <v>805</v>
      </c>
    </row>
    <row r="82" spans="1:241" outlineLevel="2" x14ac:dyDescent="0.3">
      <c r="A82" s="106" t="s">
        <v>124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  <c r="CZ82" s="80"/>
      <c r="DA82" s="80"/>
      <c r="DB82" s="80"/>
      <c r="DC82" s="80"/>
      <c r="DD82" s="80"/>
      <c r="DE82" s="80"/>
      <c r="DF82" s="80"/>
      <c r="DG82" s="80"/>
      <c r="DH82" s="80"/>
      <c r="DI82" s="80"/>
      <c r="DJ82" s="80"/>
      <c r="DK82" s="80"/>
      <c r="DL82" s="80"/>
      <c r="DM82" s="80"/>
      <c r="DN82" s="80"/>
      <c r="DO82" s="80"/>
      <c r="DP82" s="80"/>
      <c r="DQ82" s="80"/>
      <c r="DR82" s="80"/>
      <c r="DS82" s="80"/>
      <c r="DT82" s="80"/>
      <c r="DU82" s="80"/>
      <c r="DV82" s="80"/>
      <c r="DW82" s="80"/>
      <c r="DX82" s="80"/>
      <c r="DY82" s="80"/>
      <c r="DZ82" s="80"/>
      <c r="EA82" s="80"/>
      <c r="EB82" s="80"/>
      <c r="EC82" s="80"/>
      <c r="ED82" s="80"/>
      <c r="EE82" s="80"/>
      <c r="EF82" s="80"/>
      <c r="EG82" s="80"/>
      <c r="EH82" s="80"/>
      <c r="EI82" s="80"/>
      <c r="EJ82" s="80"/>
      <c r="EK82" s="80">
        <v>80</v>
      </c>
      <c r="EL82" s="80">
        <v>56</v>
      </c>
      <c r="EM82" s="80"/>
      <c r="EN82" s="80">
        <v>113</v>
      </c>
      <c r="EO82" s="80">
        <v>924</v>
      </c>
      <c r="EP82" s="80">
        <v>690</v>
      </c>
      <c r="EQ82" s="70">
        <v>1444</v>
      </c>
      <c r="ER82" s="70">
        <v>638</v>
      </c>
      <c r="ES82" s="70">
        <v>378</v>
      </c>
      <c r="ET82" s="70">
        <v>598</v>
      </c>
      <c r="EU82" s="70">
        <v>337</v>
      </c>
      <c r="EV82" s="65">
        <v>181</v>
      </c>
      <c r="EW82" s="65">
        <v>553</v>
      </c>
      <c r="EX82" s="70">
        <v>140</v>
      </c>
      <c r="EY82" s="70">
        <v>146</v>
      </c>
      <c r="EZ82" s="70">
        <v>404</v>
      </c>
      <c r="FA82" s="70">
        <v>404</v>
      </c>
      <c r="FB82" s="70">
        <v>80</v>
      </c>
      <c r="FC82" s="70">
        <v>334</v>
      </c>
      <c r="FD82" s="70">
        <v>156</v>
      </c>
      <c r="FE82" s="70">
        <v>576</v>
      </c>
      <c r="FF82" s="70">
        <v>704</v>
      </c>
      <c r="FG82" s="70">
        <v>446</v>
      </c>
      <c r="FH82" s="70">
        <v>398</v>
      </c>
      <c r="FI82" s="70">
        <v>116</v>
      </c>
      <c r="FJ82" s="70">
        <v>428</v>
      </c>
      <c r="FN82" s="108">
        <f t="shared" si="177"/>
        <v>0</v>
      </c>
      <c r="FO82" s="108">
        <f t="shared" si="178"/>
        <v>0</v>
      </c>
      <c r="FP82" s="108">
        <f t="shared" si="132"/>
        <v>0</v>
      </c>
      <c r="FQ82" s="108">
        <f t="shared" si="133"/>
        <v>0</v>
      </c>
      <c r="FR82" s="108">
        <f t="shared" si="134"/>
        <v>0</v>
      </c>
      <c r="FS82" s="108">
        <f t="shared" si="135"/>
        <v>0</v>
      </c>
      <c r="FT82" s="108">
        <f t="shared" si="136"/>
        <v>0</v>
      </c>
      <c r="FU82" s="108">
        <f t="shared" si="137"/>
        <v>0</v>
      </c>
      <c r="FV82" s="108">
        <f t="shared" si="138"/>
        <v>0</v>
      </c>
      <c r="FW82" s="108">
        <f t="shared" si="139"/>
        <v>0</v>
      </c>
      <c r="FX82" s="108">
        <f t="shared" si="140"/>
        <v>0</v>
      </c>
      <c r="FY82" s="108">
        <f t="shared" si="141"/>
        <v>0</v>
      </c>
      <c r="FZ82" s="108">
        <f t="shared" si="142"/>
        <v>0</v>
      </c>
      <c r="GA82" s="108">
        <f t="shared" si="143"/>
        <v>0</v>
      </c>
      <c r="GB82" s="108">
        <f t="shared" si="144"/>
        <v>0</v>
      </c>
      <c r="GC82" s="108">
        <f t="shared" si="145"/>
        <v>0</v>
      </c>
      <c r="GD82" s="108">
        <f t="shared" si="146"/>
        <v>0</v>
      </c>
      <c r="GE82" s="108">
        <f t="shared" si="147"/>
        <v>0</v>
      </c>
      <c r="GF82" s="108">
        <f t="shared" si="148"/>
        <v>0</v>
      </c>
      <c r="GG82" s="108">
        <f t="shared" si="149"/>
        <v>0</v>
      </c>
      <c r="GH82" s="108">
        <f t="shared" si="150"/>
        <v>0</v>
      </c>
      <c r="GI82" s="108">
        <f t="shared" si="151"/>
        <v>0</v>
      </c>
      <c r="GJ82" s="108">
        <f t="shared" si="152"/>
        <v>0</v>
      </c>
      <c r="GK82" s="108">
        <f t="shared" si="153"/>
        <v>0</v>
      </c>
      <c r="GL82" s="108">
        <f t="shared" si="154"/>
        <v>0</v>
      </c>
      <c r="GM82" s="108">
        <f t="shared" si="155"/>
        <v>0</v>
      </c>
      <c r="GN82" s="108">
        <f t="shared" si="156"/>
        <v>0</v>
      </c>
      <c r="GO82" s="108">
        <f t="shared" si="157"/>
        <v>0</v>
      </c>
      <c r="GP82" s="108">
        <f t="shared" si="158"/>
        <v>0</v>
      </c>
      <c r="GQ82" s="108">
        <f t="shared" si="159"/>
        <v>0</v>
      </c>
      <c r="GR82" s="108">
        <f t="shared" si="160"/>
        <v>0</v>
      </c>
      <c r="GS82" s="108">
        <f t="shared" si="161"/>
        <v>0</v>
      </c>
      <c r="GT82" s="108">
        <f t="shared" si="162"/>
        <v>0</v>
      </c>
      <c r="GU82" s="108">
        <f t="shared" si="163"/>
        <v>0</v>
      </c>
      <c r="GV82" s="108">
        <f t="shared" si="164"/>
        <v>0</v>
      </c>
      <c r="GW82" s="108">
        <f t="shared" si="165"/>
        <v>0</v>
      </c>
      <c r="GX82" s="108">
        <f t="shared" si="166"/>
        <v>0</v>
      </c>
      <c r="GY82" s="108">
        <f t="shared" si="167"/>
        <v>0</v>
      </c>
      <c r="GZ82" s="108">
        <f t="shared" si="80"/>
        <v>0</v>
      </c>
      <c r="HA82" s="108">
        <f t="shared" si="81"/>
        <v>0</v>
      </c>
      <c r="HB82" s="108">
        <f t="shared" si="82"/>
        <v>0</v>
      </c>
      <c r="HC82" s="108">
        <f t="shared" si="83"/>
        <v>0</v>
      </c>
      <c r="HD82" s="108">
        <f t="shared" si="84"/>
        <v>0</v>
      </c>
      <c r="HE82" s="108">
        <f t="shared" si="85"/>
        <v>0</v>
      </c>
      <c r="HF82" s="108">
        <f t="shared" si="86"/>
        <v>0</v>
      </c>
      <c r="HG82" s="108">
        <f t="shared" si="87"/>
        <v>0</v>
      </c>
      <c r="HH82" s="108">
        <f t="shared" si="88"/>
        <v>136</v>
      </c>
      <c r="HI82" s="108">
        <f t="shared" si="89"/>
        <v>1037</v>
      </c>
      <c r="HJ82" s="108">
        <f t="shared" si="116"/>
        <v>2772</v>
      </c>
      <c r="HK82" s="108">
        <f t="shared" si="122"/>
        <v>1313</v>
      </c>
      <c r="HL82" s="108">
        <f t="shared" si="123"/>
        <v>874</v>
      </c>
      <c r="HM82" s="108">
        <f t="shared" si="124"/>
        <v>954</v>
      </c>
      <c r="HN82" s="108">
        <f t="shared" si="125"/>
        <v>570</v>
      </c>
      <c r="HO82" s="108">
        <f t="shared" si="126"/>
        <v>1726</v>
      </c>
      <c r="HP82" s="108">
        <f t="shared" si="127"/>
        <v>942</v>
      </c>
      <c r="HQ82" s="108"/>
      <c r="HU82" s="109">
        <f t="shared" si="168"/>
        <v>0</v>
      </c>
      <c r="HV82" s="110">
        <f t="shared" si="169"/>
        <v>0</v>
      </c>
      <c r="HW82" s="110">
        <f t="shared" si="170"/>
        <v>0</v>
      </c>
      <c r="HX82" s="111">
        <f t="shared" si="171"/>
        <v>0</v>
      </c>
      <c r="HY82" s="112">
        <f t="shared" si="172"/>
        <v>0</v>
      </c>
      <c r="HZ82" s="112">
        <f t="shared" si="173"/>
        <v>0</v>
      </c>
      <c r="IA82" s="112">
        <f t="shared" si="174"/>
        <v>0</v>
      </c>
      <c r="IB82" s="112">
        <f t="shared" si="175"/>
        <v>0</v>
      </c>
      <c r="IC82" s="112">
        <f t="shared" si="176"/>
        <v>0</v>
      </c>
      <c r="ID82" s="112">
        <f t="shared" si="96"/>
        <v>0</v>
      </c>
      <c r="IE82" s="112">
        <f t="shared" si="97"/>
        <v>0</v>
      </c>
      <c r="IF82" s="112">
        <f t="shared" si="98"/>
        <v>1173</v>
      </c>
      <c r="IG82" s="112">
        <f t="shared" si="99"/>
        <v>5913</v>
      </c>
    </row>
    <row r="83" spans="1:241" outlineLevel="2" x14ac:dyDescent="0.3">
      <c r="A83" s="123" t="s">
        <v>125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  <c r="DB83" s="70"/>
      <c r="DC83" s="70"/>
      <c r="DD83" s="70"/>
      <c r="DE83" s="70"/>
      <c r="DF83" s="70"/>
      <c r="DG83" s="70"/>
      <c r="DH83" s="70"/>
      <c r="DI83" s="70"/>
      <c r="DJ83" s="70"/>
      <c r="DK83" s="70"/>
      <c r="DL83" s="70"/>
      <c r="DM83" s="70"/>
      <c r="DN83" s="70"/>
      <c r="DO83" s="70"/>
      <c r="DP83" s="70"/>
      <c r="DQ83" s="70"/>
      <c r="DR83" s="70"/>
      <c r="DS83" s="70"/>
      <c r="DT83" s="70"/>
      <c r="DU83" s="70"/>
      <c r="DV83" s="70"/>
      <c r="DW83" s="70"/>
      <c r="DX83" s="70"/>
      <c r="DY83" s="70"/>
      <c r="DZ83" s="70"/>
      <c r="EA83" s="70"/>
      <c r="EB83" s="70"/>
      <c r="EC83" s="70"/>
      <c r="ED83" s="70">
        <v>72</v>
      </c>
      <c r="EE83" s="70">
        <v>2</v>
      </c>
      <c r="EF83" s="70">
        <v>0</v>
      </c>
      <c r="EG83" s="70">
        <v>0</v>
      </c>
      <c r="EH83" s="70">
        <v>0</v>
      </c>
      <c r="EI83" s="70">
        <v>0</v>
      </c>
      <c r="EJ83" s="70">
        <v>123</v>
      </c>
      <c r="EK83" s="70">
        <v>80</v>
      </c>
      <c r="EL83" s="70">
        <v>56</v>
      </c>
      <c r="EM83" s="70">
        <v>73</v>
      </c>
      <c r="EN83" s="70">
        <v>193</v>
      </c>
      <c r="EO83" s="70">
        <v>1004</v>
      </c>
      <c r="EP83" s="70">
        <v>730</v>
      </c>
      <c r="EQ83" s="70">
        <v>1444</v>
      </c>
      <c r="ER83" s="70">
        <v>640</v>
      </c>
      <c r="ES83" s="70">
        <v>418</v>
      </c>
      <c r="ET83" s="70">
        <v>758</v>
      </c>
      <c r="EU83" s="70">
        <v>417</v>
      </c>
      <c r="EV83" s="70">
        <v>357</v>
      </c>
      <c r="EW83" s="70">
        <v>633</v>
      </c>
      <c r="EX83" s="70">
        <v>236</v>
      </c>
      <c r="EY83" s="70">
        <v>244</v>
      </c>
      <c r="EZ83" s="70">
        <v>405</v>
      </c>
      <c r="FA83" s="70">
        <v>561</v>
      </c>
      <c r="FB83" s="70">
        <v>80</v>
      </c>
      <c r="FC83" s="70">
        <v>436</v>
      </c>
      <c r="FD83" s="70">
        <v>196</v>
      </c>
      <c r="FE83" s="70">
        <v>936</v>
      </c>
      <c r="FF83" s="70">
        <v>1154</v>
      </c>
      <c r="FG83" s="70">
        <v>1480</v>
      </c>
      <c r="FH83" s="70">
        <v>926</v>
      </c>
      <c r="FI83" s="70">
        <v>317</v>
      </c>
      <c r="FJ83" s="70">
        <v>676</v>
      </c>
      <c r="FK83" s="43"/>
      <c r="FN83" s="114">
        <f t="shared" si="177"/>
        <v>0</v>
      </c>
      <c r="FO83" s="114">
        <f t="shared" si="178"/>
        <v>0</v>
      </c>
      <c r="FP83" s="114">
        <f t="shared" si="132"/>
        <v>0</v>
      </c>
      <c r="FQ83" s="114">
        <f t="shared" si="133"/>
        <v>0</v>
      </c>
      <c r="FR83" s="114">
        <f t="shared" si="134"/>
        <v>0</v>
      </c>
      <c r="FS83" s="114">
        <f t="shared" si="135"/>
        <v>0</v>
      </c>
      <c r="FT83" s="114">
        <f t="shared" si="136"/>
        <v>0</v>
      </c>
      <c r="FU83" s="114">
        <f t="shared" si="137"/>
        <v>0</v>
      </c>
      <c r="FV83" s="114">
        <f t="shared" si="138"/>
        <v>0</v>
      </c>
      <c r="FW83" s="114">
        <f t="shared" si="139"/>
        <v>0</v>
      </c>
      <c r="FX83" s="114">
        <f t="shared" si="140"/>
        <v>0</v>
      </c>
      <c r="FY83" s="114">
        <f t="shared" si="141"/>
        <v>0</v>
      </c>
      <c r="FZ83" s="114">
        <f t="shared" si="142"/>
        <v>0</v>
      </c>
      <c r="GA83" s="114">
        <f t="shared" si="143"/>
        <v>0</v>
      </c>
      <c r="GB83" s="114">
        <f t="shared" si="144"/>
        <v>0</v>
      </c>
      <c r="GC83" s="114">
        <f t="shared" si="145"/>
        <v>0</v>
      </c>
      <c r="GD83" s="114">
        <f t="shared" si="146"/>
        <v>0</v>
      </c>
      <c r="GE83" s="114">
        <f t="shared" si="147"/>
        <v>0</v>
      </c>
      <c r="GF83" s="114">
        <f t="shared" si="148"/>
        <v>0</v>
      </c>
      <c r="GG83" s="114">
        <f t="shared" si="149"/>
        <v>0</v>
      </c>
      <c r="GH83" s="114">
        <f t="shared" si="150"/>
        <v>0</v>
      </c>
      <c r="GI83" s="114">
        <f t="shared" si="151"/>
        <v>0</v>
      </c>
      <c r="GJ83" s="114">
        <f t="shared" si="152"/>
        <v>0</v>
      </c>
      <c r="GK83" s="114">
        <f t="shared" si="153"/>
        <v>0</v>
      </c>
      <c r="GL83" s="114">
        <f t="shared" si="154"/>
        <v>0</v>
      </c>
      <c r="GM83" s="114">
        <f t="shared" si="155"/>
        <v>0</v>
      </c>
      <c r="GN83" s="114">
        <f t="shared" si="156"/>
        <v>0</v>
      </c>
      <c r="GO83" s="114">
        <f t="shared" si="157"/>
        <v>0</v>
      </c>
      <c r="GP83" s="114">
        <f t="shared" si="158"/>
        <v>0</v>
      </c>
      <c r="GQ83" s="114">
        <f t="shared" si="159"/>
        <v>0</v>
      </c>
      <c r="GR83" s="114">
        <f t="shared" si="160"/>
        <v>0</v>
      </c>
      <c r="GS83" s="114">
        <f t="shared" si="161"/>
        <v>0</v>
      </c>
      <c r="GT83" s="114">
        <f t="shared" si="162"/>
        <v>0</v>
      </c>
      <c r="GU83" s="114">
        <f t="shared" si="163"/>
        <v>0</v>
      </c>
      <c r="GV83" s="114">
        <f t="shared" si="164"/>
        <v>0</v>
      </c>
      <c r="GW83" s="114">
        <f t="shared" si="165"/>
        <v>0</v>
      </c>
      <c r="GX83" s="114">
        <f t="shared" si="166"/>
        <v>0</v>
      </c>
      <c r="GY83" s="114">
        <f t="shared" si="167"/>
        <v>0</v>
      </c>
      <c r="GZ83" s="114">
        <f t="shared" si="80"/>
        <v>0</v>
      </c>
      <c r="HA83" s="114">
        <f t="shared" si="81"/>
        <v>0</v>
      </c>
      <c r="HB83" s="114">
        <f t="shared" si="82"/>
        <v>0</v>
      </c>
      <c r="HC83" s="114">
        <f t="shared" si="83"/>
        <v>0</v>
      </c>
      <c r="HD83" s="114">
        <f t="shared" si="84"/>
        <v>0</v>
      </c>
      <c r="HE83" s="114">
        <f t="shared" si="85"/>
        <v>0</v>
      </c>
      <c r="HF83" s="114">
        <f t="shared" si="86"/>
        <v>74</v>
      </c>
      <c r="HG83" s="114">
        <f t="shared" si="87"/>
        <v>0</v>
      </c>
      <c r="HH83" s="114">
        <f t="shared" si="88"/>
        <v>259</v>
      </c>
      <c r="HI83" s="114">
        <f t="shared" si="89"/>
        <v>1270</v>
      </c>
      <c r="HJ83" s="114">
        <f t="shared" si="116"/>
        <v>2814</v>
      </c>
      <c r="HK83" s="114">
        <f t="shared" si="122"/>
        <v>1593</v>
      </c>
      <c r="HL83" s="114">
        <f t="shared" si="123"/>
        <v>1226</v>
      </c>
      <c r="HM83" s="114">
        <f t="shared" si="124"/>
        <v>1210</v>
      </c>
      <c r="HN83" s="114">
        <f t="shared" si="125"/>
        <v>712</v>
      </c>
      <c r="HO83" s="114">
        <f t="shared" si="126"/>
        <v>3570</v>
      </c>
      <c r="HP83" s="114">
        <f t="shared" si="127"/>
        <v>1919</v>
      </c>
      <c r="HQ83" s="114"/>
      <c r="HU83" s="115">
        <f t="shared" si="168"/>
        <v>0</v>
      </c>
      <c r="HV83" s="116">
        <f t="shared" si="169"/>
        <v>0</v>
      </c>
      <c r="HW83" s="116">
        <f t="shared" si="170"/>
        <v>0</v>
      </c>
      <c r="HX83" s="117">
        <f t="shared" si="171"/>
        <v>0</v>
      </c>
      <c r="HY83" s="118">
        <f t="shared" si="172"/>
        <v>0</v>
      </c>
      <c r="HZ83" s="118">
        <f t="shared" si="173"/>
        <v>0</v>
      </c>
      <c r="IA83" s="118">
        <f t="shared" si="174"/>
        <v>0</v>
      </c>
      <c r="IB83" s="118">
        <f t="shared" si="175"/>
        <v>0</v>
      </c>
      <c r="IC83" s="118">
        <f t="shared" si="176"/>
        <v>0</v>
      </c>
      <c r="ID83" s="118">
        <f t="shared" si="96"/>
        <v>0</v>
      </c>
      <c r="IE83" s="118">
        <f t="shared" si="97"/>
        <v>0</v>
      </c>
      <c r="IF83" s="118">
        <f t="shared" si="98"/>
        <v>1603</v>
      </c>
      <c r="IG83" s="118">
        <f t="shared" si="99"/>
        <v>6843</v>
      </c>
    </row>
    <row r="84" spans="1:241" outlineLevel="2" x14ac:dyDescent="0.3">
      <c r="A84" s="123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  <c r="DB84" s="70"/>
      <c r="DC84" s="70"/>
      <c r="DD84" s="70"/>
      <c r="DE84" s="70"/>
      <c r="DF84" s="70"/>
      <c r="DG84" s="70"/>
      <c r="DH84" s="70"/>
      <c r="DI84" s="70"/>
      <c r="DJ84" s="70"/>
      <c r="DK84" s="70"/>
      <c r="DL84" s="70"/>
      <c r="DM84" s="70"/>
      <c r="DN84" s="70"/>
      <c r="DO84" s="70"/>
      <c r="DP84" s="70"/>
      <c r="DQ84" s="70"/>
      <c r="DR84" s="70"/>
      <c r="DS84" s="70"/>
      <c r="DT84" s="70"/>
      <c r="DU84" s="70"/>
      <c r="DV84" s="70"/>
      <c r="DW84" s="70"/>
      <c r="DX84" s="70"/>
      <c r="DY84" s="70"/>
      <c r="DZ84" s="70"/>
      <c r="EA84" s="70"/>
      <c r="EB84" s="70"/>
      <c r="EC84" s="70"/>
      <c r="ED84" s="70"/>
      <c r="EE84" s="70"/>
      <c r="EF84" s="70"/>
      <c r="EG84" s="70"/>
      <c r="EH84" s="70"/>
      <c r="EI84" s="70"/>
      <c r="EJ84" s="70"/>
      <c r="EK84" s="70"/>
      <c r="EL84" s="70"/>
      <c r="EM84" s="70"/>
      <c r="EN84" s="70"/>
      <c r="EO84" s="70"/>
      <c r="EP84" s="70"/>
      <c r="EQ84" s="70"/>
      <c r="ER84" s="70"/>
      <c r="ES84" s="70"/>
      <c r="ET84" s="70"/>
      <c r="EU84" s="70"/>
      <c r="EV84" s="70"/>
      <c r="EW84" s="70"/>
      <c r="EX84" s="70"/>
      <c r="EY84" s="70"/>
      <c r="EZ84" s="70"/>
      <c r="FA84" s="70"/>
      <c r="FB84" s="70"/>
      <c r="FC84" s="70"/>
      <c r="FD84" s="70"/>
      <c r="FE84" s="70"/>
      <c r="FF84" s="70"/>
      <c r="FG84" s="70"/>
      <c r="FH84" s="70"/>
      <c r="FI84" s="70"/>
      <c r="FJ84" s="70"/>
      <c r="FN84" s="114"/>
      <c r="FO84" s="114"/>
      <c r="FP84" s="114"/>
      <c r="FQ84" s="114"/>
      <c r="FR84" s="114"/>
      <c r="FS84" s="114"/>
      <c r="FT84" s="114"/>
      <c r="FU84" s="114"/>
      <c r="FV84" s="114"/>
      <c r="FW84" s="114"/>
      <c r="FX84" s="114"/>
      <c r="FY84" s="114"/>
      <c r="FZ84" s="114"/>
      <c r="GA84" s="114"/>
      <c r="GB84" s="114"/>
      <c r="GC84" s="114"/>
      <c r="GD84" s="114"/>
      <c r="GE84" s="114"/>
      <c r="GF84" s="114"/>
      <c r="GG84" s="114"/>
      <c r="GH84" s="114"/>
      <c r="GI84" s="114"/>
      <c r="GJ84" s="114"/>
      <c r="GK84" s="114"/>
      <c r="GL84" s="114"/>
      <c r="GM84" s="114"/>
      <c r="GN84" s="114"/>
      <c r="GO84" s="114"/>
      <c r="GP84" s="114"/>
      <c r="GQ84" s="114"/>
      <c r="GR84" s="114"/>
      <c r="GS84" s="114"/>
      <c r="GT84" s="114"/>
      <c r="GU84" s="114"/>
      <c r="GV84" s="114"/>
      <c r="GW84" s="114"/>
      <c r="GX84" s="114"/>
      <c r="GY84" s="114"/>
      <c r="GZ84" s="114"/>
      <c r="HA84" s="114"/>
      <c r="HB84" s="114"/>
      <c r="HC84" s="114"/>
      <c r="HD84" s="114"/>
      <c r="HE84" s="114"/>
      <c r="HF84" s="114"/>
      <c r="HG84" s="114"/>
      <c r="HH84" s="114"/>
      <c r="HI84" s="114"/>
      <c r="HJ84" s="114"/>
      <c r="HK84" s="114"/>
      <c r="HL84" s="114"/>
      <c r="HM84" s="114"/>
      <c r="HN84" s="114"/>
      <c r="HO84" s="114"/>
      <c r="HP84" s="114"/>
      <c r="HQ84" s="114"/>
      <c r="HU84" s="115"/>
      <c r="HV84" s="116"/>
      <c r="HW84" s="116"/>
      <c r="HX84" s="117"/>
      <c r="HY84" s="118"/>
      <c r="HZ84" s="118"/>
      <c r="IA84" s="118"/>
      <c r="IB84" s="118"/>
      <c r="IC84" s="118"/>
      <c r="ID84" s="118"/>
      <c r="IE84" s="118"/>
      <c r="IF84" s="118"/>
      <c r="IG84" s="118"/>
    </row>
    <row r="85" spans="1:241" outlineLevel="1" x14ac:dyDescent="0.3">
      <c r="A85" s="121" t="s">
        <v>139</v>
      </c>
      <c r="B85" s="80">
        <v>191983</v>
      </c>
      <c r="C85" s="80">
        <v>173672</v>
      </c>
      <c r="D85" s="80">
        <v>155259</v>
      </c>
      <c r="E85" s="80">
        <v>158186</v>
      </c>
      <c r="F85" s="80">
        <v>160615</v>
      </c>
      <c r="G85" s="80">
        <v>160113</v>
      </c>
      <c r="H85" s="80">
        <v>154602</v>
      </c>
      <c r="I85" s="80">
        <v>152258</v>
      </c>
      <c r="J85" s="80">
        <v>171788</v>
      </c>
      <c r="K85" s="80">
        <v>153699</v>
      </c>
      <c r="L85" s="80">
        <v>169554</v>
      </c>
      <c r="M85" s="80">
        <v>150271</v>
      </c>
      <c r="N85" s="80">
        <v>154804</v>
      </c>
      <c r="O85" s="80">
        <v>145628</v>
      </c>
      <c r="P85" s="80">
        <v>148447</v>
      </c>
      <c r="Q85" s="80">
        <v>154573</v>
      </c>
      <c r="R85" s="80">
        <v>195503</v>
      </c>
      <c r="S85" s="80">
        <v>185806</v>
      </c>
      <c r="T85" s="80">
        <v>176128</v>
      </c>
      <c r="U85" s="80">
        <v>176413</v>
      </c>
      <c r="V85" s="80">
        <v>190613</v>
      </c>
      <c r="W85" s="80">
        <v>168427</v>
      </c>
      <c r="X85" s="80">
        <v>179663</v>
      </c>
      <c r="Y85" s="124">
        <v>180132</v>
      </c>
      <c r="Z85" s="124">
        <v>197443</v>
      </c>
      <c r="AA85" s="124">
        <v>213021</v>
      </c>
      <c r="AB85" s="124">
        <v>181808</v>
      </c>
      <c r="AC85" s="124">
        <v>222583</v>
      </c>
      <c r="AD85" s="124">
        <v>233551</v>
      </c>
      <c r="AE85" s="124">
        <v>229337</v>
      </c>
      <c r="AF85" s="124">
        <v>214911</v>
      </c>
      <c r="AG85" s="124">
        <v>228652</v>
      </c>
      <c r="AH85" s="124">
        <v>222961</v>
      </c>
      <c r="AI85" s="124">
        <v>180669</v>
      </c>
      <c r="AJ85" s="124">
        <v>175838</v>
      </c>
      <c r="AK85" s="124">
        <v>158824</v>
      </c>
      <c r="AL85" s="124">
        <v>184661</v>
      </c>
      <c r="AM85" s="124">
        <v>211820</v>
      </c>
      <c r="AN85" s="124">
        <v>231008</v>
      </c>
      <c r="AO85" s="124">
        <v>237708</v>
      </c>
      <c r="AP85" s="124">
        <v>251182</v>
      </c>
      <c r="AQ85" s="124">
        <v>233302</v>
      </c>
      <c r="AR85" s="124">
        <v>189698</v>
      </c>
      <c r="AS85" s="124">
        <v>189490</v>
      </c>
      <c r="AT85" s="124">
        <v>214588</v>
      </c>
      <c r="AU85" s="124">
        <v>198188</v>
      </c>
      <c r="AV85" s="124">
        <v>165594</v>
      </c>
      <c r="AW85" s="124">
        <v>173954</v>
      </c>
      <c r="AX85" s="124">
        <v>165456</v>
      </c>
      <c r="AY85" s="124">
        <v>219679</v>
      </c>
      <c r="AZ85" s="124">
        <v>192232</v>
      </c>
      <c r="BA85" s="124">
        <v>202843</v>
      </c>
      <c r="BB85" s="124">
        <v>197361</v>
      </c>
      <c r="BC85" s="124">
        <v>206484</v>
      </c>
      <c r="BD85" s="124">
        <v>184247</v>
      </c>
      <c r="BE85" s="124">
        <v>188906</v>
      </c>
      <c r="BF85" s="124">
        <v>200183</v>
      </c>
      <c r="BG85" s="124">
        <v>178395</v>
      </c>
      <c r="BH85" s="124">
        <v>197531</v>
      </c>
      <c r="BI85" s="124">
        <v>206960</v>
      </c>
      <c r="BJ85" s="124">
        <v>231652</v>
      </c>
      <c r="BK85" s="124">
        <v>230444</v>
      </c>
      <c r="BL85" s="124">
        <v>200438</v>
      </c>
      <c r="BM85" s="124">
        <v>213591</v>
      </c>
      <c r="BN85" s="124">
        <v>236505</v>
      </c>
      <c r="BO85" s="124">
        <v>251683</v>
      </c>
      <c r="BP85" s="124">
        <v>221185</v>
      </c>
      <c r="BQ85" s="124">
        <v>243883</v>
      </c>
      <c r="BR85" s="124">
        <v>240019</v>
      </c>
      <c r="BS85" s="124">
        <v>240418</v>
      </c>
      <c r="BT85" s="124">
        <v>256526</v>
      </c>
      <c r="BU85" s="124">
        <v>248672</v>
      </c>
      <c r="BV85" s="124">
        <v>293857</v>
      </c>
      <c r="BW85" s="124">
        <v>284573</v>
      </c>
      <c r="BX85" s="124">
        <v>280160</v>
      </c>
      <c r="BY85" s="124">
        <v>278633</v>
      </c>
      <c r="BZ85" s="124">
        <v>288880</v>
      </c>
      <c r="CA85" s="124">
        <v>297177</v>
      </c>
      <c r="CB85" s="124">
        <v>273333</v>
      </c>
      <c r="CC85" s="124">
        <v>246075</v>
      </c>
      <c r="CD85" s="124">
        <v>270501</v>
      </c>
      <c r="CE85" s="124">
        <v>246746</v>
      </c>
      <c r="CF85" s="124">
        <v>269603</v>
      </c>
      <c r="CG85" s="124">
        <v>251303</v>
      </c>
      <c r="CH85" s="124">
        <f t="shared" ref="CH85:CM85" si="181">CH78+CH75+CH60</f>
        <v>293970</v>
      </c>
      <c r="CI85" s="124">
        <f t="shared" si="181"/>
        <v>293987</v>
      </c>
      <c r="CJ85" s="124">
        <f t="shared" si="181"/>
        <v>297449</v>
      </c>
      <c r="CK85" s="124">
        <f t="shared" si="181"/>
        <v>306707</v>
      </c>
      <c r="CL85" s="124">
        <f t="shared" si="181"/>
        <v>298426</v>
      </c>
      <c r="CM85" s="124">
        <f t="shared" si="181"/>
        <v>303418</v>
      </c>
      <c r="CN85" s="124">
        <v>295292</v>
      </c>
      <c r="CO85" s="124">
        <v>299147</v>
      </c>
      <c r="CP85" s="124">
        <v>297304</v>
      </c>
      <c r="CQ85" s="124">
        <v>304487</v>
      </c>
      <c r="CR85" s="124">
        <v>311759</v>
      </c>
      <c r="CS85" s="124">
        <v>218328</v>
      </c>
      <c r="CT85" s="124"/>
      <c r="CU85" s="124">
        <v>96536</v>
      </c>
      <c r="CV85" s="124">
        <v>195566</v>
      </c>
      <c r="CW85" s="124">
        <v>181021</v>
      </c>
      <c r="CX85" s="124">
        <v>255842</v>
      </c>
      <c r="CY85" s="124">
        <v>331233</v>
      </c>
      <c r="CZ85" s="124">
        <v>371013</v>
      </c>
      <c r="DA85" s="124">
        <v>327403</v>
      </c>
      <c r="DB85" s="124">
        <v>367521</v>
      </c>
      <c r="DC85" s="124">
        <v>384891</v>
      </c>
      <c r="DD85" s="124">
        <v>364646</v>
      </c>
      <c r="DE85" s="124">
        <v>356172</v>
      </c>
      <c r="DF85" s="124">
        <v>431311</v>
      </c>
      <c r="DG85" s="124">
        <v>358756</v>
      </c>
      <c r="DH85" s="124">
        <v>347035</v>
      </c>
      <c r="DI85" s="124">
        <v>377198</v>
      </c>
      <c r="DJ85" s="124">
        <v>372293</v>
      </c>
      <c r="DK85" s="124">
        <v>358628</v>
      </c>
      <c r="DL85" s="124">
        <v>374072</v>
      </c>
      <c r="DM85" s="124">
        <v>356659</v>
      </c>
      <c r="DN85" s="124">
        <v>365170</v>
      </c>
      <c r="DO85" s="124">
        <v>374966</v>
      </c>
      <c r="DP85" s="124">
        <v>375689</v>
      </c>
      <c r="DQ85" s="124">
        <v>351241</v>
      </c>
      <c r="DR85" s="124">
        <v>405439</v>
      </c>
      <c r="DS85" s="124">
        <v>347747</v>
      </c>
      <c r="DT85" s="124">
        <v>395408</v>
      </c>
      <c r="DU85" s="124">
        <v>357498</v>
      </c>
      <c r="DV85" s="124">
        <v>303692</v>
      </c>
      <c r="DW85" s="124">
        <v>295061</v>
      </c>
      <c r="DX85" s="124">
        <v>287319</v>
      </c>
      <c r="DY85" s="124">
        <v>287037</v>
      </c>
      <c r="DZ85" s="124">
        <v>272157</v>
      </c>
      <c r="EA85" s="124">
        <v>220103</v>
      </c>
      <c r="EB85" s="124">
        <v>235087</v>
      </c>
      <c r="EC85" s="124">
        <v>245574</v>
      </c>
      <c r="ED85" s="124">
        <v>258187</v>
      </c>
      <c r="EE85" s="124">
        <v>259945</v>
      </c>
      <c r="EF85" s="124">
        <v>273184</v>
      </c>
      <c r="EG85" s="124">
        <v>301516</v>
      </c>
      <c r="EH85" s="124">
        <v>290855</v>
      </c>
      <c r="EI85" s="124">
        <v>302220</v>
      </c>
      <c r="EJ85" s="124">
        <v>291276</v>
      </c>
      <c r="EK85" s="124">
        <v>278214</v>
      </c>
      <c r="EL85" s="124">
        <v>287512</v>
      </c>
      <c r="EM85" s="124">
        <v>260308</v>
      </c>
      <c r="EN85" s="124">
        <v>328082</v>
      </c>
      <c r="EO85" s="124">
        <v>327117</v>
      </c>
      <c r="EP85" s="124">
        <v>320877</v>
      </c>
      <c r="EQ85" s="124">
        <v>312418</v>
      </c>
      <c r="ER85" s="124">
        <v>288967</v>
      </c>
      <c r="ES85" s="124">
        <v>324908</v>
      </c>
      <c r="ET85" s="124">
        <v>338608</v>
      </c>
      <c r="EU85" s="124">
        <v>372481</v>
      </c>
      <c r="EV85" s="124">
        <v>365342</v>
      </c>
      <c r="EW85" s="124">
        <v>362157</v>
      </c>
      <c r="EX85" s="124">
        <v>375011</v>
      </c>
      <c r="EY85" s="124">
        <v>380528</v>
      </c>
      <c r="EZ85" s="124">
        <v>391408</v>
      </c>
      <c r="FA85" s="124">
        <v>364812</v>
      </c>
      <c r="FB85" s="124">
        <v>368201</v>
      </c>
      <c r="FC85" s="124">
        <v>380979</v>
      </c>
      <c r="FD85" s="124">
        <v>387762</v>
      </c>
      <c r="FE85" s="124">
        <v>433873</v>
      </c>
      <c r="FF85" s="124">
        <v>432033</v>
      </c>
      <c r="FG85" s="124">
        <v>429562</v>
      </c>
      <c r="FH85" s="124">
        <v>430035</v>
      </c>
      <c r="FI85" s="124">
        <v>471012</v>
      </c>
      <c r="FJ85" s="124">
        <v>469501</v>
      </c>
      <c r="FN85" s="108">
        <f t="shared" si="177"/>
        <v>520914</v>
      </c>
      <c r="FO85" s="108">
        <f t="shared" si="178"/>
        <v>478914</v>
      </c>
      <c r="FP85" s="108">
        <f t="shared" si="132"/>
        <v>478648</v>
      </c>
      <c r="FQ85" s="108">
        <f t="shared" si="133"/>
        <v>473524</v>
      </c>
      <c r="FR85" s="108">
        <f t="shared" si="134"/>
        <v>448879</v>
      </c>
      <c r="FS85" s="108">
        <f t="shared" si="135"/>
        <v>535882</v>
      </c>
      <c r="FT85" s="108">
        <f t="shared" si="136"/>
        <v>543154</v>
      </c>
      <c r="FU85" s="108">
        <f t="shared" si="137"/>
        <v>528222</v>
      </c>
      <c r="FV85" s="108">
        <f t="shared" si="138"/>
        <v>592272</v>
      </c>
      <c r="FW85" s="108">
        <f t="shared" si="139"/>
        <v>685471</v>
      </c>
      <c r="FX85" s="108">
        <f t="shared" si="140"/>
        <v>666524</v>
      </c>
      <c r="FY85" s="108">
        <f t="shared" si="141"/>
        <v>515331</v>
      </c>
      <c r="FZ85" s="108">
        <f t="shared" si="142"/>
        <v>627489</v>
      </c>
      <c r="GA85" s="108">
        <f t="shared" si="143"/>
        <v>722192</v>
      </c>
      <c r="GB85" s="108">
        <f t="shared" si="144"/>
        <v>593776</v>
      </c>
      <c r="GC85" s="108">
        <f t="shared" si="145"/>
        <v>537736</v>
      </c>
      <c r="GD85" s="108">
        <f t="shared" si="146"/>
        <v>577367</v>
      </c>
      <c r="GE85" s="108">
        <f t="shared" si="147"/>
        <v>606688</v>
      </c>
      <c r="GF85" s="108">
        <f t="shared" si="148"/>
        <v>573336</v>
      </c>
      <c r="GG85" s="108">
        <f t="shared" si="149"/>
        <v>582886</v>
      </c>
      <c r="GH85" s="108">
        <f t="shared" si="150"/>
        <v>662534</v>
      </c>
      <c r="GI85" s="108">
        <f t="shared" si="151"/>
        <v>701779</v>
      </c>
      <c r="GJ85" s="108">
        <f t="shared" si="152"/>
        <v>705087</v>
      </c>
      <c r="GK85" s="108">
        <f t="shared" si="153"/>
        <v>745616</v>
      </c>
      <c r="GL85" s="108">
        <f t="shared" si="154"/>
        <v>858590</v>
      </c>
      <c r="GM85" s="108">
        <f t="shared" si="155"/>
        <v>864690</v>
      </c>
      <c r="GN85" s="108">
        <f t="shared" si="156"/>
        <v>789909</v>
      </c>
      <c r="GO85" s="108">
        <f t="shared" si="157"/>
        <v>767652</v>
      </c>
      <c r="GP85" s="108">
        <f t="shared" si="158"/>
        <v>885406</v>
      </c>
      <c r="GQ85" s="108">
        <f t="shared" si="159"/>
        <v>908551</v>
      </c>
      <c r="GR85" s="108">
        <f t="shared" si="160"/>
        <v>891743</v>
      </c>
      <c r="GS85" s="108">
        <f t="shared" si="161"/>
        <v>834574</v>
      </c>
      <c r="GT85" s="108">
        <f t="shared" si="162"/>
        <v>292102</v>
      </c>
      <c r="GU85" s="108">
        <f t="shared" si="163"/>
        <v>768096</v>
      </c>
      <c r="GV85" s="108">
        <f t="shared" si="164"/>
        <v>1065937</v>
      </c>
      <c r="GW85" s="108">
        <f t="shared" si="165"/>
        <v>1105709</v>
      </c>
      <c r="GX85" s="108">
        <f t="shared" si="166"/>
        <v>1137102</v>
      </c>
      <c r="GY85" s="108">
        <f t="shared" si="167"/>
        <v>1108119</v>
      </c>
      <c r="GZ85" s="108">
        <f t="shared" si="80"/>
        <v>1095901</v>
      </c>
      <c r="HA85" s="108">
        <f t="shared" si="81"/>
        <v>1101896</v>
      </c>
      <c r="HB85" s="108">
        <f t="shared" si="82"/>
        <v>1148594</v>
      </c>
      <c r="HC85" s="108">
        <f t="shared" si="83"/>
        <v>956251</v>
      </c>
      <c r="HD85" s="108">
        <f t="shared" si="84"/>
        <v>846513</v>
      </c>
      <c r="HE85" s="108">
        <f t="shared" si="85"/>
        <v>700764</v>
      </c>
      <c r="HF85" s="108">
        <f>+SUM(ED85:EF85)</f>
        <v>791316</v>
      </c>
      <c r="HG85" s="108">
        <f>+SUM(EG85:EI85)</f>
        <v>894591</v>
      </c>
      <c r="HH85" s="108">
        <f>+SUM(EJ85:EL85)</f>
        <v>857002</v>
      </c>
      <c r="HI85" s="108">
        <f>+SUM(EM85:EO85)</f>
        <v>915507</v>
      </c>
      <c r="HJ85" s="108">
        <f t="shared" si="116"/>
        <v>922262</v>
      </c>
      <c r="HK85" s="108">
        <f>SUM(ES85:EU85)</f>
        <v>1035997</v>
      </c>
      <c r="HL85" s="108">
        <f>SUM(EV85:EX85)</f>
        <v>1102510</v>
      </c>
      <c r="HM85" s="108">
        <f>SUM(EY85:FA85)</f>
        <v>1136748</v>
      </c>
      <c r="HN85" s="108">
        <f>SUM(FB85:FD85)</f>
        <v>1136942</v>
      </c>
      <c r="HO85" s="108">
        <f>SUM(FE85:FG85)</f>
        <v>1295468</v>
      </c>
      <c r="HP85" s="108">
        <f>SUM(FH85:FJ85)</f>
        <v>1370548</v>
      </c>
      <c r="HQ85" s="108"/>
      <c r="HU85" s="109">
        <f t="shared" si="168"/>
        <v>1952000</v>
      </c>
      <c r="HV85" s="110">
        <f t="shared" si="169"/>
        <v>2056137</v>
      </c>
      <c r="HW85" s="110">
        <f t="shared" si="170"/>
        <v>2459598</v>
      </c>
      <c r="HX85" s="111">
        <f t="shared" si="171"/>
        <v>2481193</v>
      </c>
      <c r="HY85" s="112">
        <f t="shared" si="172"/>
        <v>2340277</v>
      </c>
      <c r="HZ85" s="112">
        <f t="shared" si="173"/>
        <v>2815016</v>
      </c>
      <c r="IA85" s="112">
        <f t="shared" si="174"/>
        <v>3280841</v>
      </c>
      <c r="IB85" s="112">
        <f t="shared" si="175"/>
        <v>3520274</v>
      </c>
      <c r="IC85" s="112">
        <f t="shared" si="176"/>
        <v>3231844</v>
      </c>
      <c r="ID85" s="112">
        <f t="shared" si="96"/>
        <v>4443018</v>
      </c>
      <c r="IE85" s="112">
        <f t="shared" si="97"/>
        <v>3652122</v>
      </c>
      <c r="IF85" s="112">
        <f>SUM(ED85:EO85)</f>
        <v>3458416</v>
      </c>
      <c r="IG85" s="112">
        <f>SUM(EP85:FA85)</f>
        <v>4197517</v>
      </c>
    </row>
    <row r="86" spans="1:241" outlineLevel="1" x14ac:dyDescent="0.3">
      <c r="A86" s="125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  <c r="BE86" s="126"/>
      <c r="BF86" s="126"/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26"/>
      <c r="BT86" s="126"/>
      <c r="BU86" s="126"/>
      <c r="BV86" s="126"/>
      <c r="BW86" s="126"/>
      <c r="BX86" s="126"/>
      <c r="BY86" s="126"/>
      <c r="BZ86" s="126"/>
      <c r="CA86" s="126"/>
      <c r="CB86" s="126"/>
      <c r="CC86" s="126"/>
      <c r="CD86" s="126"/>
      <c r="CE86" s="126"/>
      <c r="CF86" s="126"/>
      <c r="CG86" s="126"/>
      <c r="CH86" s="126"/>
      <c r="CI86" s="126"/>
      <c r="CJ86" s="126"/>
      <c r="CK86" s="126"/>
      <c r="CL86" s="126"/>
      <c r="CM86" s="126"/>
      <c r="CN86" s="126"/>
      <c r="CO86" s="126"/>
      <c r="CP86" s="126"/>
      <c r="CQ86" s="126"/>
      <c r="CR86" s="126"/>
      <c r="CS86" s="126"/>
      <c r="CT86" s="126"/>
      <c r="CU86" s="126"/>
      <c r="CV86" s="126"/>
      <c r="CW86" s="126"/>
      <c r="CX86" s="126"/>
      <c r="CY86" s="126"/>
      <c r="CZ86" s="126"/>
      <c r="DA86" s="126"/>
      <c r="DB86" s="126"/>
      <c r="DC86" s="126"/>
      <c r="DD86" s="126"/>
      <c r="DE86" s="126"/>
      <c r="DF86" s="126"/>
      <c r="DG86" s="126"/>
      <c r="DH86" s="126"/>
      <c r="DI86" s="126"/>
      <c r="DJ86" s="126"/>
      <c r="DK86" s="126"/>
      <c r="DL86" s="126"/>
      <c r="DM86" s="126"/>
      <c r="DN86" s="126"/>
      <c r="DO86" s="126"/>
      <c r="DP86" s="126"/>
      <c r="DQ86" s="126"/>
      <c r="DR86" s="126"/>
      <c r="DS86" s="126"/>
      <c r="DT86" s="126"/>
      <c r="DU86" s="126"/>
      <c r="DV86" s="127"/>
      <c r="DW86" s="127"/>
      <c r="DX86" s="127"/>
      <c r="DY86" s="127"/>
      <c r="DZ86" s="127"/>
      <c r="EA86" s="127"/>
      <c r="EB86" s="127"/>
      <c r="EC86" s="127"/>
      <c r="ED86" s="127"/>
      <c r="EE86" s="127"/>
      <c r="EF86" s="127"/>
      <c r="EG86" s="127"/>
      <c r="EH86" s="127"/>
      <c r="EI86" s="127"/>
      <c r="EJ86" s="127"/>
      <c r="EK86" s="127"/>
      <c r="EL86" s="127"/>
      <c r="EM86" s="127"/>
      <c r="EN86" s="127"/>
      <c r="EO86" s="127"/>
      <c r="EP86" s="127"/>
      <c r="EQ86" s="127"/>
      <c r="ER86" s="127"/>
      <c r="ES86" s="127"/>
      <c r="ET86" s="127"/>
      <c r="EU86" s="127"/>
      <c r="EV86" s="127"/>
      <c r="EW86" s="127"/>
      <c r="EX86" s="127"/>
      <c r="EY86" s="127"/>
      <c r="EZ86" s="127"/>
      <c r="FA86" s="127"/>
      <c r="FB86" s="127"/>
      <c r="FC86" s="127"/>
      <c r="FD86" s="127"/>
      <c r="FE86" s="127"/>
      <c r="FF86" s="127"/>
      <c r="FG86" s="127"/>
      <c r="FH86" s="127"/>
      <c r="FI86" s="127"/>
      <c r="FJ86" s="127"/>
      <c r="HU86" s="128">
        <f t="shared" si="168"/>
        <v>0</v>
      </c>
      <c r="HV86" s="128">
        <f t="shared" si="169"/>
        <v>0</v>
      </c>
      <c r="HW86" s="128">
        <f t="shared" si="170"/>
        <v>0</v>
      </c>
      <c r="HX86" s="129">
        <f t="shared" si="171"/>
        <v>0</v>
      </c>
      <c r="HY86" s="130">
        <f t="shared" si="172"/>
        <v>0</v>
      </c>
      <c r="HZ86" s="130">
        <f t="shared" si="173"/>
        <v>0</v>
      </c>
      <c r="IA86" s="130">
        <f t="shared" si="174"/>
        <v>0</v>
      </c>
      <c r="IB86" s="130">
        <f t="shared" si="175"/>
        <v>0</v>
      </c>
      <c r="IC86" s="130">
        <f t="shared" si="176"/>
        <v>0</v>
      </c>
      <c r="ID86" s="130">
        <f t="shared" si="96"/>
        <v>0</v>
      </c>
      <c r="IE86" s="130">
        <f t="shared" si="97"/>
        <v>0</v>
      </c>
      <c r="IF86" s="130">
        <f>SUM(ED86:EO86)</f>
        <v>0</v>
      </c>
      <c r="IG86" s="130">
        <f>SUM(EP86:FA86)</f>
        <v>0</v>
      </c>
    </row>
    <row r="87" spans="1:241" outlineLevel="1" x14ac:dyDescent="0.3">
      <c r="A87" s="82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  <c r="BA87" s="131"/>
      <c r="BB87" s="131"/>
      <c r="BC87" s="131"/>
      <c r="BD87" s="131"/>
      <c r="BE87" s="131"/>
      <c r="BF87" s="131"/>
      <c r="BG87" s="131"/>
      <c r="BH87" s="131"/>
      <c r="BI87" s="131"/>
      <c r="BJ87" s="131"/>
      <c r="BK87" s="131"/>
      <c r="BL87" s="131"/>
      <c r="BM87" s="131"/>
      <c r="BN87" s="131"/>
      <c r="BO87" s="131"/>
      <c r="BP87" s="131"/>
      <c r="BQ87" s="131"/>
      <c r="BR87" s="131"/>
      <c r="BS87" s="131"/>
      <c r="BT87" s="131"/>
      <c r="BU87" s="131"/>
      <c r="BV87" s="131"/>
      <c r="BW87" s="131"/>
      <c r="BX87" s="131"/>
      <c r="BY87" s="131"/>
      <c r="BZ87" s="131"/>
      <c r="CA87" s="131"/>
      <c r="CB87" s="131"/>
      <c r="CC87" s="131"/>
      <c r="CD87" s="131"/>
      <c r="CE87" s="131"/>
      <c r="CF87" s="131"/>
      <c r="CG87" s="131"/>
      <c r="CH87" s="131"/>
      <c r="CI87" s="131"/>
      <c r="CJ87" s="131"/>
      <c r="HU87" s="115">
        <f t="shared" si="168"/>
        <v>0</v>
      </c>
      <c r="HV87" s="115">
        <f t="shared" si="169"/>
        <v>0</v>
      </c>
      <c r="HW87" s="115">
        <f t="shared" si="170"/>
        <v>0</v>
      </c>
      <c r="HX87" s="117">
        <f t="shared" si="171"/>
        <v>0</v>
      </c>
      <c r="HY87" s="118">
        <f t="shared" si="172"/>
        <v>0</v>
      </c>
      <c r="HZ87" s="118">
        <f t="shared" si="173"/>
        <v>0</v>
      </c>
      <c r="IA87" s="118">
        <f t="shared" si="174"/>
        <v>0</v>
      </c>
      <c r="IB87" s="118">
        <f t="shared" si="175"/>
        <v>0</v>
      </c>
      <c r="IC87" s="118">
        <f t="shared" si="176"/>
        <v>0</v>
      </c>
      <c r="ID87" s="118">
        <f t="shared" si="96"/>
        <v>0</v>
      </c>
      <c r="IE87" s="118">
        <f t="shared" si="97"/>
        <v>0</v>
      </c>
      <c r="IF87" s="118">
        <f>SUM(ED87:EO87)</f>
        <v>0</v>
      </c>
      <c r="IG87" s="118">
        <f>SUM(EP87:FA87)</f>
        <v>0</v>
      </c>
    </row>
    <row r="88" spans="1:241" outlineLevel="1" x14ac:dyDescent="0.3">
      <c r="A88" s="132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3"/>
      <c r="BJ88" s="133"/>
      <c r="BK88" s="133"/>
      <c r="BL88" s="133"/>
      <c r="BM88" s="133"/>
      <c r="BN88" s="133"/>
      <c r="BO88" s="133"/>
      <c r="BP88" s="133"/>
      <c r="BQ88" s="133"/>
      <c r="BR88" s="133"/>
      <c r="BS88" s="133"/>
      <c r="BT88" s="133"/>
      <c r="BU88" s="133"/>
      <c r="BV88" s="134"/>
      <c r="BW88" s="134"/>
      <c r="BX88" s="135"/>
      <c r="BY88" s="135"/>
      <c r="BZ88" s="135"/>
      <c r="CA88" s="135"/>
      <c r="CB88" s="135"/>
      <c r="CC88" s="135"/>
      <c r="CD88" s="135"/>
      <c r="CE88" s="135"/>
      <c r="CF88" s="135"/>
      <c r="CG88" s="135"/>
      <c r="CH88" s="135"/>
      <c r="CI88" s="135"/>
      <c r="CJ88" s="135"/>
      <c r="HU88" s="109">
        <f t="shared" si="168"/>
        <v>0</v>
      </c>
      <c r="HV88" s="109">
        <f t="shared" si="169"/>
        <v>0</v>
      </c>
      <c r="HW88" s="109">
        <f t="shared" si="170"/>
        <v>0</v>
      </c>
      <c r="HX88" s="111">
        <f t="shared" si="171"/>
        <v>0</v>
      </c>
      <c r="HY88" s="112">
        <f t="shared" si="172"/>
        <v>0</v>
      </c>
      <c r="HZ88" s="112">
        <f t="shared" si="173"/>
        <v>0</v>
      </c>
      <c r="IA88" s="112">
        <f t="shared" si="174"/>
        <v>0</v>
      </c>
      <c r="IB88" s="112">
        <f t="shared" si="175"/>
        <v>0</v>
      </c>
      <c r="IC88" s="112">
        <f t="shared" si="176"/>
        <v>0</v>
      </c>
      <c r="ID88" s="112">
        <f t="shared" si="96"/>
        <v>0</v>
      </c>
      <c r="IE88" s="112">
        <f t="shared" si="97"/>
        <v>0</v>
      </c>
      <c r="IF88" s="112">
        <f>SUM(ED88:EO88)</f>
        <v>0</v>
      </c>
      <c r="IG88" s="112">
        <f>SUM(EP88:FA88)</f>
        <v>0</v>
      </c>
    </row>
    <row r="89" spans="1:241" x14ac:dyDescent="0.3">
      <c r="HU89" s="136">
        <f t="shared" ref="HU89:IG89" si="182">HU3/10^6</f>
        <v>15.726473</v>
      </c>
      <c r="HV89" s="136">
        <f t="shared" si="182"/>
        <v>16.862058000000001</v>
      </c>
      <c r="HW89" s="136">
        <f t="shared" si="182"/>
        <v>18.464148000000002</v>
      </c>
      <c r="HX89" s="136">
        <f t="shared" si="182"/>
        <v>18.937104000000001</v>
      </c>
      <c r="HY89" s="136">
        <f t="shared" si="182"/>
        <v>19.930015000000001</v>
      </c>
      <c r="HZ89" s="136">
        <f t="shared" si="182"/>
        <v>23.007691000000001</v>
      </c>
      <c r="IA89" s="136">
        <f t="shared" si="182"/>
        <v>24.459050999999999</v>
      </c>
      <c r="IB89" s="136">
        <f t="shared" si="182"/>
        <v>20.938072999999999</v>
      </c>
      <c r="IC89" s="136">
        <f t="shared" si="182"/>
        <v>18.353384999999999</v>
      </c>
      <c r="ID89" s="136">
        <f t="shared" si="182"/>
        <v>18.027294000000001</v>
      </c>
      <c r="IE89" s="136">
        <f t="shared" si="182"/>
        <v>19.942150999999999</v>
      </c>
      <c r="IF89" s="136">
        <f t="shared" si="182"/>
        <v>21.892766999999999</v>
      </c>
      <c r="IG89" s="136">
        <f t="shared" si="182"/>
        <v>24.577942</v>
      </c>
    </row>
    <row r="90" spans="1:241" ht="17.399999999999999" x14ac:dyDescent="0.3">
      <c r="A90" s="49" t="s">
        <v>140</v>
      </c>
      <c r="B90" s="137">
        <f t="shared" ref="B90:BM90" si="183">+B111+B136+B144+B165+B190+B199</f>
        <v>265213</v>
      </c>
      <c r="C90" s="137">
        <f t="shared" si="183"/>
        <v>267370</v>
      </c>
      <c r="D90" s="137">
        <f t="shared" si="183"/>
        <v>261324</v>
      </c>
      <c r="E90" s="137">
        <f t="shared" si="183"/>
        <v>251075</v>
      </c>
      <c r="F90" s="137">
        <f t="shared" si="183"/>
        <v>218670</v>
      </c>
      <c r="G90" s="137">
        <f t="shared" si="183"/>
        <v>270059</v>
      </c>
      <c r="H90" s="137">
        <f t="shared" si="183"/>
        <v>287256</v>
      </c>
      <c r="I90" s="137">
        <f t="shared" si="183"/>
        <v>276254</v>
      </c>
      <c r="J90" s="137">
        <f t="shared" si="183"/>
        <v>256948</v>
      </c>
      <c r="K90" s="137">
        <f t="shared" si="183"/>
        <v>283890</v>
      </c>
      <c r="L90" s="137">
        <f t="shared" si="183"/>
        <v>273411</v>
      </c>
      <c r="M90" s="137">
        <f t="shared" si="183"/>
        <v>308786</v>
      </c>
      <c r="N90" s="137">
        <f t="shared" si="183"/>
        <v>250690</v>
      </c>
      <c r="O90" s="137">
        <f t="shared" si="183"/>
        <v>249748</v>
      </c>
      <c r="P90" s="137">
        <f t="shared" si="183"/>
        <v>240242</v>
      </c>
      <c r="Q90" s="137">
        <f t="shared" si="183"/>
        <v>243574</v>
      </c>
      <c r="R90" s="137">
        <f t="shared" si="183"/>
        <v>249956</v>
      </c>
      <c r="S90" s="137">
        <f t="shared" si="183"/>
        <v>272138</v>
      </c>
      <c r="T90" s="137">
        <f t="shared" si="183"/>
        <v>285256</v>
      </c>
      <c r="U90" s="137">
        <f t="shared" si="183"/>
        <v>246480</v>
      </c>
      <c r="V90" s="137">
        <f t="shared" si="183"/>
        <v>238681</v>
      </c>
      <c r="W90" s="137">
        <f t="shared" si="183"/>
        <v>258432</v>
      </c>
      <c r="X90" s="137">
        <f t="shared" si="183"/>
        <v>266113</v>
      </c>
      <c r="Y90" s="137">
        <f t="shared" si="183"/>
        <v>291473</v>
      </c>
      <c r="Z90" s="137">
        <f t="shared" si="183"/>
        <v>230300</v>
      </c>
      <c r="AA90" s="137">
        <f t="shared" si="183"/>
        <v>255414</v>
      </c>
      <c r="AB90" s="137">
        <f t="shared" si="183"/>
        <v>270361</v>
      </c>
      <c r="AC90" s="137">
        <f t="shared" si="183"/>
        <v>254934</v>
      </c>
      <c r="AD90" s="137">
        <f t="shared" si="183"/>
        <v>266970</v>
      </c>
      <c r="AE90" s="137">
        <f t="shared" si="183"/>
        <v>281177</v>
      </c>
      <c r="AF90" s="137">
        <f t="shared" si="183"/>
        <v>269978</v>
      </c>
      <c r="AG90" s="137">
        <f t="shared" si="183"/>
        <v>268822</v>
      </c>
      <c r="AH90" s="137">
        <f t="shared" si="183"/>
        <v>278521</v>
      </c>
      <c r="AI90" s="137">
        <f t="shared" si="183"/>
        <v>275906</v>
      </c>
      <c r="AJ90" s="137">
        <f t="shared" si="183"/>
        <v>278176</v>
      </c>
      <c r="AK90" s="137">
        <f t="shared" si="183"/>
        <v>292387</v>
      </c>
      <c r="AL90" s="137">
        <f t="shared" si="183"/>
        <v>268428</v>
      </c>
      <c r="AM90" s="137">
        <f t="shared" si="183"/>
        <v>269223</v>
      </c>
      <c r="AN90" s="137">
        <f t="shared" si="183"/>
        <v>258025</v>
      </c>
      <c r="AO90" s="137">
        <f t="shared" si="183"/>
        <v>282584</v>
      </c>
      <c r="AP90" s="137">
        <f t="shared" si="183"/>
        <v>282044</v>
      </c>
      <c r="AQ90" s="137">
        <f t="shared" si="183"/>
        <v>289588</v>
      </c>
      <c r="AR90" s="137">
        <f t="shared" si="183"/>
        <v>327884</v>
      </c>
      <c r="AS90" s="137">
        <f t="shared" si="183"/>
        <v>288045</v>
      </c>
      <c r="AT90" s="137">
        <f t="shared" si="183"/>
        <v>292530</v>
      </c>
      <c r="AU90" s="137">
        <f t="shared" si="183"/>
        <v>274100</v>
      </c>
      <c r="AV90" s="137">
        <f t="shared" si="183"/>
        <v>292163</v>
      </c>
      <c r="AW90" s="137">
        <f t="shared" si="183"/>
        <v>318953</v>
      </c>
      <c r="AX90" s="137">
        <f t="shared" si="183"/>
        <v>295711</v>
      </c>
      <c r="AY90" s="137">
        <f t="shared" si="183"/>
        <v>283162</v>
      </c>
      <c r="AZ90" s="137">
        <f t="shared" si="183"/>
        <v>277063</v>
      </c>
      <c r="BA90" s="137">
        <f t="shared" si="183"/>
        <v>321568</v>
      </c>
      <c r="BB90" s="137">
        <f t="shared" si="183"/>
        <v>334205</v>
      </c>
      <c r="BC90" s="137">
        <f t="shared" si="183"/>
        <v>349390</v>
      </c>
      <c r="BD90" s="137">
        <f t="shared" si="183"/>
        <v>348242</v>
      </c>
      <c r="BE90" s="137">
        <f t="shared" si="183"/>
        <v>305139</v>
      </c>
      <c r="BF90" s="137">
        <f t="shared" si="183"/>
        <v>305138</v>
      </c>
      <c r="BG90" s="137">
        <f t="shared" si="183"/>
        <v>313908</v>
      </c>
      <c r="BH90" s="137">
        <f t="shared" si="183"/>
        <v>317678</v>
      </c>
      <c r="BI90" s="137">
        <f t="shared" si="183"/>
        <v>354075</v>
      </c>
      <c r="BJ90" s="137">
        <f t="shared" si="183"/>
        <v>338289</v>
      </c>
      <c r="BK90" s="137">
        <f t="shared" si="183"/>
        <v>316349</v>
      </c>
      <c r="BL90" s="137">
        <f t="shared" si="183"/>
        <v>260647</v>
      </c>
      <c r="BM90" s="137">
        <f t="shared" si="183"/>
        <v>358401</v>
      </c>
      <c r="BN90" s="137">
        <f t="shared" ref="BN90:DY90" si="184">+BN111+BN136+BN144+BN165+BN190+BN199</f>
        <v>351089</v>
      </c>
      <c r="BO90" s="137">
        <f t="shared" si="184"/>
        <v>368246</v>
      </c>
      <c r="BP90" s="137">
        <f t="shared" si="184"/>
        <v>334347</v>
      </c>
      <c r="BQ90" s="137">
        <f t="shared" si="184"/>
        <v>339156</v>
      </c>
      <c r="BR90" s="137">
        <f t="shared" si="184"/>
        <v>316364</v>
      </c>
      <c r="BS90" s="137">
        <f t="shared" si="184"/>
        <v>342103</v>
      </c>
      <c r="BT90" s="137">
        <f t="shared" si="184"/>
        <v>335807</v>
      </c>
      <c r="BU90" s="137">
        <f t="shared" si="184"/>
        <v>373428</v>
      </c>
      <c r="BV90" s="137">
        <f t="shared" si="184"/>
        <v>349425</v>
      </c>
      <c r="BW90" s="137">
        <f t="shared" si="184"/>
        <v>360886</v>
      </c>
      <c r="BX90" s="137">
        <f t="shared" si="184"/>
        <v>330351</v>
      </c>
      <c r="BY90" s="137">
        <f t="shared" si="184"/>
        <v>354886</v>
      </c>
      <c r="BZ90" s="137">
        <f t="shared" si="184"/>
        <v>347997</v>
      </c>
      <c r="CA90" s="137">
        <f t="shared" si="184"/>
        <v>350717</v>
      </c>
      <c r="CB90" s="137">
        <f t="shared" si="184"/>
        <v>335806</v>
      </c>
      <c r="CC90" s="137">
        <f t="shared" si="184"/>
        <v>314652</v>
      </c>
      <c r="CD90" s="137">
        <f t="shared" si="184"/>
        <v>298812</v>
      </c>
      <c r="CE90" s="137">
        <f t="shared" si="184"/>
        <v>327010</v>
      </c>
      <c r="CF90" s="137">
        <f t="shared" si="184"/>
        <v>323207</v>
      </c>
      <c r="CG90" s="137">
        <f t="shared" si="184"/>
        <v>359886</v>
      </c>
      <c r="CH90" s="137">
        <f t="shared" si="184"/>
        <v>304370</v>
      </c>
      <c r="CI90" s="137">
        <f t="shared" si="184"/>
        <v>298885</v>
      </c>
      <c r="CJ90" s="137">
        <f t="shared" si="184"/>
        <v>282461</v>
      </c>
      <c r="CK90" s="137">
        <f t="shared" si="184"/>
        <v>261894</v>
      </c>
      <c r="CL90" s="137">
        <f t="shared" si="184"/>
        <v>266273</v>
      </c>
      <c r="CM90" s="137">
        <f t="shared" si="184"/>
        <v>284650</v>
      </c>
      <c r="CN90" s="137">
        <f t="shared" si="184"/>
        <v>335494</v>
      </c>
      <c r="CO90" s="137">
        <f t="shared" si="184"/>
        <v>322335</v>
      </c>
      <c r="CP90" s="137">
        <f t="shared" si="184"/>
        <v>301859</v>
      </c>
      <c r="CQ90" s="137">
        <f t="shared" si="184"/>
        <v>306238</v>
      </c>
      <c r="CR90" s="137">
        <f t="shared" si="184"/>
        <v>306953</v>
      </c>
      <c r="CS90" s="137">
        <f t="shared" si="184"/>
        <v>178874</v>
      </c>
      <c r="CT90" s="137">
        <f t="shared" si="184"/>
        <v>0</v>
      </c>
      <c r="CU90" s="137">
        <f t="shared" si="184"/>
        <v>51634</v>
      </c>
      <c r="CV90" s="137">
        <f t="shared" si="184"/>
        <v>141744</v>
      </c>
      <c r="CW90" s="137">
        <f t="shared" si="184"/>
        <v>231974</v>
      </c>
      <c r="CX90" s="137">
        <f t="shared" si="184"/>
        <v>272615</v>
      </c>
      <c r="CY90" s="137">
        <f t="shared" si="184"/>
        <v>332373</v>
      </c>
      <c r="CZ90" s="137">
        <f t="shared" si="184"/>
        <v>374422</v>
      </c>
      <c r="DA90" s="137">
        <f t="shared" si="184"/>
        <v>324838</v>
      </c>
      <c r="DB90" s="137">
        <f t="shared" si="184"/>
        <v>334901</v>
      </c>
      <c r="DC90" s="137">
        <f t="shared" si="184"/>
        <v>340721</v>
      </c>
      <c r="DD90" s="137">
        <f t="shared" si="184"/>
        <v>343949</v>
      </c>
      <c r="DE90" s="137">
        <f t="shared" si="184"/>
        <v>361763</v>
      </c>
      <c r="DF90" s="137">
        <f t="shared" si="184"/>
        <v>328754</v>
      </c>
      <c r="DG90" s="137">
        <f t="shared" si="184"/>
        <v>134955</v>
      </c>
      <c r="DH90" s="137">
        <f t="shared" si="184"/>
        <v>308679</v>
      </c>
      <c r="DI90" s="137">
        <f t="shared" si="184"/>
        <v>346945</v>
      </c>
      <c r="DJ90" s="137">
        <f t="shared" si="184"/>
        <v>311445</v>
      </c>
      <c r="DK90" s="137">
        <f t="shared" si="184"/>
        <v>239385</v>
      </c>
      <c r="DL90" s="137">
        <f t="shared" si="184"/>
        <v>291492</v>
      </c>
      <c r="DM90" s="137">
        <f t="shared" si="184"/>
        <v>289671</v>
      </c>
      <c r="DN90" s="137">
        <f t="shared" si="184"/>
        <v>309567</v>
      </c>
      <c r="DO90" s="137">
        <f t="shared" si="184"/>
        <v>335854</v>
      </c>
      <c r="DP90" s="137">
        <f t="shared" si="184"/>
        <v>354177</v>
      </c>
      <c r="DQ90" s="137">
        <f t="shared" si="184"/>
        <v>383066</v>
      </c>
      <c r="DR90" s="137">
        <f t="shared" si="184"/>
        <v>339719</v>
      </c>
      <c r="DS90" s="137">
        <f t="shared" si="184"/>
        <v>351280</v>
      </c>
      <c r="DT90" s="137">
        <f t="shared" si="184"/>
        <v>377590</v>
      </c>
      <c r="DU90" s="137">
        <f t="shared" si="184"/>
        <v>395444</v>
      </c>
      <c r="DV90" s="137">
        <f t="shared" si="184"/>
        <v>383113</v>
      </c>
      <c r="DW90" s="137">
        <f t="shared" si="184"/>
        <v>406267</v>
      </c>
      <c r="DX90" s="137">
        <f t="shared" si="184"/>
        <v>383993</v>
      </c>
      <c r="DY90" s="137">
        <f t="shared" si="184"/>
        <v>330190</v>
      </c>
      <c r="DZ90" s="137">
        <f t="shared" ref="DZ90:FE90" si="185">+DZ111+DZ136+DZ144+DZ165+DZ190+DZ199</f>
        <v>343283</v>
      </c>
      <c r="EA90" s="137">
        <f t="shared" si="185"/>
        <v>401634</v>
      </c>
      <c r="EB90" s="137">
        <f t="shared" si="185"/>
        <v>381279</v>
      </c>
      <c r="EC90" s="137">
        <f t="shared" si="185"/>
        <v>405103</v>
      </c>
      <c r="ED90" s="137">
        <f t="shared" si="185"/>
        <v>372180</v>
      </c>
      <c r="EE90" s="137">
        <f t="shared" si="185"/>
        <v>387486</v>
      </c>
      <c r="EF90" s="137">
        <f t="shared" si="185"/>
        <v>385110</v>
      </c>
      <c r="EG90" s="137">
        <f t="shared" si="185"/>
        <v>409745</v>
      </c>
      <c r="EH90" s="137">
        <f t="shared" si="185"/>
        <v>423113</v>
      </c>
      <c r="EI90" s="137">
        <f t="shared" si="185"/>
        <v>421797</v>
      </c>
      <c r="EJ90" s="137">
        <f t="shared" si="185"/>
        <v>443640</v>
      </c>
      <c r="EK90" s="137">
        <f t="shared" si="185"/>
        <v>388224</v>
      </c>
      <c r="EL90" s="137">
        <f t="shared" si="185"/>
        <v>347158</v>
      </c>
      <c r="EM90" s="137">
        <f t="shared" si="185"/>
        <v>442321</v>
      </c>
      <c r="EN90" s="137">
        <f t="shared" si="185"/>
        <v>424832</v>
      </c>
      <c r="EO90" s="137">
        <f t="shared" si="185"/>
        <v>430031</v>
      </c>
      <c r="EP90" s="137">
        <f t="shared" si="185"/>
        <v>385194</v>
      </c>
      <c r="EQ90" s="137">
        <f t="shared" si="185"/>
        <v>401486</v>
      </c>
      <c r="ER90" s="137">
        <f t="shared" si="185"/>
        <v>414057</v>
      </c>
      <c r="ES90" s="137">
        <f t="shared" si="185"/>
        <v>403441</v>
      </c>
      <c r="ET90" s="137">
        <f t="shared" si="185"/>
        <v>418929</v>
      </c>
      <c r="EU90" s="137">
        <f t="shared" si="185"/>
        <v>424133</v>
      </c>
      <c r="EV90" s="137">
        <f t="shared" si="185"/>
        <v>454770</v>
      </c>
      <c r="EW90" s="137">
        <f t="shared" si="185"/>
        <v>408073</v>
      </c>
      <c r="EX90" s="137">
        <f t="shared" si="185"/>
        <v>393795</v>
      </c>
      <c r="EY90" s="137">
        <f t="shared" si="185"/>
        <v>456970</v>
      </c>
      <c r="EZ90" s="137">
        <f t="shared" si="185"/>
        <v>433933</v>
      </c>
      <c r="FA90" s="137">
        <f t="shared" si="185"/>
        <v>458534</v>
      </c>
      <c r="FB90" s="137">
        <f t="shared" si="185"/>
        <v>408242</v>
      </c>
      <c r="FC90" s="137">
        <f t="shared" si="185"/>
        <v>411837</v>
      </c>
      <c r="FD90" s="137">
        <f t="shared" si="185"/>
        <v>389568</v>
      </c>
      <c r="FE90" s="137">
        <f t="shared" si="185"/>
        <v>408064</v>
      </c>
      <c r="FF90" s="137">
        <f>+FF111+FF136+FF144+FF165+FF190+FF199</f>
        <v>404086</v>
      </c>
      <c r="FG90" s="137">
        <f>+FG111+FG136+FG144+FG165+FG190+FG199</f>
        <v>460220</v>
      </c>
      <c r="FH90" s="137">
        <f>+FH111+FH136+FH144+FH165+FH190+FH199</f>
        <v>529477</v>
      </c>
      <c r="FI90" s="137">
        <f>+FI111+FI136+FI144+FI165+FI190+FI199</f>
        <v>497051</v>
      </c>
      <c r="FJ90" s="137">
        <f>+FJ111+FJ136+FJ144+FJ165+FJ190+FJ199</f>
        <v>468451</v>
      </c>
      <c r="FN90" s="137">
        <f t="shared" ref="FN90:HQ90" si="186">+FN111+FN136+FN144+FN165+FN190+FN199</f>
        <v>793907</v>
      </c>
      <c r="FO90" s="137">
        <f t="shared" si="186"/>
        <v>739804</v>
      </c>
      <c r="FP90" s="137">
        <f t="shared" si="186"/>
        <v>820458</v>
      </c>
      <c r="FQ90" s="137">
        <f t="shared" si="186"/>
        <v>866087</v>
      </c>
      <c r="FR90" s="137">
        <f t="shared" si="186"/>
        <v>740680</v>
      </c>
      <c r="FS90" s="137">
        <f t="shared" si="186"/>
        <v>765668</v>
      </c>
      <c r="FT90" s="137">
        <f t="shared" si="186"/>
        <v>770417</v>
      </c>
      <c r="FU90" s="137">
        <f t="shared" si="186"/>
        <v>816018</v>
      </c>
      <c r="FV90" s="137">
        <f t="shared" si="186"/>
        <v>756075</v>
      </c>
      <c r="FW90" s="137">
        <f t="shared" si="186"/>
        <v>803081</v>
      </c>
      <c r="FX90" s="137">
        <f t="shared" si="186"/>
        <v>817321</v>
      </c>
      <c r="FY90" s="137">
        <f t="shared" si="186"/>
        <v>846469</v>
      </c>
      <c r="FZ90" s="137">
        <f t="shared" si="186"/>
        <v>795676</v>
      </c>
      <c r="GA90" s="137">
        <f t="shared" si="186"/>
        <v>854216</v>
      </c>
      <c r="GB90" s="137">
        <f t="shared" si="186"/>
        <v>908459</v>
      </c>
      <c r="GC90" s="137">
        <f t="shared" si="186"/>
        <v>885216</v>
      </c>
      <c r="GD90" s="137">
        <f t="shared" si="186"/>
        <v>855936</v>
      </c>
      <c r="GE90" s="137">
        <f t="shared" si="186"/>
        <v>1005163</v>
      </c>
      <c r="GF90" s="137">
        <f t="shared" si="186"/>
        <v>958519</v>
      </c>
      <c r="GG90" s="137">
        <f t="shared" si="186"/>
        <v>985661</v>
      </c>
      <c r="GH90" s="137">
        <f t="shared" si="186"/>
        <v>915285</v>
      </c>
      <c r="GI90" s="137">
        <f t="shared" si="186"/>
        <v>1077736</v>
      </c>
      <c r="GJ90" s="137">
        <f t="shared" si="186"/>
        <v>989867</v>
      </c>
      <c r="GK90" s="137">
        <f t="shared" si="186"/>
        <v>1051338</v>
      </c>
      <c r="GL90" s="137">
        <f t="shared" si="186"/>
        <v>1040662</v>
      </c>
      <c r="GM90" s="137">
        <f t="shared" si="186"/>
        <v>1053600</v>
      </c>
      <c r="GN90" s="137">
        <f t="shared" si="186"/>
        <v>949270</v>
      </c>
      <c r="GO90" s="137">
        <f t="shared" si="186"/>
        <v>1010103</v>
      </c>
      <c r="GP90" s="137">
        <f t="shared" si="186"/>
        <v>885716</v>
      </c>
      <c r="GQ90" s="137">
        <f t="shared" si="186"/>
        <v>812817</v>
      </c>
      <c r="GR90" s="137">
        <f t="shared" si="186"/>
        <v>959688</v>
      </c>
      <c r="GS90" s="137">
        <f t="shared" si="186"/>
        <v>792065</v>
      </c>
      <c r="GT90" s="137">
        <f t="shared" si="186"/>
        <v>193378</v>
      </c>
      <c r="GU90" s="137">
        <f t="shared" si="186"/>
        <v>836962</v>
      </c>
      <c r="GV90" s="137">
        <f t="shared" si="186"/>
        <v>1034161</v>
      </c>
      <c r="GW90" s="137">
        <f t="shared" si="186"/>
        <v>1046433</v>
      </c>
      <c r="GX90" s="137">
        <f t="shared" si="186"/>
        <v>772388</v>
      </c>
      <c r="GY90" s="137">
        <f t="shared" si="186"/>
        <v>897775</v>
      </c>
      <c r="GZ90" s="137">
        <f t="shared" si="186"/>
        <v>890730</v>
      </c>
      <c r="HA90" s="137">
        <f t="shared" si="186"/>
        <v>1073097</v>
      </c>
      <c r="HB90" s="137">
        <f t="shared" si="186"/>
        <v>1068589</v>
      </c>
      <c r="HC90" s="137">
        <f t="shared" si="186"/>
        <v>1184824</v>
      </c>
      <c r="HD90" s="137">
        <f t="shared" si="186"/>
        <v>1057466</v>
      </c>
      <c r="HE90" s="137">
        <f t="shared" si="186"/>
        <v>1188016</v>
      </c>
      <c r="HF90" s="137">
        <f t="shared" si="186"/>
        <v>1144776</v>
      </c>
      <c r="HG90" s="137">
        <f t="shared" si="186"/>
        <v>1254655</v>
      </c>
      <c r="HH90" s="137">
        <f t="shared" si="186"/>
        <v>1179022</v>
      </c>
      <c r="HI90" s="137">
        <f t="shared" si="186"/>
        <v>1297184</v>
      </c>
      <c r="HJ90" s="137">
        <f t="shared" si="186"/>
        <v>1200737</v>
      </c>
      <c r="HK90" s="137">
        <f t="shared" si="186"/>
        <v>1246503</v>
      </c>
      <c r="HL90" s="137">
        <f t="shared" si="186"/>
        <v>1256638</v>
      </c>
      <c r="HM90" s="137">
        <f t="shared" si="186"/>
        <v>1349437</v>
      </c>
      <c r="HN90" s="137">
        <f t="shared" si="186"/>
        <v>1209647</v>
      </c>
      <c r="HO90" s="137">
        <f t="shared" si="186"/>
        <v>1272370</v>
      </c>
      <c r="HP90" s="137">
        <f t="shared" si="186"/>
        <v>1494979</v>
      </c>
      <c r="HQ90" s="137">
        <f t="shared" si="186"/>
        <v>0</v>
      </c>
      <c r="HU90" s="137">
        <f t="shared" ref="HU90:IG90" si="187">+HU111+HU136+HU144+HU165+HU190+HU199</f>
        <v>3220256</v>
      </c>
      <c r="HV90" s="137">
        <f t="shared" si="187"/>
        <v>3092783</v>
      </c>
      <c r="HW90" s="137">
        <f t="shared" si="187"/>
        <v>3222946</v>
      </c>
      <c r="HX90" s="137">
        <f t="shared" si="187"/>
        <v>3443567</v>
      </c>
      <c r="HY90" s="137">
        <f t="shared" si="187"/>
        <v>3805279</v>
      </c>
      <c r="HZ90" s="137">
        <f t="shared" si="187"/>
        <v>4034226</v>
      </c>
      <c r="IA90" s="137">
        <f t="shared" si="187"/>
        <v>4053635</v>
      </c>
      <c r="IB90" s="137">
        <f t="shared" si="187"/>
        <v>3450286</v>
      </c>
      <c r="IC90" s="137">
        <f t="shared" si="187"/>
        <v>3110934</v>
      </c>
      <c r="ID90" s="137">
        <f t="shared" si="187"/>
        <v>3633990</v>
      </c>
      <c r="IE90" s="137">
        <f t="shared" si="187"/>
        <v>4498895</v>
      </c>
      <c r="IF90" s="137">
        <f t="shared" si="187"/>
        <v>4875637</v>
      </c>
      <c r="IG90" s="137">
        <f t="shared" si="187"/>
        <v>5053315</v>
      </c>
    </row>
    <row r="91" spans="1:241" outlineLevel="1" x14ac:dyDescent="0.3">
      <c r="A91" s="138" t="s">
        <v>141</v>
      </c>
      <c r="B91" s="139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  <c r="BH91" s="140"/>
      <c r="BI91" s="140"/>
      <c r="BJ91" s="140"/>
      <c r="BK91" s="140"/>
      <c r="BL91" s="140"/>
      <c r="BM91" s="140"/>
      <c r="BN91" s="140"/>
      <c r="BO91" s="140"/>
      <c r="BP91" s="140"/>
      <c r="BQ91" s="140"/>
      <c r="BR91" s="140"/>
      <c r="BS91" s="140"/>
      <c r="BT91" s="140"/>
      <c r="BU91" s="140"/>
      <c r="BV91" s="140"/>
      <c r="BW91" s="140"/>
      <c r="BX91" s="140"/>
      <c r="BY91" s="140"/>
      <c r="BZ91" s="140"/>
      <c r="CA91" s="140"/>
      <c r="CB91" s="140"/>
      <c r="CC91" s="140"/>
      <c r="CD91" s="140"/>
      <c r="CE91" s="140"/>
      <c r="CF91" s="140"/>
      <c r="CG91" s="140"/>
      <c r="CH91" s="140"/>
      <c r="CI91" s="140"/>
      <c r="CJ91" s="140"/>
      <c r="CK91" s="140"/>
      <c r="CL91" s="140"/>
      <c r="CM91" s="140"/>
      <c r="CN91" s="140"/>
      <c r="CO91" s="140"/>
      <c r="CP91" s="140"/>
      <c r="CQ91" s="140"/>
      <c r="CR91" s="140"/>
      <c r="CS91" s="141"/>
      <c r="CT91" s="141"/>
      <c r="CU91" s="141"/>
      <c r="CV91" s="141"/>
      <c r="CW91" s="141"/>
      <c r="CX91" s="141"/>
      <c r="CY91" s="141"/>
      <c r="CZ91" s="141"/>
      <c r="DA91" s="141"/>
      <c r="DB91" s="141"/>
      <c r="DC91" s="141"/>
      <c r="DD91" s="141"/>
      <c r="DE91" s="141"/>
      <c r="DF91" s="141"/>
      <c r="DG91" s="141"/>
      <c r="DH91" s="141"/>
      <c r="DI91" s="141"/>
      <c r="DJ91" s="141"/>
      <c r="DK91" s="141"/>
      <c r="DL91" s="141"/>
      <c r="DM91" s="141"/>
      <c r="DN91" s="141"/>
      <c r="DO91" s="141"/>
      <c r="DP91" s="141"/>
      <c r="DQ91" s="141"/>
      <c r="DR91" s="141"/>
      <c r="DS91" s="141"/>
      <c r="DT91" s="141"/>
      <c r="DU91" s="141"/>
      <c r="DV91" s="142"/>
      <c r="DW91" s="142"/>
      <c r="DX91" s="142"/>
      <c r="DY91" s="142"/>
      <c r="DZ91" s="142"/>
      <c r="EA91" s="142"/>
      <c r="EB91" s="142"/>
      <c r="EC91" s="142"/>
      <c r="ED91" s="142"/>
      <c r="EE91" s="142"/>
      <c r="EF91" s="142"/>
      <c r="EG91" s="142"/>
      <c r="EH91" s="142"/>
      <c r="EI91" s="142"/>
      <c r="EJ91" s="142"/>
      <c r="EK91" s="142"/>
      <c r="EL91" s="142"/>
      <c r="EM91" s="142"/>
      <c r="EN91" s="142"/>
      <c r="EO91" s="142"/>
      <c r="EP91" s="142"/>
      <c r="EQ91" s="142"/>
      <c r="ER91" s="142"/>
      <c r="ES91" s="142"/>
      <c r="ET91" s="142"/>
      <c r="EU91" s="142"/>
      <c r="EV91" s="142"/>
      <c r="EW91" s="142"/>
      <c r="EX91" s="142"/>
      <c r="EY91" s="142"/>
      <c r="EZ91" s="142"/>
      <c r="FA91" s="142"/>
      <c r="FB91" s="142"/>
      <c r="FC91" s="142"/>
      <c r="FD91" s="142"/>
      <c r="FE91" s="142"/>
      <c r="FF91" s="142"/>
      <c r="FG91" s="142"/>
      <c r="FH91" s="142"/>
      <c r="FI91" s="142"/>
      <c r="FJ91" s="142"/>
      <c r="FN91" s="138"/>
      <c r="FO91" s="140"/>
      <c r="FP91" s="140"/>
      <c r="FQ91" s="140"/>
      <c r="FR91" s="140"/>
      <c r="FS91" s="140"/>
      <c r="FT91" s="140"/>
      <c r="FU91" s="140"/>
      <c r="FV91" s="140"/>
      <c r="FW91" s="140"/>
      <c r="FX91" s="140"/>
      <c r="FY91" s="140"/>
      <c r="FZ91" s="140"/>
      <c r="GA91" s="140"/>
      <c r="GB91" s="140"/>
      <c r="GC91" s="140"/>
      <c r="GD91" s="140"/>
      <c r="GE91" s="140"/>
      <c r="GF91" s="140"/>
      <c r="GG91" s="140"/>
      <c r="GH91" s="140"/>
      <c r="GI91" s="140"/>
      <c r="GJ91" s="140"/>
      <c r="GK91" s="140"/>
      <c r="GL91" s="140"/>
      <c r="GM91" s="140"/>
      <c r="GN91" s="140"/>
      <c r="GO91" s="140"/>
      <c r="GP91" s="140"/>
      <c r="GQ91" s="140"/>
      <c r="GR91" s="140"/>
      <c r="GS91" s="140"/>
      <c r="GT91" s="140"/>
      <c r="GU91" s="140"/>
      <c r="GV91" s="140"/>
      <c r="GW91" s="140"/>
      <c r="GX91" s="140"/>
      <c r="GY91" s="140"/>
      <c r="GZ91" s="140"/>
      <c r="HA91" s="140"/>
      <c r="HB91" s="140"/>
      <c r="HC91" s="140"/>
      <c r="HD91" s="140"/>
      <c r="HE91" s="140"/>
      <c r="HF91" s="140"/>
      <c r="HG91" s="140"/>
      <c r="HH91" s="140"/>
      <c r="HI91" s="140"/>
      <c r="HJ91" s="141"/>
      <c r="HK91" s="141"/>
      <c r="HL91" s="141"/>
      <c r="HM91" s="141"/>
      <c r="HN91" s="141"/>
      <c r="HO91" s="141"/>
      <c r="HP91" s="141"/>
      <c r="HQ91" s="141"/>
      <c r="HU91" s="138"/>
      <c r="HV91" s="143">
        <f t="shared" ref="HV91:IE91" si="188">+HV90/HU90-1</f>
        <v>-3.9584741088907194E-2</v>
      </c>
      <c r="HW91" s="143">
        <f t="shared" si="188"/>
        <v>4.208604354072043E-2</v>
      </c>
      <c r="HX91" s="143">
        <f t="shared" si="188"/>
        <v>6.845321019961248E-2</v>
      </c>
      <c r="HY91" s="143">
        <f t="shared" si="188"/>
        <v>0.10503991936268409</v>
      </c>
      <c r="HZ91" s="143">
        <f t="shared" si="188"/>
        <v>6.016562780284973E-2</v>
      </c>
      <c r="IA91" s="143">
        <f t="shared" si="188"/>
        <v>4.8110839600954414E-3</v>
      </c>
      <c r="IB91" s="143">
        <f t="shared" si="188"/>
        <v>-0.14884147191348007</v>
      </c>
      <c r="IC91" s="143">
        <f t="shared" si="188"/>
        <v>-9.8354745084900164E-2</v>
      </c>
      <c r="ID91" s="143">
        <f t="shared" si="188"/>
        <v>0.1681347145262484</v>
      </c>
      <c r="IE91" s="143">
        <f t="shared" si="188"/>
        <v>0.23800423226260947</v>
      </c>
      <c r="IF91" s="143">
        <f>+IF90/IE90-1</f>
        <v>8.3741007514067434E-2</v>
      </c>
      <c r="IG91" s="143">
        <f>+IG90/IF90-1</f>
        <v>3.6442007475125715E-2</v>
      </c>
    </row>
    <row r="92" spans="1:241" outlineLevel="2" x14ac:dyDescent="0.3">
      <c r="A92" s="144" t="s">
        <v>142</v>
      </c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6"/>
      <c r="T92" s="146"/>
      <c r="U92" s="146"/>
      <c r="V92" s="146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46"/>
      <c r="AY92" s="131"/>
      <c r="AZ92" s="131"/>
      <c r="BA92" s="131"/>
      <c r="BB92" s="131"/>
      <c r="BC92" s="131"/>
      <c r="BD92" s="131"/>
      <c r="BE92" s="131"/>
      <c r="BF92" s="131"/>
      <c r="BG92" s="131"/>
      <c r="BH92" s="131"/>
      <c r="BI92" s="131"/>
      <c r="BJ92" s="131"/>
      <c r="BK92" s="147"/>
      <c r="BL92" s="147"/>
      <c r="BM92" s="147"/>
      <c r="BN92" s="147"/>
      <c r="BO92" s="147"/>
      <c r="BP92" s="147"/>
      <c r="BQ92" s="147"/>
      <c r="BR92" s="147"/>
      <c r="BS92" s="147"/>
      <c r="BT92" s="147"/>
      <c r="BU92" s="147"/>
      <c r="BV92" s="147"/>
      <c r="BW92" s="147"/>
      <c r="BX92" s="147"/>
      <c r="BY92" s="147"/>
      <c r="BZ92" s="147"/>
      <c r="CA92" s="147"/>
      <c r="CB92" s="147"/>
      <c r="CC92" s="147"/>
      <c r="CD92" s="147"/>
      <c r="CE92" s="147"/>
      <c r="CF92" s="147"/>
      <c r="CG92" s="147"/>
      <c r="CH92" s="147"/>
      <c r="CI92" s="147"/>
      <c r="CJ92" s="147"/>
      <c r="CK92" s="147"/>
      <c r="CL92" s="147"/>
      <c r="CM92" s="147"/>
      <c r="CN92" s="147"/>
      <c r="CO92" s="147"/>
      <c r="CP92" s="147"/>
      <c r="CQ92" s="147"/>
      <c r="CR92" s="147">
        <v>0</v>
      </c>
      <c r="CS92" s="148"/>
      <c r="CT92" s="148"/>
      <c r="CU92" s="148"/>
      <c r="CV92" s="148"/>
      <c r="CW92" s="148"/>
      <c r="CX92" s="148"/>
      <c r="CY92" s="148"/>
      <c r="CZ92" s="148"/>
      <c r="DA92" s="148"/>
      <c r="DB92" s="148"/>
      <c r="DC92" s="148"/>
      <c r="DD92" s="148"/>
      <c r="DE92" s="148"/>
      <c r="DF92" s="148"/>
      <c r="DG92" s="148"/>
      <c r="DH92" s="148"/>
      <c r="DI92" s="148"/>
      <c r="DJ92" s="148"/>
      <c r="DK92" s="148"/>
      <c r="DL92" s="148"/>
      <c r="DM92" s="148"/>
      <c r="DN92" s="148"/>
      <c r="DO92" s="148"/>
      <c r="DP92" s="148"/>
      <c r="DQ92" s="148"/>
      <c r="DR92" s="148"/>
      <c r="DS92" s="148"/>
      <c r="DT92" s="148"/>
      <c r="DU92" s="148"/>
      <c r="DV92" s="148"/>
      <c r="DW92" s="148"/>
      <c r="DX92" s="148"/>
      <c r="DY92" s="148"/>
      <c r="DZ92" s="148"/>
      <c r="EA92" s="148"/>
      <c r="EB92" s="148"/>
      <c r="EC92" s="148"/>
      <c r="ED92" s="148"/>
      <c r="EE92" s="148"/>
      <c r="EF92" s="148"/>
      <c r="EG92" s="148"/>
      <c r="EH92" s="148"/>
      <c r="EI92" s="148"/>
      <c r="EJ92" s="148"/>
      <c r="EK92" s="148"/>
      <c r="EL92" s="149"/>
      <c r="EM92" s="149"/>
      <c r="EN92" s="149"/>
      <c r="EO92" s="149"/>
      <c r="EP92" s="149"/>
      <c r="EQ92" s="149"/>
      <c r="ER92" s="149"/>
      <c r="ES92" s="149"/>
      <c r="ET92" s="149"/>
      <c r="EU92" s="149"/>
      <c r="EV92" s="149"/>
      <c r="EW92" s="149"/>
      <c r="EX92" s="149"/>
      <c r="EY92" s="149"/>
      <c r="EZ92" s="149"/>
      <c r="FA92" s="149"/>
      <c r="FB92" s="149"/>
      <c r="FC92" s="149"/>
      <c r="FD92" s="149"/>
      <c r="FE92" s="149"/>
      <c r="FF92" s="149"/>
      <c r="FG92" s="149"/>
      <c r="FH92" s="149"/>
      <c r="FI92" s="149"/>
      <c r="FJ92" s="149"/>
      <c r="FK92" s="150"/>
      <c r="FL92" s="150"/>
      <c r="FN92" s="151">
        <f t="shared" ref="FN92:FN111" si="189">+SUM(B92:D92)</f>
        <v>0</v>
      </c>
      <c r="FO92" s="152">
        <f t="shared" ref="FO92:FO111" si="190">+SUM(E92:G92)</f>
        <v>0</v>
      </c>
      <c r="FP92" s="152">
        <f t="shared" ref="FP92:FP111" si="191">+SUM(H92:J92)</f>
        <v>0</v>
      </c>
      <c r="FQ92" s="152">
        <f t="shared" ref="FQ92:FQ111" si="192">+SUM(K92:M92)</f>
        <v>0</v>
      </c>
      <c r="FR92" s="152">
        <f t="shared" ref="FR92:FR111" si="193">+SUM(N92:P92)</f>
        <v>0</v>
      </c>
      <c r="FS92" s="152">
        <f t="shared" ref="FS92:FS111" si="194">+SUM(Q92:S92)</f>
        <v>0</v>
      </c>
      <c r="FT92" s="152">
        <f t="shared" ref="FT92:FT111" si="195">+SUM(T92:V92)</f>
        <v>0</v>
      </c>
      <c r="FU92" s="152">
        <f t="shared" ref="FU92:FU111" si="196">+SUM(W92:Y92)</f>
        <v>0</v>
      </c>
      <c r="FV92" s="152">
        <f t="shared" ref="FV92:FV111" si="197">+SUM(Z92:AB92)</f>
        <v>0</v>
      </c>
      <c r="FW92" s="152">
        <f t="shared" ref="FW92:FW111" si="198">+SUM(AC92:AE92)</f>
        <v>0</v>
      </c>
      <c r="FX92" s="152">
        <f t="shared" ref="FX92:FX111" si="199">+SUM(AF92:AH92)</f>
        <v>0</v>
      </c>
      <c r="FY92" s="152">
        <f t="shared" ref="FY92:FY111" si="200">+SUM(AI92:AK92)</f>
        <v>0</v>
      </c>
      <c r="FZ92" s="152">
        <f t="shared" ref="FZ92:FZ111" si="201">+SUM(AL92:AN92)</f>
        <v>0</v>
      </c>
      <c r="GA92" s="152">
        <f t="shared" ref="GA92:GA111" si="202">+SUM(AO92:AQ92)</f>
        <v>0</v>
      </c>
      <c r="GB92" s="152">
        <f t="shared" ref="GB92:GB111" si="203">+SUM(AR92:AT92)</f>
        <v>0</v>
      </c>
      <c r="GC92" s="152">
        <f t="shared" ref="GC92:GC111" si="204">+SUM(AU92:AW92)</f>
        <v>0</v>
      </c>
      <c r="GD92" s="152">
        <f t="shared" ref="GD92:GD111" si="205">+SUM(AX92:AZ92)</f>
        <v>0</v>
      </c>
      <c r="GE92" s="152">
        <f t="shared" ref="GE92:GE111" si="206">+SUM(BA92:BC92)</f>
        <v>0</v>
      </c>
      <c r="GF92" s="152">
        <f t="shared" ref="GF92:GF111" si="207">+SUM(BD92:BF92)</f>
        <v>0</v>
      </c>
      <c r="GG92" s="152">
        <f t="shared" ref="GG92:GG111" si="208">+SUM(BG92:BI92)</f>
        <v>0</v>
      </c>
      <c r="GH92" s="152">
        <f t="shared" ref="GH92:GH111" si="209">+SUM(BJ92:BL92)</f>
        <v>0</v>
      </c>
      <c r="GI92" s="152">
        <f t="shared" ref="GI92:GI111" si="210">+SUM(BM92:BO92)</f>
        <v>0</v>
      </c>
      <c r="GJ92" s="152">
        <f t="shared" ref="GJ92:GJ111" si="211">+SUM(BP92:BR92)</f>
        <v>0</v>
      </c>
      <c r="GK92" s="152">
        <f t="shared" ref="GK92:GK111" si="212">+SUM(BS92:BU92)</f>
        <v>0</v>
      </c>
      <c r="GL92" s="152">
        <f t="shared" ref="GL92:GL111" si="213">+SUM(BV92:BX92)</f>
        <v>0</v>
      </c>
      <c r="GM92" s="152">
        <f t="shared" ref="GM92:GM111" si="214">+SUM(BY92:CA92)</f>
        <v>0</v>
      </c>
      <c r="GN92" s="152">
        <f t="shared" ref="GN92:GN111" si="215">+SUM(CB92:CD92)</f>
        <v>0</v>
      </c>
      <c r="GO92" s="152">
        <f t="shared" ref="GO92:GO111" si="216">+SUM(CE92:CG92)</f>
        <v>0</v>
      </c>
      <c r="GP92" s="152">
        <f t="shared" ref="GP92:GP111" si="217">+SUM(CH92:CJ92)</f>
        <v>0</v>
      </c>
      <c r="GQ92" s="152">
        <f t="shared" ref="GQ92:GQ111" si="218">+SUM(CK92:CM92)</f>
        <v>0</v>
      </c>
      <c r="GR92" s="152">
        <f t="shared" ref="GR92:GR111" si="219">+SUM(CN92:CP92)</f>
        <v>0</v>
      </c>
      <c r="GS92" s="152">
        <f t="shared" ref="GS92:GS111" si="220">+SUM(CQ92:CS92)</f>
        <v>0</v>
      </c>
      <c r="GT92" s="152">
        <f t="shared" ref="GT92:GT111" si="221">+SUM(CT92:CV92)</f>
        <v>0</v>
      </c>
      <c r="GU92" s="152">
        <f t="shared" ref="GU92:GU111" si="222">+SUM(CW92:CY92)</f>
        <v>0</v>
      </c>
      <c r="GV92" s="152">
        <f t="shared" ref="GV92:GV111" si="223">+SUM(CZ92:DB92)</f>
        <v>0</v>
      </c>
      <c r="GW92" s="152">
        <f t="shared" ref="GW92:GW111" si="224">+SUM(DC92:DE92)</f>
        <v>0</v>
      </c>
      <c r="GX92" s="152">
        <f t="shared" ref="GX92:GX111" si="225">+SUM(DF92:DH92)</f>
        <v>0</v>
      </c>
      <c r="GY92" s="152">
        <f t="shared" ref="GY92:GY111" si="226">+SUM(DI92:DK92)</f>
        <v>0</v>
      </c>
      <c r="GZ92" s="152">
        <f t="shared" ref="GZ92:GZ111" si="227">+SUM(DL92:DN92)</f>
        <v>0</v>
      </c>
      <c r="HA92" s="152">
        <f t="shared" ref="HA92:HA111" si="228">+SUM(DO92:DQ92)</f>
        <v>0</v>
      </c>
      <c r="HB92" s="152">
        <f t="shared" ref="HB92:HB111" si="229">+SUM(DR92:DT92)</f>
        <v>0</v>
      </c>
      <c r="HC92" s="152">
        <f t="shared" ref="HC92:HC111" si="230">+SUM(DU92:DW92)</f>
        <v>0</v>
      </c>
      <c r="HD92" s="152">
        <f t="shared" ref="HD92:HD111" si="231">+SUM(DX92:DZ92)</f>
        <v>0</v>
      </c>
      <c r="HE92" s="152">
        <f t="shared" ref="HE92:HE111" si="232">+SUM(EA92:EC92)</f>
        <v>0</v>
      </c>
      <c r="HF92" s="152">
        <f t="shared" ref="HF92:HF111" si="233">+SUM(ED92:EF92)</f>
        <v>0</v>
      </c>
      <c r="HG92" s="152">
        <f t="shared" ref="HG92:HG111" si="234">+SUM(EG92:EI92)</f>
        <v>0</v>
      </c>
      <c r="HH92" s="152">
        <f t="shared" ref="HH92:HH111" si="235">+SUM(EJ92:EL92)</f>
        <v>0</v>
      </c>
      <c r="HI92" s="152">
        <f t="shared" ref="HI92:HI111" si="236">+SUM(EM92:EO92)</f>
        <v>0</v>
      </c>
      <c r="HJ92" s="153">
        <f t="shared" ref="HJ92:HJ111" si="237">SUM(EP92:ER92)</f>
        <v>0</v>
      </c>
      <c r="HK92" s="153">
        <f t="shared" ref="HK92:HK111" si="238">SUM(ES92:EU92)</f>
        <v>0</v>
      </c>
      <c r="HL92" s="153">
        <f t="shared" ref="HL92:HL111" si="239">SUM(EV92:EX92)</f>
        <v>0</v>
      </c>
      <c r="HM92" s="153">
        <f t="shared" ref="HM92:HM111" si="240">SUM(EY92:FA92)</f>
        <v>0</v>
      </c>
      <c r="HN92" s="153">
        <f t="shared" ref="HN92:HN111" si="241">SUM(FB92:FD92)</f>
        <v>0</v>
      </c>
      <c r="HO92" s="153">
        <f t="shared" ref="HO92:HO111" si="242">SUM(FE92:FG92)</f>
        <v>0</v>
      </c>
      <c r="HP92" s="153">
        <f t="shared" ref="HP92:HP111" si="243">SUM(FH92:FJ92)</f>
        <v>0</v>
      </c>
      <c r="HQ92" s="101"/>
      <c r="HU92" s="154">
        <f t="shared" ref="HU92:HU129" si="244">SUM(B92:M92)</f>
        <v>0</v>
      </c>
      <c r="HV92" s="115">
        <f t="shared" ref="HV92:HV129" si="245">SUM(N92:Y92)</f>
        <v>0</v>
      </c>
      <c r="HW92" s="155">
        <f t="shared" ref="HW92:HW129" si="246">SUM(Z92:AK92)</f>
        <v>0</v>
      </c>
      <c r="HX92" s="156">
        <f t="shared" ref="HX92:HX129" si="247">SUM(AL92:AW92)</f>
        <v>0</v>
      </c>
      <c r="HY92" s="146">
        <f t="shared" ref="HY92:HY129" si="248">SUM(AX92:BI92)</f>
        <v>0</v>
      </c>
      <c r="HZ92" s="146">
        <f t="shared" ref="HZ92:HZ129" si="249">SUM(BJ92:BU92)</f>
        <v>0</v>
      </c>
      <c r="IA92" s="146">
        <f t="shared" ref="IA92:IA136" si="250">SUM(BV92:CG92)</f>
        <v>0</v>
      </c>
      <c r="IB92" s="157">
        <f t="shared" ref="IB92:IB136" si="251">SUM(CH92:CS92)</f>
        <v>0</v>
      </c>
      <c r="IC92" s="157">
        <f t="shared" ref="IC92:IC136" si="252">SUM(CT92:DE92)</f>
        <v>0</v>
      </c>
      <c r="ID92" s="157">
        <f t="shared" ref="ID92:ID136" si="253">SUM(DF92:DQ92)</f>
        <v>0</v>
      </c>
      <c r="IE92" s="157">
        <f t="shared" ref="IE92:IE136" si="254">SUM(DR92:EC92)</f>
        <v>0</v>
      </c>
      <c r="IF92" s="157">
        <f t="shared" ref="IF92:IF136" si="255">SUM(ED92:EO92)</f>
        <v>0</v>
      </c>
      <c r="IG92" s="157">
        <f t="shared" ref="IG92:IG136" si="256">SUM(EP92:FA92)</f>
        <v>0</v>
      </c>
    </row>
    <row r="93" spans="1:241" outlineLevel="2" x14ac:dyDescent="0.3">
      <c r="A93" s="158" t="s">
        <v>143</v>
      </c>
      <c r="B93" s="159">
        <v>1000</v>
      </c>
      <c r="C93" s="159">
        <v>1007</v>
      </c>
      <c r="D93" s="159">
        <v>800</v>
      </c>
      <c r="E93" s="159">
        <v>770</v>
      </c>
      <c r="F93" s="159">
        <v>462</v>
      </c>
      <c r="G93" s="159">
        <v>656</v>
      </c>
      <c r="H93" s="159">
        <v>568</v>
      </c>
      <c r="I93" s="159">
        <v>270</v>
      </c>
      <c r="J93" s="159">
        <v>369</v>
      </c>
      <c r="K93" s="159">
        <v>344</v>
      </c>
      <c r="L93" s="159">
        <v>203</v>
      </c>
      <c r="M93" s="159">
        <v>462</v>
      </c>
      <c r="N93" s="159">
        <v>391</v>
      </c>
      <c r="O93" s="159">
        <v>620</v>
      </c>
      <c r="P93" s="159">
        <v>775</v>
      </c>
      <c r="Q93" s="159">
        <v>928</v>
      </c>
      <c r="R93" s="159">
        <v>1003</v>
      </c>
      <c r="S93" s="160">
        <v>1086</v>
      </c>
      <c r="T93" s="160">
        <v>1212</v>
      </c>
      <c r="U93" s="160">
        <v>1005</v>
      </c>
      <c r="V93" s="160">
        <v>770</v>
      </c>
      <c r="W93" s="161">
        <v>1385</v>
      </c>
      <c r="X93" s="161">
        <v>1302</v>
      </c>
      <c r="Y93" s="161">
        <v>1503</v>
      </c>
      <c r="Z93" s="161">
        <v>828</v>
      </c>
      <c r="AA93" s="161">
        <v>800</v>
      </c>
      <c r="AB93" s="161">
        <v>801</v>
      </c>
      <c r="AC93" s="161">
        <v>718</v>
      </c>
      <c r="AD93" s="161">
        <v>1121</v>
      </c>
      <c r="AE93" s="161">
        <v>989</v>
      </c>
      <c r="AF93" s="161">
        <v>996</v>
      </c>
      <c r="AG93" s="161">
        <v>394</v>
      </c>
      <c r="AH93" s="161">
        <v>620</v>
      </c>
      <c r="AI93" s="161">
        <v>635</v>
      </c>
      <c r="AJ93" s="161">
        <v>418</v>
      </c>
      <c r="AK93" s="161">
        <v>502</v>
      </c>
      <c r="AL93" s="161">
        <v>640</v>
      </c>
      <c r="AM93" s="161">
        <v>737</v>
      </c>
      <c r="AN93" s="161">
        <v>797</v>
      </c>
      <c r="AO93" s="161">
        <v>850</v>
      </c>
      <c r="AP93" s="161">
        <v>646</v>
      </c>
      <c r="AQ93" s="161">
        <v>539</v>
      </c>
      <c r="AR93" s="161">
        <v>764</v>
      </c>
      <c r="AS93" s="161">
        <v>606</v>
      </c>
      <c r="AT93" s="161">
        <v>792</v>
      </c>
      <c r="AU93" s="161">
        <v>630</v>
      </c>
      <c r="AV93" s="161">
        <v>609</v>
      </c>
      <c r="AW93" s="161">
        <v>712</v>
      </c>
      <c r="AX93" s="160">
        <v>486</v>
      </c>
      <c r="AY93" s="161">
        <v>501</v>
      </c>
      <c r="AZ93" s="161">
        <v>603</v>
      </c>
      <c r="BA93" s="161">
        <v>560</v>
      </c>
      <c r="BB93" s="161">
        <v>651</v>
      </c>
      <c r="BC93" s="161">
        <v>602</v>
      </c>
      <c r="BD93" s="161">
        <v>646</v>
      </c>
      <c r="BE93" s="161">
        <v>265</v>
      </c>
      <c r="BF93" s="161">
        <v>391</v>
      </c>
      <c r="BG93" s="161">
        <v>288</v>
      </c>
      <c r="BH93" s="161">
        <v>319</v>
      </c>
      <c r="BI93" s="161">
        <v>353</v>
      </c>
      <c r="BJ93" s="161">
        <v>292</v>
      </c>
      <c r="BK93" s="162">
        <v>340</v>
      </c>
      <c r="BL93" s="162">
        <v>210</v>
      </c>
      <c r="BM93" s="162">
        <v>185</v>
      </c>
      <c r="BN93" s="162">
        <v>239</v>
      </c>
      <c r="BO93" s="162">
        <v>209</v>
      </c>
      <c r="BP93" s="162">
        <v>123</v>
      </c>
      <c r="BQ93" s="162">
        <v>72</v>
      </c>
      <c r="BR93" s="162">
        <v>68</v>
      </c>
      <c r="BS93" s="162">
        <v>45</v>
      </c>
      <c r="BT93" s="162">
        <v>34</v>
      </c>
      <c r="BU93" s="162">
        <v>43</v>
      </c>
      <c r="BV93" s="162">
        <v>65</v>
      </c>
      <c r="BW93" s="162">
        <v>49</v>
      </c>
      <c r="BX93" s="162">
        <v>40</v>
      </c>
      <c r="BY93" s="162">
        <v>29</v>
      </c>
      <c r="BZ93" s="162">
        <v>97</v>
      </c>
      <c r="CA93" s="162">
        <v>101</v>
      </c>
      <c r="CB93" s="162">
        <v>100</v>
      </c>
      <c r="CC93" s="162">
        <v>65</v>
      </c>
      <c r="CD93" s="162">
        <v>75</v>
      </c>
      <c r="CE93" s="162">
        <v>50</v>
      </c>
      <c r="CF93" s="162">
        <v>47</v>
      </c>
      <c r="CG93" s="162">
        <v>80</v>
      </c>
      <c r="CH93" s="162">
        <v>54</v>
      </c>
      <c r="CI93" s="162">
        <v>14</v>
      </c>
      <c r="CJ93" s="162">
        <v>52</v>
      </c>
      <c r="CK93" s="162">
        <v>2</v>
      </c>
      <c r="CL93" s="162">
        <v>3</v>
      </c>
      <c r="CM93" s="162">
        <v>0</v>
      </c>
      <c r="CN93" s="162">
        <v>0</v>
      </c>
      <c r="CO93" s="162">
        <v>0</v>
      </c>
      <c r="CP93" s="162"/>
      <c r="CQ93" s="162">
        <v>0</v>
      </c>
      <c r="CR93" s="162">
        <v>0</v>
      </c>
      <c r="CS93" s="163">
        <v>0</v>
      </c>
      <c r="CT93" s="163"/>
      <c r="CU93" s="163">
        <v>0</v>
      </c>
      <c r="CV93" s="163">
        <v>0</v>
      </c>
      <c r="CW93" s="163">
        <v>0</v>
      </c>
      <c r="CX93" s="163">
        <v>0</v>
      </c>
      <c r="CY93" s="163">
        <v>0</v>
      </c>
      <c r="CZ93" s="163">
        <v>0</v>
      </c>
      <c r="DA93" s="163">
        <v>0</v>
      </c>
      <c r="DB93" s="163">
        <v>0</v>
      </c>
      <c r="DC93" s="163">
        <v>0</v>
      </c>
      <c r="DD93" s="163">
        <v>0</v>
      </c>
      <c r="DE93" s="163">
        <v>0</v>
      </c>
      <c r="DF93" s="163">
        <v>0</v>
      </c>
      <c r="DG93" s="163">
        <v>0</v>
      </c>
      <c r="DH93" s="163">
        <v>0</v>
      </c>
      <c r="DI93" s="163">
        <v>0</v>
      </c>
      <c r="DJ93" s="163">
        <v>0</v>
      </c>
      <c r="DK93" s="163"/>
      <c r="DL93" s="163"/>
      <c r="DM93" s="163"/>
      <c r="DN93" s="163"/>
      <c r="DO93" s="163"/>
      <c r="DP93" s="163"/>
      <c r="DQ93" s="163"/>
      <c r="DR93" s="163"/>
      <c r="DS93" s="163"/>
      <c r="DT93" s="163"/>
      <c r="DU93" s="163"/>
      <c r="DV93" s="163"/>
      <c r="DW93" s="163"/>
      <c r="DX93" s="163"/>
      <c r="DY93" s="163"/>
      <c r="DZ93" s="163"/>
      <c r="EA93" s="163"/>
      <c r="EB93" s="163"/>
      <c r="EC93" s="163"/>
      <c r="ED93" s="163"/>
      <c r="EE93" s="163"/>
      <c r="EF93" s="163"/>
      <c r="EG93" s="163"/>
      <c r="EH93" s="163"/>
      <c r="EI93" s="163"/>
      <c r="EJ93" s="163"/>
      <c r="EK93" s="163"/>
      <c r="EL93" s="164"/>
      <c r="EM93" s="164"/>
      <c r="EN93" s="164"/>
      <c r="EO93" s="164"/>
      <c r="EP93" s="164"/>
      <c r="EQ93" s="164"/>
      <c r="ER93" s="164"/>
      <c r="ES93" s="164"/>
      <c r="ET93" s="164"/>
      <c r="EU93" s="164"/>
      <c r="EV93" s="164"/>
      <c r="EW93" s="164"/>
      <c r="EX93" s="164"/>
      <c r="EY93" s="164"/>
      <c r="EZ93" s="164"/>
      <c r="FA93" s="164"/>
      <c r="FB93" s="164"/>
      <c r="FC93" s="164"/>
      <c r="FD93" s="164"/>
      <c r="FE93" s="164"/>
      <c r="FF93" s="164"/>
      <c r="FG93" s="164"/>
      <c r="FH93" s="164"/>
      <c r="FI93" s="164"/>
      <c r="FJ93" s="164"/>
      <c r="FN93" s="165">
        <f t="shared" si="189"/>
        <v>2807</v>
      </c>
      <c r="FO93" s="166">
        <f t="shared" si="190"/>
        <v>1888</v>
      </c>
      <c r="FP93" s="166">
        <f t="shared" si="191"/>
        <v>1207</v>
      </c>
      <c r="FQ93" s="166">
        <f t="shared" si="192"/>
        <v>1009</v>
      </c>
      <c r="FR93" s="166">
        <f t="shared" si="193"/>
        <v>1786</v>
      </c>
      <c r="FS93" s="166">
        <f t="shared" si="194"/>
        <v>3017</v>
      </c>
      <c r="FT93" s="166">
        <f t="shared" si="195"/>
        <v>2987</v>
      </c>
      <c r="FU93" s="166">
        <f t="shared" si="196"/>
        <v>4190</v>
      </c>
      <c r="FV93" s="166">
        <f t="shared" si="197"/>
        <v>2429</v>
      </c>
      <c r="FW93" s="166">
        <f t="shared" si="198"/>
        <v>2828</v>
      </c>
      <c r="FX93" s="166">
        <f t="shared" si="199"/>
        <v>2010</v>
      </c>
      <c r="FY93" s="166">
        <f t="shared" si="200"/>
        <v>1555</v>
      </c>
      <c r="FZ93" s="166">
        <f t="shared" si="201"/>
        <v>2174</v>
      </c>
      <c r="GA93" s="166">
        <f t="shared" si="202"/>
        <v>2035</v>
      </c>
      <c r="GB93" s="166">
        <f t="shared" si="203"/>
        <v>2162</v>
      </c>
      <c r="GC93" s="166">
        <f t="shared" si="204"/>
        <v>1951</v>
      </c>
      <c r="GD93" s="166">
        <f t="shared" si="205"/>
        <v>1590</v>
      </c>
      <c r="GE93" s="166">
        <f t="shared" si="206"/>
        <v>1813</v>
      </c>
      <c r="GF93" s="166">
        <f t="shared" si="207"/>
        <v>1302</v>
      </c>
      <c r="GG93" s="166">
        <f t="shared" si="208"/>
        <v>960</v>
      </c>
      <c r="GH93" s="166">
        <f t="shared" si="209"/>
        <v>842</v>
      </c>
      <c r="GI93" s="166">
        <f t="shared" si="210"/>
        <v>633</v>
      </c>
      <c r="GJ93" s="166">
        <f t="shared" si="211"/>
        <v>263</v>
      </c>
      <c r="GK93" s="166">
        <f t="shared" si="212"/>
        <v>122</v>
      </c>
      <c r="GL93" s="166">
        <f t="shared" si="213"/>
        <v>154</v>
      </c>
      <c r="GM93" s="166">
        <f t="shared" si="214"/>
        <v>227</v>
      </c>
      <c r="GN93" s="166">
        <f t="shared" si="215"/>
        <v>240</v>
      </c>
      <c r="GO93" s="166">
        <f t="shared" si="216"/>
        <v>177</v>
      </c>
      <c r="GP93" s="166">
        <f t="shared" si="217"/>
        <v>120</v>
      </c>
      <c r="GQ93" s="166">
        <f t="shared" si="218"/>
        <v>5</v>
      </c>
      <c r="GR93" s="166">
        <f t="shared" si="219"/>
        <v>0</v>
      </c>
      <c r="GS93" s="166">
        <f t="shared" si="220"/>
        <v>0</v>
      </c>
      <c r="GT93" s="166">
        <f t="shared" si="221"/>
        <v>0</v>
      </c>
      <c r="GU93" s="166">
        <f t="shared" si="222"/>
        <v>0</v>
      </c>
      <c r="GV93" s="166">
        <f t="shared" si="223"/>
        <v>0</v>
      </c>
      <c r="GW93" s="166">
        <f t="shared" si="224"/>
        <v>0</v>
      </c>
      <c r="GX93" s="166">
        <f t="shared" si="225"/>
        <v>0</v>
      </c>
      <c r="GY93" s="166">
        <f t="shared" si="226"/>
        <v>0</v>
      </c>
      <c r="GZ93" s="166">
        <f t="shared" si="227"/>
        <v>0</v>
      </c>
      <c r="HA93" s="166">
        <f t="shared" si="228"/>
        <v>0</v>
      </c>
      <c r="HB93" s="166">
        <f t="shared" si="229"/>
        <v>0</v>
      </c>
      <c r="HC93" s="166">
        <f t="shared" si="230"/>
        <v>0</v>
      </c>
      <c r="HD93" s="166">
        <f t="shared" si="231"/>
        <v>0</v>
      </c>
      <c r="HE93" s="166">
        <f t="shared" si="232"/>
        <v>0</v>
      </c>
      <c r="HF93" s="166">
        <f t="shared" si="233"/>
        <v>0</v>
      </c>
      <c r="HG93" s="166">
        <f t="shared" si="234"/>
        <v>0</v>
      </c>
      <c r="HH93" s="166">
        <f t="shared" si="235"/>
        <v>0</v>
      </c>
      <c r="HI93" s="166">
        <f t="shared" si="236"/>
        <v>0</v>
      </c>
      <c r="HJ93" s="167">
        <f t="shared" si="237"/>
        <v>0</v>
      </c>
      <c r="HK93" s="167">
        <f t="shared" si="238"/>
        <v>0</v>
      </c>
      <c r="HL93" s="167">
        <f t="shared" si="239"/>
        <v>0</v>
      </c>
      <c r="HM93" s="167">
        <f t="shared" si="240"/>
        <v>0</v>
      </c>
      <c r="HN93" s="167">
        <f t="shared" si="241"/>
        <v>0</v>
      </c>
      <c r="HO93" s="167">
        <f t="shared" si="242"/>
        <v>0</v>
      </c>
      <c r="HP93" s="167">
        <f t="shared" si="243"/>
        <v>0</v>
      </c>
      <c r="HQ93" s="168"/>
      <c r="HU93" s="169">
        <f t="shared" si="244"/>
        <v>6911</v>
      </c>
      <c r="HV93" s="169">
        <f t="shared" si="245"/>
        <v>11980</v>
      </c>
      <c r="HW93" s="169">
        <f t="shared" si="246"/>
        <v>8822</v>
      </c>
      <c r="HX93" s="170">
        <f t="shared" si="247"/>
        <v>8322</v>
      </c>
      <c r="HY93" s="160">
        <f t="shared" si="248"/>
        <v>5665</v>
      </c>
      <c r="HZ93" s="160">
        <f t="shared" si="249"/>
        <v>1860</v>
      </c>
      <c r="IA93" s="160">
        <f t="shared" si="250"/>
        <v>798</v>
      </c>
      <c r="IB93" s="171">
        <f t="shared" si="251"/>
        <v>125</v>
      </c>
      <c r="IC93" s="171">
        <f t="shared" si="252"/>
        <v>0</v>
      </c>
      <c r="ID93" s="171">
        <f t="shared" si="253"/>
        <v>0</v>
      </c>
      <c r="IE93" s="171">
        <f t="shared" si="254"/>
        <v>0</v>
      </c>
      <c r="IF93" s="171">
        <f t="shared" si="255"/>
        <v>0</v>
      </c>
      <c r="IG93" s="171">
        <f t="shared" si="256"/>
        <v>0</v>
      </c>
    </row>
    <row r="94" spans="1:241" outlineLevel="2" x14ac:dyDescent="0.3">
      <c r="A94" s="144" t="s">
        <v>144</v>
      </c>
      <c r="B94" s="145">
        <v>7019</v>
      </c>
      <c r="C94" s="145">
        <v>5896</v>
      </c>
      <c r="D94" s="145">
        <v>6124</v>
      </c>
      <c r="E94" s="145">
        <v>6120</v>
      </c>
      <c r="F94" s="145">
        <v>7760</v>
      </c>
      <c r="G94" s="145">
        <v>7694</v>
      </c>
      <c r="H94" s="145">
        <v>7449</v>
      </c>
      <c r="I94" s="145">
        <v>5790</v>
      </c>
      <c r="J94" s="145">
        <v>6297</v>
      </c>
      <c r="K94" s="145">
        <v>6031</v>
      </c>
      <c r="L94" s="145">
        <v>4370</v>
      </c>
      <c r="M94" s="145">
        <v>5221</v>
      </c>
      <c r="N94" s="145">
        <v>3944</v>
      </c>
      <c r="O94" s="145">
        <v>3935</v>
      </c>
      <c r="P94" s="145">
        <v>3101</v>
      </c>
      <c r="Q94" s="145">
        <v>3095</v>
      </c>
      <c r="R94" s="145">
        <v>2597</v>
      </c>
      <c r="S94" s="146">
        <v>4380</v>
      </c>
      <c r="T94" s="146">
        <v>4017</v>
      </c>
      <c r="U94" s="146">
        <v>3337</v>
      </c>
      <c r="V94" s="146">
        <v>1913</v>
      </c>
      <c r="W94" s="131">
        <v>2792</v>
      </c>
      <c r="X94" s="131">
        <v>3304</v>
      </c>
      <c r="Y94" s="131">
        <v>2414</v>
      </c>
      <c r="Z94" s="131">
        <v>2621</v>
      </c>
      <c r="AA94" s="131">
        <v>2018</v>
      </c>
      <c r="AB94" s="131">
        <v>2052</v>
      </c>
      <c r="AC94" s="131">
        <v>2161</v>
      </c>
      <c r="AD94" s="131">
        <v>1855</v>
      </c>
      <c r="AE94" s="131">
        <v>2249</v>
      </c>
      <c r="AF94" s="131">
        <v>2186</v>
      </c>
      <c r="AG94" s="131">
        <v>1800</v>
      </c>
      <c r="AH94" s="131">
        <v>362</v>
      </c>
      <c r="AI94" s="131">
        <v>2357</v>
      </c>
      <c r="AJ94" s="131">
        <v>1689</v>
      </c>
      <c r="AK94" s="131">
        <v>1499</v>
      </c>
      <c r="AL94" s="131">
        <v>1020</v>
      </c>
      <c r="AM94" s="131">
        <v>946</v>
      </c>
      <c r="AN94" s="131">
        <v>863</v>
      </c>
      <c r="AO94" s="131">
        <v>477</v>
      </c>
      <c r="AP94" s="131">
        <v>5194</v>
      </c>
      <c r="AQ94" s="131">
        <v>5153</v>
      </c>
      <c r="AR94" s="131">
        <v>6591</v>
      </c>
      <c r="AS94" s="131">
        <v>5156</v>
      </c>
      <c r="AT94" s="131">
        <v>4443</v>
      </c>
      <c r="AU94" s="131">
        <v>3518</v>
      </c>
      <c r="AV94" s="131">
        <v>2435</v>
      </c>
      <c r="AW94" s="131">
        <v>2722</v>
      </c>
      <c r="AX94" s="146">
        <v>2211</v>
      </c>
      <c r="AY94" s="131">
        <v>2245</v>
      </c>
      <c r="AZ94" s="131">
        <v>4391</v>
      </c>
      <c r="BA94" s="131">
        <v>1458</v>
      </c>
      <c r="BB94" s="131">
        <v>2598</v>
      </c>
      <c r="BC94" s="131">
        <v>4100</v>
      </c>
      <c r="BD94" s="131">
        <v>3184</v>
      </c>
      <c r="BE94" s="131">
        <v>2222</v>
      </c>
      <c r="BF94" s="131">
        <v>3094</v>
      </c>
      <c r="BG94" s="131">
        <v>3779</v>
      </c>
      <c r="BH94" s="131">
        <v>3421</v>
      </c>
      <c r="BI94" s="131">
        <v>3648</v>
      </c>
      <c r="BJ94" s="131">
        <v>3062</v>
      </c>
      <c r="BK94" s="147">
        <v>2842</v>
      </c>
      <c r="BL94" s="147">
        <v>2768</v>
      </c>
      <c r="BM94" s="147">
        <v>3013</v>
      </c>
      <c r="BN94" s="147">
        <v>2170</v>
      </c>
      <c r="BO94" s="147">
        <v>3375</v>
      </c>
      <c r="BP94" s="147">
        <v>3295</v>
      </c>
      <c r="BQ94" s="147">
        <v>1754</v>
      </c>
      <c r="BR94" s="147">
        <v>3028</v>
      </c>
      <c r="BS94" s="147">
        <v>2088</v>
      </c>
      <c r="BT94" s="147">
        <v>2789</v>
      </c>
      <c r="BU94" s="147">
        <v>3180</v>
      </c>
      <c r="BV94" s="147">
        <v>2936</v>
      </c>
      <c r="BW94" s="147">
        <v>3715</v>
      </c>
      <c r="BX94" s="147">
        <v>3864</v>
      </c>
      <c r="BY94" s="147">
        <v>3305</v>
      </c>
      <c r="BZ94" s="147">
        <v>3104</v>
      </c>
      <c r="CA94" s="147">
        <v>3959</v>
      </c>
      <c r="CB94" s="147">
        <v>4522</v>
      </c>
      <c r="CC94" s="147">
        <v>3218</v>
      </c>
      <c r="CD94" s="147">
        <v>2907</v>
      </c>
      <c r="CE94" s="147">
        <v>3190</v>
      </c>
      <c r="CF94" s="147">
        <v>2665</v>
      </c>
      <c r="CG94" s="147">
        <v>3458</v>
      </c>
      <c r="CH94" s="147">
        <v>2826</v>
      </c>
      <c r="CI94" s="147">
        <v>2129</v>
      </c>
      <c r="CJ94" s="147">
        <v>1363</v>
      </c>
      <c r="CK94" s="147">
        <v>2447</v>
      </c>
      <c r="CL94" s="147">
        <v>2063</v>
      </c>
      <c r="CM94" s="147">
        <v>1849</v>
      </c>
      <c r="CN94" s="147">
        <v>1991</v>
      </c>
      <c r="CO94" s="147">
        <v>1846</v>
      </c>
      <c r="CP94" s="147">
        <v>1033</v>
      </c>
      <c r="CQ94" s="147">
        <v>862</v>
      </c>
      <c r="CR94" s="147">
        <v>2751</v>
      </c>
      <c r="CS94" s="148">
        <v>941</v>
      </c>
      <c r="CT94" s="148"/>
      <c r="CU94" s="148">
        <v>118</v>
      </c>
      <c r="CV94" s="148">
        <v>1061</v>
      </c>
      <c r="CW94" s="148">
        <v>883</v>
      </c>
      <c r="CX94" s="148">
        <v>1337</v>
      </c>
      <c r="CY94" s="148">
        <v>1513</v>
      </c>
      <c r="CZ94" s="148">
        <v>1633</v>
      </c>
      <c r="DA94" s="148">
        <v>1754</v>
      </c>
      <c r="DB94" s="148">
        <v>281</v>
      </c>
      <c r="DC94" s="148">
        <v>1330</v>
      </c>
      <c r="DD94" s="148">
        <v>1803</v>
      </c>
      <c r="DE94" s="148">
        <v>1235</v>
      </c>
      <c r="DF94" s="148">
        <v>809</v>
      </c>
      <c r="DG94" s="148"/>
      <c r="DH94" s="148">
        <v>533</v>
      </c>
      <c r="DI94" s="148">
        <v>480</v>
      </c>
      <c r="DJ94" s="148">
        <v>184</v>
      </c>
      <c r="DK94" s="148"/>
      <c r="DL94" s="148"/>
      <c r="DM94" s="148"/>
      <c r="DN94" s="148"/>
      <c r="DO94" s="148"/>
      <c r="DP94" s="148"/>
      <c r="DQ94" s="148"/>
      <c r="DR94" s="148"/>
      <c r="DS94" s="148"/>
      <c r="DT94" s="148"/>
      <c r="DU94" s="148"/>
      <c r="DV94" s="148"/>
      <c r="DW94" s="148"/>
      <c r="DX94" s="148"/>
      <c r="DY94" s="148"/>
      <c r="DZ94" s="148"/>
      <c r="EA94" s="148"/>
      <c r="EB94" s="148"/>
      <c r="EC94" s="148"/>
      <c r="ED94" s="148"/>
      <c r="EE94" s="148"/>
      <c r="EF94" s="148"/>
      <c r="EG94" s="148"/>
      <c r="EH94" s="148"/>
      <c r="EI94" s="148"/>
      <c r="EJ94" s="148"/>
      <c r="EK94" s="148"/>
      <c r="EL94" s="149"/>
      <c r="EM94" s="149"/>
      <c r="EN94" s="149"/>
      <c r="EO94" s="149"/>
      <c r="EP94" s="149"/>
      <c r="EQ94" s="149"/>
      <c r="ER94" s="149"/>
      <c r="ES94" s="149"/>
      <c r="ET94" s="149"/>
      <c r="EU94" s="149"/>
      <c r="EV94" s="149"/>
      <c r="EW94" s="149"/>
      <c r="EX94" s="149"/>
      <c r="EY94" s="149"/>
      <c r="EZ94" s="149"/>
      <c r="FA94" s="149"/>
      <c r="FB94" s="149"/>
      <c r="FC94" s="149"/>
      <c r="FD94" s="149"/>
      <c r="FE94" s="149"/>
      <c r="FF94" s="149"/>
      <c r="FG94" s="149"/>
      <c r="FH94" s="149"/>
      <c r="FI94" s="149"/>
      <c r="FJ94" s="149"/>
      <c r="FN94" s="151">
        <f t="shared" si="189"/>
        <v>19039</v>
      </c>
      <c r="FO94" s="152">
        <f t="shared" si="190"/>
        <v>21574</v>
      </c>
      <c r="FP94" s="152">
        <f t="shared" si="191"/>
        <v>19536</v>
      </c>
      <c r="FQ94" s="152">
        <f t="shared" si="192"/>
        <v>15622</v>
      </c>
      <c r="FR94" s="152">
        <f t="shared" si="193"/>
        <v>10980</v>
      </c>
      <c r="FS94" s="152">
        <f t="shared" si="194"/>
        <v>10072</v>
      </c>
      <c r="FT94" s="152">
        <f t="shared" si="195"/>
        <v>9267</v>
      </c>
      <c r="FU94" s="152">
        <f t="shared" si="196"/>
        <v>8510</v>
      </c>
      <c r="FV94" s="152">
        <f t="shared" si="197"/>
        <v>6691</v>
      </c>
      <c r="FW94" s="152">
        <f t="shared" si="198"/>
        <v>6265</v>
      </c>
      <c r="FX94" s="152">
        <f t="shared" si="199"/>
        <v>4348</v>
      </c>
      <c r="FY94" s="152">
        <f t="shared" si="200"/>
        <v>5545</v>
      </c>
      <c r="FZ94" s="152">
        <f t="shared" si="201"/>
        <v>2829</v>
      </c>
      <c r="GA94" s="152">
        <f t="shared" si="202"/>
        <v>10824</v>
      </c>
      <c r="GB94" s="152">
        <f t="shared" si="203"/>
        <v>16190</v>
      </c>
      <c r="GC94" s="152">
        <f t="shared" si="204"/>
        <v>8675</v>
      </c>
      <c r="GD94" s="152">
        <f t="shared" si="205"/>
        <v>8847</v>
      </c>
      <c r="GE94" s="152">
        <f t="shared" si="206"/>
        <v>8156</v>
      </c>
      <c r="GF94" s="152">
        <f t="shared" si="207"/>
        <v>8500</v>
      </c>
      <c r="GG94" s="152">
        <f t="shared" si="208"/>
        <v>10848</v>
      </c>
      <c r="GH94" s="152">
        <f t="shared" si="209"/>
        <v>8672</v>
      </c>
      <c r="GI94" s="152">
        <f t="shared" si="210"/>
        <v>8558</v>
      </c>
      <c r="GJ94" s="152">
        <f t="shared" si="211"/>
        <v>8077</v>
      </c>
      <c r="GK94" s="152">
        <f t="shared" si="212"/>
        <v>8057</v>
      </c>
      <c r="GL94" s="152">
        <f t="shared" si="213"/>
        <v>10515</v>
      </c>
      <c r="GM94" s="152">
        <f t="shared" si="214"/>
        <v>10368</v>
      </c>
      <c r="GN94" s="152">
        <f t="shared" si="215"/>
        <v>10647</v>
      </c>
      <c r="GO94" s="152">
        <f t="shared" si="216"/>
        <v>9313</v>
      </c>
      <c r="GP94" s="152">
        <f t="shared" si="217"/>
        <v>6318</v>
      </c>
      <c r="GQ94" s="152">
        <f t="shared" si="218"/>
        <v>6359</v>
      </c>
      <c r="GR94" s="152">
        <f t="shared" si="219"/>
        <v>4870</v>
      </c>
      <c r="GS94" s="152">
        <f t="shared" si="220"/>
        <v>4554</v>
      </c>
      <c r="GT94" s="152">
        <f t="shared" si="221"/>
        <v>1179</v>
      </c>
      <c r="GU94" s="152">
        <f t="shared" si="222"/>
        <v>3733</v>
      </c>
      <c r="GV94" s="152">
        <f t="shared" si="223"/>
        <v>3668</v>
      </c>
      <c r="GW94" s="152">
        <f t="shared" si="224"/>
        <v>4368</v>
      </c>
      <c r="GX94" s="152">
        <f t="shared" si="225"/>
        <v>1342</v>
      </c>
      <c r="GY94" s="152">
        <f t="shared" si="226"/>
        <v>664</v>
      </c>
      <c r="GZ94" s="152">
        <f t="shared" si="227"/>
        <v>0</v>
      </c>
      <c r="HA94" s="152">
        <f t="shared" si="228"/>
        <v>0</v>
      </c>
      <c r="HB94" s="152">
        <f t="shared" si="229"/>
        <v>0</v>
      </c>
      <c r="HC94" s="152">
        <f t="shared" si="230"/>
        <v>0</v>
      </c>
      <c r="HD94" s="152">
        <f t="shared" si="231"/>
        <v>0</v>
      </c>
      <c r="HE94" s="152">
        <f t="shared" si="232"/>
        <v>0</v>
      </c>
      <c r="HF94" s="152">
        <f t="shared" si="233"/>
        <v>0</v>
      </c>
      <c r="HG94" s="152">
        <f t="shared" si="234"/>
        <v>0</v>
      </c>
      <c r="HH94" s="152">
        <f t="shared" si="235"/>
        <v>0</v>
      </c>
      <c r="HI94" s="152">
        <f t="shared" si="236"/>
        <v>0</v>
      </c>
      <c r="HJ94" s="153">
        <f t="shared" si="237"/>
        <v>0</v>
      </c>
      <c r="HK94" s="153">
        <f t="shared" si="238"/>
        <v>0</v>
      </c>
      <c r="HL94" s="153">
        <f t="shared" si="239"/>
        <v>0</v>
      </c>
      <c r="HM94" s="153">
        <f t="shared" si="240"/>
        <v>0</v>
      </c>
      <c r="HN94" s="153">
        <f t="shared" si="241"/>
        <v>0</v>
      </c>
      <c r="HO94" s="153">
        <f t="shared" si="242"/>
        <v>0</v>
      </c>
      <c r="HP94" s="153">
        <f t="shared" si="243"/>
        <v>0</v>
      </c>
      <c r="HQ94" s="101"/>
      <c r="HU94" s="155">
        <f t="shared" si="244"/>
        <v>75771</v>
      </c>
      <c r="HV94" s="155">
        <f t="shared" si="245"/>
        <v>38829</v>
      </c>
      <c r="HW94" s="155">
        <f t="shared" si="246"/>
        <v>22849</v>
      </c>
      <c r="HX94" s="156">
        <f t="shared" si="247"/>
        <v>38518</v>
      </c>
      <c r="HY94" s="146">
        <f t="shared" si="248"/>
        <v>36351</v>
      </c>
      <c r="HZ94" s="146">
        <f t="shared" si="249"/>
        <v>33364</v>
      </c>
      <c r="IA94" s="146">
        <f t="shared" si="250"/>
        <v>40843</v>
      </c>
      <c r="IB94" s="157">
        <f t="shared" si="251"/>
        <v>22101</v>
      </c>
      <c r="IC94" s="157">
        <f t="shared" si="252"/>
        <v>12948</v>
      </c>
      <c r="ID94" s="157">
        <f t="shared" si="253"/>
        <v>2006</v>
      </c>
      <c r="IE94" s="157">
        <f t="shared" si="254"/>
        <v>0</v>
      </c>
      <c r="IF94" s="157">
        <f t="shared" si="255"/>
        <v>0</v>
      </c>
      <c r="IG94" s="157">
        <f t="shared" si="256"/>
        <v>0</v>
      </c>
    </row>
    <row r="95" spans="1:241" outlineLevel="2" x14ac:dyDescent="0.3">
      <c r="A95" s="158" t="s">
        <v>145</v>
      </c>
      <c r="B95" s="159">
        <v>5955</v>
      </c>
      <c r="C95" s="159">
        <v>5090</v>
      </c>
      <c r="D95" s="159">
        <v>6579</v>
      </c>
      <c r="E95" s="159">
        <v>5562</v>
      </c>
      <c r="F95" s="159">
        <v>5192</v>
      </c>
      <c r="G95" s="159">
        <v>5235</v>
      </c>
      <c r="H95" s="159">
        <v>4552</v>
      </c>
      <c r="I95" s="159">
        <v>5759</v>
      </c>
      <c r="J95" s="159">
        <v>5257</v>
      </c>
      <c r="K95" s="159">
        <v>5863</v>
      </c>
      <c r="L95" s="159">
        <v>5052</v>
      </c>
      <c r="M95" s="159">
        <v>7124</v>
      </c>
      <c r="N95" s="159">
        <v>5933</v>
      </c>
      <c r="O95" s="159">
        <v>4835</v>
      </c>
      <c r="P95" s="159">
        <v>4009</v>
      </c>
      <c r="Q95" s="159">
        <v>4163</v>
      </c>
      <c r="R95" s="159">
        <v>4471</v>
      </c>
      <c r="S95" s="160">
        <v>5146</v>
      </c>
      <c r="T95" s="160">
        <v>4943</v>
      </c>
      <c r="U95" s="160">
        <v>3644</v>
      </c>
      <c r="V95" s="160">
        <v>3743</v>
      </c>
      <c r="W95" s="161">
        <v>3356</v>
      </c>
      <c r="X95" s="161">
        <v>3555</v>
      </c>
      <c r="Y95" s="161">
        <v>3925</v>
      </c>
      <c r="Z95" s="161">
        <v>3090</v>
      </c>
      <c r="AA95" s="161">
        <v>2849</v>
      </c>
      <c r="AB95" s="161">
        <v>2923</v>
      </c>
      <c r="AC95" s="161">
        <v>2683</v>
      </c>
      <c r="AD95" s="161">
        <v>2252</v>
      </c>
      <c r="AE95" s="161">
        <v>2555</v>
      </c>
      <c r="AF95" s="161">
        <v>2641</v>
      </c>
      <c r="AG95" s="161">
        <v>2323</v>
      </c>
      <c r="AH95" s="161">
        <v>2134</v>
      </c>
      <c r="AI95" s="161">
        <v>2605</v>
      </c>
      <c r="AJ95" s="161">
        <v>2188</v>
      </c>
      <c r="AK95" s="161">
        <v>2092</v>
      </c>
      <c r="AL95" s="161">
        <v>2009</v>
      </c>
      <c r="AM95" s="161">
        <v>2125</v>
      </c>
      <c r="AN95" s="161">
        <v>1748</v>
      </c>
      <c r="AO95" s="161">
        <v>1102</v>
      </c>
      <c r="AP95" s="161">
        <v>1079</v>
      </c>
      <c r="AQ95" s="161">
        <v>1238</v>
      </c>
      <c r="AR95" s="161">
        <v>1286</v>
      </c>
      <c r="AS95" s="161">
        <v>1168</v>
      </c>
      <c r="AT95" s="161">
        <v>1206</v>
      </c>
      <c r="AU95" s="161">
        <v>1516</v>
      </c>
      <c r="AV95" s="161">
        <v>1247</v>
      </c>
      <c r="AW95" s="161">
        <v>1427</v>
      </c>
      <c r="AX95" s="160">
        <v>948</v>
      </c>
      <c r="AY95" s="161">
        <v>1608</v>
      </c>
      <c r="AZ95" s="161">
        <v>958</v>
      </c>
      <c r="BA95" s="161">
        <v>768</v>
      </c>
      <c r="BB95" s="161">
        <v>928</v>
      </c>
      <c r="BC95" s="161">
        <v>1012</v>
      </c>
      <c r="BD95" s="161">
        <v>1126</v>
      </c>
      <c r="BE95" s="161">
        <v>1271</v>
      </c>
      <c r="BF95" s="161">
        <v>1060</v>
      </c>
      <c r="BG95" s="161">
        <v>1030</v>
      </c>
      <c r="BH95" s="161">
        <v>1081</v>
      </c>
      <c r="BI95" s="161">
        <v>1043</v>
      </c>
      <c r="BJ95" s="161">
        <v>355</v>
      </c>
      <c r="BK95" s="162">
        <v>115</v>
      </c>
      <c r="BL95" s="162">
        <v>287</v>
      </c>
      <c r="BM95" s="162">
        <v>123</v>
      </c>
      <c r="BN95" s="162">
        <v>16</v>
      </c>
      <c r="BO95" s="162">
        <v>1</v>
      </c>
      <c r="BP95" s="162">
        <v>0</v>
      </c>
      <c r="BQ95" s="162">
        <v>0</v>
      </c>
      <c r="BR95" s="162">
        <v>0</v>
      </c>
      <c r="BS95" s="162">
        <v>0</v>
      </c>
      <c r="BT95" s="162">
        <v>0</v>
      </c>
      <c r="BU95" s="162">
        <v>0</v>
      </c>
      <c r="BV95" s="162">
        <v>0</v>
      </c>
      <c r="BW95" s="162">
        <v>0</v>
      </c>
      <c r="BX95" s="162">
        <v>0</v>
      </c>
      <c r="BY95" s="162">
        <v>0</v>
      </c>
      <c r="BZ95" s="162">
        <v>0</v>
      </c>
      <c r="CA95" s="162">
        <v>0</v>
      </c>
      <c r="CB95" s="162">
        <v>0</v>
      </c>
      <c r="CC95" s="162">
        <v>0</v>
      </c>
      <c r="CD95" s="162">
        <v>0</v>
      </c>
      <c r="CE95" s="162">
        <v>0</v>
      </c>
      <c r="CF95" s="162"/>
      <c r="CG95" s="162">
        <v>0</v>
      </c>
      <c r="CH95" s="162">
        <v>0</v>
      </c>
      <c r="CI95" s="162">
        <v>0</v>
      </c>
      <c r="CJ95" s="162">
        <v>0</v>
      </c>
      <c r="CK95" s="162"/>
      <c r="CL95" s="162">
        <v>0</v>
      </c>
      <c r="CM95" s="162">
        <v>0</v>
      </c>
      <c r="CN95" s="162">
        <v>0</v>
      </c>
      <c r="CO95" s="162">
        <v>0</v>
      </c>
      <c r="CP95" s="162"/>
      <c r="CQ95" s="162">
        <v>0</v>
      </c>
      <c r="CR95" s="162">
        <v>0</v>
      </c>
      <c r="CS95" s="163">
        <v>0</v>
      </c>
      <c r="CT95" s="163"/>
      <c r="CU95" s="163"/>
      <c r="CV95" s="163">
        <v>0</v>
      </c>
      <c r="CW95" s="163">
        <v>0</v>
      </c>
      <c r="CX95" s="163">
        <v>0</v>
      </c>
      <c r="CY95" s="163">
        <v>0</v>
      </c>
      <c r="CZ95" s="163">
        <v>0</v>
      </c>
      <c r="DA95" s="163">
        <v>0</v>
      </c>
      <c r="DB95" s="163">
        <v>0</v>
      </c>
      <c r="DC95" s="163">
        <v>0</v>
      </c>
      <c r="DD95" s="163">
        <v>0</v>
      </c>
      <c r="DE95" s="163" t="s">
        <v>146</v>
      </c>
      <c r="DF95" s="163" t="s">
        <v>146</v>
      </c>
      <c r="DG95" s="163" t="s">
        <v>146</v>
      </c>
      <c r="DH95" s="163"/>
      <c r="DI95" s="163"/>
      <c r="DJ95" s="163"/>
      <c r="DK95" s="163"/>
      <c r="DL95" s="163"/>
      <c r="DM95" s="163"/>
      <c r="DN95" s="163"/>
      <c r="DO95" s="163"/>
      <c r="DP95" s="163"/>
      <c r="DQ95" s="163"/>
      <c r="DR95" s="163"/>
      <c r="DS95" s="163"/>
      <c r="DT95" s="163"/>
      <c r="DU95" s="163"/>
      <c r="DV95" s="163"/>
      <c r="DW95" s="163"/>
      <c r="DX95" s="163"/>
      <c r="DY95" s="163"/>
      <c r="DZ95" s="163"/>
      <c r="EA95" s="163"/>
      <c r="EB95" s="163"/>
      <c r="EC95" s="163"/>
      <c r="ED95" s="163"/>
      <c r="EE95" s="163"/>
      <c r="EF95" s="163"/>
      <c r="EG95" s="163"/>
      <c r="EH95" s="163"/>
      <c r="EI95" s="163"/>
      <c r="EJ95" s="163"/>
      <c r="EK95" s="163"/>
      <c r="EL95" s="164"/>
      <c r="EM95" s="164"/>
      <c r="EN95" s="164"/>
      <c r="EO95" s="164"/>
      <c r="EP95" s="164"/>
      <c r="EQ95" s="164"/>
      <c r="ER95" s="164"/>
      <c r="ES95" s="164"/>
      <c r="ET95" s="164"/>
      <c r="EU95" s="164"/>
      <c r="EV95" s="164"/>
      <c r="EW95" s="164"/>
      <c r="EX95" s="164"/>
      <c r="EY95" s="164"/>
      <c r="EZ95" s="164"/>
      <c r="FA95" s="164"/>
      <c r="FB95" s="164"/>
      <c r="FC95" s="164"/>
      <c r="FD95" s="164"/>
      <c r="FE95" s="164"/>
      <c r="FF95" s="164"/>
      <c r="FG95" s="164"/>
      <c r="FH95" s="164"/>
      <c r="FI95" s="164"/>
      <c r="FJ95" s="164"/>
      <c r="FN95" s="165">
        <f t="shared" si="189"/>
        <v>17624</v>
      </c>
      <c r="FO95" s="166">
        <f t="shared" si="190"/>
        <v>15989</v>
      </c>
      <c r="FP95" s="166">
        <f t="shared" si="191"/>
        <v>15568</v>
      </c>
      <c r="FQ95" s="166">
        <f t="shared" si="192"/>
        <v>18039</v>
      </c>
      <c r="FR95" s="166">
        <f t="shared" si="193"/>
        <v>14777</v>
      </c>
      <c r="FS95" s="166">
        <f t="shared" si="194"/>
        <v>13780</v>
      </c>
      <c r="FT95" s="166">
        <f t="shared" si="195"/>
        <v>12330</v>
      </c>
      <c r="FU95" s="166">
        <f t="shared" si="196"/>
        <v>10836</v>
      </c>
      <c r="FV95" s="166">
        <f t="shared" si="197"/>
        <v>8862</v>
      </c>
      <c r="FW95" s="166">
        <f t="shared" si="198"/>
        <v>7490</v>
      </c>
      <c r="FX95" s="166">
        <f t="shared" si="199"/>
        <v>7098</v>
      </c>
      <c r="FY95" s="166">
        <f t="shared" si="200"/>
        <v>6885</v>
      </c>
      <c r="FZ95" s="166">
        <f t="shared" si="201"/>
        <v>5882</v>
      </c>
      <c r="GA95" s="166">
        <f t="shared" si="202"/>
        <v>3419</v>
      </c>
      <c r="GB95" s="166">
        <f t="shared" si="203"/>
        <v>3660</v>
      </c>
      <c r="GC95" s="166">
        <f t="shared" si="204"/>
        <v>4190</v>
      </c>
      <c r="GD95" s="166">
        <f t="shared" si="205"/>
        <v>3514</v>
      </c>
      <c r="GE95" s="166">
        <f t="shared" si="206"/>
        <v>2708</v>
      </c>
      <c r="GF95" s="166">
        <f t="shared" si="207"/>
        <v>3457</v>
      </c>
      <c r="GG95" s="166">
        <f t="shared" si="208"/>
        <v>3154</v>
      </c>
      <c r="GH95" s="166">
        <f t="shared" si="209"/>
        <v>757</v>
      </c>
      <c r="GI95" s="166">
        <f t="shared" si="210"/>
        <v>140</v>
      </c>
      <c r="GJ95" s="166">
        <f t="shared" si="211"/>
        <v>0</v>
      </c>
      <c r="GK95" s="166">
        <f t="shared" si="212"/>
        <v>0</v>
      </c>
      <c r="GL95" s="166">
        <f t="shared" si="213"/>
        <v>0</v>
      </c>
      <c r="GM95" s="166">
        <f t="shared" si="214"/>
        <v>0</v>
      </c>
      <c r="GN95" s="166">
        <f t="shared" si="215"/>
        <v>0</v>
      </c>
      <c r="GO95" s="166">
        <f t="shared" si="216"/>
        <v>0</v>
      </c>
      <c r="GP95" s="166">
        <f t="shared" si="217"/>
        <v>0</v>
      </c>
      <c r="GQ95" s="166">
        <f t="shared" si="218"/>
        <v>0</v>
      </c>
      <c r="GR95" s="166">
        <f t="shared" si="219"/>
        <v>0</v>
      </c>
      <c r="GS95" s="166">
        <f t="shared" si="220"/>
        <v>0</v>
      </c>
      <c r="GT95" s="166">
        <f t="shared" si="221"/>
        <v>0</v>
      </c>
      <c r="GU95" s="166">
        <f t="shared" si="222"/>
        <v>0</v>
      </c>
      <c r="GV95" s="166">
        <f t="shared" si="223"/>
        <v>0</v>
      </c>
      <c r="GW95" s="166">
        <f t="shared" si="224"/>
        <v>0</v>
      </c>
      <c r="GX95" s="166">
        <f t="shared" si="225"/>
        <v>0</v>
      </c>
      <c r="GY95" s="166">
        <f t="shared" si="226"/>
        <v>0</v>
      </c>
      <c r="GZ95" s="166">
        <f t="shared" si="227"/>
        <v>0</v>
      </c>
      <c r="HA95" s="166">
        <f t="shared" si="228"/>
        <v>0</v>
      </c>
      <c r="HB95" s="166">
        <f t="shared" si="229"/>
        <v>0</v>
      </c>
      <c r="HC95" s="166">
        <f t="shared" si="230"/>
        <v>0</v>
      </c>
      <c r="HD95" s="166">
        <f t="shared" si="231"/>
        <v>0</v>
      </c>
      <c r="HE95" s="166">
        <f t="shared" si="232"/>
        <v>0</v>
      </c>
      <c r="HF95" s="166">
        <f t="shared" si="233"/>
        <v>0</v>
      </c>
      <c r="HG95" s="166">
        <f t="shared" si="234"/>
        <v>0</v>
      </c>
      <c r="HH95" s="166">
        <f t="shared" si="235"/>
        <v>0</v>
      </c>
      <c r="HI95" s="166">
        <f t="shared" si="236"/>
        <v>0</v>
      </c>
      <c r="HJ95" s="167">
        <f t="shared" si="237"/>
        <v>0</v>
      </c>
      <c r="HK95" s="167">
        <f t="shared" si="238"/>
        <v>0</v>
      </c>
      <c r="HL95" s="167">
        <f t="shared" si="239"/>
        <v>0</v>
      </c>
      <c r="HM95" s="167">
        <f t="shared" si="240"/>
        <v>0</v>
      </c>
      <c r="HN95" s="167">
        <f t="shared" si="241"/>
        <v>0</v>
      </c>
      <c r="HO95" s="167">
        <f t="shared" si="242"/>
        <v>0</v>
      </c>
      <c r="HP95" s="167">
        <f t="shared" si="243"/>
        <v>0</v>
      </c>
      <c r="HQ95" s="168"/>
      <c r="HU95" s="169">
        <f t="shared" si="244"/>
        <v>67220</v>
      </c>
      <c r="HV95" s="169">
        <f t="shared" si="245"/>
        <v>51723</v>
      </c>
      <c r="HW95" s="169">
        <f t="shared" si="246"/>
        <v>30335</v>
      </c>
      <c r="HX95" s="170">
        <f t="shared" si="247"/>
        <v>17151</v>
      </c>
      <c r="HY95" s="160">
        <f t="shared" si="248"/>
        <v>12833</v>
      </c>
      <c r="HZ95" s="160">
        <f t="shared" si="249"/>
        <v>897</v>
      </c>
      <c r="IA95" s="160">
        <f t="shared" si="250"/>
        <v>0</v>
      </c>
      <c r="IB95" s="171">
        <f t="shared" si="251"/>
        <v>0</v>
      </c>
      <c r="IC95" s="171">
        <f t="shared" si="252"/>
        <v>0</v>
      </c>
      <c r="ID95" s="171">
        <f t="shared" si="253"/>
        <v>0</v>
      </c>
      <c r="IE95" s="171">
        <f t="shared" si="254"/>
        <v>0</v>
      </c>
      <c r="IF95" s="171">
        <f t="shared" si="255"/>
        <v>0</v>
      </c>
      <c r="IG95" s="171">
        <f t="shared" si="256"/>
        <v>0</v>
      </c>
    </row>
    <row r="96" spans="1:241" outlineLevel="2" x14ac:dyDescent="0.3">
      <c r="A96" s="144" t="s">
        <v>147</v>
      </c>
      <c r="B96" s="145">
        <v>78</v>
      </c>
      <c r="C96" s="145">
        <v>72</v>
      </c>
      <c r="D96" s="145">
        <v>257</v>
      </c>
      <c r="E96" s="145">
        <v>209</v>
      </c>
      <c r="F96" s="145">
        <v>183</v>
      </c>
      <c r="G96" s="145">
        <v>208</v>
      </c>
      <c r="H96" s="145">
        <v>279</v>
      </c>
      <c r="I96" s="145">
        <v>256</v>
      </c>
      <c r="J96" s="145">
        <v>272</v>
      </c>
      <c r="K96" s="145">
        <v>497</v>
      </c>
      <c r="L96" s="145">
        <v>544</v>
      </c>
      <c r="M96" s="145">
        <v>631</v>
      </c>
      <c r="N96" s="145">
        <v>407</v>
      </c>
      <c r="O96" s="145">
        <v>225</v>
      </c>
      <c r="P96" s="145">
        <v>77</v>
      </c>
      <c r="Q96" s="145">
        <v>135</v>
      </c>
      <c r="R96" s="145">
        <v>162</v>
      </c>
      <c r="S96" s="146">
        <v>165</v>
      </c>
      <c r="T96" s="146">
        <v>176</v>
      </c>
      <c r="U96" s="146">
        <v>130</v>
      </c>
      <c r="V96" s="146">
        <v>277</v>
      </c>
      <c r="W96" s="131">
        <v>184</v>
      </c>
      <c r="X96" s="131">
        <v>175</v>
      </c>
      <c r="Y96" s="131">
        <v>101</v>
      </c>
      <c r="Z96" s="131">
        <v>113</v>
      </c>
      <c r="AA96" s="131">
        <v>0</v>
      </c>
      <c r="AB96" s="131">
        <v>0</v>
      </c>
      <c r="AC96" s="131">
        <v>0</v>
      </c>
      <c r="AD96" s="131">
        <v>0</v>
      </c>
      <c r="AE96" s="131">
        <v>0</v>
      </c>
      <c r="AF96" s="131">
        <v>0</v>
      </c>
      <c r="AG96" s="131">
        <v>0</v>
      </c>
      <c r="AH96" s="131">
        <v>0</v>
      </c>
      <c r="AI96" s="131">
        <v>0</v>
      </c>
      <c r="AJ96" s="131">
        <v>0</v>
      </c>
      <c r="AK96" s="131">
        <v>0</v>
      </c>
      <c r="AL96" s="131">
        <v>0</v>
      </c>
      <c r="AM96" s="131">
        <v>0</v>
      </c>
      <c r="AN96" s="131">
        <v>0</v>
      </c>
      <c r="AO96" s="131">
        <v>0</v>
      </c>
      <c r="AP96" s="131">
        <v>0</v>
      </c>
      <c r="AQ96" s="131">
        <v>0</v>
      </c>
      <c r="AR96" s="131">
        <v>0</v>
      </c>
      <c r="AS96" s="131"/>
      <c r="AT96" s="131"/>
      <c r="AU96" s="131">
        <v>0</v>
      </c>
      <c r="AV96" s="131">
        <v>0</v>
      </c>
      <c r="AW96" s="131" t="s">
        <v>146</v>
      </c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47"/>
      <c r="BL96" s="173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  <c r="CC96" s="147"/>
      <c r="CD96" s="147"/>
      <c r="CE96" s="147"/>
      <c r="CF96" s="147"/>
      <c r="CG96" s="147">
        <v>0</v>
      </c>
      <c r="CH96" s="147">
        <v>0</v>
      </c>
      <c r="CI96" s="147">
        <v>0</v>
      </c>
      <c r="CJ96" s="147">
        <v>0</v>
      </c>
      <c r="CK96" s="147"/>
      <c r="CL96" s="173"/>
      <c r="CM96" s="173"/>
      <c r="CN96" s="173"/>
      <c r="CO96" s="173"/>
      <c r="CP96" s="173">
        <v>0</v>
      </c>
      <c r="CQ96" s="173"/>
      <c r="CR96" s="173"/>
      <c r="CS96" s="174"/>
      <c r="CT96" s="174"/>
      <c r="CU96" s="174"/>
      <c r="CV96" s="174"/>
      <c r="CW96" s="174"/>
      <c r="CX96" s="174"/>
      <c r="CY96" s="174"/>
      <c r="CZ96" s="174"/>
      <c r="DA96" s="174"/>
      <c r="DB96" s="174"/>
      <c r="DC96" s="174"/>
      <c r="DD96" s="174"/>
      <c r="DE96" s="174"/>
      <c r="DF96" s="174"/>
      <c r="DG96" s="174"/>
      <c r="DH96" s="174"/>
      <c r="DI96" s="174"/>
      <c r="DJ96" s="174"/>
      <c r="DK96" s="174"/>
      <c r="DL96" s="174"/>
      <c r="DM96" s="174"/>
      <c r="DN96" s="174"/>
      <c r="DO96" s="174"/>
      <c r="DP96" s="174"/>
      <c r="DQ96" s="174"/>
      <c r="DR96" s="174"/>
      <c r="DS96" s="174"/>
      <c r="DT96" s="174"/>
      <c r="DU96" s="174"/>
      <c r="DV96" s="174"/>
      <c r="DW96" s="174"/>
      <c r="DX96" s="174"/>
      <c r="DY96" s="174"/>
      <c r="DZ96" s="174"/>
      <c r="EA96" s="174"/>
      <c r="EB96" s="174"/>
      <c r="EC96" s="174"/>
      <c r="ED96" s="174"/>
      <c r="EE96" s="174"/>
      <c r="EF96" s="174"/>
      <c r="EG96" s="174"/>
      <c r="EH96" s="174"/>
      <c r="EI96" s="174"/>
      <c r="EJ96" s="174"/>
      <c r="EK96" s="174"/>
      <c r="EL96" s="175"/>
      <c r="EM96" s="175"/>
      <c r="EN96" s="175"/>
      <c r="EO96" s="175"/>
      <c r="EP96" s="175"/>
      <c r="EQ96" s="175"/>
      <c r="ER96" s="175"/>
      <c r="ES96" s="175"/>
      <c r="ET96" s="175"/>
      <c r="EU96" s="175"/>
      <c r="EV96" s="175"/>
      <c r="EW96" s="175"/>
      <c r="EX96" s="175"/>
      <c r="EY96" s="175"/>
      <c r="EZ96" s="175"/>
      <c r="FA96" s="175"/>
      <c r="FB96" s="175"/>
      <c r="FC96" s="175"/>
      <c r="FD96" s="175"/>
      <c r="FE96" s="175"/>
      <c r="FF96" s="175"/>
      <c r="FG96" s="175"/>
      <c r="FH96" s="175"/>
      <c r="FI96" s="175"/>
      <c r="FJ96" s="175"/>
      <c r="FN96" s="151">
        <f t="shared" si="189"/>
        <v>407</v>
      </c>
      <c r="FO96" s="152">
        <f t="shared" si="190"/>
        <v>600</v>
      </c>
      <c r="FP96" s="152">
        <f t="shared" si="191"/>
        <v>807</v>
      </c>
      <c r="FQ96" s="152">
        <f t="shared" si="192"/>
        <v>1672</v>
      </c>
      <c r="FR96" s="152">
        <f t="shared" si="193"/>
        <v>709</v>
      </c>
      <c r="FS96" s="152">
        <f t="shared" si="194"/>
        <v>462</v>
      </c>
      <c r="FT96" s="152">
        <f t="shared" si="195"/>
        <v>583</v>
      </c>
      <c r="FU96" s="152">
        <f t="shared" si="196"/>
        <v>460</v>
      </c>
      <c r="FV96" s="152">
        <f t="shared" si="197"/>
        <v>113</v>
      </c>
      <c r="FW96" s="152">
        <f t="shared" si="198"/>
        <v>0</v>
      </c>
      <c r="FX96" s="152">
        <f t="shared" si="199"/>
        <v>0</v>
      </c>
      <c r="FY96" s="152">
        <f t="shared" si="200"/>
        <v>0</v>
      </c>
      <c r="FZ96" s="152">
        <f t="shared" si="201"/>
        <v>0</v>
      </c>
      <c r="GA96" s="152">
        <f t="shared" si="202"/>
        <v>0</v>
      </c>
      <c r="GB96" s="152">
        <f t="shared" si="203"/>
        <v>0</v>
      </c>
      <c r="GC96" s="152">
        <f t="shared" si="204"/>
        <v>0</v>
      </c>
      <c r="GD96" s="152">
        <f t="shared" si="205"/>
        <v>0</v>
      </c>
      <c r="GE96" s="152">
        <f t="shared" si="206"/>
        <v>0</v>
      </c>
      <c r="GF96" s="152">
        <f t="shared" si="207"/>
        <v>0</v>
      </c>
      <c r="GG96" s="152">
        <f t="shared" si="208"/>
        <v>0</v>
      </c>
      <c r="GH96" s="152">
        <f t="shared" si="209"/>
        <v>0</v>
      </c>
      <c r="GI96" s="152">
        <f t="shared" si="210"/>
        <v>0</v>
      </c>
      <c r="GJ96" s="152">
        <f t="shared" si="211"/>
        <v>0</v>
      </c>
      <c r="GK96" s="152">
        <f t="shared" si="212"/>
        <v>0</v>
      </c>
      <c r="GL96" s="152">
        <f t="shared" si="213"/>
        <v>0</v>
      </c>
      <c r="GM96" s="152">
        <f t="shared" si="214"/>
        <v>0</v>
      </c>
      <c r="GN96" s="152">
        <f t="shared" si="215"/>
        <v>0</v>
      </c>
      <c r="GO96" s="152">
        <f t="shared" si="216"/>
        <v>0</v>
      </c>
      <c r="GP96" s="152">
        <f t="shared" si="217"/>
        <v>0</v>
      </c>
      <c r="GQ96" s="152">
        <f t="shared" si="218"/>
        <v>0</v>
      </c>
      <c r="GR96" s="152">
        <f t="shared" si="219"/>
        <v>0</v>
      </c>
      <c r="GS96" s="152">
        <f t="shared" si="220"/>
        <v>0</v>
      </c>
      <c r="GT96" s="152">
        <f t="shared" si="221"/>
        <v>0</v>
      </c>
      <c r="GU96" s="152">
        <f t="shared" si="222"/>
        <v>0</v>
      </c>
      <c r="GV96" s="152">
        <f t="shared" si="223"/>
        <v>0</v>
      </c>
      <c r="GW96" s="152">
        <f t="shared" si="224"/>
        <v>0</v>
      </c>
      <c r="GX96" s="152">
        <f t="shared" si="225"/>
        <v>0</v>
      </c>
      <c r="GY96" s="152">
        <f t="shared" si="226"/>
        <v>0</v>
      </c>
      <c r="GZ96" s="152">
        <f t="shared" si="227"/>
        <v>0</v>
      </c>
      <c r="HA96" s="152">
        <f t="shared" si="228"/>
        <v>0</v>
      </c>
      <c r="HB96" s="152">
        <f t="shared" si="229"/>
        <v>0</v>
      </c>
      <c r="HC96" s="152">
        <f t="shared" si="230"/>
        <v>0</v>
      </c>
      <c r="HD96" s="152">
        <f t="shared" si="231"/>
        <v>0</v>
      </c>
      <c r="HE96" s="152">
        <f t="shared" si="232"/>
        <v>0</v>
      </c>
      <c r="HF96" s="152">
        <f t="shared" si="233"/>
        <v>0</v>
      </c>
      <c r="HG96" s="152">
        <f t="shared" si="234"/>
        <v>0</v>
      </c>
      <c r="HH96" s="152">
        <f t="shared" si="235"/>
        <v>0</v>
      </c>
      <c r="HI96" s="152">
        <f t="shared" si="236"/>
        <v>0</v>
      </c>
      <c r="HJ96" s="153">
        <f t="shared" si="237"/>
        <v>0</v>
      </c>
      <c r="HK96" s="153">
        <f t="shared" si="238"/>
        <v>0</v>
      </c>
      <c r="HL96" s="153">
        <f t="shared" si="239"/>
        <v>0</v>
      </c>
      <c r="HM96" s="153">
        <f t="shared" si="240"/>
        <v>0</v>
      </c>
      <c r="HN96" s="153">
        <f t="shared" si="241"/>
        <v>0</v>
      </c>
      <c r="HO96" s="153">
        <f t="shared" si="242"/>
        <v>0</v>
      </c>
      <c r="HP96" s="153">
        <f t="shared" si="243"/>
        <v>0</v>
      </c>
      <c r="HQ96" s="101"/>
      <c r="HU96" s="155">
        <f t="shared" si="244"/>
        <v>3486</v>
      </c>
      <c r="HV96" s="155">
        <f t="shared" si="245"/>
        <v>2214</v>
      </c>
      <c r="HW96" s="155">
        <f t="shared" si="246"/>
        <v>113</v>
      </c>
      <c r="HX96" s="156">
        <f t="shared" si="247"/>
        <v>0</v>
      </c>
      <c r="HY96" s="146">
        <f t="shared" si="248"/>
        <v>0</v>
      </c>
      <c r="HZ96" s="146">
        <f t="shared" si="249"/>
        <v>0</v>
      </c>
      <c r="IA96" s="146">
        <f t="shared" si="250"/>
        <v>0</v>
      </c>
      <c r="IB96" s="157">
        <f t="shared" si="251"/>
        <v>0</v>
      </c>
      <c r="IC96" s="157">
        <f t="shared" si="252"/>
        <v>0</v>
      </c>
      <c r="ID96" s="157">
        <f t="shared" si="253"/>
        <v>0</v>
      </c>
      <c r="IE96" s="157">
        <f t="shared" si="254"/>
        <v>0</v>
      </c>
      <c r="IF96" s="157">
        <f t="shared" si="255"/>
        <v>0</v>
      </c>
      <c r="IG96" s="157">
        <f t="shared" si="256"/>
        <v>0</v>
      </c>
    </row>
    <row r="97" spans="1:241" outlineLevel="2" x14ac:dyDescent="0.3">
      <c r="A97" s="158" t="s">
        <v>148</v>
      </c>
      <c r="B97" s="159">
        <v>7058</v>
      </c>
      <c r="C97" s="159">
        <v>10313</v>
      </c>
      <c r="D97" s="159">
        <v>2622</v>
      </c>
      <c r="E97" s="159">
        <v>4333</v>
      </c>
      <c r="F97" s="159">
        <v>5423</v>
      </c>
      <c r="G97" s="159">
        <v>5505</v>
      </c>
      <c r="H97" s="159">
        <v>8085</v>
      </c>
      <c r="I97" s="159">
        <v>3711</v>
      </c>
      <c r="J97" s="159">
        <v>4242</v>
      </c>
      <c r="K97" s="159">
        <v>5421</v>
      </c>
      <c r="L97" s="159">
        <v>6455</v>
      </c>
      <c r="M97" s="159">
        <v>10014</v>
      </c>
      <c r="N97" s="159">
        <v>8430</v>
      </c>
      <c r="O97" s="159">
        <v>11274</v>
      </c>
      <c r="P97" s="159">
        <v>9197</v>
      </c>
      <c r="Q97" s="159">
        <v>11091</v>
      </c>
      <c r="R97" s="159">
        <v>8765</v>
      </c>
      <c r="S97" s="160">
        <v>10220</v>
      </c>
      <c r="T97" s="160">
        <v>11127</v>
      </c>
      <c r="U97" s="160">
        <v>9310</v>
      </c>
      <c r="V97" s="160">
        <v>5484</v>
      </c>
      <c r="W97" s="161">
        <v>15597</v>
      </c>
      <c r="X97" s="161">
        <v>14478</v>
      </c>
      <c r="Y97" s="161">
        <v>18348</v>
      </c>
      <c r="Z97" s="161">
        <v>10977</v>
      </c>
      <c r="AA97" s="161">
        <v>13303</v>
      </c>
      <c r="AB97" s="161">
        <v>16236</v>
      </c>
      <c r="AC97" s="161">
        <v>12286</v>
      </c>
      <c r="AD97" s="161">
        <v>11166</v>
      </c>
      <c r="AE97" s="161">
        <v>9600</v>
      </c>
      <c r="AF97" s="161">
        <v>10186</v>
      </c>
      <c r="AG97" s="161">
        <v>11612</v>
      </c>
      <c r="AH97" s="161">
        <v>12308</v>
      </c>
      <c r="AI97" s="161">
        <v>15331</v>
      </c>
      <c r="AJ97" s="161">
        <v>15065</v>
      </c>
      <c r="AK97" s="161">
        <v>19547</v>
      </c>
      <c r="AL97" s="161">
        <v>11892</v>
      </c>
      <c r="AM97" s="161">
        <v>12134</v>
      </c>
      <c r="AN97" s="161">
        <v>17280</v>
      </c>
      <c r="AO97" s="161">
        <v>17567</v>
      </c>
      <c r="AP97" s="161">
        <v>14691</v>
      </c>
      <c r="AQ97" s="161">
        <v>17800</v>
      </c>
      <c r="AR97" s="161">
        <v>19310</v>
      </c>
      <c r="AS97" s="161">
        <v>14276</v>
      </c>
      <c r="AT97" s="161">
        <v>12122</v>
      </c>
      <c r="AU97" s="161">
        <v>16613</v>
      </c>
      <c r="AV97" s="161">
        <v>12713</v>
      </c>
      <c r="AW97" s="161">
        <v>16726</v>
      </c>
      <c r="AX97" s="160">
        <v>9499</v>
      </c>
      <c r="AY97" s="161">
        <v>7415</v>
      </c>
      <c r="AZ97" s="161">
        <v>8150</v>
      </c>
      <c r="BA97" s="161">
        <v>10492</v>
      </c>
      <c r="BB97" s="161">
        <v>11345</v>
      </c>
      <c r="BC97" s="161">
        <v>12533</v>
      </c>
      <c r="BD97" s="161">
        <v>13958</v>
      </c>
      <c r="BE97" s="161">
        <v>7488</v>
      </c>
      <c r="BF97" s="161">
        <v>8264</v>
      </c>
      <c r="BG97" s="161">
        <v>14017</v>
      </c>
      <c r="BH97" s="161">
        <v>13521</v>
      </c>
      <c r="BI97" s="161">
        <v>13662</v>
      </c>
      <c r="BJ97" s="161">
        <v>10477</v>
      </c>
      <c r="BK97" s="162">
        <v>7565</v>
      </c>
      <c r="BL97" s="162">
        <v>7970</v>
      </c>
      <c r="BM97" s="162">
        <v>11134</v>
      </c>
      <c r="BN97" s="162">
        <v>10863</v>
      </c>
      <c r="BO97" s="162">
        <v>12094</v>
      </c>
      <c r="BP97" s="162">
        <v>9497</v>
      </c>
      <c r="BQ97" s="162">
        <v>7484</v>
      </c>
      <c r="BR97" s="162">
        <v>7962</v>
      </c>
      <c r="BS97" s="162">
        <v>9483</v>
      </c>
      <c r="BT97" s="162">
        <v>7450</v>
      </c>
      <c r="BU97" s="162">
        <v>8130</v>
      </c>
      <c r="BV97" s="162">
        <v>5510</v>
      </c>
      <c r="BW97" s="162">
        <v>13415</v>
      </c>
      <c r="BX97" s="162">
        <v>14350</v>
      </c>
      <c r="BY97" s="162">
        <v>15941</v>
      </c>
      <c r="BZ97" s="162">
        <v>13710</v>
      </c>
      <c r="CA97" s="162">
        <v>12047</v>
      </c>
      <c r="CB97" s="162">
        <v>10238</v>
      </c>
      <c r="CC97" s="162">
        <v>9822</v>
      </c>
      <c r="CD97" s="162">
        <v>10159</v>
      </c>
      <c r="CE97" s="162">
        <v>14383</v>
      </c>
      <c r="CF97" s="162">
        <v>10920</v>
      </c>
      <c r="CG97" s="162">
        <v>14221</v>
      </c>
      <c r="CH97" s="162">
        <v>9333</v>
      </c>
      <c r="CI97" s="162">
        <v>9601</v>
      </c>
      <c r="CJ97" s="162">
        <v>8697</v>
      </c>
      <c r="CK97" s="162">
        <v>8639</v>
      </c>
      <c r="CL97" s="162">
        <v>6830</v>
      </c>
      <c r="CM97" s="176">
        <v>7627</v>
      </c>
      <c r="CN97" s="176">
        <v>8207</v>
      </c>
      <c r="CO97" s="176">
        <v>5502</v>
      </c>
      <c r="CP97" s="176">
        <v>6894</v>
      </c>
      <c r="CQ97" s="176">
        <v>5086</v>
      </c>
      <c r="CR97" s="162">
        <v>7244</v>
      </c>
      <c r="CS97" s="177">
        <v>3597</v>
      </c>
      <c r="CT97" s="177"/>
      <c r="CU97" s="177">
        <v>259</v>
      </c>
      <c r="CV97" s="177">
        <v>726</v>
      </c>
      <c r="CW97" s="177">
        <v>4639</v>
      </c>
      <c r="CX97" s="177">
        <v>6770</v>
      </c>
      <c r="CY97" s="177">
        <v>9054</v>
      </c>
      <c r="CZ97" s="177">
        <v>9705</v>
      </c>
      <c r="DA97" s="177">
        <v>9005</v>
      </c>
      <c r="DB97" s="177">
        <v>7704</v>
      </c>
      <c r="DC97" s="177">
        <v>10098</v>
      </c>
      <c r="DD97" s="177">
        <v>8319</v>
      </c>
      <c r="DE97" s="177">
        <v>6124</v>
      </c>
      <c r="DF97" s="177">
        <v>7878</v>
      </c>
      <c r="DG97" s="177">
        <v>1840</v>
      </c>
      <c r="DH97" s="177">
        <v>4301</v>
      </c>
      <c r="DI97" s="177">
        <v>5347</v>
      </c>
      <c r="DJ97" s="177">
        <v>10505</v>
      </c>
      <c r="DK97" s="177">
        <v>6078</v>
      </c>
      <c r="DL97" s="177">
        <v>7380</v>
      </c>
      <c r="DM97" s="177">
        <v>5337</v>
      </c>
      <c r="DN97" s="177">
        <v>7888</v>
      </c>
      <c r="DO97" s="177">
        <v>9933</v>
      </c>
      <c r="DP97" s="177">
        <v>6698</v>
      </c>
      <c r="DQ97" s="177">
        <v>6338</v>
      </c>
      <c r="DR97" s="177">
        <v>7239</v>
      </c>
      <c r="DS97" s="177">
        <v>7642</v>
      </c>
      <c r="DT97" s="177">
        <v>7235</v>
      </c>
      <c r="DU97" s="177">
        <v>6257</v>
      </c>
      <c r="DV97" s="177">
        <v>7354</v>
      </c>
      <c r="DW97" s="177">
        <v>8120</v>
      </c>
      <c r="DX97" s="177">
        <v>8890</v>
      </c>
      <c r="DY97" s="177">
        <v>6621</v>
      </c>
      <c r="DZ97" s="177">
        <v>6703</v>
      </c>
      <c r="EA97" s="177">
        <v>7638</v>
      </c>
      <c r="EB97" s="177">
        <v>6086</v>
      </c>
      <c r="EC97" s="177">
        <v>6689</v>
      </c>
      <c r="ED97" s="177">
        <v>5313</v>
      </c>
      <c r="EE97" s="177">
        <v>4660</v>
      </c>
      <c r="EF97" s="177">
        <v>5080</v>
      </c>
      <c r="EG97" s="177">
        <v>4864</v>
      </c>
      <c r="EH97" s="177">
        <v>5058</v>
      </c>
      <c r="EI97" s="177">
        <v>4176</v>
      </c>
      <c r="EJ97" s="177">
        <v>4443</v>
      </c>
      <c r="EK97" s="177">
        <v>3975</v>
      </c>
      <c r="EL97" s="178">
        <v>3526</v>
      </c>
      <c r="EM97" s="178">
        <v>4095</v>
      </c>
      <c r="EN97" s="178">
        <v>3958</v>
      </c>
      <c r="EO97" s="178">
        <v>3794</v>
      </c>
      <c r="EP97" s="178">
        <v>2620</v>
      </c>
      <c r="EQ97" s="178">
        <v>3269</v>
      </c>
      <c r="ER97" s="178">
        <v>2653</v>
      </c>
      <c r="ES97" s="178">
        <v>3284</v>
      </c>
      <c r="ET97" s="178">
        <v>3603</v>
      </c>
      <c r="EU97" s="178">
        <v>3715</v>
      </c>
      <c r="EV97" s="178">
        <v>3397</v>
      </c>
      <c r="EW97" s="178">
        <v>3337</v>
      </c>
      <c r="EX97" s="178">
        <v>3455</v>
      </c>
      <c r="EY97" s="178">
        <v>5366</v>
      </c>
      <c r="EZ97" s="178">
        <v>4152</v>
      </c>
      <c r="FA97" s="178">
        <v>4753</v>
      </c>
      <c r="FB97" s="178">
        <v>2425</v>
      </c>
      <c r="FC97" s="178">
        <v>2489</v>
      </c>
      <c r="FD97" s="178">
        <v>2983</v>
      </c>
      <c r="FE97" s="178">
        <v>2655</v>
      </c>
      <c r="FF97" s="178">
        <v>2190</v>
      </c>
      <c r="FG97" s="178">
        <v>3105</v>
      </c>
      <c r="FH97" s="178">
        <v>4208</v>
      </c>
      <c r="FI97" s="178">
        <v>3423</v>
      </c>
      <c r="FJ97" s="178">
        <v>3518</v>
      </c>
      <c r="FN97" s="165">
        <f t="shared" si="189"/>
        <v>19993</v>
      </c>
      <c r="FO97" s="166">
        <f t="shared" si="190"/>
        <v>15261</v>
      </c>
      <c r="FP97" s="166">
        <f t="shared" si="191"/>
        <v>16038</v>
      </c>
      <c r="FQ97" s="166">
        <f t="shared" si="192"/>
        <v>21890</v>
      </c>
      <c r="FR97" s="166">
        <f t="shared" si="193"/>
        <v>28901</v>
      </c>
      <c r="FS97" s="166">
        <f t="shared" si="194"/>
        <v>30076</v>
      </c>
      <c r="FT97" s="166">
        <f t="shared" si="195"/>
        <v>25921</v>
      </c>
      <c r="FU97" s="166">
        <f t="shared" si="196"/>
        <v>48423</v>
      </c>
      <c r="FV97" s="166">
        <f t="shared" si="197"/>
        <v>40516</v>
      </c>
      <c r="FW97" s="166">
        <f t="shared" si="198"/>
        <v>33052</v>
      </c>
      <c r="FX97" s="166">
        <f t="shared" si="199"/>
        <v>34106</v>
      </c>
      <c r="FY97" s="166">
        <f t="shared" si="200"/>
        <v>49943</v>
      </c>
      <c r="FZ97" s="166">
        <f t="shared" si="201"/>
        <v>41306</v>
      </c>
      <c r="GA97" s="166">
        <f t="shared" si="202"/>
        <v>50058</v>
      </c>
      <c r="GB97" s="166">
        <f t="shared" si="203"/>
        <v>45708</v>
      </c>
      <c r="GC97" s="166">
        <f t="shared" si="204"/>
        <v>46052</v>
      </c>
      <c r="GD97" s="166">
        <f t="shared" si="205"/>
        <v>25064</v>
      </c>
      <c r="GE97" s="166">
        <f t="shared" si="206"/>
        <v>34370</v>
      </c>
      <c r="GF97" s="166">
        <f t="shared" si="207"/>
        <v>29710</v>
      </c>
      <c r="GG97" s="166">
        <f t="shared" si="208"/>
        <v>41200</v>
      </c>
      <c r="GH97" s="166">
        <f t="shared" si="209"/>
        <v>26012</v>
      </c>
      <c r="GI97" s="166">
        <f t="shared" si="210"/>
        <v>34091</v>
      </c>
      <c r="GJ97" s="166">
        <f t="shared" si="211"/>
        <v>24943</v>
      </c>
      <c r="GK97" s="166">
        <f t="shared" si="212"/>
        <v>25063</v>
      </c>
      <c r="GL97" s="166">
        <f t="shared" si="213"/>
        <v>33275</v>
      </c>
      <c r="GM97" s="166">
        <f t="shared" si="214"/>
        <v>41698</v>
      </c>
      <c r="GN97" s="166">
        <f t="shared" si="215"/>
        <v>30219</v>
      </c>
      <c r="GO97" s="166">
        <f t="shared" si="216"/>
        <v>39524</v>
      </c>
      <c r="GP97" s="166">
        <f t="shared" si="217"/>
        <v>27631</v>
      </c>
      <c r="GQ97" s="166">
        <f t="shared" si="218"/>
        <v>23096</v>
      </c>
      <c r="GR97" s="166">
        <f t="shared" si="219"/>
        <v>20603</v>
      </c>
      <c r="GS97" s="166">
        <f t="shared" si="220"/>
        <v>15927</v>
      </c>
      <c r="GT97" s="166">
        <f t="shared" si="221"/>
        <v>985</v>
      </c>
      <c r="GU97" s="166">
        <f t="shared" si="222"/>
        <v>20463</v>
      </c>
      <c r="GV97" s="166">
        <f t="shared" si="223"/>
        <v>26414</v>
      </c>
      <c r="GW97" s="166">
        <f t="shared" si="224"/>
        <v>24541</v>
      </c>
      <c r="GX97" s="166">
        <f t="shared" si="225"/>
        <v>14019</v>
      </c>
      <c r="GY97" s="166">
        <f t="shared" si="226"/>
        <v>21930</v>
      </c>
      <c r="GZ97" s="166">
        <f t="shared" si="227"/>
        <v>20605</v>
      </c>
      <c r="HA97" s="166">
        <f t="shared" si="228"/>
        <v>22969</v>
      </c>
      <c r="HB97" s="166">
        <f t="shared" si="229"/>
        <v>22116</v>
      </c>
      <c r="HC97" s="166">
        <f t="shared" si="230"/>
        <v>21731</v>
      </c>
      <c r="HD97" s="166">
        <f t="shared" si="231"/>
        <v>22214</v>
      </c>
      <c r="HE97" s="166">
        <f t="shared" si="232"/>
        <v>20413</v>
      </c>
      <c r="HF97" s="166">
        <f t="shared" si="233"/>
        <v>15053</v>
      </c>
      <c r="HG97" s="166">
        <f t="shared" si="234"/>
        <v>14098</v>
      </c>
      <c r="HH97" s="166">
        <f t="shared" si="235"/>
        <v>11944</v>
      </c>
      <c r="HI97" s="166">
        <f t="shared" si="236"/>
        <v>11847</v>
      </c>
      <c r="HJ97" s="167">
        <f t="shared" si="237"/>
        <v>8542</v>
      </c>
      <c r="HK97" s="167">
        <f t="shared" si="238"/>
        <v>10602</v>
      </c>
      <c r="HL97" s="167">
        <f t="shared" si="239"/>
        <v>10189</v>
      </c>
      <c r="HM97" s="167">
        <f t="shared" si="240"/>
        <v>14271</v>
      </c>
      <c r="HN97" s="167">
        <f t="shared" si="241"/>
        <v>7897</v>
      </c>
      <c r="HO97" s="167">
        <f t="shared" si="242"/>
        <v>7950</v>
      </c>
      <c r="HP97" s="167">
        <f t="shared" si="243"/>
        <v>11149</v>
      </c>
      <c r="HQ97" s="168"/>
      <c r="HU97" s="169">
        <f t="shared" si="244"/>
        <v>73182</v>
      </c>
      <c r="HV97" s="169">
        <f t="shared" si="245"/>
        <v>133321</v>
      </c>
      <c r="HW97" s="169">
        <f t="shared" si="246"/>
        <v>157617</v>
      </c>
      <c r="HX97" s="170">
        <f t="shared" si="247"/>
        <v>183124</v>
      </c>
      <c r="HY97" s="160">
        <f t="shared" si="248"/>
        <v>130344</v>
      </c>
      <c r="HZ97" s="160">
        <f t="shared" si="249"/>
        <v>110109</v>
      </c>
      <c r="IA97" s="160">
        <f t="shared" si="250"/>
        <v>144716</v>
      </c>
      <c r="IB97" s="171">
        <f t="shared" si="251"/>
        <v>87257</v>
      </c>
      <c r="IC97" s="171">
        <f t="shared" si="252"/>
        <v>72403</v>
      </c>
      <c r="ID97" s="171">
        <f t="shared" si="253"/>
        <v>79523</v>
      </c>
      <c r="IE97" s="171">
        <f t="shared" si="254"/>
        <v>86474</v>
      </c>
      <c r="IF97" s="171">
        <f t="shared" si="255"/>
        <v>52942</v>
      </c>
      <c r="IG97" s="171">
        <f t="shared" si="256"/>
        <v>43604</v>
      </c>
    </row>
    <row r="98" spans="1:241" outlineLevel="2" x14ac:dyDescent="0.3">
      <c r="A98" s="144" t="s">
        <v>149</v>
      </c>
      <c r="B98" s="145">
        <v>35000</v>
      </c>
      <c r="C98" s="145">
        <v>31939</v>
      </c>
      <c r="D98" s="145">
        <v>30363</v>
      </c>
      <c r="E98" s="145">
        <v>27500</v>
      </c>
      <c r="F98" s="145">
        <v>28192</v>
      </c>
      <c r="G98" s="145">
        <v>30795</v>
      </c>
      <c r="H98" s="145">
        <v>35722</v>
      </c>
      <c r="I98" s="145">
        <v>34698</v>
      </c>
      <c r="J98" s="145">
        <v>26651</v>
      </c>
      <c r="K98" s="145">
        <v>34247</v>
      </c>
      <c r="L98" s="145">
        <v>33936</v>
      </c>
      <c r="M98" s="145">
        <v>33808</v>
      </c>
      <c r="N98" s="145">
        <v>32364</v>
      </c>
      <c r="O98" s="145">
        <v>32052</v>
      </c>
      <c r="P98" s="145">
        <v>30577</v>
      </c>
      <c r="Q98" s="145">
        <v>25939</v>
      </c>
      <c r="R98" s="145">
        <v>28281</v>
      </c>
      <c r="S98" s="146">
        <v>30580</v>
      </c>
      <c r="T98" s="146">
        <v>35973</v>
      </c>
      <c r="U98" s="146">
        <v>33427</v>
      </c>
      <c r="V98" s="146">
        <v>28320</v>
      </c>
      <c r="W98" s="131">
        <v>33351</v>
      </c>
      <c r="X98" s="131">
        <v>33875</v>
      </c>
      <c r="Y98" s="131">
        <v>34816</v>
      </c>
      <c r="Z98" s="131">
        <v>35110</v>
      </c>
      <c r="AA98" s="131">
        <v>35955</v>
      </c>
      <c r="AB98" s="131">
        <v>33258</v>
      </c>
      <c r="AC98" s="131">
        <v>29067</v>
      </c>
      <c r="AD98" s="131">
        <v>33593</v>
      </c>
      <c r="AE98" s="131">
        <v>34906</v>
      </c>
      <c r="AF98" s="131">
        <v>37894</v>
      </c>
      <c r="AG98" s="131">
        <v>35448</v>
      </c>
      <c r="AH98" s="131">
        <v>32429</v>
      </c>
      <c r="AI98" s="131">
        <v>34643</v>
      </c>
      <c r="AJ98" s="131">
        <v>37163</v>
      </c>
      <c r="AK98" s="131">
        <v>39325</v>
      </c>
      <c r="AL98" s="131">
        <v>38474</v>
      </c>
      <c r="AM98" s="131">
        <v>37328</v>
      </c>
      <c r="AN98" s="131">
        <v>34542</v>
      </c>
      <c r="AO98" s="131">
        <v>29599</v>
      </c>
      <c r="AP98" s="131">
        <v>32985</v>
      </c>
      <c r="AQ98" s="131">
        <v>35193</v>
      </c>
      <c r="AR98" s="131">
        <v>39709</v>
      </c>
      <c r="AS98" s="131">
        <v>37771</v>
      </c>
      <c r="AT98" s="131">
        <v>37101</v>
      </c>
      <c r="AU98" s="131">
        <v>31398</v>
      </c>
      <c r="AV98" s="131">
        <v>32442</v>
      </c>
      <c r="AW98" s="131">
        <v>32986</v>
      </c>
      <c r="AX98" s="146">
        <v>34425</v>
      </c>
      <c r="AY98" s="131">
        <v>34262</v>
      </c>
      <c r="AZ98" s="131">
        <v>32080</v>
      </c>
      <c r="BA98" s="131">
        <v>33197</v>
      </c>
      <c r="BB98" s="131">
        <v>34728</v>
      </c>
      <c r="BC98" s="131">
        <v>33742</v>
      </c>
      <c r="BD98" s="131">
        <v>41126</v>
      </c>
      <c r="BE98" s="131">
        <v>32923</v>
      </c>
      <c r="BF98" s="131">
        <v>33037</v>
      </c>
      <c r="BG98" s="131">
        <v>33949</v>
      </c>
      <c r="BH98" s="131">
        <v>33149</v>
      </c>
      <c r="BI98" s="131">
        <v>34589</v>
      </c>
      <c r="BJ98" s="131">
        <v>35403</v>
      </c>
      <c r="BK98" s="147">
        <v>33537</v>
      </c>
      <c r="BL98" s="147">
        <v>31067</v>
      </c>
      <c r="BM98" s="147">
        <v>32321</v>
      </c>
      <c r="BN98" s="147">
        <v>36693</v>
      </c>
      <c r="BO98" s="147">
        <v>40650</v>
      </c>
      <c r="BP98" s="147">
        <v>40155</v>
      </c>
      <c r="BQ98" s="147">
        <v>35358</v>
      </c>
      <c r="BR98" s="147">
        <v>33247</v>
      </c>
      <c r="BS98" s="147">
        <v>36009</v>
      </c>
      <c r="BT98" s="147">
        <v>35047</v>
      </c>
      <c r="BU98" s="147">
        <v>37797</v>
      </c>
      <c r="BV98" s="147">
        <v>37145</v>
      </c>
      <c r="BW98" s="147">
        <v>33835</v>
      </c>
      <c r="BX98" s="147">
        <v>34112</v>
      </c>
      <c r="BY98" s="147">
        <v>32908</v>
      </c>
      <c r="BZ98" s="147">
        <v>35290</v>
      </c>
      <c r="CA98" s="147">
        <v>36610</v>
      </c>
      <c r="CB98" s="147">
        <v>40209</v>
      </c>
      <c r="CC98" s="147">
        <v>33948</v>
      </c>
      <c r="CD98" s="147">
        <v>34361</v>
      </c>
      <c r="CE98" s="147">
        <v>35439</v>
      </c>
      <c r="CF98" s="147">
        <v>32792</v>
      </c>
      <c r="CG98" s="147">
        <v>32756</v>
      </c>
      <c r="CH98" s="147">
        <v>31407</v>
      </c>
      <c r="CI98" s="147">
        <v>26328</v>
      </c>
      <c r="CJ98" s="147">
        <v>24822</v>
      </c>
      <c r="CK98" s="147">
        <v>22776</v>
      </c>
      <c r="CL98" s="147">
        <v>22716</v>
      </c>
      <c r="CM98" s="147">
        <v>25997</v>
      </c>
      <c r="CN98" s="147">
        <v>34032</v>
      </c>
      <c r="CO98" s="147">
        <v>28139</v>
      </c>
      <c r="CP98" s="147">
        <v>21615</v>
      </c>
      <c r="CQ98" s="173">
        <v>28293</v>
      </c>
      <c r="CR98" s="147">
        <v>28957</v>
      </c>
      <c r="CS98" s="148">
        <v>13453</v>
      </c>
      <c r="CT98" s="148"/>
      <c r="CU98" s="148">
        <v>2425</v>
      </c>
      <c r="CV98" s="148">
        <v>9938</v>
      </c>
      <c r="CW98" s="148">
        <v>19828</v>
      </c>
      <c r="CX98" s="148">
        <v>25619</v>
      </c>
      <c r="CY98" s="148">
        <v>29405</v>
      </c>
      <c r="CZ98" s="148">
        <v>33654</v>
      </c>
      <c r="DA98" s="148">
        <v>27442</v>
      </c>
      <c r="DB98" s="148">
        <v>24391</v>
      </c>
      <c r="DC98" s="148">
        <v>27796</v>
      </c>
      <c r="DD98" s="148">
        <v>27786</v>
      </c>
      <c r="DE98" s="148">
        <v>29084</v>
      </c>
      <c r="DF98" s="148">
        <v>25177</v>
      </c>
      <c r="DG98" s="148">
        <v>11193</v>
      </c>
      <c r="DH98" s="148">
        <v>22495</v>
      </c>
      <c r="DI98" s="148">
        <v>23722</v>
      </c>
      <c r="DJ98" s="148">
        <v>22306</v>
      </c>
      <c r="DK98" s="148">
        <v>14901</v>
      </c>
      <c r="DL98" s="148">
        <v>18483</v>
      </c>
      <c r="DM98" s="148">
        <v>16208</v>
      </c>
      <c r="DN98" s="148">
        <v>13296</v>
      </c>
      <c r="DO98" s="148">
        <v>19553</v>
      </c>
      <c r="DP98" s="148">
        <v>21501</v>
      </c>
      <c r="DQ98" s="148">
        <v>22235</v>
      </c>
      <c r="DR98" s="148">
        <v>20439</v>
      </c>
      <c r="DS98" s="148">
        <v>21008</v>
      </c>
      <c r="DT98" s="148">
        <v>22725</v>
      </c>
      <c r="DU98" s="148">
        <v>22764</v>
      </c>
      <c r="DV98" s="148">
        <v>22944</v>
      </c>
      <c r="DW98" s="148">
        <v>22627</v>
      </c>
      <c r="DX98" s="148">
        <v>23096</v>
      </c>
      <c r="DY98" s="148">
        <v>21035</v>
      </c>
      <c r="DZ98" s="148">
        <v>18731</v>
      </c>
      <c r="EA98" s="148">
        <v>22574</v>
      </c>
      <c r="EB98" s="148">
        <v>24493</v>
      </c>
      <c r="EC98" s="148">
        <v>23429</v>
      </c>
      <c r="ED98" s="148">
        <v>22397</v>
      </c>
      <c r="EE98" s="148">
        <v>20873</v>
      </c>
      <c r="EF98" s="148">
        <v>21391</v>
      </c>
      <c r="EG98" s="148">
        <v>17710</v>
      </c>
      <c r="EH98" s="148">
        <v>19670</v>
      </c>
      <c r="EI98" s="148">
        <v>18214</v>
      </c>
      <c r="EJ98" s="148">
        <v>20173</v>
      </c>
      <c r="EK98" s="148">
        <v>15986</v>
      </c>
      <c r="EL98" s="149">
        <v>14347</v>
      </c>
      <c r="EM98" s="149">
        <v>21636</v>
      </c>
      <c r="EN98" s="149">
        <v>16811</v>
      </c>
      <c r="EO98" s="149">
        <v>16784</v>
      </c>
      <c r="EP98" s="149">
        <v>16413</v>
      </c>
      <c r="EQ98" s="149">
        <v>16311</v>
      </c>
      <c r="ER98" s="149">
        <v>15986</v>
      </c>
      <c r="ES98" s="149">
        <v>16037</v>
      </c>
      <c r="ET98" s="149">
        <v>15776</v>
      </c>
      <c r="EU98" s="149">
        <v>15191</v>
      </c>
      <c r="EV98" s="149">
        <v>17666</v>
      </c>
      <c r="EW98" s="149">
        <v>15053</v>
      </c>
      <c r="EX98" s="149">
        <v>12666</v>
      </c>
      <c r="EY98" s="149">
        <v>16917</v>
      </c>
      <c r="EZ98" s="149">
        <v>14571</v>
      </c>
      <c r="FA98" s="149">
        <v>15880</v>
      </c>
      <c r="FB98" s="149">
        <v>12891</v>
      </c>
      <c r="FC98" s="149">
        <v>14589</v>
      </c>
      <c r="FD98" s="149">
        <v>14248</v>
      </c>
      <c r="FE98" s="149">
        <v>12418</v>
      </c>
      <c r="FF98" s="149">
        <v>13649</v>
      </c>
      <c r="FG98" s="149">
        <v>14234</v>
      </c>
      <c r="FH98" s="149">
        <v>16088</v>
      </c>
      <c r="FI98" s="149">
        <v>14776</v>
      </c>
      <c r="FJ98" s="149">
        <v>12680</v>
      </c>
      <c r="FN98" s="151">
        <f t="shared" si="189"/>
        <v>97302</v>
      </c>
      <c r="FO98" s="152">
        <f t="shared" si="190"/>
        <v>86487</v>
      </c>
      <c r="FP98" s="152">
        <f t="shared" si="191"/>
        <v>97071</v>
      </c>
      <c r="FQ98" s="152">
        <f t="shared" si="192"/>
        <v>101991</v>
      </c>
      <c r="FR98" s="152">
        <f t="shared" si="193"/>
        <v>94993</v>
      </c>
      <c r="FS98" s="152">
        <f t="shared" si="194"/>
        <v>84800</v>
      </c>
      <c r="FT98" s="152">
        <f t="shared" si="195"/>
        <v>97720</v>
      </c>
      <c r="FU98" s="152">
        <f t="shared" si="196"/>
        <v>102042</v>
      </c>
      <c r="FV98" s="152">
        <f t="shared" si="197"/>
        <v>104323</v>
      </c>
      <c r="FW98" s="152">
        <f t="shared" si="198"/>
        <v>97566</v>
      </c>
      <c r="FX98" s="152">
        <f t="shared" si="199"/>
        <v>105771</v>
      </c>
      <c r="FY98" s="152">
        <f t="shared" si="200"/>
        <v>111131</v>
      </c>
      <c r="FZ98" s="152">
        <f t="shared" si="201"/>
        <v>110344</v>
      </c>
      <c r="GA98" s="152">
        <f t="shared" si="202"/>
        <v>97777</v>
      </c>
      <c r="GB98" s="152">
        <f t="shared" si="203"/>
        <v>114581</v>
      </c>
      <c r="GC98" s="152">
        <f t="shared" si="204"/>
        <v>96826</v>
      </c>
      <c r="GD98" s="152">
        <f t="shared" si="205"/>
        <v>100767</v>
      </c>
      <c r="GE98" s="152">
        <f t="shared" si="206"/>
        <v>101667</v>
      </c>
      <c r="GF98" s="152">
        <f t="shared" si="207"/>
        <v>107086</v>
      </c>
      <c r="GG98" s="152">
        <f t="shared" si="208"/>
        <v>101687</v>
      </c>
      <c r="GH98" s="152">
        <f t="shared" si="209"/>
        <v>100007</v>
      </c>
      <c r="GI98" s="152">
        <f t="shared" si="210"/>
        <v>109664</v>
      </c>
      <c r="GJ98" s="152">
        <f t="shared" si="211"/>
        <v>108760</v>
      </c>
      <c r="GK98" s="152">
        <f t="shared" si="212"/>
        <v>108853</v>
      </c>
      <c r="GL98" s="152">
        <f t="shared" si="213"/>
        <v>105092</v>
      </c>
      <c r="GM98" s="152">
        <f t="shared" si="214"/>
        <v>104808</v>
      </c>
      <c r="GN98" s="152">
        <f t="shared" si="215"/>
        <v>108518</v>
      </c>
      <c r="GO98" s="152">
        <f t="shared" si="216"/>
        <v>100987</v>
      </c>
      <c r="GP98" s="152">
        <f t="shared" si="217"/>
        <v>82557</v>
      </c>
      <c r="GQ98" s="152">
        <f t="shared" si="218"/>
        <v>71489</v>
      </c>
      <c r="GR98" s="152">
        <f t="shared" si="219"/>
        <v>83786</v>
      </c>
      <c r="GS98" s="152">
        <f t="shared" si="220"/>
        <v>70703</v>
      </c>
      <c r="GT98" s="152">
        <f t="shared" si="221"/>
        <v>12363</v>
      </c>
      <c r="GU98" s="152">
        <f t="shared" si="222"/>
        <v>74852</v>
      </c>
      <c r="GV98" s="152">
        <f t="shared" si="223"/>
        <v>85487</v>
      </c>
      <c r="GW98" s="152">
        <f t="shared" si="224"/>
        <v>84666</v>
      </c>
      <c r="GX98" s="152">
        <f t="shared" si="225"/>
        <v>58865</v>
      </c>
      <c r="GY98" s="152">
        <f t="shared" si="226"/>
        <v>60929</v>
      </c>
      <c r="GZ98" s="152">
        <f t="shared" si="227"/>
        <v>47987</v>
      </c>
      <c r="HA98" s="152">
        <f t="shared" si="228"/>
        <v>63289</v>
      </c>
      <c r="HB98" s="152">
        <f t="shared" si="229"/>
        <v>64172</v>
      </c>
      <c r="HC98" s="152">
        <f t="shared" si="230"/>
        <v>68335</v>
      </c>
      <c r="HD98" s="152">
        <f t="shared" si="231"/>
        <v>62862</v>
      </c>
      <c r="HE98" s="152">
        <f t="shared" si="232"/>
        <v>70496</v>
      </c>
      <c r="HF98" s="152">
        <f t="shared" si="233"/>
        <v>64661</v>
      </c>
      <c r="HG98" s="152">
        <f t="shared" si="234"/>
        <v>55594</v>
      </c>
      <c r="HH98" s="152">
        <f t="shared" si="235"/>
        <v>50506</v>
      </c>
      <c r="HI98" s="152">
        <f t="shared" si="236"/>
        <v>55231</v>
      </c>
      <c r="HJ98" s="153">
        <f t="shared" si="237"/>
        <v>48710</v>
      </c>
      <c r="HK98" s="153">
        <f t="shared" si="238"/>
        <v>47004</v>
      </c>
      <c r="HL98" s="153">
        <f t="shared" si="239"/>
        <v>45385</v>
      </c>
      <c r="HM98" s="153">
        <f t="shared" si="240"/>
        <v>47368</v>
      </c>
      <c r="HN98" s="153">
        <f t="shared" si="241"/>
        <v>41728</v>
      </c>
      <c r="HO98" s="153">
        <f t="shared" si="242"/>
        <v>40301</v>
      </c>
      <c r="HP98" s="153">
        <f t="shared" si="243"/>
        <v>43544</v>
      </c>
      <c r="HQ98" s="101"/>
      <c r="HU98" s="155">
        <f t="shared" si="244"/>
        <v>382851</v>
      </c>
      <c r="HV98" s="155">
        <f t="shared" si="245"/>
        <v>379555</v>
      </c>
      <c r="HW98" s="155">
        <f t="shared" si="246"/>
        <v>418791</v>
      </c>
      <c r="HX98" s="156">
        <f t="shared" si="247"/>
        <v>419528</v>
      </c>
      <c r="HY98" s="146">
        <f t="shared" si="248"/>
        <v>411207</v>
      </c>
      <c r="HZ98" s="146">
        <f t="shared" si="249"/>
        <v>427284</v>
      </c>
      <c r="IA98" s="146">
        <f t="shared" si="250"/>
        <v>419405</v>
      </c>
      <c r="IB98" s="157">
        <f t="shared" si="251"/>
        <v>308535</v>
      </c>
      <c r="IC98" s="157">
        <f t="shared" si="252"/>
        <v>257368</v>
      </c>
      <c r="ID98" s="157">
        <f t="shared" si="253"/>
        <v>231070</v>
      </c>
      <c r="IE98" s="157">
        <f t="shared" si="254"/>
        <v>265865</v>
      </c>
      <c r="IF98" s="157">
        <f t="shared" si="255"/>
        <v>225992</v>
      </c>
      <c r="IG98" s="157">
        <f t="shared" si="256"/>
        <v>188467</v>
      </c>
    </row>
    <row r="99" spans="1:241" outlineLevel="2" x14ac:dyDescent="0.3">
      <c r="A99" s="158" t="s">
        <v>150</v>
      </c>
      <c r="B99" s="159">
        <v>1497</v>
      </c>
      <c r="C99" s="159">
        <v>943</v>
      </c>
      <c r="D99" s="159">
        <v>444</v>
      </c>
      <c r="E99" s="159">
        <v>1261</v>
      </c>
      <c r="F99" s="159">
        <v>2102</v>
      </c>
      <c r="G99" s="159">
        <v>1536</v>
      </c>
      <c r="H99" s="159">
        <v>1553</v>
      </c>
      <c r="I99" s="159">
        <v>1235</v>
      </c>
      <c r="J99" s="159">
        <v>1026</v>
      </c>
      <c r="K99" s="159">
        <v>1500</v>
      </c>
      <c r="L99" s="159">
        <v>1036</v>
      </c>
      <c r="M99" s="159">
        <v>1211</v>
      </c>
      <c r="N99" s="159">
        <v>568</v>
      </c>
      <c r="O99" s="159">
        <v>457</v>
      </c>
      <c r="P99" s="159">
        <v>1316</v>
      </c>
      <c r="Q99" s="159">
        <v>1027</v>
      </c>
      <c r="R99" s="159">
        <v>955</v>
      </c>
      <c r="S99" s="160">
        <v>897</v>
      </c>
      <c r="T99" s="160">
        <v>890</v>
      </c>
      <c r="U99" s="160">
        <v>522</v>
      </c>
      <c r="V99" s="160">
        <v>555</v>
      </c>
      <c r="W99" s="161">
        <v>556</v>
      </c>
      <c r="X99" s="161">
        <v>542</v>
      </c>
      <c r="Y99" s="161">
        <v>535</v>
      </c>
      <c r="Z99" s="161">
        <v>291</v>
      </c>
      <c r="AA99" s="161">
        <v>254</v>
      </c>
      <c r="AB99" s="161">
        <v>288</v>
      </c>
      <c r="AC99" s="161">
        <v>360</v>
      </c>
      <c r="AD99" s="161">
        <v>229</v>
      </c>
      <c r="AE99" s="161">
        <v>246</v>
      </c>
      <c r="AF99" s="161">
        <v>225</v>
      </c>
      <c r="AG99" s="161">
        <v>152</v>
      </c>
      <c r="AH99" s="161">
        <v>229</v>
      </c>
      <c r="AI99" s="161">
        <v>254</v>
      </c>
      <c r="AJ99" s="161">
        <v>298</v>
      </c>
      <c r="AK99" s="161">
        <v>358</v>
      </c>
      <c r="AL99" s="161">
        <v>373</v>
      </c>
      <c r="AM99" s="161">
        <v>231</v>
      </c>
      <c r="AN99" s="161">
        <v>369</v>
      </c>
      <c r="AO99" s="161">
        <v>301</v>
      </c>
      <c r="AP99" s="161">
        <v>300</v>
      </c>
      <c r="AQ99" s="161">
        <v>326</v>
      </c>
      <c r="AR99" s="161">
        <v>312</v>
      </c>
      <c r="AS99" s="161">
        <v>221</v>
      </c>
      <c r="AT99" s="161">
        <v>185</v>
      </c>
      <c r="AU99" s="161">
        <v>293</v>
      </c>
      <c r="AV99" s="161">
        <v>217</v>
      </c>
      <c r="AW99" s="161">
        <v>267</v>
      </c>
      <c r="AX99" s="160">
        <v>138</v>
      </c>
      <c r="AY99" s="161">
        <v>182</v>
      </c>
      <c r="AZ99" s="161">
        <v>266</v>
      </c>
      <c r="BA99" s="161">
        <v>375</v>
      </c>
      <c r="BB99" s="161">
        <v>388</v>
      </c>
      <c r="BC99" s="161">
        <v>381</v>
      </c>
      <c r="BD99" s="161">
        <v>462</v>
      </c>
      <c r="BE99" s="161">
        <v>291</v>
      </c>
      <c r="BF99" s="161">
        <v>252</v>
      </c>
      <c r="BG99" s="161">
        <v>339</v>
      </c>
      <c r="BH99" s="161">
        <v>97</v>
      </c>
      <c r="BI99" s="161">
        <v>48</v>
      </c>
      <c r="BJ99" s="161">
        <v>16</v>
      </c>
      <c r="BK99" s="162">
        <v>9</v>
      </c>
      <c r="BL99" s="162">
        <v>4</v>
      </c>
      <c r="BM99" s="162">
        <v>34</v>
      </c>
      <c r="BN99" s="162">
        <v>62</v>
      </c>
      <c r="BO99" s="162">
        <v>76</v>
      </c>
      <c r="BP99" s="162">
        <v>33</v>
      </c>
      <c r="BQ99" s="162">
        <v>74</v>
      </c>
      <c r="BR99" s="162">
        <v>33</v>
      </c>
      <c r="BS99" s="162">
        <v>125</v>
      </c>
      <c r="BT99" s="162">
        <v>85</v>
      </c>
      <c r="BU99" s="162">
        <v>174</v>
      </c>
      <c r="BV99" s="162">
        <v>78</v>
      </c>
      <c r="BW99" s="162">
        <v>83</v>
      </c>
      <c r="BX99" s="162">
        <v>46</v>
      </c>
      <c r="BY99" s="162">
        <v>93</v>
      </c>
      <c r="BZ99" s="162">
        <v>145</v>
      </c>
      <c r="CA99" s="162">
        <v>57</v>
      </c>
      <c r="CB99" s="162">
        <v>284</v>
      </c>
      <c r="CC99" s="162">
        <v>106</v>
      </c>
      <c r="CD99" s="162">
        <v>158</v>
      </c>
      <c r="CE99" s="162">
        <v>136</v>
      </c>
      <c r="CF99" s="162">
        <v>171</v>
      </c>
      <c r="CG99" s="162">
        <v>181</v>
      </c>
      <c r="CH99" s="162">
        <v>53</v>
      </c>
      <c r="CI99" s="162">
        <v>17</v>
      </c>
      <c r="CJ99" s="162">
        <v>39</v>
      </c>
      <c r="CK99" s="162">
        <v>21</v>
      </c>
      <c r="CL99" s="162">
        <v>110</v>
      </c>
      <c r="CM99" s="162">
        <v>109</v>
      </c>
      <c r="CN99" s="162">
        <v>138</v>
      </c>
      <c r="CO99" s="162">
        <v>79</v>
      </c>
      <c r="CP99" s="162">
        <v>51</v>
      </c>
      <c r="CQ99" s="162">
        <v>100</v>
      </c>
      <c r="CR99" s="162">
        <v>81</v>
      </c>
      <c r="CS99" s="163">
        <v>60</v>
      </c>
      <c r="CT99" s="163"/>
      <c r="CU99" s="163"/>
      <c r="CV99" s="163">
        <v>1</v>
      </c>
      <c r="CW99" s="163">
        <v>6</v>
      </c>
      <c r="CX99" s="163">
        <v>0</v>
      </c>
      <c r="CY99" s="163">
        <v>1</v>
      </c>
      <c r="CZ99" s="163">
        <v>1</v>
      </c>
      <c r="DA99" s="163">
        <v>0</v>
      </c>
      <c r="DB99" s="163">
        <v>0</v>
      </c>
      <c r="DC99" s="163">
        <v>0</v>
      </c>
      <c r="DD99" s="163">
        <v>0</v>
      </c>
      <c r="DE99" s="163">
        <v>0</v>
      </c>
      <c r="DF99" s="163"/>
      <c r="DG99" s="163">
        <v>1</v>
      </c>
      <c r="DH99" s="163">
        <v>0</v>
      </c>
      <c r="DI99" s="163">
        <v>1</v>
      </c>
      <c r="DJ99" s="163">
        <v>0</v>
      </c>
      <c r="DK99" s="163">
        <v>0</v>
      </c>
      <c r="DL99" s="163">
        <v>4</v>
      </c>
      <c r="DM99" s="163">
        <v>16</v>
      </c>
      <c r="DN99" s="163">
        <v>7</v>
      </c>
      <c r="DO99" s="163">
        <v>12</v>
      </c>
      <c r="DP99" s="163">
        <v>12</v>
      </c>
      <c r="DQ99" s="163">
        <v>6</v>
      </c>
      <c r="DR99" s="163">
        <v>1</v>
      </c>
      <c r="DS99" s="163">
        <v>18</v>
      </c>
      <c r="DT99" s="163">
        <v>20</v>
      </c>
      <c r="DU99" s="163">
        <v>8</v>
      </c>
      <c r="DV99" s="163">
        <v>99</v>
      </c>
      <c r="DW99" s="163">
        <v>40</v>
      </c>
      <c r="DX99" s="163">
        <v>0</v>
      </c>
      <c r="DY99" s="163">
        <v>28</v>
      </c>
      <c r="DZ99" s="163">
        <v>0</v>
      </c>
      <c r="EA99" s="163">
        <v>0</v>
      </c>
      <c r="EB99" s="163">
        <v>0</v>
      </c>
      <c r="EC99" s="163">
        <v>0</v>
      </c>
      <c r="ED99" s="163">
        <v>0</v>
      </c>
      <c r="EE99" s="163">
        <v>0</v>
      </c>
      <c r="EF99" s="163"/>
      <c r="EG99" s="163"/>
      <c r="EH99" s="163"/>
      <c r="EI99" s="163"/>
      <c r="EJ99" s="163"/>
      <c r="EK99" s="163"/>
      <c r="EL99" s="164"/>
      <c r="EM99" s="164"/>
      <c r="EN99" s="164"/>
      <c r="EO99" s="164"/>
      <c r="EP99" s="164"/>
      <c r="EQ99" s="164"/>
      <c r="ER99" s="164"/>
      <c r="ES99" s="164"/>
      <c r="ET99" s="164"/>
      <c r="EU99" s="164"/>
      <c r="EV99" s="164"/>
      <c r="EW99" s="164"/>
      <c r="EX99" s="164"/>
      <c r="EY99" s="164"/>
      <c r="EZ99" s="164"/>
      <c r="FA99" s="164"/>
      <c r="FB99" s="164"/>
      <c r="FC99" s="164"/>
      <c r="FD99" s="164"/>
      <c r="FE99" s="164"/>
      <c r="FF99" s="164"/>
      <c r="FG99" s="164"/>
      <c r="FH99" s="164"/>
      <c r="FI99" s="164"/>
      <c r="FJ99" s="164"/>
      <c r="FN99" s="165">
        <f t="shared" si="189"/>
        <v>2884</v>
      </c>
      <c r="FO99" s="166">
        <f t="shared" si="190"/>
        <v>4899</v>
      </c>
      <c r="FP99" s="166">
        <f t="shared" si="191"/>
        <v>3814</v>
      </c>
      <c r="FQ99" s="166">
        <f t="shared" si="192"/>
        <v>3747</v>
      </c>
      <c r="FR99" s="166">
        <f t="shared" si="193"/>
        <v>2341</v>
      </c>
      <c r="FS99" s="166">
        <f t="shared" si="194"/>
        <v>2879</v>
      </c>
      <c r="FT99" s="166">
        <f t="shared" si="195"/>
        <v>1967</v>
      </c>
      <c r="FU99" s="166">
        <f t="shared" si="196"/>
        <v>1633</v>
      </c>
      <c r="FV99" s="166">
        <f t="shared" si="197"/>
        <v>833</v>
      </c>
      <c r="FW99" s="166">
        <f t="shared" si="198"/>
        <v>835</v>
      </c>
      <c r="FX99" s="166">
        <f t="shared" si="199"/>
        <v>606</v>
      </c>
      <c r="FY99" s="166">
        <f t="shared" si="200"/>
        <v>910</v>
      </c>
      <c r="FZ99" s="166">
        <f t="shared" si="201"/>
        <v>973</v>
      </c>
      <c r="GA99" s="166">
        <f t="shared" si="202"/>
        <v>927</v>
      </c>
      <c r="GB99" s="166">
        <f t="shared" si="203"/>
        <v>718</v>
      </c>
      <c r="GC99" s="166">
        <f t="shared" si="204"/>
        <v>777</v>
      </c>
      <c r="GD99" s="166">
        <f t="shared" si="205"/>
        <v>586</v>
      </c>
      <c r="GE99" s="166">
        <f t="shared" si="206"/>
        <v>1144</v>
      </c>
      <c r="GF99" s="166">
        <f t="shared" si="207"/>
        <v>1005</v>
      </c>
      <c r="GG99" s="166">
        <f t="shared" si="208"/>
        <v>484</v>
      </c>
      <c r="GH99" s="166">
        <f t="shared" si="209"/>
        <v>29</v>
      </c>
      <c r="GI99" s="166">
        <f t="shared" si="210"/>
        <v>172</v>
      </c>
      <c r="GJ99" s="166">
        <f t="shared" si="211"/>
        <v>140</v>
      </c>
      <c r="GK99" s="166">
        <f t="shared" si="212"/>
        <v>384</v>
      </c>
      <c r="GL99" s="166">
        <f t="shared" si="213"/>
        <v>207</v>
      </c>
      <c r="GM99" s="166">
        <f t="shared" si="214"/>
        <v>295</v>
      </c>
      <c r="GN99" s="166">
        <f t="shared" si="215"/>
        <v>548</v>
      </c>
      <c r="GO99" s="166">
        <f t="shared" si="216"/>
        <v>488</v>
      </c>
      <c r="GP99" s="166">
        <f t="shared" si="217"/>
        <v>109</v>
      </c>
      <c r="GQ99" s="166">
        <f t="shared" si="218"/>
        <v>240</v>
      </c>
      <c r="GR99" s="166">
        <f t="shared" si="219"/>
        <v>268</v>
      </c>
      <c r="GS99" s="166">
        <f t="shared" si="220"/>
        <v>241</v>
      </c>
      <c r="GT99" s="166">
        <f t="shared" si="221"/>
        <v>1</v>
      </c>
      <c r="GU99" s="166">
        <f t="shared" si="222"/>
        <v>7</v>
      </c>
      <c r="GV99" s="166">
        <f t="shared" si="223"/>
        <v>1</v>
      </c>
      <c r="GW99" s="166">
        <f t="shared" si="224"/>
        <v>0</v>
      </c>
      <c r="GX99" s="166">
        <f t="shared" si="225"/>
        <v>1</v>
      </c>
      <c r="GY99" s="166">
        <f t="shared" si="226"/>
        <v>1</v>
      </c>
      <c r="GZ99" s="166">
        <f t="shared" si="227"/>
        <v>27</v>
      </c>
      <c r="HA99" s="166">
        <f t="shared" si="228"/>
        <v>30</v>
      </c>
      <c r="HB99" s="166">
        <f t="shared" si="229"/>
        <v>39</v>
      </c>
      <c r="HC99" s="166">
        <f t="shared" si="230"/>
        <v>147</v>
      </c>
      <c r="HD99" s="166">
        <f t="shared" si="231"/>
        <v>28</v>
      </c>
      <c r="HE99" s="166">
        <f t="shared" si="232"/>
        <v>0</v>
      </c>
      <c r="HF99" s="166">
        <f t="shared" si="233"/>
        <v>0</v>
      </c>
      <c r="HG99" s="166">
        <f t="shared" si="234"/>
        <v>0</v>
      </c>
      <c r="HH99" s="166">
        <f t="shared" si="235"/>
        <v>0</v>
      </c>
      <c r="HI99" s="166">
        <f t="shared" si="236"/>
        <v>0</v>
      </c>
      <c r="HJ99" s="167">
        <f t="shared" si="237"/>
        <v>0</v>
      </c>
      <c r="HK99" s="167">
        <f t="shared" si="238"/>
        <v>0</v>
      </c>
      <c r="HL99" s="167">
        <f t="shared" si="239"/>
        <v>0</v>
      </c>
      <c r="HM99" s="167">
        <f t="shared" si="240"/>
        <v>0</v>
      </c>
      <c r="HN99" s="167">
        <f t="shared" si="241"/>
        <v>0</v>
      </c>
      <c r="HO99" s="167">
        <f t="shared" si="242"/>
        <v>0</v>
      </c>
      <c r="HP99" s="167">
        <f t="shared" si="243"/>
        <v>0</v>
      </c>
      <c r="HQ99" s="168"/>
      <c r="HU99" s="169">
        <f t="shared" si="244"/>
        <v>15344</v>
      </c>
      <c r="HV99" s="169">
        <f t="shared" si="245"/>
        <v>8820</v>
      </c>
      <c r="HW99" s="169">
        <f t="shared" si="246"/>
        <v>3184</v>
      </c>
      <c r="HX99" s="170">
        <f t="shared" si="247"/>
        <v>3395</v>
      </c>
      <c r="HY99" s="160">
        <f t="shared" si="248"/>
        <v>3219</v>
      </c>
      <c r="HZ99" s="160">
        <f t="shared" si="249"/>
        <v>725</v>
      </c>
      <c r="IA99" s="160">
        <f t="shared" si="250"/>
        <v>1538</v>
      </c>
      <c r="IB99" s="171">
        <f t="shared" si="251"/>
        <v>858</v>
      </c>
      <c r="IC99" s="171">
        <f t="shared" si="252"/>
        <v>9</v>
      </c>
      <c r="ID99" s="171">
        <f t="shared" si="253"/>
        <v>59</v>
      </c>
      <c r="IE99" s="171">
        <f t="shared" si="254"/>
        <v>214</v>
      </c>
      <c r="IF99" s="171">
        <f t="shared" si="255"/>
        <v>0</v>
      </c>
      <c r="IG99" s="171">
        <f t="shared" si="256"/>
        <v>0</v>
      </c>
    </row>
    <row r="100" spans="1:241" outlineLevel="2" x14ac:dyDescent="0.3">
      <c r="A100" s="144" t="s">
        <v>151</v>
      </c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6"/>
      <c r="T100" s="146"/>
      <c r="U100" s="146"/>
      <c r="V100" s="146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46"/>
      <c r="AY100" s="131"/>
      <c r="AZ100" s="131"/>
      <c r="BA100" s="131"/>
      <c r="BB100" s="131"/>
      <c r="BC100" s="131"/>
      <c r="BD100" s="131"/>
      <c r="BE100" s="131"/>
      <c r="BF100" s="131"/>
      <c r="BG100" s="131"/>
      <c r="BH100" s="131"/>
      <c r="BI100" s="131"/>
      <c r="BJ100" s="131"/>
      <c r="BK100" s="147"/>
      <c r="BL100" s="147"/>
      <c r="BM100" s="147"/>
      <c r="BN100" s="147"/>
      <c r="BO100" s="147"/>
      <c r="BP100" s="147"/>
      <c r="BQ100" s="147"/>
      <c r="BR100" s="147">
        <v>542</v>
      </c>
      <c r="BS100" s="147">
        <v>30</v>
      </c>
      <c r="BT100" s="147">
        <v>50</v>
      </c>
      <c r="BU100" s="147">
        <v>24</v>
      </c>
      <c r="BV100" s="147">
        <v>101</v>
      </c>
      <c r="BW100" s="147">
        <v>94</v>
      </c>
      <c r="BX100" s="147">
        <v>45</v>
      </c>
      <c r="BY100" s="147">
        <v>42</v>
      </c>
      <c r="BZ100" s="147">
        <v>21</v>
      </c>
      <c r="CA100" s="147">
        <v>20</v>
      </c>
      <c r="CB100" s="147">
        <v>10</v>
      </c>
      <c r="CC100" s="147">
        <v>-3</v>
      </c>
      <c r="CD100" s="147">
        <v>0</v>
      </c>
      <c r="CE100" s="147">
        <v>8</v>
      </c>
      <c r="CF100" s="147">
        <v>3</v>
      </c>
      <c r="CG100" s="147">
        <v>9</v>
      </c>
      <c r="CH100" s="147">
        <v>0</v>
      </c>
      <c r="CI100" s="147">
        <v>1</v>
      </c>
      <c r="CJ100" s="147">
        <v>0</v>
      </c>
      <c r="CK100" s="147">
        <v>1</v>
      </c>
      <c r="CL100" s="147">
        <v>3</v>
      </c>
      <c r="CM100" s="147">
        <v>0</v>
      </c>
      <c r="CN100" s="147">
        <v>16</v>
      </c>
      <c r="CO100" s="147">
        <v>4</v>
      </c>
      <c r="CP100" s="147">
        <v>5</v>
      </c>
      <c r="CQ100" s="147">
        <v>3</v>
      </c>
      <c r="CR100" s="147">
        <v>2</v>
      </c>
      <c r="CS100" s="148">
        <v>0</v>
      </c>
      <c r="CT100" s="148"/>
      <c r="CU100" s="148">
        <v>0</v>
      </c>
      <c r="CV100" s="148">
        <v>0</v>
      </c>
      <c r="CW100" s="148">
        <v>0</v>
      </c>
      <c r="CX100" s="148">
        <v>0</v>
      </c>
      <c r="CY100" s="148">
        <v>0</v>
      </c>
      <c r="CZ100" s="148">
        <v>1</v>
      </c>
      <c r="DA100" s="148">
        <v>0</v>
      </c>
      <c r="DB100" s="148">
        <v>0</v>
      </c>
      <c r="DC100" s="148">
        <v>0</v>
      </c>
      <c r="DD100" s="148">
        <v>0</v>
      </c>
      <c r="DE100" s="148">
        <v>0</v>
      </c>
      <c r="DF100" s="148"/>
      <c r="DG100" s="148"/>
      <c r="DH100" s="148">
        <v>0</v>
      </c>
      <c r="DI100" s="148">
        <v>0</v>
      </c>
      <c r="DJ100" s="148">
        <v>0</v>
      </c>
      <c r="DK100" s="148">
        <v>0</v>
      </c>
      <c r="DL100" s="148">
        <v>0</v>
      </c>
      <c r="DM100" s="148">
        <v>0</v>
      </c>
      <c r="DN100" s="148">
        <v>0</v>
      </c>
      <c r="DO100" s="148">
        <v>0</v>
      </c>
      <c r="DP100" s="148">
        <v>0</v>
      </c>
      <c r="DQ100" s="148">
        <v>0</v>
      </c>
      <c r="DR100" s="148"/>
      <c r="DS100" s="148"/>
      <c r="DT100" s="148"/>
      <c r="DU100" s="148"/>
      <c r="DV100" s="148"/>
      <c r="DW100" s="148"/>
      <c r="DX100" s="148"/>
      <c r="DY100" s="148"/>
      <c r="DZ100" s="148"/>
      <c r="EA100" s="148"/>
      <c r="EB100" s="148"/>
      <c r="EC100" s="148"/>
      <c r="ED100" s="148"/>
      <c r="EE100" s="148"/>
      <c r="EF100" s="148"/>
      <c r="EG100" s="148"/>
      <c r="EH100" s="148"/>
      <c r="EI100" s="148"/>
      <c r="EJ100" s="148"/>
      <c r="EK100" s="148"/>
      <c r="EL100" s="149"/>
      <c r="EM100" s="149"/>
      <c r="EN100" s="149"/>
      <c r="EO100" s="149"/>
      <c r="EP100" s="149"/>
      <c r="EQ100" s="149"/>
      <c r="ER100" s="149"/>
      <c r="ES100" s="149"/>
      <c r="ET100" s="149"/>
      <c r="EU100" s="149"/>
      <c r="EV100" s="149"/>
      <c r="EW100" s="149"/>
      <c r="EX100" s="149"/>
      <c r="EY100" s="149"/>
      <c r="EZ100" s="149"/>
      <c r="FA100" s="149"/>
      <c r="FB100" s="149"/>
      <c r="FC100" s="149"/>
      <c r="FD100" s="149"/>
      <c r="FE100" s="149"/>
      <c r="FF100" s="149"/>
      <c r="FG100" s="149"/>
      <c r="FH100" s="149"/>
      <c r="FI100" s="149"/>
      <c r="FJ100" s="149"/>
      <c r="FN100" s="151">
        <f t="shared" si="189"/>
        <v>0</v>
      </c>
      <c r="FO100" s="152">
        <f t="shared" si="190"/>
        <v>0</v>
      </c>
      <c r="FP100" s="152">
        <f t="shared" si="191"/>
        <v>0</v>
      </c>
      <c r="FQ100" s="152">
        <f t="shared" si="192"/>
        <v>0</v>
      </c>
      <c r="FR100" s="152">
        <f t="shared" si="193"/>
        <v>0</v>
      </c>
      <c r="FS100" s="152">
        <f t="shared" si="194"/>
        <v>0</v>
      </c>
      <c r="FT100" s="152">
        <f t="shared" si="195"/>
        <v>0</v>
      </c>
      <c r="FU100" s="152">
        <f t="shared" si="196"/>
        <v>0</v>
      </c>
      <c r="FV100" s="152">
        <f t="shared" si="197"/>
        <v>0</v>
      </c>
      <c r="FW100" s="152">
        <f t="shared" si="198"/>
        <v>0</v>
      </c>
      <c r="FX100" s="152">
        <f t="shared" si="199"/>
        <v>0</v>
      </c>
      <c r="FY100" s="152">
        <f t="shared" si="200"/>
        <v>0</v>
      </c>
      <c r="FZ100" s="152">
        <f t="shared" si="201"/>
        <v>0</v>
      </c>
      <c r="GA100" s="152">
        <f t="shared" si="202"/>
        <v>0</v>
      </c>
      <c r="GB100" s="152">
        <f t="shared" si="203"/>
        <v>0</v>
      </c>
      <c r="GC100" s="152">
        <f t="shared" si="204"/>
        <v>0</v>
      </c>
      <c r="GD100" s="152">
        <f t="shared" si="205"/>
        <v>0</v>
      </c>
      <c r="GE100" s="152">
        <f t="shared" si="206"/>
        <v>0</v>
      </c>
      <c r="GF100" s="152">
        <f t="shared" si="207"/>
        <v>0</v>
      </c>
      <c r="GG100" s="152">
        <f t="shared" si="208"/>
        <v>0</v>
      </c>
      <c r="GH100" s="152">
        <f t="shared" si="209"/>
        <v>0</v>
      </c>
      <c r="GI100" s="152">
        <f t="shared" si="210"/>
        <v>0</v>
      </c>
      <c r="GJ100" s="152">
        <f t="shared" si="211"/>
        <v>542</v>
      </c>
      <c r="GK100" s="152">
        <f t="shared" si="212"/>
        <v>104</v>
      </c>
      <c r="GL100" s="152">
        <f t="shared" si="213"/>
        <v>240</v>
      </c>
      <c r="GM100" s="152">
        <f t="shared" si="214"/>
        <v>83</v>
      </c>
      <c r="GN100" s="152">
        <f t="shared" si="215"/>
        <v>7</v>
      </c>
      <c r="GO100" s="152">
        <f t="shared" si="216"/>
        <v>20</v>
      </c>
      <c r="GP100" s="152">
        <f t="shared" si="217"/>
        <v>1</v>
      </c>
      <c r="GQ100" s="152">
        <f t="shared" si="218"/>
        <v>4</v>
      </c>
      <c r="GR100" s="152">
        <f t="shared" si="219"/>
        <v>25</v>
      </c>
      <c r="GS100" s="152">
        <f t="shared" si="220"/>
        <v>5</v>
      </c>
      <c r="GT100" s="152">
        <f t="shared" si="221"/>
        <v>0</v>
      </c>
      <c r="GU100" s="152">
        <f t="shared" si="222"/>
        <v>0</v>
      </c>
      <c r="GV100" s="152">
        <f t="shared" si="223"/>
        <v>1</v>
      </c>
      <c r="GW100" s="152">
        <f t="shared" si="224"/>
        <v>0</v>
      </c>
      <c r="GX100" s="152">
        <f t="shared" si="225"/>
        <v>0</v>
      </c>
      <c r="GY100" s="152">
        <f t="shared" si="226"/>
        <v>0</v>
      </c>
      <c r="GZ100" s="152">
        <f t="shared" si="227"/>
        <v>0</v>
      </c>
      <c r="HA100" s="152">
        <f t="shared" si="228"/>
        <v>0</v>
      </c>
      <c r="HB100" s="152">
        <f t="shared" si="229"/>
        <v>0</v>
      </c>
      <c r="HC100" s="152">
        <f t="shared" si="230"/>
        <v>0</v>
      </c>
      <c r="HD100" s="152">
        <f t="shared" si="231"/>
        <v>0</v>
      </c>
      <c r="HE100" s="152">
        <f t="shared" si="232"/>
        <v>0</v>
      </c>
      <c r="HF100" s="152">
        <f t="shared" si="233"/>
        <v>0</v>
      </c>
      <c r="HG100" s="152">
        <f t="shared" si="234"/>
        <v>0</v>
      </c>
      <c r="HH100" s="152">
        <f t="shared" si="235"/>
        <v>0</v>
      </c>
      <c r="HI100" s="152">
        <f t="shared" si="236"/>
        <v>0</v>
      </c>
      <c r="HJ100" s="153">
        <f t="shared" si="237"/>
        <v>0</v>
      </c>
      <c r="HK100" s="153">
        <f t="shared" si="238"/>
        <v>0</v>
      </c>
      <c r="HL100" s="153">
        <f t="shared" si="239"/>
        <v>0</v>
      </c>
      <c r="HM100" s="153">
        <f t="shared" si="240"/>
        <v>0</v>
      </c>
      <c r="HN100" s="153">
        <f t="shared" si="241"/>
        <v>0</v>
      </c>
      <c r="HO100" s="153">
        <f t="shared" si="242"/>
        <v>0</v>
      </c>
      <c r="HP100" s="153">
        <f t="shared" si="243"/>
        <v>0</v>
      </c>
      <c r="HQ100" s="101"/>
      <c r="HU100" s="155">
        <f t="shared" si="244"/>
        <v>0</v>
      </c>
      <c r="HV100" s="155">
        <f t="shared" si="245"/>
        <v>0</v>
      </c>
      <c r="HW100" s="155">
        <f t="shared" si="246"/>
        <v>0</v>
      </c>
      <c r="HX100" s="156">
        <f t="shared" si="247"/>
        <v>0</v>
      </c>
      <c r="HY100" s="146">
        <f t="shared" si="248"/>
        <v>0</v>
      </c>
      <c r="HZ100" s="146">
        <f t="shared" si="249"/>
        <v>646</v>
      </c>
      <c r="IA100" s="146">
        <f t="shared" si="250"/>
        <v>350</v>
      </c>
      <c r="IB100" s="157">
        <f t="shared" si="251"/>
        <v>35</v>
      </c>
      <c r="IC100" s="157">
        <f t="shared" si="252"/>
        <v>1</v>
      </c>
      <c r="ID100" s="157">
        <f t="shared" si="253"/>
        <v>0</v>
      </c>
      <c r="IE100" s="157">
        <f t="shared" si="254"/>
        <v>0</v>
      </c>
      <c r="IF100" s="157">
        <f t="shared" si="255"/>
        <v>0</v>
      </c>
      <c r="IG100" s="157">
        <f t="shared" si="256"/>
        <v>0</v>
      </c>
    </row>
    <row r="101" spans="1:241" outlineLevel="2" x14ac:dyDescent="0.3">
      <c r="A101" s="158" t="s">
        <v>152</v>
      </c>
      <c r="B101" s="159">
        <v>72939</v>
      </c>
      <c r="C101" s="159">
        <v>72309</v>
      </c>
      <c r="D101" s="159">
        <v>70977</v>
      </c>
      <c r="E101" s="159">
        <v>56851</v>
      </c>
      <c r="F101" s="159">
        <v>31653</v>
      </c>
      <c r="G101" s="159">
        <v>68957</v>
      </c>
      <c r="H101" s="159">
        <v>79811</v>
      </c>
      <c r="I101" s="159">
        <v>74793</v>
      </c>
      <c r="J101" s="159">
        <v>68729</v>
      </c>
      <c r="K101" s="159">
        <v>88557</v>
      </c>
      <c r="L101" s="159">
        <v>83865</v>
      </c>
      <c r="M101" s="159">
        <v>91896</v>
      </c>
      <c r="N101" s="159">
        <v>76509</v>
      </c>
      <c r="O101" s="159">
        <v>66342</v>
      </c>
      <c r="P101" s="159">
        <v>65172</v>
      </c>
      <c r="Q101" s="159">
        <v>63040</v>
      </c>
      <c r="R101" s="159">
        <v>63499</v>
      </c>
      <c r="S101" s="160">
        <v>78975</v>
      </c>
      <c r="T101" s="160">
        <v>79040</v>
      </c>
      <c r="U101" s="160">
        <v>71649</v>
      </c>
      <c r="V101" s="160">
        <v>73155</v>
      </c>
      <c r="W101" s="161">
        <v>82461</v>
      </c>
      <c r="X101" s="161">
        <v>84595</v>
      </c>
      <c r="Y101" s="161">
        <v>86018</v>
      </c>
      <c r="Z101" s="161">
        <v>65786</v>
      </c>
      <c r="AA101" s="161">
        <v>74536</v>
      </c>
      <c r="AB101" s="161">
        <v>86223</v>
      </c>
      <c r="AC101" s="161">
        <v>72782</v>
      </c>
      <c r="AD101" s="161">
        <v>82823</v>
      </c>
      <c r="AE101" s="161">
        <v>81447</v>
      </c>
      <c r="AF101" s="161">
        <v>80589</v>
      </c>
      <c r="AG101" s="161">
        <v>82306</v>
      </c>
      <c r="AH101" s="161">
        <v>81564</v>
      </c>
      <c r="AI101" s="161">
        <v>89014</v>
      </c>
      <c r="AJ101" s="161">
        <v>90728</v>
      </c>
      <c r="AK101" s="161">
        <v>85733</v>
      </c>
      <c r="AL101" s="161">
        <v>84188</v>
      </c>
      <c r="AM101" s="161">
        <v>85190</v>
      </c>
      <c r="AN101" s="161">
        <v>86630</v>
      </c>
      <c r="AO101" s="161">
        <v>91602</v>
      </c>
      <c r="AP101" s="161">
        <v>86454</v>
      </c>
      <c r="AQ101" s="161">
        <v>87916</v>
      </c>
      <c r="AR101" s="161">
        <v>97951</v>
      </c>
      <c r="AS101" s="161">
        <v>89479</v>
      </c>
      <c r="AT101" s="161">
        <v>91043</v>
      </c>
      <c r="AU101" s="161">
        <v>87757</v>
      </c>
      <c r="AV101" s="161">
        <v>87149</v>
      </c>
      <c r="AW101" s="161">
        <v>92105</v>
      </c>
      <c r="AX101" s="160">
        <v>86481</v>
      </c>
      <c r="AY101" s="161">
        <v>87402</v>
      </c>
      <c r="AZ101" s="161">
        <v>72551</v>
      </c>
      <c r="BA101" s="161">
        <v>93634</v>
      </c>
      <c r="BB101" s="161">
        <v>90269</v>
      </c>
      <c r="BC101" s="161">
        <v>105236</v>
      </c>
      <c r="BD101" s="161">
        <v>92886</v>
      </c>
      <c r="BE101" s="161">
        <v>96767</v>
      </c>
      <c r="BF101" s="161">
        <v>81092</v>
      </c>
      <c r="BG101" s="161">
        <v>103276</v>
      </c>
      <c r="BH101" s="161">
        <v>88541</v>
      </c>
      <c r="BI101" s="161">
        <v>97756</v>
      </c>
      <c r="BJ101" s="161">
        <v>109505</v>
      </c>
      <c r="BK101" s="162">
        <v>95047</v>
      </c>
      <c r="BL101" s="162">
        <v>69970</v>
      </c>
      <c r="BM101" s="162">
        <v>111803</v>
      </c>
      <c r="BN101" s="162">
        <v>115897</v>
      </c>
      <c r="BO101" s="162">
        <v>116886</v>
      </c>
      <c r="BP101" s="162">
        <v>99077</v>
      </c>
      <c r="BQ101" s="162">
        <v>107660</v>
      </c>
      <c r="BR101" s="162">
        <v>87864</v>
      </c>
      <c r="BS101" s="162">
        <v>106246</v>
      </c>
      <c r="BT101" s="162">
        <v>103899</v>
      </c>
      <c r="BU101" s="162">
        <v>110717</v>
      </c>
      <c r="BV101" s="162">
        <v>126744</v>
      </c>
      <c r="BW101" s="162">
        <v>119151</v>
      </c>
      <c r="BX101" s="162">
        <v>102530</v>
      </c>
      <c r="BY101" s="162">
        <v>112131</v>
      </c>
      <c r="BZ101" s="162">
        <v>114261</v>
      </c>
      <c r="CA101" s="162">
        <v>115228</v>
      </c>
      <c r="CB101" s="162">
        <v>101516</v>
      </c>
      <c r="CC101" s="162">
        <v>106325</v>
      </c>
      <c r="CD101" s="162">
        <v>83729</v>
      </c>
      <c r="CE101" s="162">
        <v>101865</v>
      </c>
      <c r="CF101" s="162">
        <v>100513</v>
      </c>
      <c r="CG101" s="162">
        <v>103030</v>
      </c>
      <c r="CH101" s="162">
        <v>97701</v>
      </c>
      <c r="CI101" s="162">
        <v>90121</v>
      </c>
      <c r="CJ101" s="162">
        <v>83952</v>
      </c>
      <c r="CK101" s="162">
        <v>71486</v>
      </c>
      <c r="CL101" s="162">
        <v>65993</v>
      </c>
      <c r="CM101" s="162">
        <v>78979</v>
      </c>
      <c r="CN101" s="162">
        <v>106002</v>
      </c>
      <c r="CO101" s="162">
        <v>105767</v>
      </c>
      <c r="CP101" s="162">
        <v>91342</v>
      </c>
      <c r="CQ101" s="162">
        <v>111060</v>
      </c>
      <c r="CR101" s="162">
        <v>99871</v>
      </c>
      <c r="CS101" s="163">
        <v>58370</v>
      </c>
      <c r="CT101" s="163"/>
      <c r="CU101" s="163">
        <v>8449</v>
      </c>
      <c r="CV101" s="163">
        <v>37707</v>
      </c>
      <c r="CW101" s="163">
        <v>70090</v>
      </c>
      <c r="CX101" s="163">
        <v>82888</v>
      </c>
      <c r="CY101" s="163">
        <v>112993</v>
      </c>
      <c r="CZ101" s="163">
        <v>124951</v>
      </c>
      <c r="DA101" s="163">
        <v>100839</v>
      </c>
      <c r="DB101" s="163">
        <v>103838</v>
      </c>
      <c r="DC101" s="163">
        <v>103435</v>
      </c>
      <c r="DD101" s="163">
        <v>105986</v>
      </c>
      <c r="DE101" s="163">
        <v>108482</v>
      </c>
      <c r="DF101" s="163">
        <v>98926</v>
      </c>
      <c r="DG101" s="163">
        <v>25452</v>
      </c>
      <c r="DH101" s="163">
        <v>86890</v>
      </c>
      <c r="DI101" s="163">
        <v>91403</v>
      </c>
      <c r="DJ101" s="163">
        <v>68184</v>
      </c>
      <c r="DK101" s="163">
        <v>36808</v>
      </c>
      <c r="DL101" s="163">
        <v>71590</v>
      </c>
      <c r="DM101" s="163">
        <v>75581</v>
      </c>
      <c r="DN101" s="163">
        <v>86869</v>
      </c>
      <c r="DO101" s="163">
        <v>91772</v>
      </c>
      <c r="DP101" s="163">
        <v>99398</v>
      </c>
      <c r="DQ101" s="163">
        <v>99639</v>
      </c>
      <c r="DR101" s="163">
        <v>76900</v>
      </c>
      <c r="DS101" s="163">
        <v>85941</v>
      </c>
      <c r="DT101" s="163">
        <v>93695</v>
      </c>
      <c r="DU101" s="163">
        <v>106530</v>
      </c>
      <c r="DV101" s="163">
        <v>95235</v>
      </c>
      <c r="DW101" s="163">
        <v>103109</v>
      </c>
      <c r="DX101" s="163">
        <v>100505</v>
      </c>
      <c r="DY101" s="163">
        <v>92649</v>
      </c>
      <c r="DZ101" s="163">
        <v>68421</v>
      </c>
      <c r="EA101" s="163">
        <v>100286</v>
      </c>
      <c r="EB101" s="163">
        <v>102565</v>
      </c>
      <c r="EC101" s="163">
        <v>83714</v>
      </c>
      <c r="ED101" s="163">
        <v>90062</v>
      </c>
      <c r="EE101" s="163">
        <v>84647</v>
      </c>
      <c r="EF101" s="163">
        <v>80269</v>
      </c>
      <c r="EG101" s="163">
        <v>78040</v>
      </c>
      <c r="EH101" s="163">
        <v>85509</v>
      </c>
      <c r="EI101" s="163">
        <v>80394</v>
      </c>
      <c r="EJ101" s="163">
        <v>95925</v>
      </c>
      <c r="EK101" s="163">
        <v>74916</v>
      </c>
      <c r="EL101" s="164">
        <v>48787</v>
      </c>
      <c r="EM101" s="164">
        <v>92745</v>
      </c>
      <c r="EN101" s="164">
        <v>86890</v>
      </c>
      <c r="EO101" s="164">
        <v>82263</v>
      </c>
      <c r="EP101" s="164">
        <v>69339</v>
      </c>
      <c r="EQ101" s="164">
        <v>78838</v>
      </c>
      <c r="ER101" s="164">
        <v>74016</v>
      </c>
      <c r="ES101" s="164">
        <v>69245</v>
      </c>
      <c r="ET101" s="164">
        <v>69406</v>
      </c>
      <c r="EU101" s="164">
        <v>71505</v>
      </c>
      <c r="EV101" s="164">
        <v>77294</v>
      </c>
      <c r="EW101" s="164">
        <v>71720</v>
      </c>
      <c r="EX101" s="164">
        <v>62788</v>
      </c>
      <c r="EY101" s="164">
        <v>97256</v>
      </c>
      <c r="EZ101" s="164">
        <v>84265</v>
      </c>
      <c r="FA101" s="164">
        <v>79237</v>
      </c>
      <c r="FB101" s="164">
        <v>68244</v>
      </c>
      <c r="FC101" s="164">
        <v>68736</v>
      </c>
      <c r="FD101" s="164">
        <v>61619</v>
      </c>
      <c r="FE101" s="164">
        <v>72662</v>
      </c>
      <c r="FF101" s="164">
        <v>66450</v>
      </c>
      <c r="FG101" s="164">
        <v>74090</v>
      </c>
      <c r="FH101" s="164">
        <v>85210</v>
      </c>
      <c r="FI101" s="164">
        <v>85273</v>
      </c>
      <c r="FJ101" s="164">
        <v>92929</v>
      </c>
      <c r="FN101" s="165">
        <f t="shared" si="189"/>
        <v>216225</v>
      </c>
      <c r="FO101" s="166">
        <f t="shared" si="190"/>
        <v>157461</v>
      </c>
      <c r="FP101" s="166">
        <f t="shared" si="191"/>
        <v>223333</v>
      </c>
      <c r="FQ101" s="166">
        <f t="shared" si="192"/>
        <v>264318</v>
      </c>
      <c r="FR101" s="166">
        <f t="shared" si="193"/>
        <v>208023</v>
      </c>
      <c r="FS101" s="166">
        <f t="shared" si="194"/>
        <v>205514</v>
      </c>
      <c r="FT101" s="166">
        <f t="shared" si="195"/>
        <v>223844</v>
      </c>
      <c r="FU101" s="166">
        <f t="shared" si="196"/>
        <v>253074</v>
      </c>
      <c r="FV101" s="166">
        <f t="shared" si="197"/>
        <v>226545</v>
      </c>
      <c r="FW101" s="166">
        <f t="shared" si="198"/>
        <v>237052</v>
      </c>
      <c r="FX101" s="166">
        <f t="shared" si="199"/>
        <v>244459</v>
      </c>
      <c r="FY101" s="166">
        <f t="shared" si="200"/>
        <v>265475</v>
      </c>
      <c r="FZ101" s="166">
        <f t="shared" si="201"/>
        <v>256008</v>
      </c>
      <c r="GA101" s="166">
        <f t="shared" si="202"/>
        <v>265972</v>
      </c>
      <c r="GB101" s="166">
        <f t="shared" si="203"/>
        <v>278473</v>
      </c>
      <c r="GC101" s="166">
        <f t="shared" si="204"/>
        <v>267011</v>
      </c>
      <c r="GD101" s="166">
        <f t="shared" si="205"/>
        <v>246434</v>
      </c>
      <c r="GE101" s="166">
        <f t="shared" si="206"/>
        <v>289139</v>
      </c>
      <c r="GF101" s="166">
        <f t="shared" si="207"/>
        <v>270745</v>
      </c>
      <c r="GG101" s="166">
        <f t="shared" si="208"/>
        <v>289573</v>
      </c>
      <c r="GH101" s="166">
        <f t="shared" si="209"/>
        <v>274522</v>
      </c>
      <c r="GI101" s="166">
        <f t="shared" si="210"/>
        <v>344586</v>
      </c>
      <c r="GJ101" s="166">
        <f t="shared" si="211"/>
        <v>294601</v>
      </c>
      <c r="GK101" s="166">
        <f t="shared" si="212"/>
        <v>320862</v>
      </c>
      <c r="GL101" s="166">
        <f t="shared" si="213"/>
        <v>348425</v>
      </c>
      <c r="GM101" s="166">
        <f t="shared" si="214"/>
        <v>341620</v>
      </c>
      <c r="GN101" s="166">
        <f t="shared" si="215"/>
        <v>291570</v>
      </c>
      <c r="GO101" s="166">
        <f t="shared" si="216"/>
        <v>305408</v>
      </c>
      <c r="GP101" s="166">
        <f t="shared" si="217"/>
        <v>271774</v>
      </c>
      <c r="GQ101" s="166">
        <f t="shared" si="218"/>
        <v>216458</v>
      </c>
      <c r="GR101" s="166">
        <f t="shared" si="219"/>
        <v>303111</v>
      </c>
      <c r="GS101" s="166">
        <f t="shared" si="220"/>
        <v>269301</v>
      </c>
      <c r="GT101" s="166">
        <f t="shared" si="221"/>
        <v>46156</v>
      </c>
      <c r="GU101" s="166">
        <f t="shared" si="222"/>
        <v>265971</v>
      </c>
      <c r="GV101" s="166">
        <f t="shared" si="223"/>
        <v>329628</v>
      </c>
      <c r="GW101" s="166">
        <f t="shared" si="224"/>
        <v>317903</v>
      </c>
      <c r="GX101" s="166">
        <f t="shared" si="225"/>
        <v>211268</v>
      </c>
      <c r="GY101" s="166">
        <f t="shared" si="226"/>
        <v>196395</v>
      </c>
      <c r="GZ101" s="166">
        <f t="shared" si="227"/>
        <v>234040</v>
      </c>
      <c r="HA101" s="166">
        <f t="shared" si="228"/>
        <v>290809</v>
      </c>
      <c r="HB101" s="166">
        <f t="shared" si="229"/>
        <v>256536</v>
      </c>
      <c r="HC101" s="166">
        <f t="shared" si="230"/>
        <v>304874</v>
      </c>
      <c r="HD101" s="166">
        <f t="shared" si="231"/>
        <v>261575</v>
      </c>
      <c r="HE101" s="166">
        <f t="shared" si="232"/>
        <v>286565</v>
      </c>
      <c r="HF101" s="166">
        <f t="shared" si="233"/>
        <v>254978</v>
      </c>
      <c r="HG101" s="166">
        <f t="shared" si="234"/>
        <v>243943</v>
      </c>
      <c r="HH101" s="166">
        <f t="shared" si="235"/>
        <v>219628</v>
      </c>
      <c r="HI101" s="166">
        <f t="shared" si="236"/>
        <v>261898</v>
      </c>
      <c r="HJ101" s="167">
        <f t="shared" si="237"/>
        <v>222193</v>
      </c>
      <c r="HK101" s="167">
        <f t="shared" si="238"/>
        <v>210156</v>
      </c>
      <c r="HL101" s="167">
        <f t="shared" si="239"/>
        <v>211802</v>
      </c>
      <c r="HM101" s="167">
        <f t="shared" si="240"/>
        <v>260758</v>
      </c>
      <c r="HN101" s="167">
        <f t="shared" si="241"/>
        <v>198599</v>
      </c>
      <c r="HO101" s="167">
        <f t="shared" si="242"/>
        <v>213202</v>
      </c>
      <c r="HP101" s="167">
        <f t="shared" si="243"/>
        <v>263412</v>
      </c>
      <c r="HQ101" s="168"/>
      <c r="HU101" s="169">
        <f t="shared" si="244"/>
        <v>861337</v>
      </c>
      <c r="HV101" s="169">
        <f t="shared" si="245"/>
        <v>890455</v>
      </c>
      <c r="HW101" s="169">
        <f t="shared" si="246"/>
        <v>973531</v>
      </c>
      <c r="HX101" s="170">
        <f t="shared" si="247"/>
        <v>1067464</v>
      </c>
      <c r="HY101" s="160">
        <f t="shared" si="248"/>
        <v>1095891</v>
      </c>
      <c r="HZ101" s="160">
        <f t="shared" si="249"/>
        <v>1234571</v>
      </c>
      <c r="IA101" s="160">
        <f t="shared" si="250"/>
        <v>1287023</v>
      </c>
      <c r="IB101" s="171">
        <f t="shared" si="251"/>
        <v>1060644</v>
      </c>
      <c r="IC101" s="171">
        <f t="shared" si="252"/>
        <v>959658</v>
      </c>
      <c r="ID101" s="171">
        <f t="shared" si="253"/>
        <v>932512</v>
      </c>
      <c r="IE101" s="171">
        <f t="shared" si="254"/>
        <v>1109550</v>
      </c>
      <c r="IF101" s="171">
        <f t="shared" si="255"/>
        <v>980447</v>
      </c>
      <c r="IG101" s="171">
        <f t="shared" si="256"/>
        <v>904909</v>
      </c>
    </row>
    <row r="102" spans="1:241" outlineLevel="2" x14ac:dyDescent="0.3">
      <c r="A102" s="158" t="s">
        <v>153</v>
      </c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60"/>
      <c r="T102" s="160"/>
      <c r="U102" s="160"/>
      <c r="V102" s="160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0"/>
      <c r="AY102" s="161"/>
      <c r="AZ102" s="161"/>
      <c r="BA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2"/>
      <c r="BL102" s="162"/>
      <c r="BM102" s="162"/>
      <c r="BN102" s="162"/>
      <c r="BO102" s="162"/>
      <c r="BP102" s="162"/>
      <c r="BQ102" s="162"/>
      <c r="BR102" s="162"/>
      <c r="BS102" s="162"/>
      <c r="BT102" s="162"/>
      <c r="BU102" s="162"/>
      <c r="BV102" s="162"/>
      <c r="BW102" s="162"/>
      <c r="BX102" s="162"/>
      <c r="BY102" s="162"/>
      <c r="BZ102" s="162"/>
      <c r="CA102" s="162"/>
      <c r="CB102" s="162"/>
      <c r="CC102" s="162"/>
      <c r="CD102" s="162"/>
      <c r="CE102" s="162"/>
      <c r="CF102" s="162"/>
      <c r="CG102" s="162"/>
      <c r="CH102" s="162"/>
      <c r="CI102" s="162"/>
      <c r="CJ102" s="162"/>
      <c r="CK102" s="162"/>
      <c r="CL102" s="162"/>
      <c r="CM102" s="162"/>
      <c r="CN102" s="162"/>
      <c r="CO102" s="162"/>
      <c r="CP102" s="162"/>
      <c r="CQ102" s="162"/>
      <c r="CR102" s="162"/>
      <c r="CS102" s="163"/>
      <c r="CT102" s="163"/>
      <c r="CU102" s="163"/>
      <c r="CV102" s="163"/>
      <c r="CW102" s="163"/>
      <c r="CX102" s="163"/>
      <c r="CY102" s="163"/>
      <c r="CZ102" s="163"/>
      <c r="DA102" s="163"/>
      <c r="DB102" s="163"/>
      <c r="DC102" s="163"/>
      <c r="DD102" s="163"/>
      <c r="DE102" s="163"/>
      <c r="DF102" s="163"/>
      <c r="DG102" s="163"/>
      <c r="DH102" s="163"/>
      <c r="DI102" s="163"/>
      <c r="DJ102" s="163"/>
      <c r="DK102" s="163"/>
      <c r="DL102" s="163"/>
      <c r="DM102" s="163"/>
      <c r="DN102" s="163"/>
      <c r="DO102" s="163"/>
      <c r="DP102" s="163"/>
      <c r="DQ102" s="163"/>
      <c r="DR102" s="163"/>
      <c r="DS102" s="163"/>
      <c r="DT102" s="163"/>
      <c r="DU102" s="163"/>
      <c r="DV102" s="163"/>
      <c r="DW102" s="163"/>
      <c r="DX102" s="163"/>
      <c r="DY102" s="163"/>
      <c r="DZ102" s="163"/>
      <c r="EA102" s="163"/>
      <c r="EB102" s="163"/>
      <c r="EC102" s="163"/>
      <c r="ED102" s="163"/>
      <c r="EE102" s="163">
        <v>730</v>
      </c>
      <c r="EF102" s="163">
        <v>1184</v>
      </c>
      <c r="EG102" s="163" t="s">
        <v>146</v>
      </c>
      <c r="EH102" s="163" t="s">
        <v>146</v>
      </c>
      <c r="EI102" s="163" t="s">
        <v>146</v>
      </c>
      <c r="EJ102" s="163" t="s">
        <v>146</v>
      </c>
      <c r="EK102" s="163"/>
      <c r="EL102" s="164"/>
      <c r="EM102" s="164"/>
      <c r="EN102" s="164"/>
      <c r="EO102" s="164"/>
      <c r="EP102" s="164"/>
      <c r="EQ102" s="164"/>
      <c r="ER102" s="164"/>
      <c r="ES102" s="164"/>
      <c r="ET102" s="164"/>
      <c r="EU102" s="164"/>
      <c r="EV102" s="164"/>
      <c r="EW102" s="164"/>
      <c r="EX102" s="164"/>
      <c r="EY102" s="164"/>
      <c r="EZ102" s="164"/>
      <c r="FA102" s="164"/>
      <c r="FB102" s="164"/>
      <c r="FC102" s="164"/>
      <c r="FD102" s="164"/>
      <c r="FE102" s="164"/>
      <c r="FF102" s="164"/>
      <c r="FG102" s="164"/>
      <c r="FH102" s="164"/>
      <c r="FI102" s="164"/>
      <c r="FJ102" s="164"/>
      <c r="FN102" s="165">
        <f t="shared" ref="FN102" si="257">+SUM(B102:D102)</f>
        <v>0</v>
      </c>
      <c r="FO102" s="166">
        <f t="shared" ref="FO102" si="258">+SUM(E102:G102)</f>
        <v>0</v>
      </c>
      <c r="FP102" s="166">
        <f t="shared" si="191"/>
        <v>0</v>
      </c>
      <c r="FQ102" s="166">
        <f t="shared" si="192"/>
        <v>0</v>
      </c>
      <c r="FR102" s="166">
        <f t="shared" si="193"/>
        <v>0</v>
      </c>
      <c r="FS102" s="166">
        <f t="shared" si="194"/>
        <v>0</v>
      </c>
      <c r="FT102" s="166">
        <f t="shared" si="195"/>
        <v>0</v>
      </c>
      <c r="FU102" s="166">
        <f t="shared" si="196"/>
        <v>0</v>
      </c>
      <c r="FV102" s="166">
        <f t="shared" si="197"/>
        <v>0</v>
      </c>
      <c r="FW102" s="166">
        <f t="shared" si="198"/>
        <v>0</v>
      </c>
      <c r="FX102" s="166">
        <f t="shared" si="199"/>
        <v>0</v>
      </c>
      <c r="FY102" s="166">
        <f t="shared" si="200"/>
        <v>0</v>
      </c>
      <c r="FZ102" s="166">
        <f t="shared" si="201"/>
        <v>0</v>
      </c>
      <c r="GA102" s="166">
        <f t="shared" si="202"/>
        <v>0</v>
      </c>
      <c r="GB102" s="166">
        <f t="shared" si="203"/>
        <v>0</v>
      </c>
      <c r="GC102" s="166">
        <f t="shared" si="204"/>
        <v>0</v>
      </c>
      <c r="GD102" s="166">
        <f t="shared" si="205"/>
        <v>0</v>
      </c>
      <c r="GE102" s="166">
        <f t="shared" si="206"/>
        <v>0</v>
      </c>
      <c r="GF102" s="166">
        <f t="shared" si="207"/>
        <v>0</v>
      </c>
      <c r="GG102" s="166">
        <f t="shared" si="208"/>
        <v>0</v>
      </c>
      <c r="GH102" s="166">
        <f t="shared" si="209"/>
        <v>0</v>
      </c>
      <c r="GI102" s="166">
        <f t="shared" si="210"/>
        <v>0</v>
      </c>
      <c r="GJ102" s="166">
        <f t="shared" si="211"/>
        <v>0</v>
      </c>
      <c r="GK102" s="166">
        <f t="shared" si="212"/>
        <v>0</v>
      </c>
      <c r="GL102" s="166">
        <f t="shared" si="213"/>
        <v>0</v>
      </c>
      <c r="GM102" s="166">
        <f t="shared" si="214"/>
        <v>0</v>
      </c>
      <c r="GN102" s="166">
        <f t="shared" si="215"/>
        <v>0</v>
      </c>
      <c r="GO102" s="166">
        <f t="shared" si="216"/>
        <v>0</v>
      </c>
      <c r="GP102" s="166">
        <f t="shared" si="217"/>
        <v>0</v>
      </c>
      <c r="GQ102" s="166">
        <f t="shared" si="218"/>
        <v>0</v>
      </c>
      <c r="GR102" s="166">
        <f t="shared" si="219"/>
        <v>0</v>
      </c>
      <c r="GS102" s="166">
        <f t="shared" si="220"/>
        <v>0</v>
      </c>
      <c r="GT102" s="166">
        <f t="shared" si="221"/>
        <v>0</v>
      </c>
      <c r="GU102" s="166">
        <f t="shared" si="222"/>
        <v>0</v>
      </c>
      <c r="GV102" s="166">
        <f t="shared" si="223"/>
        <v>0</v>
      </c>
      <c r="GW102" s="166">
        <f t="shared" si="224"/>
        <v>0</v>
      </c>
      <c r="GX102" s="166">
        <f t="shared" si="225"/>
        <v>0</v>
      </c>
      <c r="GY102" s="166">
        <f t="shared" si="226"/>
        <v>0</v>
      </c>
      <c r="GZ102" s="166">
        <f t="shared" si="227"/>
        <v>0</v>
      </c>
      <c r="HA102" s="166">
        <f t="shared" si="228"/>
        <v>0</v>
      </c>
      <c r="HB102" s="166">
        <f t="shared" si="229"/>
        <v>0</v>
      </c>
      <c r="HC102" s="166">
        <f t="shared" si="230"/>
        <v>0</v>
      </c>
      <c r="HD102" s="166">
        <f t="shared" si="231"/>
        <v>0</v>
      </c>
      <c r="HE102" s="166">
        <f t="shared" si="232"/>
        <v>0</v>
      </c>
      <c r="HF102" s="166">
        <f t="shared" si="233"/>
        <v>1914</v>
      </c>
      <c r="HG102" s="166">
        <f t="shared" si="234"/>
        <v>0</v>
      </c>
      <c r="HH102" s="166">
        <f t="shared" si="235"/>
        <v>0</v>
      </c>
      <c r="HI102" s="166">
        <f t="shared" si="236"/>
        <v>0</v>
      </c>
      <c r="HJ102" s="167">
        <f t="shared" si="237"/>
        <v>0</v>
      </c>
      <c r="HK102" s="167">
        <f t="shared" si="238"/>
        <v>0</v>
      </c>
      <c r="HL102" s="167">
        <f t="shared" si="239"/>
        <v>0</v>
      </c>
      <c r="HM102" s="167">
        <f t="shared" si="240"/>
        <v>0</v>
      </c>
      <c r="HN102" s="167">
        <f t="shared" si="241"/>
        <v>0</v>
      </c>
      <c r="HO102" s="167">
        <f t="shared" si="242"/>
        <v>0</v>
      </c>
      <c r="HP102" s="167">
        <f t="shared" si="243"/>
        <v>0</v>
      </c>
      <c r="HQ102" s="168"/>
      <c r="HU102" s="169">
        <f t="shared" si="244"/>
        <v>0</v>
      </c>
      <c r="HV102" s="169">
        <f t="shared" si="245"/>
        <v>0</v>
      </c>
      <c r="HW102" s="169">
        <f t="shared" si="246"/>
        <v>0</v>
      </c>
      <c r="HX102" s="170">
        <f t="shared" si="247"/>
        <v>0</v>
      </c>
      <c r="HY102" s="160">
        <f t="shared" si="248"/>
        <v>0</v>
      </c>
      <c r="HZ102" s="160">
        <f t="shared" si="249"/>
        <v>0</v>
      </c>
      <c r="IA102" s="160">
        <f t="shared" si="250"/>
        <v>0</v>
      </c>
      <c r="IB102" s="171">
        <f t="shared" si="251"/>
        <v>0</v>
      </c>
      <c r="IC102" s="171">
        <f t="shared" si="252"/>
        <v>0</v>
      </c>
      <c r="ID102" s="171">
        <f t="shared" si="253"/>
        <v>0</v>
      </c>
      <c r="IE102" s="171">
        <f t="shared" si="254"/>
        <v>0</v>
      </c>
      <c r="IF102" s="171">
        <f t="shared" si="255"/>
        <v>1914</v>
      </c>
      <c r="IG102" s="171">
        <f t="shared" si="256"/>
        <v>0</v>
      </c>
    </row>
    <row r="103" spans="1:241" outlineLevel="2" x14ac:dyDescent="0.3">
      <c r="A103" s="144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6"/>
      <c r="T103" s="146"/>
      <c r="U103" s="146"/>
      <c r="V103" s="146"/>
      <c r="W103" s="131"/>
      <c r="X103" s="131"/>
      <c r="Y103" s="131"/>
      <c r="Z103" s="131"/>
      <c r="AA103" s="131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46"/>
      <c r="AY103" s="131"/>
      <c r="AZ103" s="131"/>
      <c r="BA103" s="131"/>
      <c r="BB103" s="131"/>
      <c r="BC103" s="131"/>
      <c r="BD103" s="131"/>
      <c r="BE103" s="131"/>
      <c r="BF103" s="131"/>
      <c r="BG103" s="131"/>
      <c r="BH103" s="131"/>
      <c r="BI103" s="131"/>
      <c r="BJ103" s="131"/>
      <c r="BK103" s="147"/>
      <c r="BL103" s="147"/>
      <c r="BM103" s="147"/>
      <c r="BN103" s="147"/>
      <c r="BO103" s="147"/>
      <c r="BP103" s="147"/>
      <c r="BQ103" s="147"/>
      <c r="BR103" s="147"/>
      <c r="BS103" s="147"/>
      <c r="BT103" s="147"/>
      <c r="BU103" s="147"/>
      <c r="BV103" s="147"/>
      <c r="BW103" s="147"/>
      <c r="BX103" s="147"/>
      <c r="BY103" s="147"/>
      <c r="BZ103" s="147"/>
      <c r="CA103" s="147"/>
      <c r="CB103" s="147"/>
      <c r="CC103" s="147"/>
      <c r="CD103" s="147"/>
      <c r="CE103" s="147"/>
      <c r="CF103" s="147"/>
      <c r="CG103" s="147"/>
      <c r="CH103" s="147"/>
      <c r="CI103" s="147"/>
      <c r="CJ103" s="147"/>
      <c r="CK103" s="147"/>
      <c r="CL103" s="173"/>
      <c r="CM103" s="173"/>
      <c r="CN103" s="173"/>
      <c r="CO103" s="173"/>
      <c r="CP103" s="173"/>
      <c r="CQ103" s="147"/>
      <c r="CR103" s="173"/>
      <c r="CS103" s="174"/>
      <c r="CT103" s="174"/>
      <c r="CU103" s="174"/>
      <c r="CV103" s="174"/>
      <c r="CW103" s="174"/>
      <c r="CX103" s="174"/>
      <c r="CY103" s="174"/>
      <c r="CZ103" s="174"/>
      <c r="DA103" s="174"/>
      <c r="DB103" s="174"/>
      <c r="DC103" s="174"/>
      <c r="DD103" s="174"/>
      <c r="DE103" s="174"/>
      <c r="DF103" s="174"/>
      <c r="DG103" s="174"/>
      <c r="DH103" s="174"/>
      <c r="DI103" s="174"/>
      <c r="DJ103" s="174"/>
      <c r="DK103" s="174"/>
      <c r="DL103" s="174"/>
      <c r="DM103" s="174"/>
      <c r="DN103" s="174"/>
      <c r="DO103" s="174"/>
      <c r="DP103" s="174"/>
      <c r="DQ103" s="174"/>
      <c r="DR103" s="174"/>
      <c r="DS103" s="174"/>
      <c r="DT103" s="174"/>
      <c r="DU103" s="174"/>
      <c r="DV103" s="174"/>
      <c r="DW103" s="174"/>
      <c r="DX103" s="174"/>
      <c r="DY103" s="174"/>
      <c r="DZ103" s="174"/>
      <c r="EA103" s="174"/>
      <c r="EB103" s="174"/>
      <c r="EC103" s="174"/>
      <c r="ED103" s="174"/>
      <c r="EE103" s="174"/>
      <c r="EF103" s="174"/>
      <c r="EG103" s="174"/>
      <c r="EH103" s="174"/>
      <c r="EI103" s="174"/>
      <c r="EJ103" s="174"/>
      <c r="EK103" s="174"/>
      <c r="EL103" s="175"/>
      <c r="EM103" s="175"/>
      <c r="EN103" s="175"/>
      <c r="EO103" s="175"/>
      <c r="EP103" s="175"/>
      <c r="EQ103" s="175"/>
      <c r="ER103" s="175"/>
      <c r="ES103" s="175"/>
      <c r="ET103" s="175"/>
      <c r="EU103" s="175"/>
      <c r="EV103" s="175"/>
      <c r="EW103" s="175"/>
      <c r="EX103" s="175"/>
      <c r="EY103" s="175"/>
      <c r="EZ103" s="175"/>
      <c r="FA103" s="175"/>
      <c r="FB103" s="175"/>
      <c r="FC103" s="175"/>
      <c r="FD103" s="175"/>
      <c r="FE103" s="175"/>
      <c r="FF103" s="175"/>
      <c r="FG103" s="175"/>
      <c r="FH103" s="175"/>
      <c r="FI103" s="175"/>
      <c r="FJ103" s="175"/>
      <c r="FN103" s="151">
        <f t="shared" si="189"/>
        <v>0</v>
      </c>
      <c r="FO103" s="152">
        <f t="shared" si="190"/>
        <v>0</v>
      </c>
      <c r="FP103" s="152">
        <f t="shared" si="191"/>
        <v>0</v>
      </c>
      <c r="FQ103" s="152">
        <f t="shared" si="192"/>
        <v>0</v>
      </c>
      <c r="FR103" s="152">
        <f t="shared" si="193"/>
        <v>0</v>
      </c>
      <c r="FS103" s="152">
        <f t="shared" si="194"/>
        <v>0</v>
      </c>
      <c r="FT103" s="152">
        <f t="shared" si="195"/>
        <v>0</v>
      </c>
      <c r="FU103" s="152">
        <f t="shared" si="196"/>
        <v>0</v>
      </c>
      <c r="FV103" s="152">
        <f t="shared" si="197"/>
        <v>0</v>
      </c>
      <c r="FW103" s="152">
        <f t="shared" si="198"/>
        <v>0</v>
      </c>
      <c r="FX103" s="152">
        <f t="shared" si="199"/>
        <v>0</v>
      </c>
      <c r="FY103" s="152">
        <f t="shared" si="200"/>
        <v>0</v>
      </c>
      <c r="FZ103" s="152">
        <f t="shared" si="201"/>
        <v>0</v>
      </c>
      <c r="GA103" s="152">
        <f t="shared" si="202"/>
        <v>0</v>
      </c>
      <c r="GB103" s="152">
        <f t="shared" si="203"/>
        <v>0</v>
      </c>
      <c r="GC103" s="152">
        <f t="shared" si="204"/>
        <v>0</v>
      </c>
      <c r="GD103" s="152">
        <f t="shared" si="205"/>
        <v>0</v>
      </c>
      <c r="GE103" s="152">
        <f t="shared" si="206"/>
        <v>0</v>
      </c>
      <c r="GF103" s="152">
        <f t="shared" si="207"/>
        <v>0</v>
      </c>
      <c r="GG103" s="152">
        <f t="shared" si="208"/>
        <v>0</v>
      </c>
      <c r="GH103" s="152">
        <f t="shared" si="209"/>
        <v>0</v>
      </c>
      <c r="GI103" s="152">
        <f t="shared" si="210"/>
        <v>0</v>
      </c>
      <c r="GJ103" s="152">
        <f t="shared" si="211"/>
        <v>0</v>
      </c>
      <c r="GK103" s="152">
        <f t="shared" si="212"/>
        <v>0</v>
      </c>
      <c r="GL103" s="152">
        <f t="shared" si="213"/>
        <v>0</v>
      </c>
      <c r="GM103" s="152">
        <f t="shared" si="214"/>
        <v>0</v>
      </c>
      <c r="GN103" s="152">
        <f t="shared" si="215"/>
        <v>0</v>
      </c>
      <c r="GO103" s="152">
        <f t="shared" si="216"/>
        <v>0</v>
      </c>
      <c r="GP103" s="152">
        <f t="shared" si="217"/>
        <v>0</v>
      </c>
      <c r="GQ103" s="152">
        <f t="shared" si="218"/>
        <v>0</v>
      </c>
      <c r="GR103" s="152">
        <f t="shared" si="219"/>
        <v>0</v>
      </c>
      <c r="GS103" s="152">
        <f t="shared" si="220"/>
        <v>0</v>
      </c>
      <c r="GT103" s="152">
        <f t="shared" si="221"/>
        <v>0</v>
      </c>
      <c r="GU103" s="152">
        <f t="shared" si="222"/>
        <v>0</v>
      </c>
      <c r="GV103" s="152">
        <f t="shared" si="223"/>
        <v>0</v>
      </c>
      <c r="GW103" s="152">
        <f t="shared" si="224"/>
        <v>0</v>
      </c>
      <c r="GX103" s="152">
        <f t="shared" si="225"/>
        <v>0</v>
      </c>
      <c r="GY103" s="152">
        <f t="shared" si="226"/>
        <v>0</v>
      </c>
      <c r="GZ103" s="152">
        <f t="shared" si="227"/>
        <v>0</v>
      </c>
      <c r="HA103" s="152">
        <f t="shared" si="228"/>
        <v>0</v>
      </c>
      <c r="HB103" s="152">
        <f t="shared" si="229"/>
        <v>0</v>
      </c>
      <c r="HC103" s="152">
        <f t="shared" si="230"/>
        <v>0</v>
      </c>
      <c r="HD103" s="152">
        <f t="shared" si="231"/>
        <v>0</v>
      </c>
      <c r="HE103" s="152">
        <f t="shared" si="232"/>
        <v>0</v>
      </c>
      <c r="HF103" s="152">
        <f t="shared" si="233"/>
        <v>0</v>
      </c>
      <c r="HG103" s="152">
        <f t="shared" si="234"/>
        <v>0</v>
      </c>
      <c r="HH103" s="152">
        <f t="shared" si="235"/>
        <v>0</v>
      </c>
      <c r="HI103" s="152">
        <f t="shared" si="236"/>
        <v>0</v>
      </c>
      <c r="HJ103" s="153">
        <f t="shared" si="237"/>
        <v>0</v>
      </c>
      <c r="HK103" s="153">
        <f t="shared" si="238"/>
        <v>0</v>
      </c>
      <c r="HL103" s="153">
        <f t="shared" si="239"/>
        <v>0</v>
      </c>
      <c r="HM103" s="153">
        <f t="shared" si="240"/>
        <v>0</v>
      </c>
      <c r="HN103" s="153">
        <f t="shared" si="241"/>
        <v>0</v>
      </c>
      <c r="HO103" s="153">
        <f t="shared" si="242"/>
        <v>0</v>
      </c>
      <c r="HP103" s="153">
        <f t="shared" si="243"/>
        <v>0</v>
      </c>
      <c r="HQ103" s="101"/>
      <c r="HU103" s="155">
        <f t="shared" si="244"/>
        <v>0</v>
      </c>
      <c r="HV103" s="155">
        <f t="shared" si="245"/>
        <v>0</v>
      </c>
      <c r="HW103" s="155">
        <f t="shared" si="246"/>
        <v>0</v>
      </c>
      <c r="HX103" s="156">
        <f t="shared" si="247"/>
        <v>0</v>
      </c>
      <c r="HY103" s="146">
        <f t="shared" si="248"/>
        <v>0</v>
      </c>
      <c r="HZ103" s="146">
        <f t="shared" si="249"/>
        <v>0</v>
      </c>
      <c r="IA103" s="146">
        <f t="shared" si="250"/>
        <v>0</v>
      </c>
      <c r="IB103" s="157">
        <f t="shared" si="251"/>
        <v>0</v>
      </c>
      <c r="IC103" s="157">
        <f t="shared" si="252"/>
        <v>0</v>
      </c>
      <c r="ID103" s="157">
        <f t="shared" si="253"/>
        <v>0</v>
      </c>
      <c r="IE103" s="157">
        <f t="shared" si="254"/>
        <v>0</v>
      </c>
      <c r="IF103" s="157">
        <f t="shared" si="255"/>
        <v>0</v>
      </c>
      <c r="IG103" s="157">
        <f t="shared" si="256"/>
        <v>0</v>
      </c>
    </row>
    <row r="104" spans="1:241" outlineLevel="2" x14ac:dyDescent="0.3">
      <c r="A104" s="158" t="s">
        <v>154</v>
      </c>
      <c r="B104" s="159">
        <v>3460</v>
      </c>
      <c r="C104" s="159">
        <v>3125</v>
      </c>
      <c r="D104" s="159">
        <v>4158</v>
      </c>
      <c r="E104" s="159">
        <v>3467</v>
      </c>
      <c r="F104" s="159">
        <v>3946</v>
      </c>
      <c r="G104" s="159">
        <v>3571</v>
      </c>
      <c r="H104" s="159">
        <v>1658</v>
      </c>
      <c r="I104" s="159">
        <v>2504</v>
      </c>
      <c r="J104" s="159">
        <v>2235</v>
      </c>
      <c r="K104" s="159">
        <v>3800</v>
      </c>
      <c r="L104" s="159">
        <v>1801</v>
      </c>
      <c r="M104" s="159">
        <v>1779</v>
      </c>
      <c r="N104" s="159">
        <v>1221</v>
      </c>
      <c r="O104" s="159">
        <v>1959</v>
      </c>
      <c r="P104" s="159">
        <v>2915</v>
      </c>
      <c r="Q104" s="159">
        <v>1204</v>
      </c>
      <c r="R104" s="159">
        <v>2480</v>
      </c>
      <c r="S104" s="160">
        <v>2289</v>
      </c>
      <c r="T104" s="160">
        <v>1750</v>
      </c>
      <c r="U104" s="160">
        <v>1273</v>
      </c>
      <c r="V104" s="160">
        <v>1019</v>
      </c>
      <c r="W104" s="161">
        <v>1920</v>
      </c>
      <c r="X104" s="161">
        <v>601</v>
      </c>
      <c r="Y104" s="161">
        <v>3987</v>
      </c>
      <c r="Z104" s="161">
        <v>3703</v>
      </c>
      <c r="AA104" s="161">
        <v>3128</v>
      </c>
      <c r="AB104" s="161">
        <v>2683</v>
      </c>
      <c r="AC104" s="161">
        <v>1683</v>
      </c>
      <c r="AD104" s="161">
        <v>2397</v>
      </c>
      <c r="AE104" s="161">
        <v>2351</v>
      </c>
      <c r="AF104" s="161">
        <v>2530</v>
      </c>
      <c r="AG104" s="161">
        <v>1312</v>
      </c>
      <c r="AH104" s="161">
        <v>1407</v>
      </c>
      <c r="AI104" s="161">
        <v>1884</v>
      </c>
      <c r="AJ104" s="161">
        <v>1713</v>
      </c>
      <c r="AK104" s="161">
        <v>1798</v>
      </c>
      <c r="AL104" s="161">
        <v>1612</v>
      </c>
      <c r="AM104" s="161">
        <v>1564</v>
      </c>
      <c r="AN104" s="161">
        <v>1512</v>
      </c>
      <c r="AO104" s="161">
        <v>1504</v>
      </c>
      <c r="AP104" s="161">
        <v>1538</v>
      </c>
      <c r="AQ104" s="161">
        <v>1388</v>
      </c>
      <c r="AR104" s="161">
        <v>1517</v>
      </c>
      <c r="AS104" s="161">
        <v>1274</v>
      </c>
      <c r="AT104" s="161">
        <v>1836</v>
      </c>
      <c r="AU104" s="161">
        <v>1423</v>
      </c>
      <c r="AV104" s="161">
        <v>2419</v>
      </c>
      <c r="AW104" s="161">
        <v>2717</v>
      </c>
      <c r="AX104" s="160">
        <v>1674</v>
      </c>
      <c r="AY104" s="161">
        <v>2507</v>
      </c>
      <c r="AZ104" s="161">
        <v>4427</v>
      </c>
      <c r="BA104" s="161">
        <v>5492</v>
      </c>
      <c r="BB104" s="161">
        <v>4839</v>
      </c>
      <c r="BC104" s="161">
        <v>3951</v>
      </c>
      <c r="BD104" s="161">
        <v>5181</v>
      </c>
      <c r="BE104" s="161">
        <v>3405</v>
      </c>
      <c r="BF104" s="161">
        <v>2959</v>
      </c>
      <c r="BG104" s="161">
        <v>3540</v>
      </c>
      <c r="BH104" s="161">
        <v>4181</v>
      </c>
      <c r="BI104" s="161">
        <v>4624</v>
      </c>
      <c r="BJ104" s="161">
        <v>3280</v>
      </c>
      <c r="BK104" s="162">
        <v>2891</v>
      </c>
      <c r="BL104" s="162">
        <v>3774</v>
      </c>
      <c r="BM104" s="162">
        <v>3717</v>
      </c>
      <c r="BN104" s="162">
        <v>3955</v>
      </c>
      <c r="BO104" s="162">
        <v>4067</v>
      </c>
      <c r="BP104" s="162">
        <v>3972</v>
      </c>
      <c r="BQ104" s="162">
        <v>3325</v>
      </c>
      <c r="BR104" s="162">
        <v>2955</v>
      </c>
      <c r="BS104" s="162">
        <v>3590</v>
      </c>
      <c r="BT104" s="162">
        <v>4064</v>
      </c>
      <c r="BU104" s="162">
        <v>4113</v>
      </c>
      <c r="BV104" s="162">
        <v>2888</v>
      </c>
      <c r="BW104" s="162">
        <v>2993</v>
      </c>
      <c r="BX104" s="162">
        <v>3033</v>
      </c>
      <c r="BY104" s="162">
        <v>2411</v>
      </c>
      <c r="BZ104" s="162">
        <v>2623</v>
      </c>
      <c r="CA104" s="162">
        <v>2628</v>
      </c>
      <c r="CB104" s="162">
        <v>2282</v>
      </c>
      <c r="CC104" s="162">
        <v>2078</v>
      </c>
      <c r="CD104" s="162">
        <v>1952</v>
      </c>
      <c r="CE104" s="162">
        <v>1425</v>
      </c>
      <c r="CF104" s="162">
        <v>1792</v>
      </c>
      <c r="CG104" s="162">
        <v>1883</v>
      </c>
      <c r="CH104" s="162">
        <v>1416</v>
      </c>
      <c r="CI104" s="162">
        <v>1249</v>
      </c>
      <c r="CJ104" s="162">
        <v>1049</v>
      </c>
      <c r="CK104" s="162">
        <v>963</v>
      </c>
      <c r="CL104" s="162">
        <v>1072</v>
      </c>
      <c r="CM104" s="162">
        <v>1068</v>
      </c>
      <c r="CN104" s="162">
        <v>1078</v>
      </c>
      <c r="CO104" s="162">
        <v>1072</v>
      </c>
      <c r="CP104" s="162">
        <v>1601</v>
      </c>
      <c r="CQ104" s="162">
        <v>1186</v>
      </c>
      <c r="CR104" s="162">
        <v>702</v>
      </c>
      <c r="CS104" s="163">
        <v>295</v>
      </c>
      <c r="CT104" s="163"/>
      <c r="CU104" s="163">
        <v>242</v>
      </c>
      <c r="CV104" s="163">
        <v>455</v>
      </c>
      <c r="CW104" s="163">
        <v>637</v>
      </c>
      <c r="CX104" s="163">
        <v>553</v>
      </c>
      <c r="CY104" s="163">
        <v>667</v>
      </c>
      <c r="CZ104" s="163">
        <v>953</v>
      </c>
      <c r="DA104" s="163">
        <v>842</v>
      </c>
      <c r="DB104" s="163">
        <v>502</v>
      </c>
      <c r="DC104" s="163">
        <v>810</v>
      </c>
      <c r="DD104" s="163">
        <v>918</v>
      </c>
      <c r="DE104" s="163">
        <v>854</v>
      </c>
      <c r="DF104" s="163">
        <v>376</v>
      </c>
      <c r="DG104" s="163">
        <v>23</v>
      </c>
      <c r="DH104" s="163">
        <v>155</v>
      </c>
      <c r="DI104" s="163">
        <v>38</v>
      </c>
      <c r="DJ104" s="163">
        <v>35</v>
      </c>
      <c r="DK104" s="163">
        <v>86</v>
      </c>
      <c r="DL104" s="163">
        <v>294</v>
      </c>
      <c r="DM104" s="163">
        <v>259</v>
      </c>
      <c r="DN104" s="163">
        <v>227</v>
      </c>
      <c r="DO104" s="163">
        <v>273</v>
      </c>
      <c r="DP104" s="163">
        <v>239</v>
      </c>
      <c r="DQ104" s="163">
        <v>0</v>
      </c>
      <c r="DR104" s="163">
        <v>0</v>
      </c>
      <c r="DS104" s="163">
        <v>0</v>
      </c>
      <c r="DT104" s="163">
        <v>0</v>
      </c>
      <c r="DU104" s="163">
        <v>0</v>
      </c>
      <c r="DV104" s="163">
        <v>0</v>
      </c>
      <c r="DW104" s="163">
        <v>0</v>
      </c>
      <c r="DX104" s="163">
        <v>0</v>
      </c>
      <c r="DY104" s="163">
        <v>0</v>
      </c>
      <c r="DZ104" s="163">
        <v>0</v>
      </c>
      <c r="EA104" s="163">
        <v>0</v>
      </c>
      <c r="EB104" s="163">
        <v>0</v>
      </c>
      <c r="EC104" s="163">
        <v>0</v>
      </c>
      <c r="ED104" s="163">
        <v>0</v>
      </c>
      <c r="EE104" s="163">
        <v>0</v>
      </c>
      <c r="EF104" s="163"/>
      <c r="EG104" s="163"/>
      <c r="EH104" s="163"/>
      <c r="EI104" s="163"/>
      <c r="EJ104" s="163"/>
      <c r="EK104" s="163"/>
      <c r="EL104" s="164"/>
      <c r="EM104" s="164"/>
      <c r="EN104" s="164"/>
      <c r="EO104" s="164"/>
      <c r="EP104" s="164"/>
      <c r="EQ104" s="164"/>
      <c r="ER104" s="164"/>
      <c r="ES104" s="164"/>
      <c r="ET104" s="164">
        <v>0</v>
      </c>
      <c r="EU104" s="164">
        <v>0</v>
      </c>
      <c r="EV104" s="164"/>
      <c r="EW104" s="164">
        <v>0</v>
      </c>
      <c r="EX104" s="164"/>
      <c r="EY104" s="164"/>
      <c r="EZ104" s="164"/>
      <c r="FA104" s="164"/>
      <c r="FB104" s="164"/>
      <c r="FC104" s="164"/>
      <c r="FD104" s="164"/>
      <c r="FE104" s="164"/>
      <c r="FF104" s="164"/>
      <c r="FG104" s="164"/>
      <c r="FH104" s="164"/>
      <c r="FI104" s="164"/>
      <c r="FJ104" s="164"/>
      <c r="FN104" s="165">
        <f t="shared" si="189"/>
        <v>10743</v>
      </c>
      <c r="FO104" s="166">
        <f t="shared" si="190"/>
        <v>10984</v>
      </c>
      <c r="FP104" s="166">
        <f t="shared" si="191"/>
        <v>6397</v>
      </c>
      <c r="FQ104" s="166">
        <f t="shared" si="192"/>
        <v>7380</v>
      </c>
      <c r="FR104" s="166">
        <f t="shared" si="193"/>
        <v>6095</v>
      </c>
      <c r="FS104" s="166">
        <f t="shared" si="194"/>
        <v>5973</v>
      </c>
      <c r="FT104" s="166">
        <f t="shared" si="195"/>
        <v>4042</v>
      </c>
      <c r="FU104" s="166">
        <f t="shared" si="196"/>
        <v>6508</v>
      </c>
      <c r="FV104" s="166">
        <f t="shared" si="197"/>
        <v>9514</v>
      </c>
      <c r="FW104" s="166">
        <f t="shared" si="198"/>
        <v>6431</v>
      </c>
      <c r="FX104" s="166">
        <f t="shared" si="199"/>
        <v>5249</v>
      </c>
      <c r="FY104" s="166">
        <f t="shared" si="200"/>
        <v>5395</v>
      </c>
      <c r="FZ104" s="166">
        <f t="shared" si="201"/>
        <v>4688</v>
      </c>
      <c r="GA104" s="166">
        <f t="shared" si="202"/>
        <v>4430</v>
      </c>
      <c r="GB104" s="166">
        <f t="shared" si="203"/>
        <v>4627</v>
      </c>
      <c r="GC104" s="166">
        <f t="shared" si="204"/>
        <v>6559</v>
      </c>
      <c r="GD104" s="166">
        <f t="shared" si="205"/>
        <v>8608</v>
      </c>
      <c r="GE104" s="166">
        <f t="shared" si="206"/>
        <v>14282</v>
      </c>
      <c r="GF104" s="166">
        <f t="shared" si="207"/>
        <v>11545</v>
      </c>
      <c r="GG104" s="166">
        <f t="shared" si="208"/>
        <v>12345</v>
      </c>
      <c r="GH104" s="166">
        <f t="shared" si="209"/>
        <v>9945</v>
      </c>
      <c r="GI104" s="166">
        <f t="shared" si="210"/>
        <v>11739</v>
      </c>
      <c r="GJ104" s="166">
        <f t="shared" si="211"/>
        <v>10252</v>
      </c>
      <c r="GK104" s="166">
        <f t="shared" si="212"/>
        <v>11767</v>
      </c>
      <c r="GL104" s="166">
        <f t="shared" si="213"/>
        <v>8914</v>
      </c>
      <c r="GM104" s="166">
        <f t="shared" si="214"/>
        <v>7662</v>
      </c>
      <c r="GN104" s="166">
        <f t="shared" si="215"/>
        <v>6312</v>
      </c>
      <c r="GO104" s="166">
        <f t="shared" si="216"/>
        <v>5100</v>
      </c>
      <c r="GP104" s="166">
        <f t="shared" si="217"/>
        <v>3714</v>
      </c>
      <c r="GQ104" s="166">
        <f t="shared" si="218"/>
        <v>3103</v>
      </c>
      <c r="GR104" s="166">
        <f t="shared" si="219"/>
        <v>3751</v>
      </c>
      <c r="GS104" s="166">
        <f t="shared" si="220"/>
        <v>2183</v>
      </c>
      <c r="GT104" s="166">
        <f t="shared" si="221"/>
        <v>697</v>
      </c>
      <c r="GU104" s="166">
        <f t="shared" si="222"/>
        <v>1857</v>
      </c>
      <c r="GV104" s="166">
        <f t="shared" si="223"/>
        <v>2297</v>
      </c>
      <c r="GW104" s="166">
        <f t="shared" si="224"/>
        <v>2582</v>
      </c>
      <c r="GX104" s="166">
        <f t="shared" si="225"/>
        <v>554</v>
      </c>
      <c r="GY104" s="166">
        <f t="shared" si="226"/>
        <v>159</v>
      </c>
      <c r="GZ104" s="166">
        <f t="shared" si="227"/>
        <v>780</v>
      </c>
      <c r="HA104" s="166">
        <f t="shared" si="228"/>
        <v>512</v>
      </c>
      <c r="HB104" s="166">
        <f t="shared" si="229"/>
        <v>0</v>
      </c>
      <c r="HC104" s="166">
        <f t="shared" si="230"/>
        <v>0</v>
      </c>
      <c r="HD104" s="166">
        <f t="shared" si="231"/>
        <v>0</v>
      </c>
      <c r="HE104" s="166">
        <f t="shared" si="232"/>
        <v>0</v>
      </c>
      <c r="HF104" s="166">
        <f t="shared" si="233"/>
        <v>0</v>
      </c>
      <c r="HG104" s="166">
        <f t="shared" si="234"/>
        <v>0</v>
      </c>
      <c r="HH104" s="166">
        <f t="shared" si="235"/>
        <v>0</v>
      </c>
      <c r="HI104" s="166">
        <f t="shared" si="236"/>
        <v>0</v>
      </c>
      <c r="HJ104" s="167">
        <f t="shared" si="237"/>
        <v>0</v>
      </c>
      <c r="HK104" s="167">
        <f t="shared" si="238"/>
        <v>0</v>
      </c>
      <c r="HL104" s="167">
        <f t="shared" si="239"/>
        <v>0</v>
      </c>
      <c r="HM104" s="167">
        <f t="shared" si="240"/>
        <v>0</v>
      </c>
      <c r="HN104" s="167">
        <f t="shared" si="241"/>
        <v>0</v>
      </c>
      <c r="HO104" s="167">
        <f t="shared" si="242"/>
        <v>0</v>
      </c>
      <c r="HP104" s="167">
        <f t="shared" si="243"/>
        <v>0</v>
      </c>
      <c r="HQ104" s="168"/>
      <c r="HU104" s="169">
        <f t="shared" si="244"/>
        <v>35504</v>
      </c>
      <c r="HV104" s="169">
        <f t="shared" si="245"/>
        <v>22618</v>
      </c>
      <c r="HW104" s="169">
        <f t="shared" si="246"/>
        <v>26589</v>
      </c>
      <c r="HX104" s="170">
        <f t="shared" si="247"/>
        <v>20304</v>
      </c>
      <c r="HY104" s="160">
        <f t="shared" si="248"/>
        <v>46780</v>
      </c>
      <c r="HZ104" s="160">
        <f t="shared" si="249"/>
        <v>43703</v>
      </c>
      <c r="IA104" s="160">
        <f t="shared" si="250"/>
        <v>27988</v>
      </c>
      <c r="IB104" s="171">
        <f t="shared" si="251"/>
        <v>12751</v>
      </c>
      <c r="IC104" s="171">
        <f t="shared" si="252"/>
        <v>7433</v>
      </c>
      <c r="ID104" s="171">
        <f t="shared" si="253"/>
        <v>2005</v>
      </c>
      <c r="IE104" s="171">
        <f t="shared" si="254"/>
        <v>0</v>
      </c>
      <c r="IF104" s="171">
        <f t="shared" si="255"/>
        <v>0</v>
      </c>
      <c r="IG104" s="171">
        <f t="shared" si="256"/>
        <v>0</v>
      </c>
    </row>
    <row r="105" spans="1:241" outlineLevel="2" x14ac:dyDescent="0.3">
      <c r="A105" s="144" t="s">
        <v>155</v>
      </c>
      <c r="B105" s="145">
        <v>589</v>
      </c>
      <c r="C105" s="145">
        <v>465</v>
      </c>
      <c r="D105" s="145">
        <v>744</v>
      </c>
      <c r="E105" s="145">
        <v>539</v>
      </c>
      <c r="F105" s="145">
        <v>703</v>
      </c>
      <c r="G105" s="145">
        <v>1340</v>
      </c>
      <c r="H105" s="145">
        <v>1327</v>
      </c>
      <c r="I105" s="145">
        <v>1325</v>
      </c>
      <c r="J105" s="145">
        <v>1403</v>
      </c>
      <c r="K105" s="145">
        <v>1323</v>
      </c>
      <c r="L105" s="145">
        <v>1105</v>
      </c>
      <c r="M105" s="145">
        <v>1904</v>
      </c>
      <c r="N105" s="145">
        <v>942</v>
      </c>
      <c r="O105" s="145">
        <v>1151</v>
      </c>
      <c r="P105" s="145">
        <v>1484</v>
      </c>
      <c r="Q105" s="145">
        <v>573</v>
      </c>
      <c r="R105" s="145">
        <v>756</v>
      </c>
      <c r="S105" s="146">
        <v>817</v>
      </c>
      <c r="T105" s="146">
        <v>733</v>
      </c>
      <c r="U105" s="146">
        <v>413</v>
      </c>
      <c r="V105" s="146">
        <v>1438</v>
      </c>
      <c r="W105" s="131">
        <v>247</v>
      </c>
      <c r="X105" s="131">
        <v>799</v>
      </c>
      <c r="Y105" s="131">
        <v>914</v>
      </c>
      <c r="Z105" s="131">
        <v>158</v>
      </c>
      <c r="AA105" s="131">
        <v>300</v>
      </c>
      <c r="AB105" s="131">
        <v>455</v>
      </c>
      <c r="AC105" s="131">
        <v>192</v>
      </c>
      <c r="AD105" s="131">
        <v>129</v>
      </c>
      <c r="AE105" s="131">
        <v>145</v>
      </c>
      <c r="AF105" s="131">
        <v>331</v>
      </c>
      <c r="AG105" s="131">
        <v>525</v>
      </c>
      <c r="AH105" s="131">
        <v>681</v>
      </c>
      <c r="AI105" s="131">
        <v>115</v>
      </c>
      <c r="AJ105" s="131">
        <v>422</v>
      </c>
      <c r="AK105" s="131">
        <v>553</v>
      </c>
      <c r="AL105" s="131">
        <v>259</v>
      </c>
      <c r="AM105" s="131">
        <v>224</v>
      </c>
      <c r="AN105" s="131">
        <v>322</v>
      </c>
      <c r="AO105" s="131">
        <v>158</v>
      </c>
      <c r="AP105" s="131">
        <v>146</v>
      </c>
      <c r="AQ105" s="131">
        <v>505</v>
      </c>
      <c r="AR105" s="131">
        <v>5363</v>
      </c>
      <c r="AS105" s="131">
        <v>5695</v>
      </c>
      <c r="AT105" s="131">
        <v>7183</v>
      </c>
      <c r="AU105" s="131">
        <v>6254</v>
      </c>
      <c r="AV105" s="131">
        <v>7840</v>
      </c>
      <c r="AW105" s="131">
        <v>9910</v>
      </c>
      <c r="AX105" s="146">
        <v>9907</v>
      </c>
      <c r="AY105" s="131">
        <v>5849</v>
      </c>
      <c r="AZ105" s="131">
        <v>9618</v>
      </c>
      <c r="BA105" s="131">
        <v>10109</v>
      </c>
      <c r="BB105" s="131">
        <v>10904</v>
      </c>
      <c r="BC105" s="131">
        <v>10815</v>
      </c>
      <c r="BD105" s="131">
        <v>10197</v>
      </c>
      <c r="BE105" s="131">
        <v>8106</v>
      </c>
      <c r="BF105" s="131">
        <v>9031</v>
      </c>
      <c r="BG105" s="131">
        <v>7056</v>
      </c>
      <c r="BH105" s="131">
        <v>9725</v>
      </c>
      <c r="BI105" s="131">
        <v>10373</v>
      </c>
      <c r="BJ105" s="131">
        <v>8002</v>
      </c>
      <c r="BK105" s="147">
        <v>6995</v>
      </c>
      <c r="BL105" s="147">
        <v>5439</v>
      </c>
      <c r="BM105" s="147">
        <v>7471</v>
      </c>
      <c r="BN105" s="147">
        <v>7802</v>
      </c>
      <c r="BO105" s="147">
        <v>9099</v>
      </c>
      <c r="BP105" s="147">
        <v>8136</v>
      </c>
      <c r="BQ105" s="147">
        <v>5726</v>
      </c>
      <c r="BR105" s="147">
        <v>6953</v>
      </c>
      <c r="BS105" s="147">
        <v>5590</v>
      </c>
      <c r="BT105" s="147">
        <v>6074</v>
      </c>
      <c r="BU105" s="147">
        <v>5853</v>
      </c>
      <c r="BV105" s="147">
        <v>5792</v>
      </c>
      <c r="BW105" s="147">
        <v>5196</v>
      </c>
      <c r="BX105" s="147">
        <v>4939</v>
      </c>
      <c r="BY105" s="147">
        <v>5015</v>
      </c>
      <c r="BZ105" s="147">
        <v>5541</v>
      </c>
      <c r="CA105" s="147">
        <v>5529</v>
      </c>
      <c r="CB105" s="147">
        <v>6035</v>
      </c>
      <c r="CC105" s="147">
        <v>5419</v>
      </c>
      <c r="CD105" s="147">
        <v>5832</v>
      </c>
      <c r="CE105" s="147">
        <v>4712</v>
      </c>
      <c r="CF105" s="147">
        <v>5050</v>
      </c>
      <c r="CG105" s="147">
        <v>5853</v>
      </c>
      <c r="CH105" s="147">
        <v>5336</v>
      </c>
      <c r="CI105" s="147">
        <v>5152</v>
      </c>
      <c r="CJ105" s="147">
        <v>4360</v>
      </c>
      <c r="CK105" s="147">
        <v>2684</v>
      </c>
      <c r="CL105" s="147">
        <v>4681</v>
      </c>
      <c r="CM105" s="173">
        <v>2995</v>
      </c>
      <c r="CN105" s="173">
        <v>5384</v>
      </c>
      <c r="CO105" s="173">
        <v>4182</v>
      </c>
      <c r="CP105" s="173">
        <v>5539</v>
      </c>
      <c r="CQ105" s="173">
        <v>3281</v>
      </c>
      <c r="CR105" s="147">
        <v>4187</v>
      </c>
      <c r="CS105" s="174">
        <v>1475</v>
      </c>
      <c r="CT105" s="174"/>
      <c r="CU105" s="174">
        <v>684</v>
      </c>
      <c r="CV105" s="174">
        <v>2441</v>
      </c>
      <c r="CW105" s="174">
        <v>3007</v>
      </c>
      <c r="CX105" s="174">
        <v>3677</v>
      </c>
      <c r="CY105" s="174">
        <v>4513</v>
      </c>
      <c r="CZ105" s="174">
        <v>5371</v>
      </c>
      <c r="DA105" s="174">
        <v>4956</v>
      </c>
      <c r="DB105" s="174">
        <v>4335</v>
      </c>
      <c r="DC105" s="174">
        <v>3791</v>
      </c>
      <c r="DD105" s="174">
        <v>3927</v>
      </c>
      <c r="DE105" s="174">
        <v>4132</v>
      </c>
      <c r="DF105" s="174">
        <v>3236</v>
      </c>
      <c r="DG105" s="174">
        <v>738</v>
      </c>
      <c r="DH105" s="174">
        <v>2161</v>
      </c>
      <c r="DI105" s="174">
        <v>3287</v>
      </c>
      <c r="DJ105" s="174">
        <v>2969</v>
      </c>
      <c r="DK105" s="174">
        <v>2710</v>
      </c>
      <c r="DL105" s="174">
        <v>2723</v>
      </c>
      <c r="DM105" s="174">
        <v>926</v>
      </c>
      <c r="DN105" s="174">
        <v>1056</v>
      </c>
      <c r="DO105" s="174">
        <v>2344</v>
      </c>
      <c r="DP105" s="174">
        <v>1924</v>
      </c>
      <c r="DQ105" s="174">
        <v>2461</v>
      </c>
      <c r="DR105" s="174">
        <v>2066</v>
      </c>
      <c r="DS105" s="174">
        <v>1520</v>
      </c>
      <c r="DT105" s="174">
        <v>2560</v>
      </c>
      <c r="DU105" s="174">
        <v>1329</v>
      </c>
      <c r="DV105" s="174">
        <v>1704</v>
      </c>
      <c r="DW105" s="174">
        <v>2001</v>
      </c>
      <c r="DX105" s="174">
        <v>1894</v>
      </c>
      <c r="DY105" s="174">
        <v>1497</v>
      </c>
      <c r="DZ105" s="174">
        <v>1827</v>
      </c>
      <c r="EA105" s="174">
        <v>59</v>
      </c>
      <c r="EB105" s="174">
        <v>1758</v>
      </c>
      <c r="EC105" s="174">
        <v>1283</v>
      </c>
      <c r="ED105" s="174">
        <v>1082</v>
      </c>
      <c r="EE105" s="174">
        <v>797</v>
      </c>
      <c r="EF105" s="174">
        <v>1349</v>
      </c>
      <c r="EG105" s="174">
        <v>762</v>
      </c>
      <c r="EH105" s="174">
        <v>883</v>
      </c>
      <c r="EI105" s="174">
        <v>747</v>
      </c>
      <c r="EJ105" s="174">
        <v>869</v>
      </c>
      <c r="EK105" s="174">
        <v>610</v>
      </c>
      <c r="EL105" s="175">
        <v>457</v>
      </c>
      <c r="EM105" s="175">
        <v>856</v>
      </c>
      <c r="EN105" s="175">
        <v>828</v>
      </c>
      <c r="EO105" s="175">
        <v>928</v>
      </c>
      <c r="EP105" s="175">
        <v>977</v>
      </c>
      <c r="EQ105" s="175">
        <v>743</v>
      </c>
      <c r="ER105" s="175">
        <v>603</v>
      </c>
      <c r="ES105" s="175">
        <v>565</v>
      </c>
      <c r="ET105" s="175">
        <v>634</v>
      </c>
      <c r="EU105" s="175">
        <v>691</v>
      </c>
      <c r="EV105" s="175">
        <v>706</v>
      </c>
      <c r="EW105" s="175">
        <v>546</v>
      </c>
      <c r="EX105" s="175">
        <v>628</v>
      </c>
      <c r="EY105" s="175">
        <v>569</v>
      </c>
      <c r="EZ105" s="175">
        <v>433</v>
      </c>
      <c r="FA105" s="175">
        <v>532</v>
      </c>
      <c r="FB105" s="175">
        <v>595</v>
      </c>
      <c r="FC105" s="175">
        <v>540</v>
      </c>
      <c r="FD105" s="175">
        <v>449</v>
      </c>
      <c r="FE105" s="175">
        <v>265</v>
      </c>
      <c r="FF105" s="175">
        <v>235</v>
      </c>
      <c r="FG105" s="175">
        <v>512</v>
      </c>
      <c r="FH105" s="175">
        <v>554</v>
      </c>
      <c r="FI105" s="175">
        <v>447</v>
      </c>
      <c r="FJ105" s="175">
        <v>369</v>
      </c>
      <c r="FN105" s="151">
        <f t="shared" si="189"/>
        <v>1798</v>
      </c>
      <c r="FO105" s="152">
        <f t="shared" si="190"/>
        <v>2582</v>
      </c>
      <c r="FP105" s="152">
        <f t="shared" si="191"/>
        <v>4055</v>
      </c>
      <c r="FQ105" s="152">
        <f t="shared" si="192"/>
        <v>4332</v>
      </c>
      <c r="FR105" s="152">
        <f t="shared" si="193"/>
        <v>3577</v>
      </c>
      <c r="FS105" s="152">
        <f t="shared" si="194"/>
        <v>2146</v>
      </c>
      <c r="FT105" s="152">
        <f t="shared" si="195"/>
        <v>2584</v>
      </c>
      <c r="FU105" s="152">
        <f t="shared" si="196"/>
        <v>1960</v>
      </c>
      <c r="FV105" s="152">
        <f t="shared" si="197"/>
        <v>913</v>
      </c>
      <c r="FW105" s="152">
        <f t="shared" si="198"/>
        <v>466</v>
      </c>
      <c r="FX105" s="152">
        <f t="shared" si="199"/>
        <v>1537</v>
      </c>
      <c r="FY105" s="152">
        <f t="shared" si="200"/>
        <v>1090</v>
      </c>
      <c r="FZ105" s="152">
        <f t="shared" si="201"/>
        <v>805</v>
      </c>
      <c r="GA105" s="152">
        <f t="shared" si="202"/>
        <v>809</v>
      </c>
      <c r="GB105" s="152">
        <f t="shared" si="203"/>
        <v>18241</v>
      </c>
      <c r="GC105" s="152">
        <f t="shared" si="204"/>
        <v>24004</v>
      </c>
      <c r="GD105" s="152">
        <f t="shared" si="205"/>
        <v>25374</v>
      </c>
      <c r="GE105" s="152">
        <f t="shared" si="206"/>
        <v>31828</v>
      </c>
      <c r="GF105" s="152">
        <f t="shared" si="207"/>
        <v>27334</v>
      </c>
      <c r="GG105" s="152">
        <f t="shared" si="208"/>
        <v>27154</v>
      </c>
      <c r="GH105" s="152">
        <f t="shared" si="209"/>
        <v>20436</v>
      </c>
      <c r="GI105" s="152">
        <f t="shared" si="210"/>
        <v>24372</v>
      </c>
      <c r="GJ105" s="152">
        <f t="shared" si="211"/>
        <v>20815</v>
      </c>
      <c r="GK105" s="152">
        <f t="shared" si="212"/>
        <v>17517</v>
      </c>
      <c r="GL105" s="152">
        <f t="shared" si="213"/>
        <v>15927</v>
      </c>
      <c r="GM105" s="152">
        <f t="shared" si="214"/>
        <v>16085</v>
      </c>
      <c r="GN105" s="152">
        <f t="shared" si="215"/>
        <v>17286</v>
      </c>
      <c r="GO105" s="152">
        <f t="shared" si="216"/>
        <v>15615</v>
      </c>
      <c r="GP105" s="152">
        <f t="shared" si="217"/>
        <v>14848</v>
      </c>
      <c r="GQ105" s="152">
        <f t="shared" si="218"/>
        <v>10360</v>
      </c>
      <c r="GR105" s="152">
        <f t="shared" si="219"/>
        <v>15105</v>
      </c>
      <c r="GS105" s="152">
        <f t="shared" si="220"/>
        <v>8943</v>
      </c>
      <c r="GT105" s="152">
        <f t="shared" si="221"/>
        <v>3125</v>
      </c>
      <c r="GU105" s="152">
        <f t="shared" si="222"/>
        <v>11197</v>
      </c>
      <c r="GV105" s="152">
        <f t="shared" si="223"/>
        <v>14662</v>
      </c>
      <c r="GW105" s="152">
        <f t="shared" si="224"/>
        <v>11850</v>
      </c>
      <c r="GX105" s="152">
        <f t="shared" si="225"/>
        <v>6135</v>
      </c>
      <c r="GY105" s="152">
        <f t="shared" si="226"/>
        <v>8966</v>
      </c>
      <c r="GZ105" s="152">
        <f t="shared" si="227"/>
        <v>4705</v>
      </c>
      <c r="HA105" s="152">
        <f t="shared" si="228"/>
        <v>6729</v>
      </c>
      <c r="HB105" s="152">
        <f t="shared" si="229"/>
        <v>6146</v>
      </c>
      <c r="HC105" s="152">
        <f t="shared" si="230"/>
        <v>5034</v>
      </c>
      <c r="HD105" s="152">
        <f t="shared" si="231"/>
        <v>5218</v>
      </c>
      <c r="HE105" s="152">
        <f t="shared" si="232"/>
        <v>3100</v>
      </c>
      <c r="HF105" s="152">
        <f t="shared" si="233"/>
        <v>3228</v>
      </c>
      <c r="HG105" s="152">
        <f t="shared" si="234"/>
        <v>2392</v>
      </c>
      <c r="HH105" s="152">
        <f t="shared" si="235"/>
        <v>1936</v>
      </c>
      <c r="HI105" s="152">
        <f t="shared" si="236"/>
        <v>2612</v>
      </c>
      <c r="HJ105" s="153">
        <f t="shared" si="237"/>
        <v>2323</v>
      </c>
      <c r="HK105" s="153">
        <f t="shared" si="238"/>
        <v>1890</v>
      </c>
      <c r="HL105" s="153">
        <f t="shared" si="239"/>
        <v>1880</v>
      </c>
      <c r="HM105" s="153">
        <f t="shared" si="240"/>
        <v>1534</v>
      </c>
      <c r="HN105" s="153">
        <f t="shared" si="241"/>
        <v>1584</v>
      </c>
      <c r="HO105" s="153">
        <f t="shared" si="242"/>
        <v>1012</v>
      </c>
      <c r="HP105" s="153">
        <f t="shared" si="243"/>
        <v>1370</v>
      </c>
      <c r="HQ105" s="101"/>
      <c r="HU105" s="155">
        <f t="shared" si="244"/>
        <v>12767</v>
      </c>
      <c r="HV105" s="155">
        <f t="shared" si="245"/>
        <v>10267</v>
      </c>
      <c r="HW105" s="155">
        <f t="shared" si="246"/>
        <v>4006</v>
      </c>
      <c r="HX105" s="156">
        <f t="shared" si="247"/>
        <v>43859</v>
      </c>
      <c r="HY105" s="146">
        <f t="shared" si="248"/>
        <v>111690</v>
      </c>
      <c r="HZ105" s="146">
        <f t="shared" si="249"/>
        <v>83140</v>
      </c>
      <c r="IA105" s="146">
        <f t="shared" si="250"/>
        <v>64913</v>
      </c>
      <c r="IB105" s="157">
        <f t="shared" si="251"/>
        <v>49256</v>
      </c>
      <c r="IC105" s="157">
        <f t="shared" si="252"/>
        <v>40834</v>
      </c>
      <c r="ID105" s="157">
        <f t="shared" si="253"/>
        <v>26535</v>
      </c>
      <c r="IE105" s="157">
        <f t="shared" si="254"/>
        <v>19498</v>
      </c>
      <c r="IF105" s="157">
        <f t="shared" si="255"/>
        <v>10168</v>
      </c>
      <c r="IG105" s="157">
        <f t="shared" si="256"/>
        <v>7627</v>
      </c>
    </row>
    <row r="106" spans="1:241" outlineLevel="2" x14ac:dyDescent="0.3">
      <c r="A106" s="158" t="s">
        <v>156</v>
      </c>
      <c r="B106" s="159">
        <v>3031</v>
      </c>
      <c r="C106" s="159">
        <v>2749</v>
      </c>
      <c r="D106" s="159">
        <v>4755</v>
      </c>
      <c r="E106" s="159">
        <v>1960</v>
      </c>
      <c r="F106" s="159">
        <v>1712</v>
      </c>
      <c r="G106" s="159">
        <v>2037</v>
      </c>
      <c r="H106" s="159">
        <v>1775</v>
      </c>
      <c r="I106" s="159">
        <v>1561</v>
      </c>
      <c r="J106" s="159">
        <v>2524</v>
      </c>
      <c r="K106" s="159">
        <v>1970</v>
      </c>
      <c r="L106" s="159">
        <v>1835</v>
      </c>
      <c r="M106" s="159">
        <v>2032</v>
      </c>
      <c r="N106" s="159">
        <v>1890</v>
      </c>
      <c r="O106" s="159">
        <v>1880</v>
      </c>
      <c r="P106" s="159">
        <v>1544</v>
      </c>
      <c r="Q106" s="159">
        <v>1519</v>
      </c>
      <c r="R106" s="159">
        <v>1345</v>
      </c>
      <c r="S106" s="160">
        <v>1341</v>
      </c>
      <c r="T106" s="160">
        <v>2147</v>
      </c>
      <c r="U106" s="160">
        <v>1499</v>
      </c>
      <c r="V106" s="160">
        <v>1738</v>
      </c>
      <c r="W106" s="161">
        <v>1367</v>
      </c>
      <c r="X106" s="161">
        <v>1306</v>
      </c>
      <c r="Y106" s="161">
        <v>1474</v>
      </c>
      <c r="Z106" s="161">
        <v>1012</v>
      </c>
      <c r="AA106" s="161">
        <v>1045</v>
      </c>
      <c r="AB106" s="161">
        <v>1120</v>
      </c>
      <c r="AC106" s="161">
        <v>1118</v>
      </c>
      <c r="AD106" s="161">
        <v>1330</v>
      </c>
      <c r="AE106" s="161">
        <v>1619</v>
      </c>
      <c r="AF106" s="161">
        <v>1293</v>
      </c>
      <c r="AG106" s="161">
        <v>1162</v>
      </c>
      <c r="AH106" s="161">
        <v>1341</v>
      </c>
      <c r="AI106" s="161">
        <v>1291</v>
      </c>
      <c r="AJ106" s="161">
        <v>1263</v>
      </c>
      <c r="AK106" s="161">
        <v>1283</v>
      </c>
      <c r="AL106" s="161">
        <v>1200</v>
      </c>
      <c r="AM106" s="161">
        <v>1309</v>
      </c>
      <c r="AN106" s="161">
        <v>1178</v>
      </c>
      <c r="AO106" s="161">
        <v>1288</v>
      </c>
      <c r="AP106" s="161">
        <v>1137</v>
      </c>
      <c r="AQ106" s="161">
        <v>1225</v>
      </c>
      <c r="AR106" s="161">
        <v>1613</v>
      </c>
      <c r="AS106" s="161">
        <v>1098</v>
      </c>
      <c r="AT106" s="161">
        <v>1450</v>
      </c>
      <c r="AU106" s="161">
        <v>1201</v>
      </c>
      <c r="AV106" s="161">
        <v>1159</v>
      </c>
      <c r="AW106" s="161">
        <v>1398</v>
      </c>
      <c r="AX106" s="160">
        <v>911</v>
      </c>
      <c r="AY106" s="161">
        <v>896</v>
      </c>
      <c r="AZ106" s="161">
        <v>998</v>
      </c>
      <c r="BA106" s="161">
        <v>961</v>
      </c>
      <c r="BB106" s="161">
        <v>1208</v>
      </c>
      <c r="BC106" s="161">
        <v>1216</v>
      </c>
      <c r="BD106" s="161">
        <v>1468</v>
      </c>
      <c r="BE106" s="161">
        <v>860</v>
      </c>
      <c r="BF106" s="161">
        <v>1042</v>
      </c>
      <c r="BG106" s="161">
        <v>1220</v>
      </c>
      <c r="BH106" s="161">
        <v>1205</v>
      </c>
      <c r="BI106" s="161">
        <v>1695</v>
      </c>
      <c r="BJ106" s="161">
        <v>1372</v>
      </c>
      <c r="BK106" s="162">
        <v>1064</v>
      </c>
      <c r="BL106" s="162">
        <v>1016</v>
      </c>
      <c r="BM106" s="162">
        <v>1416</v>
      </c>
      <c r="BN106" s="162">
        <v>1749</v>
      </c>
      <c r="BO106" s="162">
        <v>1662</v>
      </c>
      <c r="BP106" s="162">
        <v>1417</v>
      </c>
      <c r="BQ106" s="162">
        <v>1238</v>
      </c>
      <c r="BR106" s="162">
        <v>1551</v>
      </c>
      <c r="BS106" s="162">
        <v>1088</v>
      </c>
      <c r="BT106" s="162">
        <v>1094</v>
      </c>
      <c r="BU106" s="162">
        <v>1321</v>
      </c>
      <c r="BV106" s="162">
        <v>1239</v>
      </c>
      <c r="BW106" s="162">
        <v>1267</v>
      </c>
      <c r="BX106" s="162">
        <v>1199</v>
      </c>
      <c r="BY106" s="162">
        <v>1125</v>
      </c>
      <c r="BZ106" s="162">
        <v>1200</v>
      </c>
      <c r="CA106" s="162">
        <v>1211</v>
      </c>
      <c r="CB106" s="162">
        <v>1539</v>
      </c>
      <c r="CC106" s="162">
        <v>1178</v>
      </c>
      <c r="CD106" s="162">
        <v>1178</v>
      </c>
      <c r="CE106" s="162">
        <v>1089</v>
      </c>
      <c r="CF106" s="162">
        <v>1109</v>
      </c>
      <c r="CG106" s="162">
        <v>1149</v>
      </c>
      <c r="CH106" s="162">
        <v>1051</v>
      </c>
      <c r="CI106" s="162">
        <v>1053</v>
      </c>
      <c r="CJ106" s="162">
        <v>894</v>
      </c>
      <c r="CK106" s="162">
        <v>997</v>
      </c>
      <c r="CL106" s="162">
        <v>1060</v>
      </c>
      <c r="CM106" s="162">
        <v>1083</v>
      </c>
      <c r="CN106" s="162">
        <v>1200</v>
      </c>
      <c r="CO106" s="162">
        <v>1110</v>
      </c>
      <c r="CP106" s="162">
        <v>1773</v>
      </c>
      <c r="CQ106" s="162">
        <v>1158</v>
      </c>
      <c r="CR106" s="162">
        <v>1083</v>
      </c>
      <c r="CS106" s="163">
        <v>392</v>
      </c>
      <c r="CT106" s="163"/>
      <c r="CU106" s="163">
        <v>396</v>
      </c>
      <c r="CV106" s="163">
        <v>639</v>
      </c>
      <c r="CW106" s="163">
        <v>780</v>
      </c>
      <c r="CX106" s="163">
        <v>828</v>
      </c>
      <c r="CY106" s="163">
        <v>1072</v>
      </c>
      <c r="CZ106" s="163">
        <v>1239</v>
      </c>
      <c r="DA106" s="163">
        <v>1051</v>
      </c>
      <c r="DB106" s="163">
        <v>1299</v>
      </c>
      <c r="DC106" s="163">
        <v>1004</v>
      </c>
      <c r="DD106" s="163">
        <v>851</v>
      </c>
      <c r="DE106" s="163">
        <v>1158</v>
      </c>
      <c r="DF106" s="163">
        <v>958</v>
      </c>
      <c r="DG106" s="163">
        <v>715</v>
      </c>
      <c r="DH106" s="163">
        <v>733</v>
      </c>
      <c r="DI106" s="163">
        <v>1258</v>
      </c>
      <c r="DJ106" s="163">
        <v>925</v>
      </c>
      <c r="DK106" s="163">
        <v>869</v>
      </c>
      <c r="DL106" s="163">
        <v>635</v>
      </c>
      <c r="DM106" s="163">
        <v>320</v>
      </c>
      <c r="DN106" s="163">
        <v>338</v>
      </c>
      <c r="DO106" s="163">
        <v>288</v>
      </c>
      <c r="DP106" s="163">
        <v>2129</v>
      </c>
      <c r="DQ106" s="163">
        <v>2984</v>
      </c>
      <c r="DR106" s="163">
        <v>2652</v>
      </c>
      <c r="DS106" s="163">
        <v>2692</v>
      </c>
      <c r="DT106" s="163">
        <v>2961</v>
      </c>
      <c r="DU106" s="163">
        <v>2273</v>
      </c>
      <c r="DV106" s="163">
        <v>2195</v>
      </c>
      <c r="DW106" s="163">
        <v>1248</v>
      </c>
      <c r="DX106" s="163">
        <v>1643</v>
      </c>
      <c r="DY106" s="163">
        <v>2286</v>
      </c>
      <c r="DZ106" s="163">
        <v>2495</v>
      </c>
      <c r="EA106" s="163">
        <v>1609</v>
      </c>
      <c r="EB106" s="163">
        <v>1446</v>
      </c>
      <c r="EC106" s="163">
        <v>1764</v>
      </c>
      <c r="ED106" s="163">
        <v>1707</v>
      </c>
      <c r="EE106" s="163">
        <v>1705</v>
      </c>
      <c r="EF106" s="163">
        <v>1639</v>
      </c>
      <c r="EG106" s="163">
        <v>1654</v>
      </c>
      <c r="EH106" s="163">
        <v>1657</v>
      </c>
      <c r="EI106" s="163">
        <v>1581</v>
      </c>
      <c r="EJ106" s="163">
        <v>1943</v>
      </c>
      <c r="EK106" s="163">
        <v>1749</v>
      </c>
      <c r="EL106" s="164">
        <v>1960</v>
      </c>
      <c r="EM106" s="164">
        <v>1242</v>
      </c>
      <c r="EN106" s="164">
        <v>1028</v>
      </c>
      <c r="EO106" s="164">
        <v>1374</v>
      </c>
      <c r="EP106" s="164">
        <v>1266</v>
      </c>
      <c r="EQ106" s="164">
        <v>1542</v>
      </c>
      <c r="ER106" s="164">
        <v>1231</v>
      </c>
      <c r="ES106" s="164">
        <v>793</v>
      </c>
      <c r="ET106" s="164">
        <v>1125</v>
      </c>
      <c r="EU106" s="164">
        <v>1392</v>
      </c>
      <c r="EV106" s="164">
        <v>1657</v>
      </c>
      <c r="EW106" s="164">
        <v>1137</v>
      </c>
      <c r="EX106" s="164">
        <v>1896</v>
      </c>
      <c r="EY106" s="164">
        <v>1510</v>
      </c>
      <c r="EZ106" s="164">
        <v>903</v>
      </c>
      <c r="FA106" s="164">
        <v>1185</v>
      </c>
      <c r="FB106" s="164">
        <v>1048</v>
      </c>
      <c r="FC106" s="164">
        <v>939</v>
      </c>
      <c r="FD106" s="164">
        <v>896</v>
      </c>
      <c r="FE106" s="164">
        <v>1170</v>
      </c>
      <c r="FF106" s="164">
        <v>1008</v>
      </c>
      <c r="FG106" s="164">
        <v>1339</v>
      </c>
      <c r="FH106" s="164">
        <v>1650</v>
      </c>
      <c r="FI106" s="164">
        <v>1214</v>
      </c>
      <c r="FJ106" s="164">
        <v>711</v>
      </c>
      <c r="FN106" s="165">
        <f t="shared" si="189"/>
        <v>10535</v>
      </c>
      <c r="FO106" s="166">
        <f t="shared" si="190"/>
        <v>5709</v>
      </c>
      <c r="FP106" s="166">
        <f t="shared" si="191"/>
        <v>5860</v>
      </c>
      <c r="FQ106" s="166">
        <f t="shared" si="192"/>
        <v>5837</v>
      </c>
      <c r="FR106" s="166">
        <f t="shared" si="193"/>
        <v>5314</v>
      </c>
      <c r="FS106" s="166">
        <f t="shared" si="194"/>
        <v>4205</v>
      </c>
      <c r="FT106" s="166">
        <f t="shared" si="195"/>
        <v>5384</v>
      </c>
      <c r="FU106" s="166">
        <f t="shared" si="196"/>
        <v>4147</v>
      </c>
      <c r="FV106" s="166">
        <f t="shared" si="197"/>
        <v>3177</v>
      </c>
      <c r="FW106" s="166">
        <f t="shared" si="198"/>
        <v>4067</v>
      </c>
      <c r="FX106" s="166">
        <f t="shared" si="199"/>
        <v>3796</v>
      </c>
      <c r="FY106" s="166">
        <f t="shared" si="200"/>
        <v>3837</v>
      </c>
      <c r="FZ106" s="166">
        <f t="shared" si="201"/>
        <v>3687</v>
      </c>
      <c r="GA106" s="166">
        <f t="shared" si="202"/>
        <v>3650</v>
      </c>
      <c r="GB106" s="166">
        <f t="shared" si="203"/>
        <v>4161</v>
      </c>
      <c r="GC106" s="166">
        <f t="shared" si="204"/>
        <v>3758</v>
      </c>
      <c r="GD106" s="166">
        <f t="shared" si="205"/>
        <v>2805</v>
      </c>
      <c r="GE106" s="166">
        <f t="shared" si="206"/>
        <v>3385</v>
      </c>
      <c r="GF106" s="166">
        <f t="shared" si="207"/>
        <v>3370</v>
      </c>
      <c r="GG106" s="166">
        <f t="shared" si="208"/>
        <v>4120</v>
      </c>
      <c r="GH106" s="166">
        <f t="shared" si="209"/>
        <v>3452</v>
      </c>
      <c r="GI106" s="166">
        <f t="shared" si="210"/>
        <v>4827</v>
      </c>
      <c r="GJ106" s="166">
        <f t="shared" si="211"/>
        <v>4206</v>
      </c>
      <c r="GK106" s="166">
        <f t="shared" si="212"/>
        <v>3503</v>
      </c>
      <c r="GL106" s="166">
        <f t="shared" si="213"/>
        <v>3705</v>
      </c>
      <c r="GM106" s="166">
        <f t="shared" si="214"/>
        <v>3536</v>
      </c>
      <c r="GN106" s="166">
        <f t="shared" si="215"/>
        <v>3895</v>
      </c>
      <c r="GO106" s="166">
        <f t="shared" si="216"/>
        <v>3347</v>
      </c>
      <c r="GP106" s="166">
        <f t="shared" si="217"/>
        <v>2998</v>
      </c>
      <c r="GQ106" s="166">
        <f t="shared" si="218"/>
        <v>3140</v>
      </c>
      <c r="GR106" s="166">
        <f t="shared" si="219"/>
        <v>4083</v>
      </c>
      <c r="GS106" s="166">
        <f t="shared" si="220"/>
        <v>2633</v>
      </c>
      <c r="GT106" s="166">
        <f t="shared" si="221"/>
        <v>1035</v>
      </c>
      <c r="GU106" s="166">
        <f t="shared" si="222"/>
        <v>2680</v>
      </c>
      <c r="GV106" s="166">
        <f t="shared" si="223"/>
        <v>3589</v>
      </c>
      <c r="GW106" s="166">
        <f t="shared" si="224"/>
        <v>3013</v>
      </c>
      <c r="GX106" s="166">
        <f t="shared" si="225"/>
        <v>2406</v>
      </c>
      <c r="GY106" s="166">
        <f t="shared" si="226"/>
        <v>3052</v>
      </c>
      <c r="GZ106" s="166">
        <f t="shared" si="227"/>
        <v>1293</v>
      </c>
      <c r="HA106" s="166">
        <f t="shared" si="228"/>
        <v>5401</v>
      </c>
      <c r="HB106" s="166">
        <f t="shared" si="229"/>
        <v>8305</v>
      </c>
      <c r="HC106" s="166">
        <f t="shared" si="230"/>
        <v>5716</v>
      </c>
      <c r="HD106" s="166">
        <f t="shared" si="231"/>
        <v>6424</v>
      </c>
      <c r="HE106" s="166">
        <f t="shared" si="232"/>
        <v>4819</v>
      </c>
      <c r="HF106" s="166">
        <f t="shared" si="233"/>
        <v>5051</v>
      </c>
      <c r="HG106" s="166">
        <f t="shared" si="234"/>
        <v>4892</v>
      </c>
      <c r="HH106" s="166">
        <f t="shared" si="235"/>
        <v>5652</v>
      </c>
      <c r="HI106" s="166">
        <f t="shared" si="236"/>
        <v>3644</v>
      </c>
      <c r="HJ106" s="167">
        <f t="shared" si="237"/>
        <v>4039</v>
      </c>
      <c r="HK106" s="167">
        <f t="shared" si="238"/>
        <v>3310</v>
      </c>
      <c r="HL106" s="167">
        <f t="shared" si="239"/>
        <v>4690</v>
      </c>
      <c r="HM106" s="167">
        <f t="shared" si="240"/>
        <v>3598</v>
      </c>
      <c r="HN106" s="167">
        <f t="shared" si="241"/>
        <v>2883</v>
      </c>
      <c r="HO106" s="167">
        <f t="shared" si="242"/>
        <v>3517</v>
      </c>
      <c r="HP106" s="167">
        <f t="shared" si="243"/>
        <v>3575</v>
      </c>
      <c r="HQ106" s="168"/>
      <c r="HU106" s="169">
        <f t="shared" si="244"/>
        <v>27941</v>
      </c>
      <c r="HV106" s="169">
        <f t="shared" si="245"/>
        <v>19050</v>
      </c>
      <c r="HW106" s="169">
        <f t="shared" si="246"/>
        <v>14877</v>
      </c>
      <c r="HX106" s="170">
        <f t="shared" si="247"/>
        <v>15256</v>
      </c>
      <c r="HY106" s="160">
        <f t="shared" si="248"/>
        <v>13680</v>
      </c>
      <c r="HZ106" s="160">
        <f t="shared" si="249"/>
        <v>15988</v>
      </c>
      <c r="IA106" s="160">
        <f t="shared" si="250"/>
        <v>14483</v>
      </c>
      <c r="IB106" s="171">
        <f t="shared" si="251"/>
        <v>12854</v>
      </c>
      <c r="IC106" s="171">
        <f t="shared" si="252"/>
        <v>10317</v>
      </c>
      <c r="ID106" s="171">
        <f t="shared" si="253"/>
        <v>12152</v>
      </c>
      <c r="IE106" s="171">
        <f t="shared" si="254"/>
        <v>25264</v>
      </c>
      <c r="IF106" s="171">
        <f t="shared" si="255"/>
        <v>19239</v>
      </c>
      <c r="IG106" s="171">
        <f t="shared" si="256"/>
        <v>15637</v>
      </c>
    </row>
    <row r="107" spans="1:241" outlineLevel="2" x14ac:dyDescent="0.3">
      <c r="A107" s="144" t="s">
        <v>157</v>
      </c>
      <c r="B107" s="145">
        <v>18610</v>
      </c>
      <c r="C107" s="145">
        <v>17371</v>
      </c>
      <c r="D107" s="145">
        <v>13595</v>
      </c>
      <c r="E107" s="145">
        <v>21153</v>
      </c>
      <c r="F107" s="145">
        <v>17727</v>
      </c>
      <c r="G107" s="145">
        <v>17133</v>
      </c>
      <c r="H107" s="145">
        <v>16444</v>
      </c>
      <c r="I107" s="145">
        <v>13538</v>
      </c>
      <c r="J107" s="145">
        <v>11257</v>
      </c>
      <c r="K107" s="145">
        <v>11192</v>
      </c>
      <c r="L107" s="145">
        <v>7769</v>
      </c>
      <c r="M107" s="145">
        <v>8903</v>
      </c>
      <c r="N107" s="145">
        <v>8918</v>
      </c>
      <c r="O107" s="145">
        <v>8927</v>
      </c>
      <c r="P107" s="145">
        <v>9628</v>
      </c>
      <c r="Q107" s="145">
        <v>8546</v>
      </c>
      <c r="R107" s="145">
        <v>8761</v>
      </c>
      <c r="S107" s="146">
        <v>9766</v>
      </c>
      <c r="T107" s="146">
        <v>10944</v>
      </c>
      <c r="U107" s="146">
        <v>7910</v>
      </c>
      <c r="V107" s="146">
        <v>6537</v>
      </c>
      <c r="W107" s="131">
        <v>8463</v>
      </c>
      <c r="X107" s="131">
        <v>9026</v>
      </c>
      <c r="Y107" s="131">
        <v>9761</v>
      </c>
      <c r="Z107" s="131">
        <v>5653</v>
      </c>
      <c r="AA107" s="131">
        <v>6932</v>
      </c>
      <c r="AB107" s="131">
        <v>5933</v>
      </c>
      <c r="AC107" s="131">
        <v>6703</v>
      </c>
      <c r="AD107" s="131">
        <v>8229</v>
      </c>
      <c r="AE107" s="131">
        <v>9765</v>
      </c>
      <c r="AF107" s="131">
        <v>9594</v>
      </c>
      <c r="AG107" s="131">
        <v>10286</v>
      </c>
      <c r="AH107" s="131">
        <v>9956</v>
      </c>
      <c r="AI107" s="131">
        <v>11637</v>
      </c>
      <c r="AJ107" s="131">
        <v>11805</v>
      </c>
      <c r="AK107" s="131">
        <v>12977</v>
      </c>
      <c r="AL107" s="131">
        <v>8925</v>
      </c>
      <c r="AM107" s="131">
        <v>9176</v>
      </c>
      <c r="AN107" s="131">
        <v>8516</v>
      </c>
      <c r="AO107" s="131">
        <v>8520</v>
      </c>
      <c r="AP107" s="131">
        <v>9814</v>
      </c>
      <c r="AQ107" s="131">
        <v>10226</v>
      </c>
      <c r="AR107" s="131">
        <v>11049</v>
      </c>
      <c r="AS107" s="131">
        <v>9172</v>
      </c>
      <c r="AT107" s="131">
        <v>6900</v>
      </c>
      <c r="AU107" s="131">
        <v>9350</v>
      </c>
      <c r="AV107" s="131">
        <v>9284</v>
      </c>
      <c r="AW107" s="131">
        <v>6876</v>
      </c>
      <c r="AX107" s="146">
        <v>9106</v>
      </c>
      <c r="AY107" s="131">
        <v>7787</v>
      </c>
      <c r="AZ107" s="131">
        <v>11705</v>
      </c>
      <c r="BA107" s="131">
        <v>12209</v>
      </c>
      <c r="BB107" s="131">
        <v>11435</v>
      </c>
      <c r="BC107" s="131">
        <v>12997</v>
      </c>
      <c r="BD107" s="131">
        <v>14483</v>
      </c>
      <c r="BE107" s="131">
        <v>11546</v>
      </c>
      <c r="BF107" s="131">
        <v>9632</v>
      </c>
      <c r="BG107" s="131">
        <v>10600</v>
      </c>
      <c r="BH107" s="131">
        <v>9967</v>
      </c>
      <c r="BI107" s="131">
        <v>13032</v>
      </c>
      <c r="BJ107" s="131">
        <v>11220</v>
      </c>
      <c r="BK107" s="147">
        <v>9794</v>
      </c>
      <c r="BL107" s="147">
        <v>9985</v>
      </c>
      <c r="BM107" s="147">
        <v>12125</v>
      </c>
      <c r="BN107" s="147">
        <v>11462</v>
      </c>
      <c r="BO107" s="147">
        <v>12238</v>
      </c>
      <c r="BP107" s="147">
        <v>11331</v>
      </c>
      <c r="BQ107" s="147">
        <v>11556</v>
      </c>
      <c r="BR107" s="147">
        <v>8138</v>
      </c>
      <c r="BS107" s="147">
        <v>13415</v>
      </c>
      <c r="BT107" s="147">
        <v>11653</v>
      </c>
      <c r="BU107" s="147">
        <v>12513</v>
      </c>
      <c r="BV107" s="147">
        <v>10657</v>
      </c>
      <c r="BW107" s="147">
        <v>11516</v>
      </c>
      <c r="BX107" s="147">
        <v>12291</v>
      </c>
      <c r="BY107" s="147">
        <v>11466</v>
      </c>
      <c r="BZ107" s="147">
        <v>12024</v>
      </c>
      <c r="CA107" s="147">
        <v>12191</v>
      </c>
      <c r="CB107" s="147">
        <v>11563</v>
      </c>
      <c r="CC107" s="147">
        <v>11411</v>
      </c>
      <c r="CD107" s="147">
        <v>8082</v>
      </c>
      <c r="CE107" s="147">
        <v>11007</v>
      </c>
      <c r="CF107" s="147">
        <v>10384</v>
      </c>
      <c r="CG107" s="147">
        <v>8795</v>
      </c>
      <c r="CH107" s="147">
        <v>6106</v>
      </c>
      <c r="CI107" s="147">
        <v>4162</v>
      </c>
      <c r="CJ107" s="147">
        <v>7551</v>
      </c>
      <c r="CK107" s="147">
        <v>6137</v>
      </c>
      <c r="CL107" s="147">
        <v>4187</v>
      </c>
      <c r="CM107" s="147">
        <v>4087</v>
      </c>
      <c r="CN107" s="147">
        <v>7079</v>
      </c>
      <c r="CO107" s="147">
        <v>6022</v>
      </c>
      <c r="CP107" s="147">
        <v>6597</v>
      </c>
      <c r="CQ107" s="173">
        <v>9747</v>
      </c>
      <c r="CR107" s="147">
        <v>7743</v>
      </c>
      <c r="CS107" s="148">
        <v>2398</v>
      </c>
      <c r="CT107" s="148"/>
      <c r="CU107" s="148">
        <v>2368</v>
      </c>
      <c r="CV107" s="148">
        <v>7726</v>
      </c>
      <c r="CW107" s="148">
        <v>9700</v>
      </c>
      <c r="CX107" s="148">
        <v>11710</v>
      </c>
      <c r="CY107" s="148">
        <v>13438</v>
      </c>
      <c r="CZ107" s="148">
        <v>14314</v>
      </c>
      <c r="DA107" s="148">
        <v>13409</v>
      </c>
      <c r="DB107" s="148">
        <v>14488</v>
      </c>
      <c r="DC107" s="148">
        <v>16312</v>
      </c>
      <c r="DD107" s="148">
        <v>15558</v>
      </c>
      <c r="DE107" s="148">
        <v>16540</v>
      </c>
      <c r="DF107" s="148">
        <v>14932</v>
      </c>
      <c r="DG107" s="148">
        <v>5765</v>
      </c>
      <c r="DH107" s="148">
        <v>12307</v>
      </c>
      <c r="DI107" s="148">
        <v>15410</v>
      </c>
      <c r="DJ107" s="148">
        <v>13506</v>
      </c>
      <c r="DK107" s="148">
        <v>12197</v>
      </c>
      <c r="DL107" s="148">
        <v>10545</v>
      </c>
      <c r="DM107" s="148">
        <v>9808</v>
      </c>
      <c r="DN107" s="148">
        <v>10678</v>
      </c>
      <c r="DO107" s="148">
        <v>12672</v>
      </c>
      <c r="DP107" s="148">
        <v>13591</v>
      </c>
      <c r="DQ107" s="148">
        <v>12736</v>
      </c>
      <c r="DR107" s="148">
        <v>13131</v>
      </c>
      <c r="DS107" s="148">
        <v>13449</v>
      </c>
      <c r="DT107" s="148">
        <v>15604</v>
      </c>
      <c r="DU107" s="148">
        <v>17270</v>
      </c>
      <c r="DV107" s="148">
        <v>15663</v>
      </c>
      <c r="DW107" s="148">
        <v>15863</v>
      </c>
      <c r="DX107" s="148">
        <v>15958</v>
      </c>
      <c r="DY107" s="148"/>
      <c r="DZ107" s="148">
        <v>13776</v>
      </c>
      <c r="EA107" s="148">
        <v>17813</v>
      </c>
      <c r="EB107" s="148">
        <v>14476</v>
      </c>
      <c r="EC107" s="148">
        <v>13933</v>
      </c>
      <c r="ED107" s="148">
        <v>16262</v>
      </c>
      <c r="EE107" s="148">
        <v>16254</v>
      </c>
      <c r="EF107" s="148">
        <v>18720</v>
      </c>
      <c r="EG107" s="148">
        <v>19483</v>
      </c>
      <c r="EH107" s="148">
        <v>20235</v>
      </c>
      <c r="EI107" s="148">
        <v>15007</v>
      </c>
      <c r="EJ107" s="148">
        <v>12903</v>
      </c>
      <c r="EK107" s="148">
        <v>12238</v>
      </c>
      <c r="EL107" s="149">
        <v>10893</v>
      </c>
      <c r="EM107" s="149">
        <v>12956</v>
      </c>
      <c r="EN107" s="149">
        <v>13227</v>
      </c>
      <c r="EO107" s="149">
        <v>14383</v>
      </c>
      <c r="EP107" s="149">
        <v>14097</v>
      </c>
      <c r="EQ107" s="149">
        <v>13008</v>
      </c>
      <c r="ER107" s="149">
        <v>10482</v>
      </c>
      <c r="ES107" s="149">
        <v>10604</v>
      </c>
      <c r="ET107" s="149">
        <v>8912</v>
      </c>
      <c r="EU107" s="149">
        <v>7877</v>
      </c>
      <c r="EV107" s="149">
        <v>8250</v>
      </c>
      <c r="EW107" s="149">
        <v>8261</v>
      </c>
      <c r="EX107" s="149">
        <v>7926</v>
      </c>
      <c r="EY107" s="149">
        <v>10324</v>
      </c>
      <c r="EZ107" s="149">
        <v>10108</v>
      </c>
      <c r="FA107" s="149">
        <v>11071</v>
      </c>
      <c r="FB107" s="149">
        <v>11745</v>
      </c>
      <c r="FC107" s="149">
        <v>10262</v>
      </c>
      <c r="FD107" s="149">
        <v>10794</v>
      </c>
      <c r="FE107" s="149">
        <v>10448</v>
      </c>
      <c r="FF107" s="149">
        <v>10014</v>
      </c>
      <c r="FG107" s="149">
        <v>13456</v>
      </c>
      <c r="FH107" s="149">
        <v>13816</v>
      </c>
      <c r="FI107" s="149">
        <v>9489</v>
      </c>
      <c r="FJ107" s="149">
        <v>9472</v>
      </c>
      <c r="FN107" s="151">
        <f t="shared" si="189"/>
        <v>49576</v>
      </c>
      <c r="FO107" s="152">
        <f t="shared" si="190"/>
        <v>56013</v>
      </c>
      <c r="FP107" s="152">
        <f t="shared" si="191"/>
        <v>41239</v>
      </c>
      <c r="FQ107" s="152">
        <f t="shared" si="192"/>
        <v>27864</v>
      </c>
      <c r="FR107" s="152">
        <f t="shared" si="193"/>
        <v>27473</v>
      </c>
      <c r="FS107" s="152">
        <f t="shared" si="194"/>
        <v>27073</v>
      </c>
      <c r="FT107" s="152">
        <f t="shared" si="195"/>
        <v>25391</v>
      </c>
      <c r="FU107" s="152">
        <f t="shared" si="196"/>
        <v>27250</v>
      </c>
      <c r="FV107" s="152">
        <f t="shared" si="197"/>
        <v>18518</v>
      </c>
      <c r="FW107" s="152">
        <f t="shared" si="198"/>
        <v>24697</v>
      </c>
      <c r="FX107" s="152">
        <f t="shared" si="199"/>
        <v>29836</v>
      </c>
      <c r="FY107" s="152">
        <f t="shared" si="200"/>
        <v>36419</v>
      </c>
      <c r="FZ107" s="152">
        <f t="shared" si="201"/>
        <v>26617</v>
      </c>
      <c r="GA107" s="152">
        <f t="shared" si="202"/>
        <v>28560</v>
      </c>
      <c r="GB107" s="152">
        <f t="shared" si="203"/>
        <v>27121</v>
      </c>
      <c r="GC107" s="152">
        <f t="shared" si="204"/>
        <v>25510</v>
      </c>
      <c r="GD107" s="152">
        <f t="shared" si="205"/>
        <v>28598</v>
      </c>
      <c r="GE107" s="152">
        <f t="shared" si="206"/>
        <v>36641</v>
      </c>
      <c r="GF107" s="152">
        <f t="shared" si="207"/>
        <v>35661</v>
      </c>
      <c r="GG107" s="152">
        <f t="shared" si="208"/>
        <v>33599</v>
      </c>
      <c r="GH107" s="152">
        <f t="shared" si="209"/>
        <v>30999</v>
      </c>
      <c r="GI107" s="152">
        <f t="shared" si="210"/>
        <v>35825</v>
      </c>
      <c r="GJ107" s="152">
        <f t="shared" si="211"/>
        <v>31025</v>
      </c>
      <c r="GK107" s="152">
        <f t="shared" si="212"/>
        <v>37581</v>
      </c>
      <c r="GL107" s="152">
        <f t="shared" si="213"/>
        <v>34464</v>
      </c>
      <c r="GM107" s="152">
        <f t="shared" si="214"/>
        <v>35681</v>
      </c>
      <c r="GN107" s="152">
        <f t="shared" si="215"/>
        <v>31056</v>
      </c>
      <c r="GO107" s="152">
        <f t="shared" si="216"/>
        <v>30186</v>
      </c>
      <c r="GP107" s="152">
        <f t="shared" si="217"/>
        <v>17819</v>
      </c>
      <c r="GQ107" s="152">
        <f t="shared" si="218"/>
        <v>14411</v>
      </c>
      <c r="GR107" s="152">
        <f t="shared" si="219"/>
        <v>19698</v>
      </c>
      <c r="GS107" s="152">
        <f t="shared" si="220"/>
        <v>19888</v>
      </c>
      <c r="GT107" s="152">
        <f t="shared" si="221"/>
        <v>10094</v>
      </c>
      <c r="GU107" s="152">
        <f t="shared" si="222"/>
        <v>34848</v>
      </c>
      <c r="GV107" s="152">
        <f t="shared" si="223"/>
        <v>42211</v>
      </c>
      <c r="GW107" s="152">
        <f t="shared" si="224"/>
        <v>48410</v>
      </c>
      <c r="GX107" s="152">
        <f t="shared" si="225"/>
        <v>33004</v>
      </c>
      <c r="GY107" s="152">
        <f t="shared" si="226"/>
        <v>41113</v>
      </c>
      <c r="GZ107" s="152">
        <f t="shared" si="227"/>
        <v>31031</v>
      </c>
      <c r="HA107" s="152">
        <f t="shared" si="228"/>
        <v>38999</v>
      </c>
      <c r="HB107" s="152">
        <f t="shared" si="229"/>
        <v>42184</v>
      </c>
      <c r="HC107" s="152">
        <f t="shared" si="230"/>
        <v>48796</v>
      </c>
      <c r="HD107" s="152">
        <f t="shared" si="231"/>
        <v>29734</v>
      </c>
      <c r="HE107" s="152">
        <f t="shared" si="232"/>
        <v>46222</v>
      </c>
      <c r="HF107" s="152">
        <f t="shared" si="233"/>
        <v>51236</v>
      </c>
      <c r="HG107" s="152">
        <f t="shared" si="234"/>
        <v>54725</v>
      </c>
      <c r="HH107" s="152">
        <f t="shared" si="235"/>
        <v>36034</v>
      </c>
      <c r="HI107" s="152">
        <f t="shared" si="236"/>
        <v>40566</v>
      </c>
      <c r="HJ107" s="153">
        <f t="shared" si="237"/>
        <v>37587</v>
      </c>
      <c r="HK107" s="153">
        <f t="shared" si="238"/>
        <v>27393</v>
      </c>
      <c r="HL107" s="153">
        <f t="shared" si="239"/>
        <v>24437</v>
      </c>
      <c r="HM107" s="153">
        <f t="shared" si="240"/>
        <v>31503</v>
      </c>
      <c r="HN107" s="153">
        <f t="shared" si="241"/>
        <v>32801</v>
      </c>
      <c r="HO107" s="153">
        <f t="shared" si="242"/>
        <v>33918</v>
      </c>
      <c r="HP107" s="153">
        <f t="shared" si="243"/>
        <v>32777</v>
      </c>
      <c r="HQ107" s="101"/>
      <c r="HU107" s="155">
        <f t="shared" si="244"/>
        <v>174692</v>
      </c>
      <c r="HV107" s="155">
        <f t="shared" si="245"/>
        <v>107187</v>
      </c>
      <c r="HW107" s="155">
        <f t="shared" si="246"/>
        <v>109470</v>
      </c>
      <c r="HX107" s="156">
        <f t="shared" si="247"/>
        <v>107808</v>
      </c>
      <c r="HY107" s="146">
        <f t="shared" si="248"/>
        <v>134499</v>
      </c>
      <c r="HZ107" s="146">
        <f t="shared" si="249"/>
        <v>135430</v>
      </c>
      <c r="IA107" s="146">
        <f t="shared" si="250"/>
        <v>131387</v>
      </c>
      <c r="IB107" s="157">
        <f t="shared" si="251"/>
        <v>71816</v>
      </c>
      <c r="IC107" s="157">
        <f t="shared" si="252"/>
        <v>135563</v>
      </c>
      <c r="ID107" s="157">
        <f t="shared" si="253"/>
        <v>144147</v>
      </c>
      <c r="IE107" s="157">
        <f t="shared" si="254"/>
        <v>166936</v>
      </c>
      <c r="IF107" s="157">
        <f t="shared" si="255"/>
        <v>182561</v>
      </c>
      <c r="IG107" s="157">
        <f t="shared" si="256"/>
        <v>120920</v>
      </c>
    </row>
    <row r="108" spans="1:241" outlineLevel="2" x14ac:dyDescent="0.3">
      <c r="A108" s="158" t="s">
        <v>158</v>
      </c>
      <c r="B108" s="159">
        <v>6505</v>
      </c>
      <c r="C108" s="159">
        <v>7381</v>
      </c>
      <c r="D108" s="159">
        <v>6661</v>
      </c>
      <c r="E108" s="159">
        <v>6564</v>
      </c>
      <c r="F108" s="159">
        <v>6253</v>
      </c>
      <c r="G108" s="159">
        <v>4949</v>
      </c>
      <c r="H108" s="159">
        <v>4990</v>
      </c>
      <c r="I108" s="159">
        <v>4639</v>
      </c>
      <c r="J108" s="159">
        <v>4346</v>
      </c>
      <c r="K108" s="159">
        <v>5760</v>
      </c>
      <c r="L108" s="159">
        <v>4737</v>
      </c>
      <c r="M108" s="159">
        <v>9215</v>
      </c>
      <c r="N108" s="159">
        <v>4706</v>
      </c>
      <c r="O108" s="159">
        <v>4443</v>
      </c>
      <c r="P108" s="159">
        <v>4481</v>
      </c>
      <c r="Q108" s="159">
        <v>5164</v>
      </c>
      <c r="R108" s="159">
        <v>5606</v>
      </c>
      <c r="S108" s="160">
        <v>5837</v>
      </c>
      <c r="T108" s="160">
        <v>5420</v>
      </c>
      <c r="U108" s="160">
        <v>4524</v>
      </c>
      <c r="V108" s="160">
        <v>4578</v>
      </c>
      <c r="W108" s="161">
        <v>4503</v>
      </c>
      <c r="X108" s="161">
        <v>3651</v>
      </c>
      <c r="Y108" s="161">
        <v>3952</v>
      </c>
      <c r="Z108" s="161">
        <v>3058</v>
      </c>
      <c r="AA108" s="161">
        <v>4803</v>
      </c>
      <c r="AB108" s="161">
        <v>5183</v>
      </c>
      <c r="AC108" s="161">
        <v>4711</v>
      </c>
      <c r="AD108" s="161">
        <v>4627</v>
      </c>
      <c r="AE108" s="161">
        <v>4921</v>
      </c>
      <c r="AF108" s="161">
        <v>5908</v>
      </c>
      <c r="AG108" s="161">
        <v>5279</v>
      </c>
      <c r="AH108" s="161">
        <v>5642</v>
      </c>
      <c r="AI108" s="161">
        <v>5800</v>
      </c>
      <c r="AJ108" s="161">
        <v>5122</v>
      </c>
      <c r="AK108" s="161">
        <v>5767</v>
      </c>
      <c r="AL108" s="161">
        <v>5384</v>
      </c>
      <c r="AM108" s="161">
        <v>4936</v>
      </c>
      <c r="AN108" s="161">
        <v>4921</v>
      </c>
      <c r="AO108" s="161">
        <v>5025</v>
      </c>
      <c r="AP108" s="161">
        <v>4918</v>
      </c>
      <c r="AQ108" s="161">
        <v>4855</v>
      </c>
      <c r="AR108" s="161">
        <v>5438</v>
      </c>
      <c r="AS108" s="161">
        <v>5253</v>
      </c>
      <c r="AT108" s="161">
        <v>5833</v>
      </c>
      <c r="AU108" s="161">
        <v>4332</v>
      </c>
      <c r="AV108" s="161">
        <v>4445</v>
      </c>
      <c r="AW108" s="161">
        <v>4314</v>
      </c>
      <c r="AX108" s="160">
        <v>3741</v>
      </c>
      <c r="AY108" s="161">
        <v>4751</v>
      </c>
      <c r="AZ108" s="161">
        <v>4468</v>
      </c>
      <c r="BA108" s="161">
        <v>4048</v>
      </c>
      <c r="BB108" s="161">
        <v>4089</v>
      </c>
      <c r="BC108" s="161">
        <v>4745</v>
      </c>
      <c r="BD108" s="161">
        <v>4785</v>
      </c>
      <c r="BE108" s="161">
        <v>4448</v>
      </c>
      <c r="BF108" s="161">
        <v>4415</v>
      </c>
      <c r="BG108" s="161">
        <v>3369</v>
      </c>
      <c r="BH108" s="161">
        <v>3451</v>
      </c>
      <c r="BI108" s="161">
        <v>4450</v>
      </c>
      <c r="BJ108" s="161">
        <v>4131</v>
      </c>
      <c r="BK108" s="162">
        <v>3295</v>
      </c>
      <c r="BL108" s="162">
        <v>544</v>
      </c>
      <c r="BM108" s="162">
        <v>4926</v>
      </c>
      <c r="BN108" s="162">
        <v>3910</v>
      </c>
      <c r="BO108" s="162">
        <v>3816</v>
      </c>
      <c r="BP108" s="162">
        <v>3751</v>
      </c>
      <c r="BQ108" s="162">
        <v>3782</v>
      </c>
      <c r="BR108" s="162">
        <v>3242</v>
      </c>
      <c r="BS108" s="162">
        <v>3182</v>
      </c>
      <c r="BT108" s="162">
        <v>3776</v>
      </c>
      <c r="BU108" s="162">
        <v>3635</v>
      </c>
      <c r="BV108" s="162">
        <v>4019</v>
      </c>
      <c r="BW108" s="162">
        <v>5130</v>
      </c>
      <c r="BX108" s="162">
        <v>4611</v>
      </c>
      <c r="BY108" s="162">
        <v>5173</v>
      </c>
      <c r="BZ108" s="162">
        <v>5627</v>
      </c>
      <c r="CA108" s="162">
        <v>4450</v>
      </c>
      <c r="CB108" s="162">
        <v>4044</v>
      </c>
      <c r="CC108" s="162">
        <v>3811</v>
      </c>
      <c r="CD108" s="162">
        <v>3941</v>
      </c>
      <c r="CE108" s="162">
        <v>3285</v>
      </c>
      <c r="CF108" s="162">
        <v>3372</v>
      </c>
      <c r="CG108" s="162">
        <v>3837</v>
      </c>
      <c r="CH108" s="162">
        <v>3002</v>
      </c>
      <c r="CI108" s="162">
        <v>5034</v>
      </c>
      <c r="CJ108" s="162">
        <v>4555</v>
      </c>
      <c r="CK108" s="162">
        <v>4353</v>
      </c>
      <c r="CL108" s="162">
        <v>5017</v>
      </c>
      <c r="CM108" s="162">
        <v>5045</v>
      </c>
      <c r="CN108" s="162">
        <v>5464</v>
      </c>
      <c r="CO108" s="162">
        <v>3822</v>
      </c>
      <c r="CP108" s="162">
        <v>2517</v>
      </c>
      <c r="CQ108" s="162">
        <v>3001</v>
      </c>
      <c r="CR108" s="162">
        <v>3341</v>
      </c>
      <c r="CS108" s="163">
        <v>2017</v>
      </c>
      <c r="CT108" s="163"/>
      <c r="CU108" s="163">
        <v>583</v>
      </c>
      <c r="CV108" s="163">
        <v>1019</v>
      </c>
      <c r="CW108" s="163">
        <v>1547</v>
      </c>
      <c r="CX108" s="163">
        <v>1863</v>
      </c>
      <c r="CY108" s="163">
        <v>2970</v>
      </c>
      <c r="CZ108" s="163">
        <v>3389</v>
      </c>
      <c r="DA108" s="163">
        <v>2805</v>
      </c>
      <c r="DB108" s="163">
        <v>2361</v>
      </c>
      <c r="DC108" s="163">
        <v>3013</v>
      </c>
      <c r="DD108" s="163">
        <v>3415</v>
      </c>
      <c r="DE108" s="163">
        <v>3891</v>
      </c>
      <c r="DF108" s="163">
        <v>2467</v>
      </c>
      <c r="DG108" s="163">
        <v>298</v>
      </c>
      <c r="DH108" s="163">
        <v>2629</v>
      </c>
      <c r="DI108" s="163">
        <v>2742</v>
      </c>
      <c r="DJ108" s="163">
        <v>1919</v>
      </c>
      <c r="DK108" s="163">
        <v>1823</v>
      </c>
      <c r="DL108" s="163">
        <v>2274</v>
      </c>
      <c r="DM108" s="163">
        <v>1955</v>
      </c>
      <c r="DN108" s="163">
        <v>2360</v>
      </c>
      <c r="DO108" s="163">
        <v>1488</v>
      </c>
      <c r="DP108" s="163">
        <v>161</v>
      </c>
      <c r="DQ108" s="163">
        <v>3107</v>
      </c>
      <c r="DR108" s="163">
        <v>2775</v>
      </c>
      <c r="DS108" s="163">
        <v>3058</v>
      </c>
      <c r="DT108" s="163">
        <v>1218</v>
      </c>
      <c r="DU108" s="163">
        <v>3023</v>
      </c>
      <c r="DV108" s="163">
        <v>3073</v>
      </c>
      <c r="DW108" s="163">
        <v>3596</v>
      </c>
      <c r="DX108" s="163">
        <v>3826</v>
      </c>
      <c r="DY108" s="163">
        <v>4511</v>
      </c>
      <c r="DZ108" s="163">
        <v>4536</v>
      </c>
      <c r="EA108" s="163">
        <v>3386</v>
      </c>
      <c r="EB108" s="163">
        <v>4290</v>
      </c>
      <c r="EC108" s="163">
        <v>3463</v>
      </c>
      <c r="ED108" s="163">
        <v>3716</v>
      </c>
      <c r="EE108" s="163">
        <v>5321</v>
      </c>
      <c r="EF108" s="163">
        <v>3651</v>
      </c>
      <c r="EG108" s="163">
        <v>5092</v>
      </c>
      <c r="EH108" s="163">
        <v>5114</v>
      </c>
      <c r="EI108" s="163">
        <v>4986</v>
      </c>
      <c r="EJ108" s="163">
        <v>4921</v>
      </c>
      <c r="EK108" s="163">
        <v>4148</v>
      </c>
      <c r="EL108" s="164">
        <v>4268</v>
      </c>
      <c r="EM108" s="164">
        <v>4052</v>
      </c>
      <c r="EN108" s="164">
        <v>4791</v>
      </c>
      <c r="EO108" s="164">
        <v>4551</v>
      </c>
      <c r="EP108" s="164">
        <v>4559</v>
      </c>
      <c r="EQ108" s="164">
        <v>4639</v>
      </c>
      <c r="ER108" s="164">
        <v>4261</v>
      </c>
      <c r="ES108" s="164">
        <v>4962</v>
      </c>
      <c r="ET108" s="164">
        <v>4778</v>
      </c>
      <c r="EU108" s="164">
        <v>3373</v>
      </c>
      <c r="EV108" s="164">
        <v>4449</v>
      </c>
      <c r="EW108" s="164">
        <v>3936</v>
      </c>
      <c r="EX108" s="164">
        <v>3575</v>
      </c>
      <c r="EY108" s="164">
        <v>3652</v>
      </c>
      <c r="EZ108" s="164">
        <v>4805</v>
      </c>
      <c r="FA108" s="164">
        <v>3704</v>
      </c>
      <c r="FB108" s="164">
        <v>4340</v>
      </c>
      <c r="FC108" s="164">
        <v>4951</v>
      </c>
      <c r="FD108" s="164">
        <v>3118</v>
      </c>
      <c r="FE108" s="164">
        <v>5180</v>
      </c>
      <c r="FF108" s="164">
        <v>5260</v>
      </c>
      <c r="FG108" s="164">
        <v>3436</v>
      </c>
      <c r="FH108" s="164">
        <v>6438</v>
      </c>
      <c r="FI108" s="164">
        <v>5254</v>
      </c>
      <c r="FJ108" s="164">
        <v>6651</v>
      </c>
      <c r="FN108" s="165">
        <f t="shared" si="189"/>
        <v>20547</v>
      </c>
      <c r="FO108" s="166">
        <f t="shared" si="190"/>
        <v>17766</v>
      </c>
      <c r="FP108" s="166">
        <f t="shared" si="191"/>
        <v>13975</v>
      </c>
      <c r="FQ108" s="166">
        <f t="shared" si="192"/>
        <v>19712</v>
      </c>
      <c r="FR108" s="166">
        <f t="shared" si="193"/>
        <v>13630</v>
      </c>
      <c r="FS108" s="166">
        <f t="shared" si="194"/>
        <v>16607</v>
      </c>
      <c r="FT108" s="166">
        <f t="shared" si="195"/>
        <v>14522</v>
      </c>
      <c r="FU108" s="166">
        <f t="shared" si="196"/>
        <v>12106</v>
      </c>
      <c r="FV108" s="166">
        <f t="shared" si="197"/>
        <v>13044</v>
      </c>
      <c r="FW108" s="166">
        <f t="shared" si="198"/>
        <v>14259</v>
      </c>
      <c r="FX108" s="166">
        <f t="shared" si="199"/>
        <v>16829</v>
      </c>
      <c r="FY108" s="166">
        <f t="shared" si="200"/>
        <v>16689</v>
      </c>
      <c r="FZ108" s="166">
        <f t="shared" si="201"/>
        <v>15241</v>
      </c>
      <c r="GA108" s="166">
        <f t="shared" si="202"/>
        <v>14798</v>
      </c>
      <c r="GB108" s="166">
        <f t="shared" si="203"/>
        <v>16524</v>
      </c>
      <c r="GC108" s="166">
        <f t="shared" si="204"/>
        <v>13091</v>
      </c>
      <c r="GD108" s="166">
        <f t="shared" si="205"/>
        <v>12960</v>
      </c>
      <c r="GE108" s="166">
        <f t="shared" si="206"/>
        <v>12882</v>
      </c>
      <c r="GF108" s="166">
        <f t="shared" si="207"/>
        <v>13648</v>
      </c>
      <c r="GG108" s="166">
        <f t="shared" si="208"/>
        <v>11270</v>
      </c>
      <c r="GH108" s="166">
        <f t="shared" si="209"/>
        <v>7970</v>
      </c>
      <c r="GI108" s="166">
        <f t="shared" si="210"/>
        <v>12652</v>
      </c>
      <c r="GJ108" s="166">
        <f t="shared" si="211"/>
        <v>10775</v>
      </c>
      <c r="GK108" s="166">
        <f t="shared" si="212"/>
        <v>10593</v>
      </c>
      <c r="GL108" s="166">
        <f t="shared" si="213"/>
        <v>13760</v>
      </c>
      <c r="GM108" s="166">
        <f t="shared" si="214"/>
        <v>15250</v>
      </c>
      <c r="GN108" s="166">
        <f t="shared" si="215"/>
        <v>11796</v>
      </c>
      <c r="GO108" s="166">
        <f t="shared" si="216"/>
        <v>10494</v>
      </c>
      <c r="GP108" s="166">
        <f t="shared" si="217"/>
        <v>12591</v>
      </c>
      <c r="GQ108" s="166">
        <f t="shared" si="218"/>
        <v>14415</v>
      </c>
      <c r="GR108" s="166">
        <f t="shared" si="219"/>
        <v>11803</v>
      </c>
      <c r="GS108" s="166">
        <f t="shared" si="220"/>
        <v>8359</v>
      </c>
      <c r="GT108" s="166">
        <f t="shared" si="221"/>
        <v>1602</v>
      </c>
      <c r="GU108" s="166">
        <f t="shared" si="222"/>
        <v>6380</v>
      </c>
      <c r="GV108" s="166">
        <f t="shared" si="223"/>
        <v>8555</v>
      </c>
      <c r="GW108" s="166">
        <f t="shared" si="224"/>
        <v>10319</v>
      </c>
      <c r="GX108" s="166">
        <f t="shared" si="225"/>
        <v>5394</v>
      </c>
      <c r="GY108" s="166">
        <f t="shared" si="226"/>
        <v>6484</v>
      </c>
      <c r="GZ108" s="166">
        <f t="shared" si="227"/>
        <v>6589</v>
      </c>
      <c r="HA108" s="166">
        <f t="shared" si="228"/>
        <v>4756</v>
      </c>
      <c r="HB108" s="166">
        <f t="shared" si="229"/>
        <v>7051</v>
      </c>
      <c r="HC108" s="166">
        <f t="shared" si="230"/>
        <v>9692</v>
      </c>
      <c r="HD108" s="166">
        <f t="shared" si="231"/>
        <v>12873</v>
      </c>
      <c r="HE108" s="166">
        <f t="shared" si="232"/>
        <v>11139</v>
      </c>
      <c r="HF108" s="166">
        <f t="shared" si="233"/>
        <v>12688</v>
      </c>
      <c r="HG108" s="166">
        <f t="shared" si="234"/>
        <v>15192</v>
      </c>
      <c r="HH108" s="166">
        <f t="shared" si="235"/>
        <v>13337</v>
      </c>
      <c r="HI108" s="166">
        <f t="shared" si="236"/>
        <v>13394</v>
      </c>
      <c r="HJ108" s="167">
        <f t="shared" si="237"/>
        <v>13459</v>
      </c>
      <c r="HK108" s="167">
        <f t="shared" si="238"/>
        <v>13113</v>
      </c>
      <c r="HL108" s="167">
        <f t="shared" si="239"/>
        <v>11960</v>
      </c>
      <c r="HM108" s="167">
        <f t="shared" si="240"/>
        <v>12161</v>
      </c>
      <c r="HN108" s="167">
        <f t="shared" si="241"/>
        <v>12409</v>
      </c>
      <c r="HO108" s="167">
        <f t="shared" si="242"/>
        <v>13876</v>
      </c>
      <c r="HP108" s="167">
        <f t="shared" si="243"/>
        <v>18343</v>
      </c>
      <c r="HQ108" s="168"/>
      <c r="HU108" s="169">
        <f t="shared" si="244"/>
        <v>72000</v>
      </c>
      <c r="HV108" s="169">
        <f t="shared" si="245"/>
        <v>56865</v>
      </c>
      <c r="HW108" s="169">
        <f t="shared" si="246"/>
        <v>60821</v>
      </c>
      <c r="HX108" s="170">
        <f t="shared" si="247"/>
        <v>59654</v>
      </c>
      <c r="HY108" s="160">
        <f t="shared" si="248"/>
        <v>50760</v>
      </c>
      <c r="HZ108" s="160">
        <f t="shared" si="249"/>
        <v>41990</v>
      </c>
      <c r="IA108" s="160">
        <f t="shared" si="250"/>
        <v>51300</v>
      </c>
      <c r="IB108" s="171">
        <f t="shared" si="251"/>
        <v>47168</v>
      </c>
      <c r="IC108" s="171">
        <f t="shared" si="252"/>
        <v>26856</v>
      </c>
      <c r="ID108" s="171">
        <f t="shared" si="253"/>
        <v>23223</v>
      </c>
      <c r="IE108" s="171">
        <f t="shared" si="254"/>
        <v>40755</v>
      </c>
      <c r="IF108" s="171">
        <f t="shared" si="255"/>
        <v>54611</v>
      </c>
      <c r="IG108" s="171">
        <f t="shared" si="256"/>
        <v>50693</v>
      </c>
    </row>
    <row r="109" spans="1:241" outlineLevel="2" x14ac:dyDescent="0.3">
      <c r="A109" s="144" t="s">
        <v>159</v>
      </c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6"/>
      <c r="T109" s="146"/>
      <c r="U109" s="146"/>
      <c r="V109" s="146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46"/>
      <c r="AY109" s="131"/>
      <c r="AZ109" s="131"/>
      <c r="BA109" s="131"/>
      <c r="BB109" s="131"/>
      <c r="BC109" s="131"/>
      <c r="BD109" s="131"/>
      <c r="BE109" s="131"/>
      <c r="BF109" s="131"/>
      <c r="BG109" s="131"/>
      <c r="BH109" s="131"/>
      <c r="BI109" s="131"/>
      <c r="BJ109" s="131"/>
      <c r="BK109" s="147"/>
      <c r="BL109" s="147"/>
      <c r="BM109" s="147"/>
      <c r="BN109" s="147"/>
      <c r="BO109" s="147"/>
      <c r="BP109" s="147"/>
      <c r="BQ109" s="147"/>
      <c r="BR109" s="147"/>
      <c r="BS109" s="147"/>
      <c r="BT109" s="147"/>
      <c r="BU109" s="147"/>
      <c r="BV109" s="147"/>
      <c r="BW109" s="147"/>
      <c r="BX109" s="147"/>
      <c r="BY109" s="147"/>
      <c r="BZ109" s="147"/>
      <c r="CA109" s="147"/>
      <c r="CB109" s="147"/>
      <c r="CC109" s="147"/>
      <c r="CD109" s="147"/>
      <c r="CE109" s="147"/>
      <c r="CF109" s="147"/>
      <c r="CG109" s="147"/>
      <c r="CH109" s="147"/>
      <c r="CI109" s="147"/>
      <c r="CJ109" s="147"/>
      <c r="CK109" s="147"/>
      <c r="CL109" s="173"/>
      <c r="CM109" s="173"/>
      <c r="CN109" s="173"/>
      <c r="CO109" s="173"/>
      <c r="CP109" s="173"/>
      <c r="CQ109" s="173"/>
      <c r="CR109" s="173"/>
      <c r="CS109" s="174"/>
      <c r="CT109" s="174"/>
      <c r="CU109" s="174"/>
      <c r="CV109" s="174"/>
      <c r="CW109" s="174"/>
      <c r="CX109" s="174"/>
      <c r="CY109" s="174"/>
      <c r="CZ109" s="174"/>
      <c r="DA109" s="174"/>
      <c r="DB109" s="174"/>
      <c r="DC109" s="174"/>
      <c r="DD109" s="174"/>
      <c r="DE109" s="174"/>
      <c r="DF109" s="174"/>
      <c r="DG109" s="174"/>
      <c r="DH109" s="174"/>
      <c r="DI109" s="174"/>
      <c r="DJ109" s="174"/>
      <c r="DK109" s="174"/>
      <c r="DL109" s="174"/>
      <c r="DM109" s="174"/>
      <c r="DN109" s="174"/>
      <c r="DO109" s="174"/>
      <c r="DP109" s="174"/>
      <c r="DQ109" s="174"/>
      <c r="DR109" s="174"/>
      <c r="DS109" s="174"/>
      <c r="DT109" s="174"/>
      <c r="DU109" s="174"/>
      <c r="DV109" s="174"/>
      <c r="DW109" s="174"/>
      <c r="DX109" s="174"/>
      <c r="DY109" s="174"/>
      <c r="DZ109" s="174"/>
      <c r="EA109" s="174"/>
      <c r="EB109" s="174"/>
      <c r="EC109" s="174"/>
      <c r="ED109" s="174"/>
      <c r="EE109" s="174"/>
      <c r="EF109" s="174"/>
      <c r="EG109" s="174"/>
      <c r="EH109" s="174"/>
      <c r="EI109" s="174"/>
      <c r="EJ109" s="174"/>
      <c r="EK109" s="174"/>
      <c r="EL109" s="175"/>
      <c r="EM109" s="175"/>
      <c r="EN109" s="175"/>
      <c r="EO109" s="175"/>
      <c r="EP109" s="175"/>
      <c r="EQ109" s="175"/>
      <c r="ER109" s="175"/>
      <c r="ES109" s="175"/>
      <c r="ET109" s="175"/>
      <c r="EU109" s="175"/>
      <c r="EV109" s="175"/>
      <c r="EW109" s="175"/>
      <c r="EX109" s="175"/>
      <c r="EY109" s="175"/>
      <c r="EZ109" s="175"/>
      <c r="FA109" s="175"/>
      <c r="FB109" s="175"/>
      <c r="FC109" s="175"/>
      <c r="FD109" s="175"/>
      <c r="FE109" s="175"/>
      <c r="FF109" s="175"/>
      <c r="FG109" s="175"/>
      <c r="FH109" s="175"/>
      <c r="FI109" s="175"/>
      <c r="FJ109" s="175"/>
      <c r="FN109" s="151">
        <f t="shared" si="189"/>
        <v>0</v>
      </c>
      <c r="FO109" s="152">
        <f t="shared" si="190"/>
        <v>0</v>
      </c>
      <c r="FP109" s="152">
        <f t="shared" si="191"/>
        <v>0</v>
      </c>
      <c r="FQ109" s="152">
        <f t="shared" si="192"/>
        <v>0</v>
      </c>
      <c r="FR109" s="152">
        <f t="shared" si="193"/>
        <v>0</v>
      </c>
      <c r="FS109" s="152">
        <f t="shared" si="194"/>
        <v>0</v>
      </c>
      <c r="FT109" s="152">
        <f t="shared" si="195"/>
        <v>0</v>
      </c>
      <c r="FU109" s="152">
        <f t="shared" si="196"/>
        <v>0</v>
      </c>
      <c r="FV109" s="152">
        <f t="shared" si="197"/>
        <v>0</v>
      </c>
      <c r="FW109" s="152">
        <f t="shared" si="198"/>
        <v>0</v>
      </c>
      <c r="FX109" s="152">
        <f t="shared" si="199"/>
        <v>0</v>
      </c>
      <c r="FY109" s="152">
        <f t="shared" si="200"/>
        <v>0</v>
      </c>
      <c r="FZ109" s="152">
        <f t="shared" si="201"/>
        <v>0</v>
      </c>
      <c r="GA109" s="152">
        <f t="shared" si="202"/>
        <v>0</v>
      </c>
      <c r="GB109" s="152">
        <f t="shared" si="203"/>
        <v>0</v>
      </c>
      <c r="GC109" s="152">
        <f t="shared" si="204"/>
        <v>0</v>
      </c>
      <c r="GD109" s="152">
        <f t="shared" si="205"/>
        <v>0</v>
      </c>
      <c r="GE109" s="152">
        <f t="shared" si="206"/>
        <v>0</v>
      </c>
      <c r="GF109" s="152">
        <f t="shared" si="207"/>
        <v>0</v>
      </c>
      <c r="GG109" s="152">
        <f t="shared" si="208"/>
        <v>0</v>
      </c>
      <c r="GH109" s="152">
        <f t="shared" si="209"/>
        <v>0</v>
      </c>
      <c r="GI109" s="152">
        <f t="shared" si="210"/>
        <v>0</v>
      </c>
      <c r="GJ109" s="152">
        <f t="shared" si="211"/>
        <v>0</v>
      </c>
      <c r="GK109" s="152">
        <f t="shared" si="212"/>
        <v>0</v>
      </c>
      <c r="GL109" s="152">
        <f t="shared" si="213"/>
        <v>0</v>
      </c>
      <c r="GM109" s="152">
        <f t="shared" si="214"/>
        <v>0</v>
      </c>
      <c r="GN109" s="152">
        <f t="shared" si="215"/>
        <v>0</v>
      </c>
      <c r="GO109" s="152">
        <f t="shared" si="216"/>
        <v>0</v>
      </c>
      <c r="GP109" s="152">
        <f t="shared" si="217"/>
        <v>0</v>
      </c>
      <c r="GQ109" s="152">
        <f t="shared" si="218"/>
        <v>0</v>
      </c>
      <c r="GR109" s="152">
        <f t="shared" si="219"/>
        <v>0</v>
      </c>
      <c r="GS109" s="152">
        <f t="shared" si="220"/>
        <v>0</v>
      </c>
      <c r="GT109" s="152">
        <f t="shared" si="221"/>
        <v>0</v>
      </c>
      <c r="GU109" s="152">
        <f t="shared" si="222"/>
        <v>0</v>
      </c>
      <c r="GV109" s="152">
        <f t="shared" si="223"/>
        <v>0</v>
      </c>
      <c r="GW109" s="152">
        <f t="shared" si="224"/>
        <v>0</v>
      </c>
      <c r="GX109" s="152">
        <f t="shared" si="225"/>
        <v>0</v>
      </c>
      <c r="GY109" s="152">
        <f t="shared" si="226"/>
        <v>0</v>
      </c>
      <c r="GZ109" s="152">
        <f t="shared" si="227"/>
        <v>0</v>
      </c>
      <c r="HA109" s="152">
        <f t="shared" si="228"/>
        <v>0</v>
      </c>
      <c r="HB109" s="152">
        <f t="shared" si="229"/>
        <v>0</v>
      </c>
      <c r="HC109" s="152">
        <f t="shared" si="230"/>
        <v>0</v>
      </c>
      <c r="HD109" s="152">
        <f t="shared" si="231"/>
        <v>0</v>
      </c>
      <c r="HE109" s="152">
        <f t="shared" si="232"/>
        <v>0</v>
      </c>
      <c r="HF109" s="152">
        <f t="shared" si="233"/>
        <v>0</v>
      </c>
      <c r="HG109" s="152">
        <f t="shared" si="234"/>
        <v>0</v>
      </c>
      <c r="HH109" s="152">
        <f t="shared" si="235"/>
        <v>0</v>
      </c>
      <c r="HI109" s="152">
        <f t="shared" si="236"/>
        <v>0</v>
      </c>
      <c r="HJ109" s="153">
        <f t="shared" si="237"/>
        <v>0</v>
      </c>
      <c r="HK109" s="153">
        <f t="shared" si="238"/>
        <v>0</v>
      </c>
      <c r="HL109" s="153">
        <f t="shared" si="239"/>
        <v>0</v>
      </c>
      <c r="HM109" s="153">
        <f t="shared" si="240"/>
        <v>0</v>
      </c>
      <c r="HN109" s="153">
        <f t="shared" si="241"/>
        <v>0</v>
      </c>
      <c r="HO109" s="153">
        <f t="shared" si="242"/>
        <v>0</v>
      </c>
      <c r="HP109" s="153">
        <f t="shared" si="243"/>
        <v>0</v>
      </c>
      <c r="HQ109" s="101"/>
      <c r="HU109" s="155">
        <f t="shared" si="244"/>
        <v>0</v>
      </c>
      <c r="HV109" s="155">
        <f t="shared" si="245"/>
        <v>0</v>
      </c>
      <c r="HW109" s="155">
        <f t="shared" si="246"/>
        <v>0</v>
      </c>
      <c r="HX109" s="156">
        <f t="shared" si="247"/>
        <v>0</v>
      </c>
      <c r="HY109" s="146">
        <f t="shared" si="248"/>
        <v>0</v>
      </c>
      <c r="HZ109" s="146">
        <f t="shared" si="249"/>
        <v>0</v>
      </c>
      <c r="IA109" s="146">
        <f t="shared" si="250"/>
        <v>0</v>
      </c>
      <c r="IB109" s="157">
        <f t="shared" si="251"/>
        <v>0</v>
      </c>
      <c r="IC109" s="157">
        <f t="shared" si="252"/>
        <v>0</v>
      </c>
      <c r="ID109" s="157">
        <f t="shared" si="253"/>
        <v>0</v>
      </c>
      <c r="IE109" s="157">
        <f t="shared" si="254"/>
        <v>0</v>
      </c>
      <c r="IF109" s="157">
        <f t="shared" si="255"/>
        <v>0</v>
      </c>
      <c r="IG109" s="157">
        <f t="shared" si="256"/>
        <v>0</v>
      </c>
    </row>
    <row r="110" spans="1:241" outlineLevel="2" x14ac:dyDescent="0.3">
      <c r="A110" s="158" t="s">
        <v>160</v>
      </c>
      <c r="B110" s="159">
        <v>5613</v>
      </c>
      <c r="C110" s="159">
        <v>4562</v>
      </c>
      <c r="D110" s="159">
        <v>5371</v>
      </c>
      <c r="E110" s="159">
        <v>5357</v>
      </c>
      <c r="F110" s="159">
        <v>4397</v>
      </c>
      <c r="G110" s="159">
        <v>5163</v>
      </c>
      <c r="H110" s="159">
        <v>5593</v>
      </c>
      <c r="I110" s="159">
        <v>5674</v>
      </c>
      <c r="J110" s="159">
        <v>4461</v>
      </c>
      <c r="K110" s="159">
        <v>6915</v>
      </c>
      <c r="L110" s="159">
        <v>5805</v>
      </c>
      <c r="M110" s="159">
        <v>6475</v>
      </c>
      <c r="N110" s="159">
        <v>4566</v>
      </c>
      <c r="O110" s="159">
        <v>5116</v>
      </c>
      <c r="P110" s="159">
        <v>5356</v>
      </c>
      <c r="Q110" s="159">
        <v>4739</v>
      </c>
      <c r="R110" s="159">
        <v>4805</v>
      </c>
      <c r="S110" s="160">
        <v>4519</v>
      </c>
      <c r="T110" s="160">
        <v>4827</v>
      </c>
      <c r="U110" s="160">
        <v>4206</v>
      </c>
      <c r="V110" s="160">
        <v>3034</v>
      </c>
      <c r="W110" s="161">
        <v>4107</v>
      </c>
      <c r="X110" s="161">
        <v>3509</v>
      </c>
      <c r="Y110" s="161">
        <v>3741</v>
      </c>
      <c r="Z110" s="161">
        <v>3033</v>
      </c>
      <c r="AA110" s="161">
        <v>2654</v>
      </c>
      <c r="AB110" s="161">
        <v>3077</v>
      </c>
      <c r="AC110" s="161">
        <v>3409</v>
      </c>
      <c r="AD110" s="161">
        <v>4007</v>
      </c>
      <c r="AE110" s="161">
        <v>4089</v>
      </c>
      <c r="AF110" s="161">
        <v>4663</v>
      </c>
      <c r="AG110" s="161">
        <v>3846</v>
      </c>
      <c r="AH110" s="161">
        <v>4070</v>
      </c>
      <c r="AI110" s="161">
        <v>3734</v>
      </c>
      <c r="AJ110" s="161">
        <v>3853</v>
      </c>
      <c r="AK110" s="161">
        <v>4577</v>
      </c>
      <c r="AL110" s="161">
        <v>3572</v>
      </c>
      <c r="AM110" s="161">
        <v>4167</v>
      </c>
      <c r="AN110" s="161">
        <v>4039</v>
      </c>
      <c r="AO110" s="161">
        <v>4029</v>
      </c>
      <c r="AP110" s="161">
        <v>4191</v>
      </c>
      <c r="AQ110" s="161">
        <v>3226</v>
      </c>
      <c r="AR110" s="161">
        <v>3255</v>
      </c>
      <c r="AS110" s="161">
        <v>1942</v>
      </c>
      <c r="AT110" s="161">
        <v>2577</v>
      </c>
      <c r="AU110" s="161">
        <v>4018</v>
      </c>
      <c r="AV110" s="161">
        <v>2510</v>
      </c>
      <c r="AW110" s="161">
        <v>3570</v>
      </c>
      <c r="AX110" s="160">
        <v>3039</v>
      </c>
      <c r="AY110" s="161">
        <v>3591</v>
      </c>
      <c r="AZ110" s="161">
        <v>4022</v>
      </c>
      <c r="BA110" s="161">
        <v>4301</v>
      </c>
      <c r="BB110" s="161">
        <v>4447</v>
      </c>
      <c r="BC110" s="161">
        <v>3929</v>
      </c>
      <c r="BD110" s="161">
        <v>5534</v>
      </c>
      <c r="BE110" s="161">
        <v>4014</v>
      </c>
      <c r="BF110" s="161">
        <v>4348</v>
      </c>
      <c r="BG110" s="161">
        <v>4060</v>
      </c>
      <c r="BH110" s="161">
        <v>3965</v>
      </c>
      <c r="BI110" s="161">
        <v>4792</v>
      </c>
      <c r="BJ110" s="161">
        <v>3673</v>
      </c>
      <c r="BK110" s="162">
        <v>3136</v>
      </c>
      <c r="BL110" s="162">
        <v>3861</v>
      </c>
      <c r="BM110" s="179">
        <v>4505</v>
      </c>
      <c r="BN110" s="162">
        <v>3993</v>
      </c>
      <c r="BO110" s="162">
        <v>4483</v>
      </c>
      <c r="BP110" s="162">
        <v>3879</v>
      </c>
      <c r="BQ110" s="162">
        <v>3366</v>
      </c>
      <c r="BR110" s="162">
        <v>3285</v>
      </c>
      <c r="BS110" s="162">
        <v>3373</v>
      </c>
      <c r="BT110" s="162">
        <v>3107</v>
      </c>
      <c r="BU110" s="162">
        <v>3582</v>
      </c>
      <c r="BV110" s="162">
        <v>3009</v>
      </c>
      <c r="BW110" s="162">
        <v>3035</v>
      </c>
      <c r="BX110" s="162">
        <v>2825</v>
      </c>
      <c r="BY110" s="162">
        <v>2340</v>
      </c>
      <c r="BZ110" s="162">
        <v>3204</v>
      </c>
      <c r="CA110" s="162">
        <v>3093</v>
      </c>
      <c r="CB110" s="162">
        <v>3058</v>
      </c>
      <c r="CC110" s="162">
        <v>2405</v>
      </c>
      <c r="CD110" s="162">
        <v>2785</v>
      </c>
      <c r="CE110" s="162">
        <v>2800</v>
      </c>
      <c r="CF110" s="162">
        <v>2554</v>
      </c>
      <c r="CG110" s="162">
        <v>2697</v>
      </c>
      <c r="CH110" s="162">
        <v>1994</v>
      </c>
      <c r="CI110" s="162">
        <v>2685</v>
      </c>
      <c r="CJ110" s="162">
        <v>2294</v>
      </c>
      <c r="CK110" s="162">
        <v>2450</v>
      </c>
      <c r="CL110" s="162">
        <v>2222</v>
      </c>
      <c r="CM110" s="162">
        <v>2442</v>
      </c>
      <c r="CN110" s="162">
        <v>3058</v>
      </c>
      <c r="CO110" s="162">
        <v>2761</v>
      </c>
      <c r="CP110" s="162">
        <v>3159</v>
      </c>
      <c r="CQ110" s="162">
        <v>1016</v>
      </c>
      <c r="CR110" s="162">
        <v>323</v>
      </c>
      <c r="CS110" s="163">
        <v>127</v>
      </c>
      <c r="CT110" s="163"/>
      <c r="CU110" s="163">
        <v>1304</v>
      </c>
      <c r="CV110" s="163">
        <v>1510</v>
      </c>
      <c r="CW110" s="163">
        <v>1356</v>
      </c>
      <c r="CX110" s="163">
        <v>1180</v>
      </c>
      <c r="CY110" s="163">
        <v>1793</v>
      </c>
      <c r="CZ110" s="163">
        <v>1795</v>
      </c>
      <c r="DA110" s="163">
        <v>1255</v>
      </c>
      <c r="DB110" s="163">
        <v>2153</v>
      </c>
      <c r="DC110" s="163">
        <v>1967</v>
      </c>
      <c r="DD110" s="163">
        <v>2123</v>
      </c>
      <c r="DE110" s="163">
        <v>2025</v>
      </c>
      <c r="DF110" s="163">
        <v>1367</v>
      </c>
      <c r="DG110" s="163">
        <v>1276</v>
      </c>
      <c r="DH110" s="163">
        <v>1481</v>
      </c>
      <c r="DI110" s="163">
        <v>1802</v>
      </c>
      <c r="DJ110" s="163">
        <v>1481</v>
      </c>
      <c r="DK110" s="163">
        <v>960</v>
      </c>
      <c r="DL110" s="163">
        <v>446</v>
      </c>
      <c r="DM110" s="163">
        <v>304</v>
      </c>
      <c r="DN110" s="163">
        <v>832</v>
      </c>
      <c r="DO110" s="163">
        <v>1030</v>
      </c>
      <c r="DP110" s="163">
        <v>1510</v>
      </c>
      <c r="DQ110" s="163">
        <v>1261</v>
      </c>
      <c r="DR110" s="163">
        <v>785</v>
      </c>
      <c r="DS110" s="163">
        <v>2181</v>
      </c>
      <c r="DT110" s="163">
        <v>1928</v>
      </c>
      <c r="DU110" s="163">
        <v>1338</v>
      </c>
      <c r="DV110" s="163">
        <v>873</v>
      </c>
      <c r="DW110" s="163">
        <v>1986</v>
      </c>
      <c r="DX110" s="163">
        <v>1072</v>
      </c>
      <c r="DY110" s="163">
        <v>1515</v>
      </c>
      <c r="DZ110" s="163">
        <v>1888</v>
      </c>
      <c r="EA110" s="163">
        <v>1379</v>
      </c>
      <c r="EB110" s="163">
        <v>1563</v>
      </c>
      <c r="EC110" s="163">
        <v>1791</v>
      </c>
      <c r="ED110" s="163">
        <v>1481</v>
      </c>
      <c r="EE110" s="163">
        <v>1631</v>
      </c>
      <c r="EF110" s="163">
        <v>1812</v>
      </c>
      <c r="EG110" s="163">
        <v>1737</v>
      </c>
      <c r="EH110" s="163">
        <v>2140</v>
      </c>
      <c r="EI110" s="163">
        <v>1791</v>
      </c>
      <c r="EJ110" s="163">
        <v>1772</v>
      </c>
      <c r="EK110" s="163">
        <v>1174</v>
      </c>
      <c r="EL110" s="164">
        <v>2199</v>
      </c>
      <c r="EM110" s="164">
        <v>1879</v>
      </c>
      <c r="EN110" s="164">
        <v>1631</v>
      </c>
      <c r="EO110" s="164">
        <v>1847</v>
      </c>
      <c r="EP110" s="164">
        <v>1183</v>
      </c>
      <c r="EQ110" s="164">
        <v>1610</v>
      </c>
      <c r="ER110" s="164">
        <v>1656</v>
      </c>
      <c r="ES110" s="164">
        <v>1766</v>
      </c>
      <c r="ET110" s="164">
        <v>1876</v>
      </c>
      <c r="EU110" s="164">
        <v>1697</v>
      </c>
      <c r="EV110" s="164">
        <v>2351</v>
      </c>
      <c r="EW110" s="164">
        <v>1457</v>
      </c>
      <c r="EX110" s="164">
        <v>2257</v>
      </c>
      <c r="EY110" s="164">
        <v>1795</v>
      </c>
      <c r="EZ110" s="164">
        <v>1837</v>
      </c>
      <c r="FA110" s="164">
        <v>1947</v>
      </c>
      <c r="FB110" s="164">
        <v>1605</v>
      </c>
      <c r="FC110" s="164">
        <v>1707</v>
      </c>
      <c r="FD110" s="164">
        <v>1778</v>
      </c>
      <c r="FE110" s="164">
        <v>1797</v>
      </c>
      <c r="FF110" s="164">
        <v>1674</v>
      </c>
      <c r="FG110" s="164">
        <v>1648</v>
      </c>
      <c r="FH110" s="164">
        <v>2453</v>
      </c>
      <c r="FI110" s="164">
        <v>2225</v>
      </c>
      <c r="FJ110" s="164">
        <v>2378</v>
      </c>
      <c r="FN110" s="165">
        <f t="shared" si="189"/>
        <v>15546</v>
      </c>
      <c r="FO110" s="166">
        <f t="shared" si="190"/>
        <v>14917</v>
      </c>
      <c r="FP110" s="166">
        <f t="shared" si="191"/>
        <v>15728</v>
      </c>
      <c r="FQ110" s="166">
        <f t="shared" si="192"/>
        <v>19195</v>
      </c>
      <c r="FR110" s="166">
        <f t="shared" si="193"/>
        <v>15038</v>
      </c>
      <c r="FS110" s="166">
        <f t="shared" si="194"/>
        <v>14063</v>
      </c>
      <c r="FT110" s="166">
        <f t="shared" si="195"/>
        <v>12067</v>
      </c>
      <c r="FU110" s="166">
        <f t="shared" si="196"/>
        <v>11357</v>
      </c>
      <c r="FV110" s="166">
        <f t="shared" si="197"/>
        <v>8764</v>
      </c>
      <c r="FW110" s="166">
        <f t="shared" si="198"/>
        <v>11505</v>
      </c>
      <c r="FX110" s="166">
        <f t="shared" si="199"/>
        <v>12579</v>
      </c>
      <c r="FY110" s="166">
        <f t="shared" si="200"/>
        <v>12164</v>
      </c>
      <c r="FZ110" s="166">
        <f t="shared" si="201"/>
        <v>11778</v>
      </c>
      <c r="GA110" s="166">
        <f t="shared" si="202"/>
        <v>11446</v>
      </c>
      <c r="GB110" s="166">
        <f t="shared" si="203"/>
        <v>7774</v>
      </c>
      <c r="GC110" s="166">
        <f t="shared" si="204"/>
        <v>10098</v>
      </c>
      <c r="GD110" s="166">
        <f t="shared" si="205"/>
        <v>10652</v>
      </c>
      <c r="GE110" s="166">
        <f t="shared" si="206"/>
        <v>12677</v>
      </c>
      <c r="GF110" s="166">
        <f t="shared" si="207"/>
        <v>13896</v>
      </c>
      <c r="GG110" s="166">
        <f t="shared" si="208"/>
        <v>12817</v>
      </c>
      <c r="GH110" s="166">
        <f t="shared" si="209"/>
        <v>10670</v>
      </c>
      <c r="GI110" s="166">
        <f t="shared" si="210"/>
        <v>12981</v>
      </c>
      <c r="GJ110" s="166">
        <f t="shared" si="211"/>
        <v>10530</v>
      </c>
      <c r="GK110" s="166">
        <f t="shared" si="212"/>
        <v>10062</v>
      </c>
      <c r="GL110" s="166">
        <f t="shared" si="213"/>
        <v>8869</v>
      </c>
      <c r="GM110" s="166">
        <f t="shared" si="214"/>
        <v>8637</v>
      </c>
      <c r="GN110" s="166">
        <f t="shared" si="215"/>
        <v>8248</v>
      </c>
      <c r="GO110" s="166">
        <f t="shared" si="216"/>
        <v>8051</v>
      </c>
      <c r="GP110" s="166">
        <f t="shared" si="217"/>
        <v>6973</v>
      </c>
      <c r="GQ110" s="166">
        <f t="shared" si="218"/>
        <v>7114</v>
      </c>
      <c r="GR110" s="166">
        <f t="shared" si="219"/>
        <v>8978</v>
      </c>
      <c r="GS110" s="166">
        <f t="shared" si="220"/>
        <v>1466</v>
      </c>
      <c r="GT110" s="166">
        <f t="shared" si="221"/>
        <v>2814</v>
      </c>
      <c r="GU110" s="166">
        <f t="shared" si="222"/>
        <v>4329</v>
      </c>
      <c r="GV110" s="166">
        <f t="shared" si="223"/>
        <v>5203</v>
      </c>
      <c r="GW110" s="166">
        <f t="shared" si="224"/>
        <v>6115</v>
      </c>
      <c r="GX110" s="166">
        <f t="shared" si="225"/>
        <v>4124</v>
      </c>
      <c r="GY110" s="166">
        <f t="shared" si="226"/>
        <v>4243</v>
      </c>
      <c r="GZ110" s="166">
        <f t="shared" si="227"/>
        <v>1582</v>
      </c>
      <c r="HA110" s="166">
        <f t="shared" si="228"/>
        <v>3801</v>
      </c>
      <c r="HB110" s="166">
        <f t="shared" si="229"/>
        <v>4894</v>
      </c>
      <c r="HC110" s="166">
        <f t="shared" si="230"/>
        <v>4197</v>
      </c>
      <c r="HD110" s="166">
        <f t="shared" si="231"/>
        <v>4475</v>
      </c>
      <c r="HE110" s="166">
        <f t="shared" si="232"/>
        <v>4733</v>
      </c>
      <c r="HF110" s="166">
        <f t="shared" si="233"/>
        <v>4924</v>
      </c>
      <c r="HG110" s="166">
        <f t="shared" si="234"/>
        <v>5668</v>
      </c>
      <c r="HH110" s="166">
        <f t="shared" si="235"/>
        <v>5145</v>
      </c>
      <c r="HI110" s="166">
        <f t="shared" si="236"/>
        <v>5357</v>
      </c>
      <c r="HJ110" s="167">
        <f t="shared" si="237"/>
        <v>4449</v>
      </c>
      <c r="HK110" s="167">
        <f t="shared" si="238"/>
        <v>5339</v>
      </c>
      <c r="HL110" s="167">
        <f t="shared" si="239"/>
        <v>6065</v>
      </c>
      <c r="HM110" s="167">
        <f t="shared" si="240"/>
        <v>5579</v>
      </c>
      <c r="HN110" s="167">
        <f t="shared" si="241"/>
        <v>5090</v>
      </c>
      <c r="HO110" s="167">
        <f t="shared" si="242"/>
        <v>5119</v>
      </c>
      <c r="HP110" s="167">
        <f t="shared" si="243"/>
        <v>7056</v>
      </c>
      <c r="HQ110" s="168"/>
      <c r="HU110" s="169">
        <f t="shared" si="244"/>
        <v>65386</v>
      </c>
      <c r="HV110" s="169">
        <f t="shared" si="245"/>
        <v>52525</v>
      </c>
      <c r="HW110" s="169">
        <f t="shared" si="246"/>
        <v>45012</v>
      </c>
      <c r="HX110" s="170">
        <f t="shared" si="247"/>
        <v>41096</v>
      </c>
      <c r="HY110" s="160">
        <f t="shared" si="248"/>
        <v>50042</v>
      </c>
      <c r="HZ110" s="160">
        <f t="shared" si="249"/>
        <v>44243</v>
      </c>
      <c r="IA110" s="160">
        <f t="shared" si="250"/>
        <v>33805</v>
      </c>
      <c r="IB110" s="171">
        <f t="shared" si="251"/>
        <v>24531</v>
      </c>
      <c r="IC110" s="171">
        <f t="shared" si="252"/>
        <v>18461</v>
      </c>
      <c r="ID110" s="171">
        <f t="shared" si="253"/>
        <v>13750</v>
      </c>
      <c r="IE110" s="171">
        <f t="shared" si="254"/>
        <v>18299</v>
      </c>
      <c r="IF110" s="171">
        <f t="shared" si="255"/>
        <v>21094</v>
      </c>
      <c r="IG110" s="171">
        <f t="shared" si="256"/>
        <v>21432</v>
      </c>
    </row>
    <row r="111" spans="1:241" s="96" customFormat="1" outlineLevel="1" x14ac:dyDescent="0.3">
      <c r="A111" s="180" t="s">
        <v>161</v>
      </c>
      <c r="B111" s="181">
        <f t="shared" ref="B111:BM111" si="259">+SUM(B93:B110)</f>
        <v>168354</v>
      </c>
      <c r="C111" s="181">
        <f t="shared" si="259"/>
        <v>163222</v>
      </c>
      <c r="D111" s="181">
        <f t="shared" si="259"/>
        <v>153450</v>
      </c>
      <c r="E111" s="181">
        <f t="shared" si="259"/>
        <v>141646</v>
      </c>
      <c r="F111" s="181">
        <f t="shared" si="259"/>
        <v>115705</v>
      </c>
      <c r="G111" s="181">
        <f t="shared" si="259"/>
        <v>154779</v>
      </c>
      <c r="H111" s="181">
        <f t="shared" si="259"/>
        <v>169806</v>
      </c>
      <c r="I111" s="181">
        <f t="shared" si="259"/>
        <v>155753</v>
      </c>
      <c r="J111" s="181">
        <f t="shared" si="259"/>
        <v>139069</v>
      </c>
      <c r="K111" s="181">
        <f t="shared" si="259"/>
        <v>173420</v>
      </c>
      <c r="L111" s="181">
        <f t="shared" si="259"/>
        <v>158513</v>
      </c>
      <c r="M111" s="181">
        <f t="shared" si="259"/>
        <v>180675</v>
      </c>
      <c r="N111" s="181">
        <f t="shared" si="259"/>
        <v>150789</v>
      </c>
      <c r="O111" s="181">
        <f t="shared" si="259"/>
        <v>143216</v>
      </c>
      <c r="P111" s="181">
        <f t="shared" si="259"/>
        <v>139632</v>
      </c>
      <c r="Q111" s="181">
        <f t="shared" si="259"/>
        <v>131163</v>
      </c>
      <c r="R111" s="181">
        <f t="shared" si="259"/>
        <v>133486</v>
      </c>
      <c r="S111" s="181">
        <f t="shared" si="259"/>
        <v>156018</v>
      </c>
      <c r="T111" s="181">
        <f t="shared" si="259"/>
        <v>163199</v>
      </c>
      <c r="U111" s="181">
        <f t="shared" si="259"/>
        <v>142849</v>
      </c>
      <c r="V111" s="181">
        <f t="shared" si="259"/>
        <v>132561</v>
      </c>
      <c r="W111" s="181">
        <f t="shared" si="259"/>
        <v>160289</v>
      </c>
      <c r="X111" s="181">
        <f t="shared" si="259"/>
        <v>160718</v>
      </c>
      <c r="Y111" s="181">
        <f t="shared" si="259"/>
        <v>171489</v>
      </c>
      <c r="Z111" s="181">
        <f t="shared" si="259"/>
        <v>135433</v>
      </c>
      <c r="AA111" s="181">
        <f t="shared" si="259"/>
        <v>148577</v>
      </c>
      <c r="AB111" s="181">
        <f t="shared" si="259"/>
        <v>160232</v>
      </c>
      <c r="AC111" s="181">
        <f t="shared" si="259"/>
        <v>137873</v>
      </c>
      <c r="AD111" s="181">
        <f t="shared" si="259"/>
        <v>153758</v>
      </c>
      <c r="AE111" s="181">
        <f t="shared" si="259"/>
        <v>154882</v>
      </c>
      <c r="AF111" s="181">
        <f t="shared" si="259"/>
        <v>159036</v>
      </c>
      <c r="AG111" s="181">
        <f t="shared" si="259"/>
        <v>156445</v>
      </c>
      <c r="AH111" s="181">
        <f t="shared" si="259"/>
        <v>152743</v>
      </c>
      <c r="AI111" s="181">
        <f t="shared" si="259"/>
        <v>169300</v>
      </c>
      <c r="AJ111" s="181">
        <f t="shared" si="259"/>
        <v>171727</v>
      </c>
      <c r="AK111" s="181">
        <f t="shared" si="259"/>
        <v>176011</v>
      </c>
      <c r="AL111" s="181">
        <f t="shared" si="259"/>
        <v>159548</v>
      </c>
      <c r="AM111" s="181">
        <f t="shared" si="259"/>
        <v>160067</v>
      </c>
      <c r="AN111" s="181">
        <f t="shared" si="259"/>
        <v>162717</v>
      </c>
      <c r="AO111" s="181">
        <f t="shared" si="259"/>
        <v>162022</v>
      </c>
      <c r="AP111" s="181">
        <f t="shared" si="259"/>
        <v>163093</v>
      </c>
      <c r="AQ111" s="181">
        <f t="shared" si="259"/>
        <v>169590</v>
      </c>
      <c r="AR111" s="181">
        <f t="shared" si="259"/>
        <v>194158</v>
      </c>
      <c r="AS111" s="181">
        <f t="shared" si="259"/>
        <v>173111</v>
      </c>
      <c r="AT111" s="181">
        <f t="shared" si="259"/>
        <v>172671</v>
      </c>
      <c r="AU111" s="181">
        <f t="shared" si="259"/>
        <v>168303</v>
      </c>
      <c r="AV111" s="181">
        <f t="shared" si="259"/>
        <v>164469</v>
      </c>
      <c r="AW111" s="181">
        <f t="shared" si="259"/>
        <v>175730</v>
      </c>
      <c r="AX111" s="181">
        <f t="shared" si="259"/>
        <v>162566</v>
      </c>
      <c r="AY111" s="181">
        <f t="shared" si="259"/>
        <v>158996</v>
      </c>
      <c r="AZ111" s="181">
        <f t="shared" si="259"/>
        <v>154237</v>
      </c>
      <c r="BA111" s="181">
        <f t="shared" si="259"/>
        <v>177604</v>
      </c>
      <c r="BB111" s="181">
        <f t="shared" si="259"/>
        <v>177829</v>
      </c>
      <c r="BC111" s="181">
        <f t="shared" si="259"/>
        <v>195259</v>
      </c>
      <c r="BD111" s="181">
        <f t="shared" si="259"/>
        <v>195036</v>
      </c>
      <c r="BE111" s="181">
        <f t="shared" si="259"/>
        <v>173606</v>
      </c>
      <c r="BF111" s="181">
        <f t="shared" si="259"/>
        <v>158617</v>
      </c>
      <c r="BG111" s="181">
        <f t="shared" si="259"/>
        <v>186523</v>
      </c>
      <c r="BH111" s="181">
        <f t="shared" si="259"/>
        <v>172623</v>
      </c>
      <c r="BI111" s="181">
        <f t="shared" si="259"/>
        <v>190065</v>
      </c>
      <c r="BJ111" s="181">
        <f t="shared" si="259"/>
        <v>190788</v>
      </c>
      <c r="BK111" s="181">
        <f t="shared" si="259"/>
        <v>166630</v>
      </c>
      <c r="BL111" s="181">
        <f t="shared" si="259"/>
        <v>136895</v>
      </c>
      <c r="BM111" s="181">
        <f t="shared" si="259"/>
        <v>192773</v>
      </c>
      <c r="BN111" s="181">
        <f t="shared" ref="BN111:CG111" si="260">+SUM(BN93:BN110)</f>
        <v>198811</v>
      </c>
      <c r="BO111" s="181">
        <f t="shared" si="260"/>
        <v>208656</v>
      </c>
      <c r="BP111" s="181">
        <f t="shared" si="260"/>
        <v>184666</v>
      </c>
      <c r="BQ111" s="181">
        <f t="shared" si="260"/>
        <v>181395</v>
      </c>
      <c r="BR111" s="181">
        <f t="shared" si="260"/>
        <v>158868</v>
      </c>
      <c r="BS111" s="181">
        <f t="shared" si="260"/>
        <v>184264</v>
      </c>
      <c r="BT111" s="181">
        <f t="shared" si="260"/>
        <v>179122</v>
      </c>
      <c r="BU111" s="181">
        <f t="shared" si="260"/>
        <v>191082</v>
      </c>
      <c r="BV111" s="181">
        <f t="shared" si="260"/>
        <v>200183</v>
      </c>
      <c r="BW111" s="181">
        <f t="shared" si="260"/>
        <v>199479</v>
      </c>
      <c r="BX111" s="181">
        <f t="shared" si="260"/>
        <v>183885</v>
      </c>
      <c r="BY111" s="181">
        <f t="shared" si="260"/>
        <v>191979</v>
      </c>
      <c r="BZ111" s="181">
        <f t="shared" si="260"/>
        <v>196847</v>
      </c>
      <c r="CA111" s="181">
        <f t="shared" si="260"/>
        <v>197124</v>
      </c>
      <c r="CB111" s="181">
        <f t="shared" si="260"/>
        <v>185400</v>
      </c>
      <c r="CC111" s="181">
        <f t="shared" si="260"/>
        <v>179783</v>
      </c>
      <c r="CD111" s="181">
        <f t="shared" si="260"/>
        <v>155159</v>
      </c>
      <c r="CE111" s="181">
        <f t="shared" si="260"/>
        <v>179389</v>
      </c>
      <c r="CF111" s="181">
        <f t="shared" si="260"/>
        <v>171372</v>
      </c>
      <c r="CG111" s="181">
        <f t="shared" si="260"/>
        <v>177949</v>
      </c>
      <c r="CH111" s="181">
        <f>+SUM(CH93:CH110)</f>
        <v>160279</v>
      </c>
      <c r="CI111" s="181">
        <f>+SUM(CI93:CI110)</f>
        <v>147546</v>
      </c>
      <c r="CJ111" s="181">
        <f>+SUM(CJ93:CJ110)</f>
        <v>139628</v>
      </c>
      <c r="CK111" s="181">
        <f>+SUM(CK93:CK110)</f>
        <v>122956</v>
      </c>
      <c r="CL111" s="181">
        <f>+SUM(CL93:CL110)</f>
        <v>115957</v>
      </c>
      <c r="CM111" s="182">
        <v>131281</v>
      </c>
      <c r="CN111" s="182">
        <v>173649</v>
      </c>
      <c r="CO111" s="182">
        <v>160306</v>
      </c>
      <c r="CP111" s="182">
        <v>142126</v>
      </c>
      <c r="CQ111" s="182">
        <v>164793</v>
      </c>
      <c r="CR111" s="182">
        <v>156285</v>
      </c>
      <c r="CS111" s="183">
        <v>83125</v>
      </c>
      <c r="CT111" s="183"/>
      <c r="CU111" s="183">
        <v>16828</v>
      </c>
      <c r="CV111" s="183">
        <v>63223</v>
      </c>
      <c r="CW111" s="183">
        <v>112473</v>
      </c>
      <c r="CX111" s="183">
        <v>136425</v>
      </c>
      <c r="CY111" s="183">
        <v>177419</v>
      </c>
      <c r="CZ111" s="183">
        <v>197006</v>
      </c>
      <c r="DA111" s="183">
        <v>163358</v>
      </c>
      <c r="DB111" s="183">
        <v>161352</v>
      </c>
      <c r="DC111" s="183">
        <v>169556</v>
      </c>
      <c r="DD111" s="183">
        <v>170686</v>
      </c>
      <c r="DE111" s="183">
        <v>173525</v>
      </c>
      <c r="DF111" s="183">
        <v>156126</v>
      </c>
      <c r="DG111" s="183">
        <v>47301</v>
      </c>
      <c r="DH111" s="183">
        <v>133685</v>
      </c>
      <c r="DI111" s="183">
        <v>145490</v>
      </c>
      <c r="DJ111" s="183">
        <v>122014</v>
      </c>
      <c r="DK111" s="183">
        <v>76432</v>
      </c>
      <c r="DL111" s="183">
        <v>114374</v>
      </c>
      <c r="DM111" s="183">
        <v>110714</v>
      </c>
      <c r="DN111" s="183">
        <v>123551</v>
      </c>
      <c r="DO111" s="183">
        <v>139365</v>
      </c>
      <c r="DP111" s="183">
        <v>147163</v>
      </c>
      <c r="DQ111" s="183">
        <v>150767</v>
      </c>
      <c r="DR111" s="183">
        <v>125988</v>
      </c>
      <c r="DS111" s="183">
        <v>137509</v>
      </c>
      <c r="DT111" s="183">
        <v>147946</v>
      </c>
      <c r="DU111" s="183">
        <v>160792</v>
      </c>
      <c r="DV111" s="183">
        <v>149140</v>
      </c>
      <c r="DW111" s="183">
        <v>158590</v>
      </c>
      <c r="DX111" s="183">
        <v>156884</v>
      </c>
      <c r="DY111" s="183">
        <v>130142</v>
      </c>
      <c r="DZ111" s="183">
        <v>118377</v>
      </c>
      <c r="EA111" s="183">
        <v>154744</v>
      </c>
      <c r="EB111" s="183">
        <v>156677</v>
      </c>
      <c r="EC111" s="183">
        <v>136066</v>
      </c>
      <c r="ED111" s="183">
        <v>142020</v>
      </c>
      <c r="EE111" s="183">
        <v>136618</v>
      </c>
      <c r="EF111" s="183">
        <v>135095</v>
      </c>
      <c r="EG111" s="183">
        <v>129342</v>
      </c>
      <c r="EH111" s="183">
        <v>140266</v>
      </c>
      <c r="EI111" s="183">
        <v>126896</v>
      </c>
      <c r="EJ111" s="183">
        <v>142949</v>
      </c>
      <c r="EK111" s="183">
        <v>114796</v>
      </c>
      <c r="EL111" s="184">
        <v>86437</v>
      </c>
      <c r="EM111" s="184">
        <v>139461</v>
      </c>
      <c r="EN111" s="184">
        <v>129164</v>
      </c>
      <c r="EO111" s="184">
        <v>125924</v>
      </c>
      <c r="EP111" s="184">
        <v>110454</v>
      </c>
      <c r="EQ111" s="184">
        <v>119960</v>
      </c>
      <c r="ER111" s="184">
        <v>110888</v>
      </c>
      <c r="ES111" s="184">
        <v>107256</v>
      </c>
      <c r="ET111" s="184">
        <v>106110</v>
      </c>
      <c r="EU111" s="184">
        <v>105441</v>
      </c>
      <c r="EV111" s="184">
        <v>115770</v>
      </c>
      <c r="EW111" s="184">
        <v>105447</v>
      </c>
      <c r="EX111" s="184">
        <v>95191</v>
      </c>
      <c r="EY111" s="184">
        <v>137389</v>
      </c>
      <c r="EZ111" s="184">
        <v>121074</v>
      </c>
      <c r="FA111" s="184">
        <v>118309</v>
      </c>
      <c r="FB111" s="184">
        <v>102893</v>
      </c>
      <c r="FC111" s="184">
        <v>104213</v>
      </c>
      <c r="FD111" s="184">
        <v>95885</v>
      </c>
      <c r="FE111" s="184">
        <v>106595</v>
      </c>
      <c r="FF111" s="184">
        <v>100480</v>
      </c>
      <c r="FG111" s="184">
        <v>111820</v>
      </c>
      <c r="FH111" s="184">
        <v>130417</v>
      </c>
      <c r="FI111" s="184">
        <v>122101</v>
      </c>
      <c r="FJ111" s="184">
        <v>128708</v>
      </c>
      <c r="FN111" s="185">
        <f t="shared" si="189"/>
        <v>485026</v>
      </c>
      <c r="FO111" s="186">
        <f t="shared" si="190"/>
        <v>412130</v>
      </c>
      <c r="FP111" s="186">
        <f t="shared" si="191"/>
        <v>464628</v>
      </c>
      <c r="FQ111" s="186">
        <f t="shared" si="192"/>
        <v>512608</v>
      </c>
      <c r="FR111" s="186">
        <f t="shared" si="193"/>
        <v>433637</v>
      </c>
      <c r="FS111" s="186">
        <f t="shared" si="194"/>
        <v>420667</v>
      </c>
      <c r="FT111" s="186">
        <f t="shared" si="195"/>
        <v>438609</v>
      </c>
      <c r="FU111" s="186">
        <f t="shared" si="196"/>
        <v>492496</v>
      </c>
      <c r="FV111" s="186">
        <f t="shared" si="197"/>
        <v>444242</v>
      </c>
      <c r="FW111" s="186">
        <f t="shared" si="198"/>
        <v>446513</v>
      </c>
      <c r="FX111" s="186">
        <f t="shared" si="199"/>
        <v>468224</v>
      </c>
      <c r="FY111" s="186">
        <f t="shared" si="200"/>
        <v>517038</v>
      </c>
      <c r="FZ111" s="186">
        <f t="shared" si="201"/>
        <v>482332</v>
      </c>
      <c r="GA111" s="186">
        <f t="shared" si="202"/>
        <v>494705</v>
      </c>
      <c r="GB111" s="186">
        <f t="shared" si="203"/>
        <v>539940</v>
      </c>
      <c r="GC111" s="186">
        <f t="shared" si="204"/>
        <v>508502</v>
      </c>
      <c r="GD111" s="186">
        <f t="shared" si="205"/>
        <v>475799</v>
      </c>
      <c r="GE111" s="186">
        <f t="shared" si="206"/>
        <v>550692</v>
      </c>
      <c r="GF111" s="186">
        <f t="shared" si="207"/>
        <v>527259</v>
      </c>
      <c r="GG111" s="186">
        <f t="shared" si="208"/>
        <v>549211</v>
      </c>
      <c r="GH111" s="186">
        <f t="shared" si="209"/>
        <v>494313</v>
      </c>
      <c r="GI111" s="186">
        <f t="shared" si="210"/>
        <v>600240</v>
      </c>
      <c r="GJ111" s="186">
        <f t="shared" si="211"/>
        <v>524929</v>
      </c>
      <c r="GK111" s="186">
        <f t="shared" si="212"/>
        <v>554468</v>
      </c>
      <c r="GL111" s="186">
        <f t="shared" si="213"/>
        <v>583547</v>
      </c>
      <c r="GM111" s="186">
        <f t="shared" si="214"/>
        <v>585950</v>
      </c>
      <c r="GN111" s="186">
        <f t="shared" si="215"/>
        <v>520342</v>
      </c>
      <c r="GO111" s="186">
        <f t="shared" si="216"/>
        <v>528710</v>
      </c>
      <c r="GP111" s="186">
        <f t="shared" si="217"/>
        <v>447453</v>
      </c>
      <c r="GQ111" s="186">
        <f t="shared" si="218"/>
        <v>370194</v>
      </c>
      <c r="GR111" s="186">
        <f t="shared" si="219"/>
        <v>476081</v>
      </c>
      <c r="GS111" s="186">
        <f t="shared" si="220"/>
        <v>404203</v>
      </c>
      <c r="GT111" s="186">
        <f t="shared" si="221"/>
        <v>80051</v>
      </c>
      <c r="GU111" s="186">
        <f t="shared" si="222"/>
        <v>426317</v>
      </c>
      <c r="GV111" s="186">
        <f t="shared" si="223"/>
        <v>521716</v>
      </c>
      <c r="GW111" s="186">
        <f t="shared" si="224"/>
        <v>513767</v>
      </c>
      <c r="GX111" s="186">
        <f t="shared" si="225"/>
        <v>337112</v>
      </c>
      <c r="GY111" s="186">
        <f t="shared" si="226"/>
        <v>343936</v>
      </c>
      <c r="GZ111" s="186">
        <f t="shared" si="227"/>
        <v>348639</v>
      </c>
      <c r="HA111" s="186">
        <f t="shared" si="228"/>
        <v>437295</v>
      </c>
      <c r="HB111" s="186">
        <f t="shared" si="229"/>
        <v>411443</v>
      </c>
      <c r="HC111" s="186">
        <f t="shared" si="230"/>
        <v>468522</v>
      </c>
      <c r="HD111" s="186">
        <f t="shared" si="231"/>
        <v>405403</v>
      </c>
      <c r="HE111" s="186">
        <f t="shared" si="232"/>
        <v>447487</v>
      </c>
      <c r="HF111" s="186">
        <f t="shared" si="233"/>
        <v>413733</v>
      </c>
      <c r="HG111" s="186">
        <f t="shared" si="234"/>
        <v>396504</v>
      </c>
      <c r="HH111" s="186">
        <f t="shared" si="235"/>
        <v>344182</v>
      </c>
      <c r="HI111" s="186">
        <f t="shared" si="236"/>
        <v>394549</v>
      </c>
      <c r="HJ111" s="187">
        <f t="shared" si="237"/>
        <v>341302</v>
      </c>
      <c r="HK111" s="187">
        <f t="shared" si="238"/>
        <v>318807</v>
      </c>
      <c r="HL111" s="187">
        <f t="shared" si="239"/>
        <v>316408</v>
      </c>
      <c r="HM111" s="187">
        <f t="shared" si="240"/>
        <v>376772</v>
      </c>
      <c r="HN111" s="187">
        <f t="shared" si="241"/>
        <v>302991</v>
      </c>
      <c r="HO111" s="187">
        <f t="shared" si="242"/>
        <v>318895</v>
      </c>
      <c r="HP111" s="187">
        <f t="shared" si="243"/>
        <v>381226</v>
      </c>
      <c r="HQ111" s="188"/>
      <c r="HU111" s="189">
        <f t="shared" si="244"/>
        <v>1874392</v>
      </c>
      <c r="HV111" s="189">
        <f t="shared" si="245"/>
        <v>1785409</v>
      </c>
      <c r="HW111" s="189">
        <f t="shared" si="246"/>
        <v>1876017</v>
      </c>
      <c r="HX111" s="190">
        <f t="shared" si="247"/>
        <v>2025479</v>
      </c>
      <c r="HY111" s="191">
        <f t="shared" si="248"/>
        <v>2102961</v>
      </c>
      <c r="HZ111" s="191">
        <f t="shared" si="249"/>
        <v>2173950</v>
      </c>
      <c r="IA111" s="191">
        <f t="shared" si="250"/>
        <v>2218549</v>
      </c>
      <c r="IB111" s="192">
        <f t="shared" si="251"/>
        <v>1697931</v>
      </c>
      <c r="IC111" s="192">
        <f t="shared" si="252"/>
        <v>1541851</v>
      </c>
      <c r="ID111" s="192">
        <f t="shared" si="253"/>
        <v>1466982</v>
      </c>
      <c r="IE111" s="192">
        <f t="shared" si="254"/>
        <v>1732855</v>
      </c>
      <c r="IF111" s="192">
        <f t="shared" si="255"/>
        <v>1548968</v>
      </c>
      <c r="IG111" s="192">
        <f t="shared" si="256"/>
        <v>1353289</v>
      </c>
    </row>
    <row r="112" spans="1:241" outlineLevel="1" x14ac:dyDescent="0.3">
      <c r="A112" s="193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6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7"/>
      <c r="AY112" s="197"/>
      <c r="AZ112" s="197"/>
      <c r="BA112" s="197"/>
      <c r="BB112" s="197"/>
      <c r="BC112" s="197"/>
      <c r="BD112" s="197"/>
      <c r="BE112" s="197"/>
      <c r="BF112" s="197"/>
      <c r="BG112" s="197"/>
      <c r="BH112" s="197"/>
      <c r="BI112" s="197"/>
      <c r="BJ112" s="198"/>
      <c r="BK112" s="198"/>
      <c r="BL112" s="198"/>
      <c r="BM112" s="198"/>
      <c r="BN112" s="198"/>
      <c r="BO112" s="198"/>
      <c r="BP112" s="198"/>
      <c r="BQ112" s="198"/>
      <c r="BR112" s="198"/>
      <c r="BS112" s="198"/>
      <c r="BT112" s="198"/>
      <c r="BU112" s="198"/>
      <c r="BV112" s="198"/>
      <c r="BW112" s="199"/>
      <c r="BX112" s="199"/>
      <c r="BY112" s="199"/>
      <c r="BZ112" s="199"/>
      <c r="CA112" s="199"/>
      <c r="CB112" s="199"/>
      <c r="CC112" s="199"/>
      <c r="CD112" s="199"/>
      <c r="CE112" s="199"/>
      <c r="CF112" s="199"/>
      <c r="CG112" s="200"/>
      <c r="CH112" s="200"/>
      <c r="CI112" s="200"/>
      <c r="CJ112" s="200"/>
      <c r="CK112" s="200"/>
      <c r="CL112" s="200"/>
      <c r="CM112" s="200"/>
      <c r="CN112" s="200"/>
      <c r="CO112" s="200"/>
      <c r="CP112" s="200"/>
      <c r="CQ112" s="200"/>
      <c r="CR112" s="200"/>
      <c r="CS112" s="200"/>
      <c r="CT112" s="200"/>
      <c r="CU112" s="200"/>
      <c r="CV112" s="200"/>
      <c r="CW112" s="200"/>
      <c r="CX112" s="200"/>
      <c r="CY112" s="200"/>
      <c r="CZ112" s="200"/>
      <c r="DA112" s="200"/>
      <c r="DB112" s="200"/>
      <c r="DC112" s="200"/>
      <c r="DD112" s="200"/>
      <c r="DE112" s="200"/>
      <c r="DF112" s="200"/>
      <c r="DG112" s="200"/>
      <c r="DH112" s="200"/>
      <c r="DI112" s="200"/>
      <c r="DJ112" s="200"/>
      <c r="DK112" s="200"/>
      <c r="DL112" s="200"/>
      <c r="DM112" s="200"/>
      <c r="DN112" s="200"/>
      <c r="DO112" s="200"/>
      <c r="DP112" s="200"/>
      <c r="DQ112" s="200"/>
      <c r="DR112" s="200"/>
      <c r="DS112" s="200"/>
      <c r="DT112" s="200"/>
      <c r="DU112" s="200"/>
      <c r="DV112" s="200"/>
      <c r="DW112" s="200"/>
      <c r="DX112" s="200"/>
      <c r="DY112" s="200"/>
      <c r="DZ112" s="200"/>
      <c r="EA112" s="200"/>
      <c r="EB112" s="200"/>
      <c r="EC112" s="200"/>
      <c r="ED112" s="200"/>
      <c r="EE112" s="200"/>
      <c r="EF112" s="200"/>
      <c r="EG112" s="200"/>
      <c r="EH112" s="200"/>
      <c r="EI112" s="200"/>
      <c r="EJ112" s="200"/>
      <c r="EK112" s="200"/>
      <c r="EL112" s="200"/>
      <c r="EM112" s="200"/>
      <c r="EN112" s="200"/>
      <c r="EO112" s="200"/>
      <c r="EP112" s="200"/>
      <c r="EQ112" s="200"/>
      <c r="ER112" s="200"/>
      <c r="ES112" s="200"/>
      <c r="ET112" s="200"/>
      <c r="EU112" s="200"/>
      <c r="EV112" s="200"/>
      <c r="EW112" s="200"/>
      <c r="EX112" s="200"/>
      <c r="EY112" s="200"/>
      <c r="EZ112" s="200"/>
      <c r="FA112" s="200"/>
      <c r="FB112" s="200"/>
      <c r="FC112" s="200"/>
      <c r="FD112" s="200"/>
      <c r="FE112" s="200"/>
      <c r="FF112" s="200"/>
      <c r="FG112" s="200"/>
      <c r="FH112" s="200"/>
      <c r="FI112" s="200"/>
      <c r="FJ112" s="200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U112" s="169">
        <f t="shared" si="244"/>
        <v>0</v>
      </c>
      <c r="HV112" s="169">
        <f t="shared" si="245"/>
        <v>0</v>
      </c>
      <c r="HW112" s="169">
        <f t="shared" si="246"/>
        <v>0</v>
      </c>
      <c r="HX112" s="170">
        <f t="shared" si="247"/>
        <v>0</v>
      </c>
      <c r="HY112" s="160">
        <f t="shared" si="248"/>
        <v>0</v>
      </c>
      <c r="HZ112" s="160">
        <f t="shared" si="249"/>
        <v>0</v>
      </c>
      <c r="IA112" s="160">
        <f t="shared" si="250"/>
        <v>0</v>
      </c>
      <c r="IB112" s="171">
        <f t="shared" si="251"/>
        <v>0</v>
      </c>
      <c r="IC112" s="171">
        <f t="shared" si="252"/>
        <v>0</v>
      </c>
      <c r="ID112" s="171">
        <f t="shared" si="253"/>
        <v>0</v>
      </c>
      <c r="IE112" s="171">
        <f t="shared" si="254"/>
        <v>0</v>
      </c>
      <c r="IF112" s="171">
        <f t="shared" si="255"/>
        <v>0</v>
      </c>
      <c r="IG112" s="171">
        <f t="shared" si="256"/>
        <v>0</v>
      </c>
    </row>
    <row r="113" spans="1:241" outlineLevel="1" x14ac:dyDescent="0.3">
      <c r="A113" s="193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6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200"/>
      <c r="BL113" s="200"/>
      <c r="BM113" s="200"/>
      <c r="BN113" s="200"/>
      <c r="BO113" s="200"/>
      <c r="BP113" s="200"/>
      <c r="BQ113" s="200"/>
      <c r="BR113" s="200"/>
      <c r="BS113" s="200"/>
      <c r="BT113" s="200"/>
      <c r="BU113" s="200"/>
      <c r="BV113" s="198">
        <v>200183</v>
      </c>
      <c r="BW113" s="198">
        <v>199479</v>
      </c>
      <c r="BX113" s="198"/>
      <c r="BY113" s="198"/>
      <c r="BZ113" s="198"/>
      <c r="CA113" s="198"/>
      <c r="CB113" s="198"/>
      <c r="CC113" s="198"/>
      <c r="CD113" s="198"/>
      <c r="CE113" s="198"/>
      <c r="CF113" s="198"/>
      <c r="CG113" s="200"/>
      <c r="CH113" s="200"/>
      <c r="CI113" s="200"/>
      <c r="CJ113" s="200"/>
      <c r="CK113" s="200"/>
      <c r="CL113" s="200"/>
      <c r="CM113" s="200"/>
      <c r="CN113" s="200"/>
      <c r="CO113" s="200"/>
      <c r="CP113" s="200"/>
      <c r="CQ113" s="200"/>
      <c r="CR113" s="200"/>
      <c r="CS113" s="200"/>
      <c r="CT113" s="200"/>
      <c r="CU113" s="200"/>
      <c r="CV113" s="200"/>
      <c r="CW113" s="200"/>
      <c r="CX113" s="200"/>
      <c r="CY113" s="200"/>
      <c r="CZ113" s="200"/>
      <c r="DA113" s="200"/>
      <c r="DB113" s="200"/>
      <c r="DC113" s="200"/>
      <c r="DD113" s="200"/>
      <c r="DE113" s="200"/>
      <c r="DF113" s="200"/>
      <c r="DG113" s="200"/>
      <c r="DH113" s="200"/>
      <c r="DI113" s="200"/>
      <c r="DJ113" s="200"/>
      <c r="DK113" s="200"/>
      <c r="DL113" s="200"/>
      <c r="DM113" s="200"/>
      <c r="DN113" s="200"/>
      <c r="DO113" s="200"/>
      <c r="DP113" s="200"/>
      <c r="DQ113" s="200"/>
      <c r="DR113" s="200"/>
      <c r="DS113" s="200"/>
      <c r="DT113" s="200"/>
      <c r="DU113" s="200"/>
      <c r="DV113" s="200"/>
      <c r="DW113" s="200"/>
      <c r="DX113" s="200"/>
      <c r="DY113" s="200"/>
      <c r="DZ113" s="200"/>
      <c r="EA113" s="200"/>
      <c r="EB113" s="200"/>
      <c r="EC113" s="200"/>
      <c r="ED113" s="200"/>
      <c r="EE113" s="200"/>
      <c r="EF113" s="200"/>
      <c r="EG113" s="200"/>
      <c r="EH113" s="200"/>
      <c r="EI113" s="200"/>
      <c r="EJ113" s="200"/>
      <c r="EK113" s="200"/>
      <c r="EL113" s="200"/>
      <c r="EM113" s="200"/>
      <c r="EN113" s="200"/>
      <c r="EO113" s="200"/>
      <c r="EP113" s="200"/>
      <c r="EQ113" s="200"/>
      <c r="ER113" s="200"/>
      <c r="ES113" s="200"/>
      <c r="ET113" s="200"/>
      <c r="EU113" s="200"/>
      <c r="EV113" s="200"/>
      <c r="EW113" s="200"/>
      <c r="EX113" s="200"/>
      <c r="EY113" s="200"/>
      <c r="EZ113" s="200"/>
      <c r="FA113" s="200"/>
      <c r="FB113" s="200"/>
      <c r="FC113" s="200"/>
      <c r="FD113" s="200"/>
      <c r="FE113" s="200"/>
      <c r="FF113" s="200"/>
      <c r="FG113" s="200"/>
      <c r="FH113" s="200"/>
      <c r="FI113" s="200"/>
      <c r="FJ113" s="200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U113" s="155">
        <f t="shared" si="244"/>
        <v>0</v>
      </c>
      <c r="HV113" s="155">
        <f t="shared" si="245"/>
        <v>0</v>
      </c>
      <c r="HW113" s="155">
        <f t="shared" si="246"/>
        <v>0</v>
      </c>
      <c r="HX113" s="156">
        <f t="shared" si="247"/>
        <v>0</v>
      </c>
      <c r="HY113" s="146">
        <f t="shared" si="248"/>
        <v>0</v>
      </c>
      <c r="HZ113" s="146">
        <f t="shared" si="249"/>
        <v>0</v>
      </c>
      <c r="IA113" s="146">
        <f t="shared" si="250"/>
        <v>399662</v>
      </c>
      <c r="IB113" s="157">
        <f t="shared" si="251"/>
        <v>0</v>
      </c>
      <c r="IC113" s="157">
        <f t="shared" si="252"/>
        <v>0</v>
      </c>
      <c r="ID113" s="157">
        <f t="shared" si="253"/>
        <v>0</v>
      </c>
      <c r="IE113" s="157">
        <f t="shared" si="254"/>
        <v>0</v>
      </c>
      <c r="IF113" s="157">
        <f t="shared" si="255"/>
        <v>0</v>
      </c>
      <c r="IG113" s="157">
        <f t="shared" si="256"/>
        <v>0</v>
      </c>
    </row>
    <row r="114" spans="1:241" outlineLevel="1" x14ac:dyDescent="0.3">
      <c r="A114" s="138" t="s">
        <v>162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  <c r="AA114" s="201"/>
      <c r="AB114" s="201"/>
      <c r="AC114" s="202"/>
      <c r="AD114" s="201"/>
      <c r="AE114" s="201"/>
      <c r="AF114" s="201"/>
      <c r="AG114" s="201"/>
      <c r="AH114" s="201"/>
      <c r="AI114" s="201"/>
      <c r="AJ114" s="201"/>
      <c r="AK114" s="201"/>
      <c r="AL114" s="201"/>
      <c r="AM114" s="201"/>
      <c r="AN114" s="201"/>
      <c r="AO114" s="201"/>
      <c r="AP114" s="201"/>
      <c r="AQ114" s="201"/>
      <c r="AR114" s="201"/>
      <c r="AS114" s="201"/>
      <c r="AT114" s="201"/>
      <c r="AU114" s="201"/>
      <c r="AV114" s="201"/>
      <c r="AW114" s="201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3"/>
      <c r="BJ114" s="203"/>
      <c r="BK114" s="204"/>
      <c r="BL114" s="204"/>
      <c r="BM114" s="204"/>
      <c r="BN114" s="204"/>
      <c r="BO114" s="204"/>
      <c r="BP114" s="204"/>
      <c r="BQ114" s="204"/>
      <c r="BR114" s="204"/>
      <c r="BS114" s="204"/>
      <c r="BT114" s="204"/>
      <c r="BU114" s="204"/>
      <c r="BV114" s="204"/>
      <c r="BW114" s="204"/>
      <c r="BX114" s="204"/>
      <c r="BY114" s="204"/>
      <c r="BZ114" s="204"/>
      <c r="CA114" s="204"/>
      <c r="CB114" s="204"/>
      <c r="CC114" s="204"/>
      <c r="CD114" s="204"/>
      <c r="CE114" s="204"/>
      <c r="CF114" s="204"/>
      <c r="CG114" s="204"/>
      <c r="CH114" s="204"/>
      <c r="CI114" s="204"/>
      <c r="CJ114" s="204"/>
      <c r="CK114" s="204"/>
      <c r="CL114" s="204"/>
      <c r="CM114" s="204"/>
      <c r="CN114" s="204"/>
      <c r="CO114" s="204"/>
      <c r="CP114" s="204"/>
      <c r="CQ114" s="204"/>
      <c r="CR114" s="204"/>
      <c r="CS114" s="204"/>
      <c r="CT114" s="204"/>
      <c r="CU114" s="204"/>
      <c r="CV114" s="204"/>
      <c r="CW114" s="204"/>
      <c r="CX114" s="204"/>
      <c r="CY114" s="204"/>
      <c r="CZ114" s="204"/>
      <c r="DA114" s="204"/>
      <c r="DB114" s="204"/>
      <c r="DC114" s="204"/>
      <c r="DD114" s="204"/>
      <c r="DE114" s="204"/>
      <c r="DF114" s="204"/>
      <c r="DG114" s="204"/>
      <c r="DH114" s="204"/>
      <c r="DI114" s="204"/>
      <c r="DJ114" s="204"/>
      <c r="DK114" s="204"/>
      <c r="DL114" s="204"/>
      <c r="DM114" s="204"/>
      <c r="DN114" s="204"/>
      <c r="DO114" s="204"/>
      <c r="DP114" s="204"/>
      <c r="DQ114" s="204"/>
      <c r="DR114" s="204"/>
      <c r="DS114" s="204"/>
      <c r="DT114" s="204"/>
      <c r="DU114" s="204"/>
      <c r="DV114" s="204"/>
      <c r="DW114" s="204"/>
      <c r="DX114" s="204"/>
      <c r="DY114" s="204"/>
      <c r="DZ114" s="204"/>
      <c r="EA114" s="204"/>
      <c r="EB114" s="204"/>
      <c r="EC114" s="204"/>
      <c r="ED114" s="204"/>
      <c r="EE114" s="204"/>
      <c r="EF114" s="204"/>
      <c r="EG114" s="204"/>
      <c r="EH114" s="204"/>
      <c r="EI114" s="204"/>
      <c r="EJ114" s="204"/>
      <c r="EK114" s="204"/>
      <c r="EL114" s="204"/>
      <c r="EM114" s="204"/>
      <c r="EN114" s="204"/>
      <c r="EO114" s="204"/>
      <c r="EP114" s="204"/>
      <c r="EQ114" s="204"/>
      <c r="ER114" s="204"/>
      <c r="ES114" s="204"/>
      <c r="ET114" s="204"/>
      <c r="EU114" s="204"/>
      <c r="EV114" s="204"/>
      <c r="EW114" s="204"/>
      <c r="EX114" s="204"/>
      <c r="EY114" s="204"/>
      <c r="EZ114" s="204"/>
      <c r="FA114" s="204"/>
      <c r="FB114" s="204"/>
      <c r="FC114" s="204"/>
      <c r="FD114" s="204"/>
      <c r="FE114" s="204"/>
      <c r="FF114" s="204"/>
      <c r="FG114" s="204"/>
      <c r="FH114" s="204"/>
      <c r="FI114" s="204"/>
      <c r="FJ114" s="204"/>
      <c r="FN114" s="205"/>
      <c r="FO114" s="205"/>
      <c r="FP114" s="205"/>
      <c r="FQ114" s="205"/>
      <c r="FR114" s="205"/>
      <c r="FS114" s="205"/>
      <c r="FT114" s="205"/>
      <c r="FU114" s="205"/>
      <c r="FV114" s="205"/>
      <c r="FW114" s="205"/>
      <c r="FX114" s="205"/>
      <c r="FY114" s="205"/>
      <c r="FZ114" s="205"/>
      <c r="GA114" s="205"/>
      <c r="GB114" s="205"/>
      <c r="GC114" s="205"/>
      <c r="GD114" s="205"/>
      <c r="GE114" s="205"/>
      <c r="GF114" s="205"/>
      <c r="GG114" s="205"/>
      <c r="GH114" s="205"/>
      <c r="GI114" s="205"/>
      <c r="GJ114" s="205"/>
      <c r="GK114" s="205"/>
      <c r="GL114" s="205"/>
      <c r="GM114" s="205"/>
      <c r="GN114" s="205"/>
      <c r="GO114" s="205"/>
      <c r="GP114" s="205"/>
      <c r="GQ114" s="205"/>
      <c r="GR114" s="205"/>
      <c r="GS114" s="205"/>
      <c r="GT114" s="205"/>
      <c r="GU114" s="205"/>
      <c r="GV114" s="205"/>
      <c r="GW114" s="205"/>
      <c r="GX114" s="205"/>
      <c r="GY114" s="205"/>
      <c r="GZ114" s="205"/>
      <c r="HA114" s="205"/>
      <c r="HB114" s="205"/>
      <c r="HC114" s="205"/>
      <c r="HD114" s="205"/>
      <c r="HE114" s="205"/>
      <c r="HF114" s="205"/>
      <c r="HG114" s="205"/>
      <c r="HH114" s="205"/>
      <c r="HI114" s="205"/>
      <c r="HJ114" s="206"/>
      <c r="HK114" s="206"/>
      <c r="HL114" s="206"/>
      <c r="HM114" s="206"/>
      <c r="HN114" s="206"/>
      <c r="HO114" s="206"/>
      <c r="HP114" s="206"/>
      <c r="HQ114" s="141"/>
      <c r="HU114" s="169">
        <f t="shared" si="244"/>
        <v>0</v>
      </c>
      <c r="HV114" s="169">
        <f t="shared" si="245"/>
        <v>0</v>
      </c>
      <c r="HW114" s="169">
        <f t="shared" si="246"/>
        <v>0</v>
      </c>
      <c r="HX114" s="170">
        <f t="shared" si="247"/>
        <v>0</v>
      </c>
      <c r="HY114" s="160">
        <f t="shared" si="248"/>
        <v>0</v>
      </c>
      <c r="HZ114" s="160">
        <f t="shared" si="249"/>
        <v>0</v>
      </c>
      <c r="IA114" s="160">
        <f t="shared" si="250"/>
        <v>0</v>
      </c>
      <c r="IB114" s="171">
        <f t="shared" si="251"/>
        <v>0</v>
      </c>
      <c r="IC114" s="171">
        <f t="shared" si="252"/>
        <v>0</v>
      </c>
      <c r="ID114" s="171">
        <f t="shared" si="253"/>
        <v>0</v>
      </c>
      <c r="IE114" s="171">
        <f t="shared" si="254"/>
        <v>0</v>
      </c>
      <c r="IF114" s="171">
        <f t="shared" si="255"/>
        <v>0</v>
      </c>
      <c r="IG114" s="171">
        <f t="shared" si="256"/>
        <v>0</v>
      </c>
    </row>
    <row r="115" spans="1:241" outlineLevel="2" x14ac:dyDescent="0.3">
      <c r="A115" s="63" t="s">
        <v>163</v>
      </c>
      <c r="B115" s="59"/>
      <c r="C115" s="59"/>
      <c r="D115" s="59"/>
      <c r="E115" s="207"/>
      <c r="F115" s="58"/>
      <c r="G115" s="207"/>
      <c r="H115" s="207"/>
      <c r="I115" s="207"/>
      <c r="J115" s="207"/>
      <c r="K115" s="207"/>
      <c r="L115" s="207"/>
      <c r="M115" s="207"/>
      <c r="N115" s="58"/>
      <c r="O115" s="59"/>
      <c r="P115" s="59"/>
      <c r="Q115" s="207"/>
      <c r="R115" s="58"/>
      <c r="S115" s="58"/>
      <c r="T115" s="58">
        <v>400</v>
      </c>
      <c r="U115" s="58">
        <v>111</v>
      </c>
      <c r="V115" s="58">
        <v>121</v>
      </c>
      <c r="W115" s="58">
        <v>61</v>
      </c>
      <c r="X115" s="58">
        <v>44</v>
      </c>
      <c r="Y115" s="58">
        <v>38</v>
      </c>
      <c r="Z115" s="58">
        <v>32</v>
      </c>
      <c r="AA115" s="58">
        <v>12</v>
      </c>
      <c r="AB115" s="58">
        <v>21</v>
      </c>
      <c r="AC115" s="58">
        <v>50</v>
      </c>
      <c r="AD115" s="58">
        <v>50</v>
      </c>
      <c r="AE115" s="58">
        <v>33</v>
      </c>
      <c r="AF115" s="58">
        <v>31</v>
      </c>
      <c r="AG115" s="58">
        <v>25</v>
      </c>
      <c r="AH115" s="58">
        <v>26</v>
      </c>
      <c r="AI115" s="58">
        <v>31</v>
      </c>
      <c r="AJ115" s="58">
        <v>25</v>
      </c>
      <c r="AK115" s="58">
        <v>10</v>
      </c>
      <c r="AL115" s="58">
        <v>0</v>
      </c>
      <c r="AM115" s="58">
        <v>1</v>
      </c>
      <c r="AN115" s="58"/>
      <c r="AO115" s="58">
        <v>0</v>
      </c>
      <c r="AP115" s="58">
        <v>0</v>
      </c>
      <c r="AQ115" s="58">
        <v>0</v>
      </c>
      <c r="AR115" s="58">
        <v>0</v>
      </c>
      <c r="AS115" s="58">
        <v>0</v>
      </c>
      <c r="AT115" s="58">
        <v>0</v>
      </c>
      <c r="AU115" s="58">
        <v>0</v>
      </c>
      <c r="AV115" s="58"/>
      <c r="AW115" s="58"/>
      <c r="AX115" s="58">
        <v>0</v>
      </c>
      <c r="AY115" s="58">
        <v>0</v>
      </c>
      <c r="AZ115" s="58">
        <v>0</v>
      </c>
      <c r="BA115" s="58">
        <v>0</v>
      </c>
      <c r="BB115" s="58">
        <v>0</v>
      </c>
      <c r="BC115" s="58"/>
      <c r="BD115" s="58"/>
      <c r="BE115" s="58"/>
      <c r="BF115" s="58"/>
      <c r="BG115" s="58"/>
      <c r="BH115" s="58"/>
      <c r="BI115" s="58"/>
      <c r="BJ115" s="58"/>
      <c r="BK115" s="208"/>
      <c r="BL115" s="208"/>
      <c r="BM115" s="208"/>
      <c r="BN115" s="208">
        <v>0</v>
      </c>
      <c r="BO115" s="208"/>
      <c r="BP115" s="208">
        <v>0</v>
      </c>
      <c r="BQ115" s="208">
        <v>0</v>
      </c>
      <c r="BR115" s="208">
        <v>0</v>
      </c>
      <c r="BS115" s="208">
        <v>0</v>
      </c>
      <c r="BT115" s="208">
        <v>0</v>
      </c>
      <c r="BU115" s="208">
        <v>0</v>
      </c>
      <c r="BV115" s="208"/>
      <c r="BW115" s="208"/>
      <c r="BX115" s="208"/>
      <c r="BY115" s="208"/>
      <c r="BZ115" s="208"/>
      <c r="CA115" s="208"/>
      <c r="CB115" s="208">
        <v>0</v>
      </c>
      <c r="CC115" s="208">
        <v>0</v>
      </c>
      <c r="CD115" s="208">
        <v>0</v>
      </c>
      <c r="CE115" s="208">
        <v>0</v>
      </c>
      <c r="CF115" s="208">
        <v>0</v>
      </c>
      <c r="CG115" s="208">
        <v>0</v>
      </c>
      <c r="CH115" s="208"/>
      <c r="CI115" s="208"/>
      <c r="CJ115" s="208"/>
      <c r="CK115" s="208"/>
      <c r="CL115" s="209"/>
      <c r="CM115" s="209"/>
      <c r="CN115" s="209"/>
      <c r="CO115" s="209"/>
      <c r="CP115" s="209"/>
      <c r="CQ115" s="209"/>
      <c r="CR115" s="208"/>
      <c r="CS115" s="208"/>
      <c r="CT115" s="208"/>
      <c r="CU115" s="208"/>
      <c r="CV115" s="208"/>
      <c r="CW115" s="208"/>
      <c r="CX115" s="208"/>
      <c r="CY115" s="208"/>
      <c r="CZ115" s="208"/>
      <c r="DA115" s="208"/>
      <c r="DB115" s="208"/>
      <c r="DC115" s="208"/>
      <c r="DD115" s="208"/>
      <c r="DE115" s="208"/>
      <c r="DF115" s="208"/>
      <c r="DG115" s="208"/>
      <c r="DH115" s="208"/>
      <c r="DI115" s="208"/>
      <c r="DJ115" s="208"/>
      <c r="DK115" s="208"/>
      <c r="DL115" s="208"/>
      <c r="DM115" s="208"/>
      <c r="DN115" s="208"/>
      <c r="DO115" s="208"/>
      <c r="DP115" s="208"/>
      <c r="DQ115" s="208"/>
      <c r="DR115" s="208"/>
      <c r="DS115" s="208"/>
      <c r="DT115" s="208"/>
      <c r="DU115" s="208"/>
      <c r="DV115" s="208"/>
      <c r="DW115" s="208"/>
      <c r="DX115" s="208"/>
      <c r="DY115" s="208"/>
      <c r="DZ115" s="208"/>
      <c r="EA115" s="208"/>
      <c r="EB115" s="208"/>
      <c r="EC115" s="208"/>
      <c r="ED115" s="208"/>
      <c r="EE115" s="208"/>
      <c r="EF115" s="208"/>
      <c r="EG115" s="208"/>
      <c r="EH115" s="208"/>
      <c r="EI115" s="208"/>
      <c r="EJ115" s="208"/>
      <c r="EK115" s="208"/>
      <c r="EL115" s="208"/>
      <c r="EM115" s="208"/>
      <c r="EN115" s="208"/>
      <c r="EO115" s="208"/>
      <c r="EP115" s="208"/>
      <c r="EQ115" s="208"/>
      <c r="ER115" s="208"/>
      <c r="ES115" s="208"/>
      <c r="ET115" s="208"/>
      <c r="EU115" s="208"/>
      <c r="EV115" s="208"/>
      <c r="EW115" s="208"/>
      <c r="EX115" s="208"/>
      <c r="EY115" s="208"/>
      <c r="EZ115" s="208"/>
      <c r="FA115" s="208"/>
      <c r="FB115" s="208"/>
      <c r="FC115" s="208"/>
      <c r="FD115" s="208"/>
      <c r="FE115" s="208"/>
      <c r="FF115" s="208"/>
      <c r="FG115" s="208"/>
      <c r="FH115" s="208"/>
      <c r="FI115" s="208"/>
      <c r="FJ115" s="208"/>
      <c r="FK115" s="43"/>
      <c r="FL115" s="43"/>
      <c r="FM115" s="43"/>
      <c r="FN115" s="67">
        <f t="shared" ref="FN115:FN129" si="261">+SUM(B115:D115)</f>
        <v>0</v>
      </c>
      <c r="FO115" s="67">
        <f t="shared" ref="FO115:FO129" si="262">+SUM(E115:G115)</f>
        <v>0</v>
      </c>
      <c r="FP115" s="67">
        <f t="shared" ref="FP115:FP129" si="263">+SUM(H115:J115)</f>
        <v>0</v>
      </c>
      <c r="FQ115" s="67">
        <f t="shared" ref="FQ115:FQ129" si="264">+SUM(K115:M115)</f>
        <v>0</v>
      </c>
      <c r="FR115" s="67">
        <f t="shared" ref="FR115:FR129" si="265">+SUM(N115:P115)</f>
        <v>0</v>
      </c>
      <c r="FS115" s="67">
        <f t="shared" ref="FS115:FS129" si="266">+SUM(Q115:S115)</f>
        <v>0</v>
      </c>
      <c r="FT115" s="67">
        <f t="shared" ref="FT115:FT129" si="267">+SUM(T115:V115)</f>
        <v>632</v>
      </c>
      <c r="FU115" s="67">
        <f t="shared" ref="FU115:FU129" si="268">+SUM(W115:Y115)</f>
        <v>143</v>
      </c>
      <c r="FV115" s="67">
        <f t="shared" ref="FV115:FV129" si="269">+SUM(Z115:AB115)</f>
        <v>65</v>
      </c>
      <c r="FW115" s="67">
        <f t="shared" ref="FW115:FW129" si="270">+SUM(AC115:AE115)</f>
        <v>133</v>
      </c>
      <c r="FX115" s="67">
        <f t="shared" ref="FX115:FX129" si="271">+SUM(AF115:AH115)</f>
        <v>82</v>
      </c>
      <c r="FY115" s="67">
        <f t="shared" ref="FY115:FY129" si="272">+SUM(AI115:AK115)</f>
        <v>66</v>
      </c>
      <c r="FZ115" s="67">
        <f t="shared" ref="FZ115:FZ129" si="273">+SUM(AL115:AN115)</f>
        <v>1</v>
      </c>
      <c r="GA115" s="67">
        <f t="shared" ref="GA115:GA129" si="274">+SUM(AO115:AQ115)</f>
        <v>0</v>
      </c>
      <c r="GB115" s="67">
        <f t="shared" ref="GB115:GB129" si="275">+SUM(AR115:AT115)</f>
        <v>0</v>
      </c>
      <c r="GC115" s="67">
        <f t="shared" ref="GC115:GC129" si="276">+SUM(AU115:AW115)</f>
        <v>0</v>
      </c>
      <c r="GD115" s="67">
        <f t="shared" ref="GD115:GD129" si="277">+SUM(AX115:AZ115)</f>
        <v>0</v>
      </c>
      <c r="GE115" s="67">
        <f t="shared" ref="GE115:GE129" si="278">+SUM(BA115:BC115)</f>
        <v>0</v>
      </c>
      <c r="GF115" s="67">
        <f t="shared" ref="GF115:GF129" si="279">+SUM(BD115:BF115)</f>
        <v>0</v>
      </c>
      <c r="GG115" s="67">
        <f t="shared" ref="GG115:GG129" si="280">+SUM(BG115:BI115)</f>
        <v>0</v>
      </c>
      <c r="GH115" s="67">
        <f t="shared" ref="GH115:GH129" si="281">+SUM(BJ115:BL115)</f>
        <v>0</v>
      </c>
      <c r="GI115" s="67">
        <f t="shared" ref="GI115:GI129" si="282">+SUM(BM115:BO115)</f>
        <v>0</v>
      </c>
      <c r="GJ115" s="67">
        <f t="shared" ref="GJ115:GJ129" si="283">+SUM(BP115:BR115)</f>
        <v>0</v>
      </c>
      <c r="GK115" s="67">
        <f t="shared" ref="GK115:GK129" si="284">+SUM(BS115:BU115)</f>
        <v>0</v>
      </c>
      <c r="GL115" s="67">
        <f t="shared" ref="GL115:GL129" si="285">+SUM(BV115:BX115)</f>
        <v>0</v>
      </c>
      <c r="GM115" s="67">
        <f t="shared" ref="GM115:GM129" si="286">+SUM(BY115:CA115)</f>
        <v>0</v>
      </c>
      <c r="GN115" s="67">
        <f t="shared" ref="GN115:GN129" si="287">+SUM(CB115:CD115)</f>
        <v>0</v>
      </c>
      <c r="GO115" s="67">
        <f t="shared" ref="GO115:GO129" si="288">+SUM(CE115:CG115)</f>
        <v>0</v>
      </c>
      <c r="GP115" s="67">
        <f t="shared" ref="GP115:GP129" si="289">+SUM(CH115:CJ115)</f>
        <v>0</v>
      </c>
      <c r="GQ115" s="67">
        <f t="shared" ref="GQ115:GQ129" si="290">+SUM(CK115:CM115)</f>
        <v>0</v>
      </c>
      <c r="GR115" s="67">
        <f t="shared" ref="GR115:GR129" si="291">+SUM(CN115:CP115)</f>
        <v>0</v>
      </c>
      <c r="GS115" s="67">
        <f t="shared" ref="GS115:GS129" si="292">+SUM(CQ115:CS115)</f>
        <v>0</v>
      </c>
      <c r="GT115" s="67">
        <f t="shared" ref="GT115:GT129" si="293">+SUM(CT115:CV115)</f>
        <v>0</v>
      </c>
      <c r="GU115" s="67">
        <f t="shared" ref="GU115:GU136" si="294">+SUM(CW115:CY115)</f>
        <v>0</v>
      </c>
      <c r="GV115" s="67">
        <f t="shared" ref="GV115:GV136" si="295">+SUM(CZ115:DB115)</f>
        <v>0</v>
      </c>
      <c r="GW115" s="67">
        <f t="shared" ref="GW115:GW136" si="296">+SUM(DC115:DE115)</f>
        <v>0</v>
      </c>
      <c r="GX115" s="67">
        <f t="shared" ref="GX115:GX136" si="297">+SUM(DF115:DH115)</f>
        <v>0</v>
      </c>
      <c r="GY115" s="67">
        <f t="shared" ref="GY115:GY136" si="298">+SUM(DI115:DK115)</f>
        <v>0</v>
      </c>
      <c r="GZ115" s="67">
        <f t="shared" ref="GZ115:GZ136" si="299">+SUM(DL115:DN115)</f>
        <v>0</v>
      </c>
      <c r="HA115" s="67">
        <f t="shared" ref="HA115:HA136" si="300">+SUM(DO115:DQ115)</f>
        <v>0</v>
      </c>
      <c r="HB115" s="67">
        <f t="shared" ref="HB115:HB136" si="301">+SUM(DR115:DT115)</f>
        <v>0</v>
      </c>
      <c r="HC115" s="67">
        <f t="shared" ref="HC115:HC136" si="302">+SUM(DU115:DW115)</f>
        <v>0</v>
      </c>
      <c r="HD115" s="67">
        <f t="shared" ref="HD115:HD136" si="303">+SUM(DX115:DZ115)</f>
        <v>0</v>
      </c>
      <c r="HE115" s="67">
        <f t="shared" ref="HE115:HE136" si="304">+SUM(EA115:EC115)</f>
        <v>0</v>
      </c>
      <c r="HF115" s="67">
        <f t="shared" ref="HF115:HF136" si="305">+SUM(ED115:EF115)</f>
        <v>0</v>
      </c>
      <c r="HG115" s="67">
        <f t="shared" ref="HG115:HG136" si="306">+SUM(EG115:EI115)</f>
        <v>0</v>
      </c>
      <c r="HH115" s="67">
        <f t="shared" ref="HH115:HH136" si="307">+SUM(EJ115:EL115)</f>
        <v>0</v>
      </c>
      <c r="HI115" s="67">
        <f t="shared" ref="HI115:HI136" si="308">+SUM(EM115:EO115)</f>
        <v>0</v>
      </c>
      <c r="HJ115" s="210">
        <f t="shared" ref="HJ115:HJ136" si="309">SUM(EP115:ER115)</f>
        <v>0</v>
      </c>
      <c r="HK115" s="210">
        <f t="shared" ref="HK115:HK136" si="310">SUM(ES115:EU115)</f>
        <v>0</v>
      </c>
      <c r="HL115" s="210">
        <f t="shared" ref="HL115:HL136" si="311">SUM(EV115:EX115)</f>
        <v>0</v>
      </c>
      <c r="HM115" s="210">
        <f t="shared" ref="HM115:HM136" si="312">SUM(EY115:FA115)</f>
        <v>0</v>
      </c>
      <c r="HN115" s="210">
        <f t="shared" ref="HN115:HN136" si="313">SUM(FB115:FD115)</f>
        <v>0</v>
      </c>
      <c r="HO115" s="210">
        <f t="shared" ref="HO115:HO136" si="314">SUM(FE115:FG115)</f>
        <v>0</v>
      </c>
      <c r="HP115" s="210">
        <f t="shared" ref="HP115:HP136" si="315">SUM(FH115:FJ115)</f>
        <v>0</v>
      </c>
      <c r="HQ115" s="60"/>
      <c r="HR115" s="43"/>
      <c r="HS115" s="43"/>
      <c r="HT115" s="43"/>
      <c r="HU115" s="211">
        <f t="shared" si="244"/>
        <v>0</v>
      </c>
      <c r="HV115" s="211">
        <f t="shared" si="245"/>
        <v>775</v>
      </c>
      <c r="HW115" s="211">
        <f t="shared" si="246"/>
        <v>346</v>
      </c>
      <c r="HX115" s="212">
        <f t="shared" si="247"/>
        <v>1</v>
      </c>
      <c r="HY115" s="58">
        <f t="shared" si="248"/>
        <v>0</v>
      </c>
      <c r="HZ115" s="58">
        <f t="shared" si="249"/>
        <v>0</v>
      </c>
      <c r="IA115" s="58">
        <f t="shared" si="250"/>
        <v>0</v>
      </c>
      <c r="IB115" s="64">
        <f t="shared" si="251"/>
        <v>0</v>
      </c>
      <c r="IC115" s="64">
        <f t="shared" si="252"/>
        <v>0</v>
      </c>
      <c r="ID115" s="64">
        <f t="shared" si="253"/>
        <v>0</v>
      </c>
      <c r="IE115" s="64">
        <f t="shared" si="254"/>
        <v>0</v>
      </c>
      <c r="IF115" s="64">
        <f t="shared" si="255"/>
        <v>0</v>
      </c>
      <c r="IG115" s="64">
        <f t="shared" si="256"/>
        <v>0</v>
      </c>
    </row>
    <row r="116" spans="1:241" outlineLevel="2" x14ac:dyDescent="0.3">
      <c r="A116" s="71" t="s">
        <v>143</v>
      </c>
      <c r="B116" s="73"/>
      <c r="C116" s="73"/>
      <c r="D116" s="73"/>
      <c r="E116" s="213"/>
      <c r="F116" s="72"/>
      <c r="G116" s="213"/>
      <c r="H116" s="213"/>
      <c r="I116" s="213"/>
      <c r="J116" s="213"/>
      <c r="K116" s="213"/>
      <c r="L116" s="213"/>
      <c r="M116" s="213"/>
      <c r="N116" s="72"/>
      <c r="O116" s="73"/>
      <c r="P116" s="73"/>
      <c r="Q116" s="213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>
        <v>366</v>
      </c>
      <c r="AH116" s="72">
        <v>183</v>
      </c>
      <c r="AI116" s="72">
        <v>227</v>
      </c>
      <c r="AJ116" s="72">
        <v>173</v>
      </c>
      <c r="AK116" s="72">
        <v>249</v>
      </c>
      <c r="AL116" s="72"/>
      <c r="AM116" s="73"/>
      <c r="AN116" s="73"/>
      <c r="AO116" s="72"/>
      <c r="AP116" s="72"/>
      <c r="AQ116" s="72"/>
      <c r="AR116" s="72">
        <v>0</v>
      </c>
      <c r="AS116" s="72">
        <v>0</v>
      </c>
      <c r="AT116" s="72">
        <v>0</v>
      </c>
      <c r="AU116" s="72"/>
      <c r="AV116" s="72">
        <v>0</v>
      </c>
      <c r="AW116" s="72">
        <v>0</v>
      </c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214"/>
      <c r="BL116" s="214"/>
      <c r="BM116" s="214">
        <v>935</v>
      </c>
      <c r="BN116" s="214">
        <v>2020</v>
      </c>
      <c r="BO116" s="214">
        <v>2151</v>
      </c>
      <c r="BP116" s="214">
        <v>2455</v>
      </c>
      <c r="BQ116" s="214">
        <v>2828</v>
      </c>
      <c r="BR116" s="214">
        <v>2750</v>
      </c>
      <c r="BS116" s="214">
        <v>2106</v>
      </c>
      <c r="BT116" s="214">
        <v>1941</v>
      </c>
      <c r="BU116" s="214">
        <v>2172</v>
      </c>
      <c r="BV116" s="214">
        <v>1908</v>
      </c>
      <c r="BW116" s="214">
        <v>1518</v>
      </c>
      <c r="BX116" s="214">
        <v>1478</v>
      </c>
      <c r="BY116" s="214">
        <v>1201</v>
      </c>
      <c r="BZ116" s="214">
        <v>1302</v>
      </c>
      <c r="CA116" s="214">
        <v>1196</v>
      </c>
      <c r="CB116" s="214">
        <v>1150</v>
      </c>
      <c r="CC116" s="214">
        <v>1164</v>
      </c>
      <c r="CD116" s="214">
        <v>1150</v>
      </c>
      <c r="CE116" s="214">
        <v>1267</v>
      </c>
      <c r="CF116" s="214">
        <v>1304</v>
      </c>
      <c r="CG116" s="214">
        <v>1441</v>
      </c>
      <c r="CH116" s="214">
        <v>1204</v>
      </c>
      <c r="CI116" s="214">
        <v>977</v>
      </c>
      <c r="CJ116" s="214">
        <v>791</v>
      </c>
      <c r="CK116" s="214">
        <v>509</v>
      </c>
      <c r="CL116" s="214">
        <v>605</v>
      </c>
      <c r="CM116" s="214">
        <v>603</v>
      </c>
      <c r="CN116" s="214">
        <v>854</v>
      </c>
      <c r="CO116" s="214">
        <v>638</v>
      </c>
      <c r="CP116" s="214">
        <v>742</v>
      </c>
      <c r="CQ116" s="214">
        <v>701</v>
      </c>
      <c r="CR116" s="214">
        <v>666</v>
      </c>
      <c r="CS116" s="214">
        <v>163</v>
      </c>
      <c r="CT116" s="214"/>
      <c r="CU116" s="214">
        <v>93</v>
      </c>
      <c r="CV116" s="214">
        <v>246</v>
      </c>
      <c r="CW116" s="214">
        <v>400</v>
      </c>
      <c r="CX116" s="214">
        <v>468</v>
      </c>
      <c r="CY116" s="214">
        <v>554</v>
      </c>
      <c r="CZ116" s="214">
        <v>832</v>
      </c>
      <c r="DA116" s="214">
        <v>702</v>
      </c>
      <c r="DB116" s="214">
        <v>384</v>
      </c>
      <c r="DC116" s="214">
        <v>394</v>
      </c>
      <c r="DD116" s="214">
        <v>1103</v>
      </c>
      <c r="DE116" s="214">
        <v>1360</v>
      </c>
      <c r="DF116" s="214">
        <v>846</v>
      </c>
      <c r="DG116" s="214">
        <v>475</v>
      </c>
      <c r="DH116" s="214">
        <v>789</v>
      </c>
      <c r="DI116" s="214">
        <v>909</v>
      </c>
      <c r="DJ116" s="214">
        <v>1173</v>
      </c>
      <c r="DK116" s="214">
        <v>1311</v>
      </c>
      <c r="DL116" s="214">
        <v>1324</v>
      </c>
      <c r="DM116" s="214">
        <v>1052</v>
      </c>
      <c r="DN116" s="214">
        <v>916</v>
      </c>
      <c r="DO116" s="214">
        <v>861</v>
      </c>
      <c r="DP116" s="214">
        <v>1020</v>
      </c>
      <c r="DQ116" s="214">
        <v>1273</v>
      </c>
      <c r="DR116" s="214">
        <v>886</v>
      </c>
      <c r="DS116" s="214">
        <v>928</v>
      </c>
      <c r="DT116" s="214">
        <v>1963</v>
      </c>
      <c r="DU116" s="214">
        <v>1150</v>
      </c>
      <c r="DV116" s="214">
        <v>1321</v>
      </c>
      <c r="DW116" s="214">
        <v>1116</v>
      </c>
      <c r="DX116" s="214">
        <v>1136</v>
      </c>
      <c r="DY116" s="214">
        <v>894</v>
      </c>
      <c r="DZ116" s="214">
        <v>769</v>
      </c>
      <c r="EA116" s="214">
        <v>685</v>
      </c>
      <c r="EB116" s="214">
        <v>917</v>
      </c>
      <c r="EC116" s="214">
        <v>680</v>
      </c>
      <c r="ED116" s="214">
        <v>558</v>
      </c>
      <c r="EE116" s="214">
        <v>734</v>
      </c>
      <c r="EF116" s="214">
        <v>493</v>
      </c>
      <c r="EG116" s="214">
        <v>429</v>
      </c>
      <c r="EH116" s="214">
        <v>299</v>
      </c>
      <c r="EI116" s="214">
        <v>481</v>
      </c>
      <c r="EJ116" s="214">
        <v>507</v>
      </c>
      <c r="EK116" s="214">
        <v>406</v>
      </c>
      <c r="EL116" s="214">
        <v>436</v>
      </c>
      <c r="EM116" s="214">
        <v>396</v>
      </c>
      <c r="EN116" s="214">
        <v>331</v>
      </c>
      <c r="EO116" s="214">
        <v>425</v>
      </c>
      <c r="EP116" s="214">
        <v>377</v>
      </c>
      <c r="EQ116" s="214">
        <v>341</v>
      </c>
      <c r="ER116" s="214">
        <v>281</v>
      </c>
      <c r="ES116" s="214">
        <v>273</v>
      </c>
      <c r="ET116" s="214">
        <v>340</v>
      </c>
      <c r="EU116" s="214">
        <v>365</v>
      </c>
      <c r="EV116" s="214">
        <v>424</v>
      </c>
      <c r="EW116" s="214">
        <v>361</v>
      </c>
      <c r="EX116" s="214">
        <v>286</v>
      </c>
      <c r="EY116" s="214">
        <v>310</v>
      </c>
      <c r="EZ116" s="214">
        <v>253</v>
      </c>
      <c r="FA116" s="214">
        <v>254</v>
      </c>
      <c r="FB116" s="214">
        <v>242</v>
      </c>
      <c r="FC116" s="214">
        <v>239</v>
      </c>
      <c r="FD116" s="214">
        <v>236</v>
      </c>
      <c r="FE116" s="214">
        <v>225</v>
      </c>
      <c r="FF116" s="214">
        <v>172</v>
      </c>
      <c r="FG116" s="214">
        <v>250</v>
      </c>
      <c r="FH116" s="214">
        <v>290</v>
      </c>
      <c r="FI116" s="214">
        <v>220</v>
      </c>
      <c r="FJ116" s="214">
        <v>256</v>
      </c>
      <c r="FK116" s="43"/>
      <c r="FL116" s="43"/>
      <c r="FM116" s="43"/>
      <c r="FN116" s="76">
        <f t="shared" si="261"/>
        <v>0</v>
      </c>
      <c r="FO116" s="76">
        <f t="shared" si="262"/>
        <v>0</v>
      </c>
      <c r="FP116" s="76">
        <f t="shared" si="263"/>
        <v>0</v>
      </c>
      <c r="FQ116" s="76">
        <f t="shared" si="264"/>
        <v>0</v>
      </c>
      <c r="FR116" s="76">
        <f t="shared" si="265"/>
        <v>0</v>
      </c>
      <c r="FS116" s="76">
        <f t="shared" si="266"/>
        <v>0</v>
      </c>
      <c r="FT116" s="76">
        <f t="shared" si="267"/>
        <v>0</v>
      </c>
      <c r="FU116" s="76">
        <f t="shared" si="268"/>
        <v>0</v>
      </c>
      <c r="FV116" s="76">
        <f t="shared" si="269"/>
        <v>0</v>
      </c>
      <c r="FW116" s="76">
        <f t="shared" si="270"/>
        <v>0</v>
      </c>
      <c r="FX116" s="76">
        <f t="shared" si="271"/>
        <v>549</v>
      </c>
      <c r="FY116" s="76">
        <f t="shared" si="272"/>
        <v>649</v>
      </c>
      <c r="FZ116" s="76">
        <f t="shared" si="273"/>
        <v>0</v>
      </c>
      <c r="GA116" s="76">
        <f t="shared" si="274"/>
        <v>0</v>
      </c>
      <c r="GB116" s="76">
        <f t="shared" si="275"/>
        <v>0</v>
      </c>
      <c r="GC116" s="76">
        <f t="shared" si="276"/>
        <v>0</v>
      </c>
      <c r="GD116" s="76">
        <f t="shared" si="277"/>
        <v>0</v>
      </c>
      <c r="GE116" s="76">
        <f t="shared" si="278"/>
        <v>0</v>
      </c>
      <c r="GF116" s="76">
        <f t="shared" si="279"/>
        <v>0</v>
      </c>
      <c r="GG116" s="76">
        <f t="shared" si="280"/>
        <v>0</v>
      </c>
      <c r="GH116" s="76">
        <f t="shared" si="281"/>
        <v>0</v>
      </c>
      <c r="GI116" s="76">
        <f t="shared" si="282"/>
        <v>5106</v>
      </c>
      <c r="GJ116" s="76">
        <f t="shared" si="283"/>
        <v>8033</v>
      </c>
      <c r="GK116" s="76">
        <f t="shared" si="284"/>
        <v>6219</v>
      </c>
      <c r="GL116" s="76">
        <f t="shared" si="285"/>
        <v>4904</v>
      </c>
      <c r="GM116" s="76">
        <f t="shared" si="286"/>
        <v>3699</v>
      </c>
      <c r="GN116" s="76">
        <f t="shared" si="287"/>
        <v>3464</v>
      </c>
      <c r="GO116" s="76">
        <f t="shared" si="288"/>
        <v>4012</v>
      </c>
      <c r="GP116" s="76">
        <f t="shared" si="289"/>
        <v>2972</v>
      </c>
      <c r="GQ116" s="76">
        <f t="shared" si="290"/>
        <v>1717</v>
      </c>
      <c r="GR116" s="76">
        <f t="shared" si="291"/>
        <v>2234</v>
      </c>
      <c r="GS116" s="76">
        <f t="shared" si="292"/>
        <v>1530</v>
      </c>
      <c r="GT116" s="76">
        <f t="shared" si="293"/>
        <v>339</v>
      </c>
      <c r="GU116" s="76">
        <f t="shared" si="294"/>
        <v>1422</v>
      </c>
      <c r="GV116" s="76">
        <f t="shared" si="295"/>
        <v>1918</v>
      </c>
      <c r="GW116" s="76">
        <f t="shared" si="296"/>
        <v>2857</v>
      </c>
      <c r="GX116" s="76">
        <f t="shared" si="297"/>
        <v>2110</v>
      </c>
      <c r="GY116" s="76">
        <f t="shared" si="298"/>
        <v>3393</v>
      </c>
      <c r="GZ116" s="76">
        <f t="shared" si="299"/>
        <v>3292</v>
      </c>
      <c r="HA116" s="76">
        <f t="shared" si="300"/>
        <v>3154</v>
      </c>
      <c r="HB116" s="76">
        <f t="shared" si="301"/>
        <v>3777</v>
      </c>
      <c r="HC116" s="76">
        <f t="shared" si="302"/>
        <v>3587</v>
      </c>
      <c r="HD116" s="76">
        <f t="shared" si="303"/>
        <v>2799</v>
      </c>
      <c r="HE116" s="76">
        <f t="shared" si="304"/>
        <v>2282</v>
      </c>
      <c r="HF116" s="76">
        <f t="shared" si="305"/>
        <v>1785</v>
      </c>
      <c r="HG116" s="76">
        <f t="shared" si="306"/>
        <v>1209</v>
      </c>
      <c r="HH116" s="76">
        <f t="shared" si="307"/>
        <v>1349</v>
      </c>
      <c r="HI116" s="76">
        <f t="shared" si="308"/>
        <v>1152</v>
      </c>
      <c r="HJ116" s="215">
        <f t="shared" si="309"/>
        <v>999</v>
      </c>
      <c r="HK116" s="215">
        <f t="shared" si="310"/>
        <v>978</v>
      </c>
      <c r="HL116" s="215">
        <f t="shared" si="311"/>
        <v>1071</v>
      </c>
      <c r="HM116" s="215">
        <f t="shared" si="312"/>
        <v>817</v>
      </c>
      <c r="HN116" s="215">
        <f t="shared" si="313"/>
        <v>717</v>
      </c>
      <c r="HO116" s="215">
        <f t="shared" si="314"/>
        <v>647</v>
      </c>
      <c r="HP116" s="215">
        <f t="shared" si="315"/>
        <v>766</v>
      </c>
      <c r="HQ116" s="77"/>
      <c r="HR116" s="43"/>
      <c r="HS116" s="43"/>
      <c r="HT116" s="43"/>
      <c r="HU116" s="216">
        <f t="shared" si="244"/>
        <v>0</v>
      </c>
      <c r="HV116" s="216">
        <f t="shared" si="245"/>
        <v>0</v>
      </c>
      <c r="HW116" s="216">
        <f t="shared" si="246"/>
        <v>1198</v>
      </c>
      <c r="HX116" s="217">
        <f t="shared" si="247"/>
        <v>0</v>
      </c>
      <c r="HY116" s="72">
        <f t="shared" si="248"/>
        <v>0</v>
      </c>
      <c r="HZ116" s="72">
        <f t="shared" si="249"/>
        <v>19358</v>
      </c>
      <c r="IA116" s="72">
        <f t="shared" si="250"/>
        <v>16079</v>
      </c>
      <c r="IB116" s="74">
        <f t="shared" si="251"/>
        <v>8453</v>
      </c>
      <c r="IC116" s="74">
        <f t="shared" si="252"/>
        <v>6536</v>
      </c>
      <c r="ID116" s="74">
        <f t="shared" si="253"/>
        <v>11949</v>
      </c>
      <c r="IE116" s="74">
        <f t="shared" si="254"/>
        <v>12445</v>
      </c>
      <c r="IF116" s="74">
        <f t="shared" si="255"/>
        <v>5495</v>
      </c>
      <c r="IG116" s="74">
        <f t="shared" si="256"/>
        <v>3865</v>
      </c>
    </row>
    <row r="117" spans="1:241" outlineLevel="2" x14ac:dyDescent="0.3">
      <c r="A117" s="63" t="s">
        <v>164</v>
      </c>
      <c r="B117" s="59"/>
      <c r="C117" s="59"/>
      <c r="D117" s="59"/>
      <c r="E117" s="207"/>
      <c r="F117" s="58"/>
      <c r="G117" s="207"/>
      <c r="H117" s="207"/>
      <c r="I117" s="207"/>
      <c r="J117" s="207"/>
      <c r="K117" s="207"/>
      <c r="L117" s="207"/>
      <c r="M117" s="207"/>
      <c r="N117" s="58"/>
      <c r="O117" s="59"/>
      <c r="P117" s="59"/>
      <c r="Q117" s="207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9"/>
      <c r="AN117" s="59"/>
      <c r="AO117" s="58"/>
      <c r="AP117" s="58"/>
      <c r="AQ117" s="58"/>
      <c r="AR117" s="58"/>
      <c r="AS117" s="58"/>
      <c r="AT117" s="58"/>
      <c r="AU117" s="58"/>
      <c r="AV117" s="58"/>
      <c r="AW117" s="58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208"/>
      <c r="BL117" s="208"/>
      <c r="BM117" s="208"/>
      <c r="BN117" s="208"/>
      <c r="BO117" s="208"/>
      <c r="BP117" s="208"/>
      <c r="BQ117" s="208"/>
      <c r="BR117" s="208"/>
      <c r="BS117" s="208"/>
      <c r="BT117" s="208"/>
      <c r="BU117" s="208"/>
      <c r="BV117" s="208"/>
      <c r="BW117" s="208"/>
      <c r="BX117" s="208"/>
      <c r="BY117" s="208"/>
      <c r="BZ117" s="208"/>
      <c r="CA117" s="208"/>
      <c r="CB117" s="208"/>
      <c r="CC117" s="208"/>
      <c r="CD117" s="208"/>
      <c r="CE117" s="208"/>
      <c r="CF117" s="208"/>
      <c r="CG117" s="208"/>
      <c r="CH117" s="208"/>
      <c r="CI117" s="208"/>
      <c r="CJ117" s="208"/>
      <c r="CK117" s="208"/>
      <c r="CL117" s="218"/>
      <c r="CM117" s="218"/>
      <c r="CN117" s="218"/>
      <c r="CO117" s="218"/>
      <c r="CP117" s="218"/>
      <c r="CQ117" s="218"/>
      <c r="CR117" s="218"/>
      <c r="CS117" s="218"/>
      <c r="CT117" s="218"/>
      <c r="CU117" s="218">
        <v>0</v>
      </c>
      <c r="CV117" s="218"/>
      <c r="CW117" s="218"/>
      <c r="CX117" s="218"/>
      <c r="CY117" s="218"/>
      <c r="CZ117" s="218"/>
      <c r="DA117" s="218"/>
      <c r="DB117" s="218"/>
      <c r="DC117" s="218"/>
      <c r="DD117" s="218"/>
      <c r="DE117" s="218"/>
      <c r="DF117" s="218"/>
      <c r="DG117" s="218"/>
      <c r="DH117" s="218"/>
      <c r="DI117" s="218"/>
      <c r="DJ117" s="218"/>
      <c r="DK117" s="218"/>
      <c r="DL117" s="218"/>
      <c r="DM117" s="218"/>
      <c r="DN117" s="218"/>
      <c r="DO117" s="218"/>
      <c r="DP117" s="218"/>
      <c r="DQ117" s="218"/>
      <c r="DR117" s="218"/>
      <c r="DS117" s="218"/>
      <c r="DT117" s="218"/>
      <c r="DU117" s="218"/>
      <c r="DV117" s="218"/>
      <c r="DW117" s="218"/>
      <c r="DX117" s="218"/>
      <c r="DY117" s="218"/>
      <c r="DZ117" s="218"/>
      <c r="EA117" s="218"/>
      <c r="EB117" s="218"/>
      <c r="EC117" s="218"/>
      <c r="ED117" s="218"/>
      <c r="EE117" s="218"/>
      <c r="EF117" s="218"/>
      <c r="EG117" s="218"/>
      <c r="EH117" s="218"/>
      <c r="EI117" s="218"/>
      <c r="EJ117" s="218"/>
      <c r="EK117" s="218"/>
      <c r="EL117" s="218"/>
      <c r="EM117" s="218"/>
      <c r="EN117" s="218"/>
      <c r="EO117" s="218"/>
      <c r="EP117" s="218"/>
      <c r="EQ117" s="218"/>
      <c r="ER117" s="218"/>
      <c r="ES117" s="218"/>
      <c r="ET117" s="218"/>
      <c r="EU117" s="218"/>
      <c r="EV117" s="218"/>
      <c r="EW117" s="218"/>
      <c r="EX117" s="218"/>
      <c r="EY117" s="218"/>
      <c r="EZ117" s="218"/>
      <c r="FA117" s="218"/>
      <c r="FB117" s="218"/>
      <c r="FC117" s="218"/>
      <c r="FD117" s="218"/>
      <c r="FE117" s="218"/>
      <c r="FF117" s="218"/>
      <c r="FG117" s="218"/>
      <c r="FH117" s="218"/>
      <c r="FI117" s="218"/>
      <c r="FJ117" s="218"/>
      <c r="FK117" s="43"/>
      <c r="FL117" s="43"/>
      <c r="FM117" s="43"/>
      <c r="FN117" s="67">
        <f t="shared" si="261"/>
        <v>0</v>
      </c>
      <c r="FO117" s="67">
        <f t="shared" si="262"/>
        <v>0</v>
      </c>
      <c r="FP117" s="67">
        <f t="shared" si="263"/>
        <v>0</v>
      </c>
      <c r="FQ117" s="67">
        <f t="shared" si="264"/>
        <v>0</v>
      </c>
      <c r="FR117" s="67">
        <f t="shared" si="265"/>
        <v>0</v>
      </c>
      <c r="FS117" s="67">
        <f t="shared" si="266"/>
        <v>0</v>
      </c>
      <c r="FT117" s="67">
        <f t="shared" si="267"/>
        <v>0</v>
      </c>
      <c r="FU117" s="67">
        <f t="shared" si="268"/>
        <v>0</v>
      </c>
      <c r="FV117" s="67">
        <f t="shared" si="269"/>
        <v>0</v>
      </c>
      <c r="FW117" s="67">
        <f t="shared" si="270"/>
        <v>0</v>
      </c>
      <c r="FX117" s="67">
        <f t="shared" si="271"/>
        <v>0</v>
      </c>
      <c r="FY117" s="67">
        <f t="shared" si="272"/>
        <v>0</v>
      </c>
      <c r="FZ117" s="67">
        <f t="shared" si="273"/>
        <v>0</v>
      </c>
      <c r="GA117" s="67">
        <f t="shared" si="274"/>
        <v>0</v>
      </c>
      <c r="GB117" s="67">
        <f t="shared" si="275"/>
        <v>0</v>
      </c>
      <c r="GC117" s="67">
        <f t="shared" si="276"/>
        <v>0</v>
      </c>
      <c r="GD117" s="67">
        <f t="shared" si="277"/>
        <v>0</v>
      </c>
      <c r="GE117" s="67">
        <f t="shared" si="278"/>
        <v>0</v>
      </c>
      <c r="GF117" s="67">
        <f t="shared" si="279"/>
        <v>0</v>
      </c>
      <c r="GG117" s="67">
        <f t="shared" si="280"/>
        <v>0</v>
      </c>
      <c r="GH117" s="67">
        <f t="shared" si="281"/>
        <v>0</v>
      </c>
      <c r="GI117" s="67">
        <f t="shared" si="282"/>
        <v>0</v>
      </c>
      <c r="GJ117" s="67">
        <f t="shared" si="283"/>
        <v>0</v>
      </c>
      <c r="GK117" s="67">
        <f t="shared" si="284"/>
        <v>0</v>
      </c>
      <c r="GL117" s="67">
        <f t="shared" si="285"/>
        <v>0</v>
      </c>
      <c r="GM117" s="67">
        <f t="shared" si="286"/>
        <v>0</v>
      </c>
      <c r="GN117" s="67">
        <f t="shared" si="287"/>
        <v>0</v>
      </c>
      <c r="GO117" s="67">
        <f t="shared" si="288"/>
        <v>0</v>
      </c>
      <c r="GP117" s="67">
        <f t="shared" si="289"/>
        <v>0</v>
      </c>
      <c r="GQ117" s="67">
        <f t="shared" si="290"/>
        <v>0</v>
      </c>
      <c r="GR117" s="67">
        <f t="shared" si="291"/>
        <v>0</v>
      </c>
      <c r="GS117" s="67">
        <f t="shared" si="292"/>
        <v>0</v>
      </c>
      <c r="GT117" s="67">
        <f t="shared" si="293"/>
        <v>0</v>
      </c>
      <c r="GU117" s="67">
        <f t="shared" si="294"/>
        <v>0</v>
      </c>
      <c r="GV117" s="67">
        <f t="shared" si="295"/>
        <v>0</v>
      </c>
      <c r="GW117" s="67">
        <f t="shared" si="296"/>
        <v>0</v>
      </c>
      <c r="GX117" s="67">
        <f t="shared" si="297"/>
        <v>0</v>
      </c>
      <c r="GY117" s="67">
        <f t="shared" si="298"/>
        <v>0</v>
      </c>
      <c r="GZ117" s="67">
        <f t="shared" si="299"/>
        <v>0</v>
      </c>
      <c r="HA117" s="67">
        <f t="shared" si="300"/>
        <v>0</v>
      </c>
      <c r="HB117" s="67">
        <f t="shared" si="301"/>
        <v>0</v>
      </c>
      <c r="HC117" s="67">
        <f t="shared" si="302"/>
        <v>0</v>
      </c>
      <c r="HD117" s="67">
        <f t="shared" si="303"/>
        <v>0</v>
      </c>
      <c r="HE117" s="67">
        <f t="shared" si="304"/>
        <v>0</v>
      </c>
      <c r="HF117" s="67">
        <f t="shared" si="305"/>
        <v>0</v>
      </c>
      <c r="HG117" s="67">
        <f t="shared" si="306"/>
        <v>0</v>
      </c>
      <c r="HH117" s="67">
        <f t="shared" si="307"/>
        <v>0</v>
      </c>
      <c r="HI117" s="67">
        <f t="shared" si="308"/>
        <v>0</v>
      </c>
      <c r="HJ117" s="210">
        <f t="shared" si="309"/>
        <v>0</v>
      </c>
      <c r="HK117" s="210">
        <f t="shared" si="310"/>
        <v>0</v>
      </c>
      <c r="HL117" s="210">
        <f t="shared" si="311"/>
        <v>0</v>
      </c>
      <c r="HM117" s="210">
        <f t="shared" si="312"/>
        <v>0</v>
      </c>
      <c r="HN117" s="210">
        <f t="shared" si="313"/>
        <v>0</v>
      </c>
      <c r="HO117" s="210">
        <f t="shared" si="314"/>
        <v>0</v>
      </c>
      <c r="HP117" s="210">
        <f t="shared" si="315"/>
        <v>0</v>
      </c>
      <c r="HQ117" s="60"/>
      <c r="HR117" s="43"/>
      <c r="HS117" s="43"/>
      <c r="HT117" s="43"/>
      <c r="HU117" s="211">
        <f t="shared" si="244"/>
        <v>0</v>
      </c>
      <c r="HV117" s="211">
        <f t="shared" si="245"/>
        <v>0</v>
      </c>
      <c r="HW117" s="211">
        <f t="shared" si="246"/>
        <v>0</v>
      </c>
      <c r="HX117" s="212">
        <f t="shared" si="247"/>
        <v>0</v>
      </c>
      <c r="HY117" s="58">
        <f t="shared" si="248"/>
        <v>0</v>
      </c>
      <c r="HZ117" s="58">
        <f t="shared" si="249"/>
        <v>0</v>
      </c>
      <c r="IA117" s="58">
        <f t="shared" si="250"/>
        <v>0</v>
      </c>
      <c r="IB117" s="64">
        <f t="shared" si="251"/>
        <v>0</v>
      </c>
      <c r="IC117" s="64">
        <f t="shared" si="252"/>
        <v>0</v>
      </c>
      <c r="ID117" s="64">
        <f t="shared" si="253"/>
        <v>0</v>
      </c>
      <c r="IE117" s="64">
        <f t="shared" si="254"/>
        <v>0</v>
      </c>
      <c r="IF117" s="64">
        <f t="shared" si="255"/>
        <v>0</v>
      </c>
      <c r="IG117" s="64">
        <f t="shared" si="256"/>
        <v>0</v>
      </c>
    </row>
    <row r="118" spans="1:241" outlineLevel="2" x14ac:dyDescent="0.3">
      <c r="A118" s="71" t="s">
        <v>165</v>
      </c>
      <c r="B118" s="72">
        <v>380</v>
      </c>
      <c r="C118" s="72">
        <v>331</v>
      </c>
      <c r="D118" s="72">
        <v>343</v>
      </c>
      <c r="E118" s="213">
        <v>401</v>
      </c>
      <c r="F118" s="72">
        <v>409</v>
      </c>
      <c r="G118" s="213">
        <v>442</v>
      </c>
      <c r="H118" s="213">
        <v>516</v>
      </c>
      <c r="I118" s="213">
        <v>376</v>
      </c>
      <c r="J118" s="213">
        <v>281</v>
      </c>
      <c r="K118" s="213">
        <v>404</v>
      </c>
      <c r="L118" s="213">
        <v>402</v>
      </c>
      <c r="M118" s="213">
        <v>266</v>
      </c>
      <c r="N118" s="72">
        <v>279</v>
      </c>
      <c r="O118" s="72">
        <v>228</v>
      </c>
      <c r="P118" s="72">
        <v>197</v>
      </c>
      <c r="Q118" s="213">
        <v>237</v>
      </c>
      <c r="R118" s="72">
        <v>264</v>
      </c>
      <c r="S118" s="72">
        <v>295</v>
      </c>
      <c r="T118" s="72">
        <v>536</v>
      </c>
      <c r="U118" s="72">
        <v>201</v>
      </c>
      <c r="V118" s="72">
        <v>263</v>
      </c>
      <c r="W118" s="72">
        <v>340</v>
      </c>
      <c r="X118" s="72">
        <v>288</v>
      </c>
      <c r="Y118" s="72">
        <v>350</v>
      </c>
      <c r="Z118" s="72">
        <v>223</v>
      </c>
      <c r="AA118" s="72">
        <v>205</v>
      </c>
      <c r="AB118" s="72">
        <v>188</v>
      </c>
      <c r="AC118" s="72">
        <v>174</v>
      </c>
      <c r="AD118" s="72">
        <v>222</v>
      </c>
      <c r="AE118" s="72">
        <v>362</v>
      </c>
      <c r="AF118" s="72">
        <f>360+270</f>
        <v>630</v>
      </c>
      <c r="AG118" s="72">
        <v>191</v>
      </c>
      <c r="AH118" s="72">
        <v>225</v>
      </c>
      <c r="AI118" s="72">
        <v>224</v>
      </c>
      <c r="AJ118" s="72">
        <v>225</v>
      </c>
      <c r="AK118" s="72">
        <v>269</v>
      </c>
      <c r="AL118" s="72">
        <v>128</v>
      </c>
      <c r="AM118" s="72">
        <v>135</v>
      </c>
      <c r="AN118" s="72">
        <v>139</v>
      </c>
      <c r="AO118" s="72">
        <v>186</v>
      </c>
      <c r="AP118" s="72">
        <v>234</v>
      </c>
      <c r="AQ118" s="72">
        <v>300</v>
      </c>
      <c r="AR118" s="72">
        <v>423</v>
      </c>
      <c r="AS118" s="72">
        <v>342</v>
      </c>
      <c r="AT118" s="72">
        <v>379</v>
      </c>
      <c r="AU118" s="72">
        <v>374</v>
      </c>
      <c r="AV118" s="72">
        <v>354</v>
      </c>
      <c r="AW118" s="72">
        <v>345</v>
      </c>
      <c r="AX118" s="72">
        <v>180</v>
      </c>
      <c r="AY118" s="72">
        <v>143</v>
      </c>
      <c r="AZ118" s="72">
        <v>170</v>
      </c>
      <c r="BA118" s="72">
        <v>259</v>
      </c>
      <c r="BB118" s="72">
        <v>221</v>
      </c>
      <c r="BC118" s="72">
        <v>241</v>
      </c>
      <c r="BD118" s="72">
        <v>356</v>
      </c>
      <c r="BE118" s="72">
        <v>139</v>
      </c>
      <c r="BF118" s="72">
        <v>189</v>
      </c>
      <c r="BG118" s="72">
        <v>253</v>
      </c>
      <c r="BH118" s="72">
        <v>261</v>
      </c>
      <c r="BI118" s="72">
        <v>317</v>
      </c>
      <c r="BJ118" s="72">
        <v>119</v>
      </c>
      <c r="BK118" s="214">
        <v>133</v>
      </c>
      <c r="BL118" s="214">
        <v>139</v>
      </c>
      <c r="BM118" s="214">
        <v>179</v>
      </c>
      <c r="BN118" s="214">
        <v>311</v>
      </c>
      <c r="BO118" s="214">
        <v>395</v>
      </c>
      <c r="BP118" s="214">
        <v>223</v>
      </c>
      <c r="BQ118" s="214">
        <v>181</v>
      </c>
      <c r="BR118" s="214">
        <v>230</v>
      </c>
      <c r="BS118" s="214">
        <v>336</v>
      </c>
      <c r="BT118" s="214">
        <v>367</v>
      </c>
      <c r="BU118" s="214">
        <v>468</v>
      </c>
      <c r="BV118" s="214">
        <v>127</v>
      </c>
      <c r="BW118" s="214">
        <v>189</v>
      </c>
      <c r="BX118" s="214">
        <v>166</v>
      </c>
      <c r="BY118" s="214">
        <v>199</v>
      </c>
      <c r="BZ118" s="214">
        <v>211</v>
      </c>
      <c r="CA118" s="214">
        <v>159</v>
      </c>
      <c r="CB118" s="214">
        <v>195</v>
      </c>
      <c r="CC118" s="214">
        <v>155</v>
      </c>
      <c r="CD118" s="214">
        <v>161</v>
      </c>
      <c r="CE118" s="214">
        <v>235</v>
      </c>
      <c r="CF118" s="214">
        <v>241</v>
      </c>
      <c r="CG118" s="214">
        <v>262</v>
      </c>
      <c r="CH118" s="214">
        <v>72</v>
      </c>
      <c r="CI118" s="214">
        <v>118</v>
      </c>
      <c r="CJ118" s="214">
        <v>105</v>
      </c>
      <c r="CK118" s="214">
        <v>150</v>
      </c>
      <c r="CL118" s="214">
        <v>153</v>
      </c>
      <c r="CM118" s="219">
        <v>106</v>
      </c>
      <c r="CN118" s="219">
        <v>195</v>
      </c>
      <c r="CO118" s="219">
        <v>140</v>
      </c>
      <c r="CP118" s="219">
        <v>208</v>
      </c>
      <c r="CQ118" s="219">
        <v>150</v>
      </c>
      <c r="CR118" s="214">
        <v>144</v>
      </c>
      <c r="CS118" s="219">
        <v>2</v>
      </c>
      <c r="CT118" s="219"/>
      <c r="CU118" s="219"/>
      <c r="CV118" s="219">
        <v>2</v>
      </c>
      <c r="CW118" s="219">
        <v>72</v>
      </c>
      <c r="CX118" s="219">
        <v>113</v>
      </c>
      <c r="CY118" s="219">
        <v>151</v>
      </c>
      <c r="CZ118" s="219">
        <v>330</v>
      </c>
      <c r="DA118" s="219">
        <v>69</v>
      </c>
      <c r="DB118" s="219">
        <v>0</v>
      </c>
      <c r="DC118" s="219">
        <v>0</v>
      </c>
      <c r="DD118" s="219">
        <v>0</v>
      </c>
      <c r="DE118" s="219">
        <v>0</v>
      </c>
      <c r="DF118" s="219">
        <v>0</v>
      </c>
      <c r="DG118" s="219"/>
      <c r="DH118" s="219"/>
      <c r="DI118" s="219"/>
      <c r="DJ118" s="219"/>
      <c r="DK118" s="219"/>
      <c r="DL118" s="219">
        <v>58</v>
      </c>
      <c r="DM118" s="219">
        <v>64</v>
      </c>
      <c r="DN118" s="219">
        <v>68</v>
      </c>
      <c r="DO118" s="219">
        <v>110</v>
      </c>
      <c r="DP118" s="219">
        <v>78</v>
      </c>
      <c r="DQ118" s="219">
        <v>139</v>
      </c>
      <c r="DR118" s="219">
        <v>88</v>
      </c>
      <c r="DS118" s="219">
        <v>56</v>
      </c>
      <c r="DT118" s="219">
        <v>73</v>
      </c>
      <c r="DU118" s="219">
        <v>79</v>
      </c>
      <c r="DV118" s="219">
        <v>52</v>
      </c>
      <c r="DW118" s="219">
        <v>50</v>
      </c>
      <c r="DX118" s="219">
        <v>50</v>
      </c>
      <c r="DY118" s="219">
        <v>55</v>
      </c>
      <c r="DZ118" s="219">
        <v>37</v>
      </c>
      <c r="EA118" s="219">
        <v>77</v>
      </c>
      <c r="EB118" s="219">
        <v>60</v>
      </c>
      <c r="EC118" s="219">
        <v>2</v>
      </c>
      <c r="ED118" s="219">
        <v>0</v>
      </c>
      <c r="EE118" s="219">
        <v>8</v>
      </c>
      <c r="EF118" s="219">
        <v>233</v>
      </c>
      <c r="EG118" s="219">
        <v>142</v>
      </c>
      <c r="EH118" s="219">
        <v>119</v>
      </c>
      <c r="EI118" s="219">
        <v>97</v>
      </c>
      <c r="EJ118" s="219">
        <v>86</v>
      </c>
      <c r="EK118" s="219">
        <v>67</v>
      </c>
      <c r="EL118" s="219">
        <v>381</v>
      </c>
      <c r="EM118" s="219">
        <v>451</v>
      </c>
      <c r="EN118" s="219">
        <v>98</v>
      </c>
      <c r="EO118" s="219">
        <v>73</v>
      </c>
      <c r="EP118" s="219">
        <v>93</v>
      </c>
      <c r="EQ118" s="219">
        <v>173</v>
      </c>
      <c r="ER118" s="219">
        <v>166</v>
      </c>
      <c r="ES118" s="219">
        <v>162</v>
      </c>
      <c r="ET118" s="219">
        <v>220</v>
      </c>
      <c r="EU118" s="219">
        <v>89</v>
      </c>
      <c r="EV118" s="219">
        <v>170</v>
      </c>
      <c r="EW118" s="219">
        <v>141</v>
      </c>
      <c r="EX118" s="219">
        <v>167</v>
      </c>
      <c r="EY118" s="219">
        <v>365</v>
      </c>
      <c r="EZ118" s="219">
        <v>163</v>
      </c>
      <c r="FA118" s="219">
        <v>225</v>
      </c>
      <c r="FB118" s="219">
        <v>180</v>
      </c>
      <c r="FC118" s="219">
        <v>143</v>
      </c>
      <c r="FD118" s="219">
        <v>88</v>
      </c>
      <c r="FE118" s="219">
        <v>155</v>
      </c>
      <c r="FF118" s="219">
        <v>154</v>
      </c>
      <c r="FG118" s="219">
        <v>223</v>
      </c>
      <c r="FH118" s="219">
        <v>210</v>
      </c>
      <c r="FI118" s="219">
        <v>251</v>
      </c>
      <c r="FJ118" s="219">
        <v>232</v>
      </c>
      <c r="FK118" s="43"/>
      <c r="FL118" s="43"/>
      <c r="FM118" s="43"/>
      <c r="FN118" s="76">
        <f t="shared" si="261"/>
        <v>1054</v>
      </c>
      <c r="FO118" s="76">
        <f t="shared" si="262"/>
        <v>1252</v>
      </c>
      <c r="FP118" s="76">
        <f t="shared" si="263"/>
        <v>1173</v>
      </c>
      <c r="FQ118" s="76">
        <f t="shared" si="264"/>
        <v>1072</v>
      </c>
      <c r="FR118" s="76">
        <f t="shared" si="265"/>
        <v>704</v>
      </c>
      <c r="FS118" s="76">
        <f t="shared" si="266"/>
        <v>796</v>
      </c>
      <c r="FT118" s="76">
        <f t="shared" si="267"/>
        <v>1000</v>
      </c>
      <c r="FU118" s="76">
        <f t="shared" si="268"/>
        <v>978</v>
      </c>
      <c r="FV118" s="76">
        <f t="shared" si="269"/>
        <v>616</v>
      </c>
      <c r="FW118" s="76">
        <f t="shared" si="270"/>
        <v>758</v>
      </c>
      <c r="FX118" s="76">
        <f t="shared" si="271"/>
        <v>1046</v>
      </c>
      <c r="FY118" s="76">
        <f t="shared" si="272"/>
        <v>718</v>
      </c>
      <c r="FZ118" s="76">
        <f t="shared" si="273"/>
        <v>402</v>
      </c>
      <c r="GA118" s="76">
        <f t="shared" si="274"/>
        <v>720</v>
      </c>
      <c r="GB118" s="76">
        <f t="shared" si="275"/>
        <v>1144</v>
      </c>
      <c r="GC118" s="76">
        <f t="shared" si="276"/>
        <v>1073</v>
      </c>
      <c r="GD118" s="76">
        <f t="shared" si="277"/>
        <v>493</v>
      </c>
      <c r="GE118" s="76">
        <f t="shared" si="278"/>
        <v>721</v>
      </c>
      <c r="GF118" s="76">
        <f t="shared" si="279"/>
        <v>684</v>
      </c>
      <c r="GG118" s="76">
        <f t="shared" si="280"/>
        <v>831</v>
      </c>
      <c r="GH118" s="76">
        <f t="shared" si="281"/>
        <v>391</v>
      </c>
      <c r="GI118" s="76">
        <f t="shared" si="282"/>
        <v>885</v>
      </c>
      <c r="GJ118" s="76">
        <f t="shared" si="283"/>
        <v>634</v>
      </c>
      <c r="GK118" s="76">
        <f t="shared" si="284"/>
        <v>1171</v>
      </c>
      <c r="GL118" s="76">
        <f t="shared" si="285"/>
        <v>482</v>
      </c>
      <c r="GM118" s="76">
        <f t="shared" si="286"/>
        <v>569</v>
      </c>
      <c r="GN118" s="76">
        <f t="shared" si="287"/>
        <v>511</v>
      </c>
      <c r="GO118" s="76">
        <f t="shared" si="288"/>
        <v>738</v>
      </c>
      <c r="GP118" s="76">
        <f t="shared" si="289"/>
        <v>295</v>
      </c>
      <c r="GQ118" s="76">
        <f t="shared" si="290"/>
        <v>409</v>
      </c>
      <c r="GR118" s="76">
        <f t="shared" si="291"/>
        <v>543</v>
      </c>
      <c r="GS118" s="76">
        <f t="shared" si="292"/>
        <v>296</v>
      </c>
      <c r="GT118" s="76">
        <f t="shared" si="293"/>
        <v>2</v>
      </c>
      <c r="GU118" s="76">
        <f t="shared" si="294"/>
        <v>336</v>
      </c>
      <c r="GV118" s="76">
        <f t="shared" si="295"/>
        <v>399</v>
      </c>
      <c r="GW118" s="76">
        <f t="shared" si="296"/>
        <v>0</v>
      </c>
      <c r="GX118" s="76">
        <f t="shared" si="297"/>
        <v>0</v>
      </c>
      <c r="GY118" s="76">
        <f t="shared" si="298"/>
        <v>0</v>
      </c>
      <c r="GZ118" s="76">
        <f t="shared" si="299"/>
        <v>190</v>
      </c>
      <c r="HA118" s="76">
        <f t="shared" si="300"/>
        <v>327</v>
      </c>
      <c r="HB118" s="76">
        <f t="shared" si="301"/>
        <v>217</v>
      </c>
      <c r="HC118" s="76">
        <f t="shared" si="302"/>
        <v>181</v>
      </c>
      <c r="HD118" s="76">
        <f t="shared" si="303"/>
        <v>142</v>
      </c>
      <c r="HE118" s="76">
        <f t="shared" si="304"/>
        <v>139</v>
      </c>
      <c r="HF118" s="76">
        <f t="shared" si="305"/>
        <v>241</v>
      </c>
      <c r="HG118" s="76">
        <f t="shared" si="306"/>
        <v>358</v>
      </c>
      <c r="HH118" s="76">
        <f t="shared" si="307"/>
        <v>534</v>
      </c>
      <c r="HI118" s="76">
        <f t="shared" si="308"/>
        <v>622</v>
      </c>
      <c r="HJ118" s="215">
        <f t="shared" si="309"/>
        <v>432</v>
      </c>
      <c r="HK118" s="215">
        <f t="shared" si="310"/>
        <v>471</v>
      </c>
      <c r="HL118" s="215">
        <f t="shared" si="311"/>
        <v>478</v>
      </c>
      <c r="HM118" s="215">
        <f t="shared" si="312"/>
        <v>753</v>
      </c>
      <c r="HN118" s="215">
        <f t="shared" si="313"/>
        <v>411</v>
      </c>
      <c r="HO118" s="215">
        <f t="shared" si="314"/>
        <v>532</v>
      </c>
      <c r="HP118" s="215">
        <f t="shared" si="315"/>
        <v>693</v>
      </c>
      <c r="HQ118" s="77"/>
      <c r="HR118" s="43"/>
      <c r="HS118" s="43"/>
      <c r="HT118" s="43"/>
      <c r="HU118" s="216">
        <f t="shared" si="244"/>
        <v>4551</v>
      </c>
      <c r="HV118" s="216">
        <f t="shared" si="245"/>
        <v>3478</v>
      </c>
      <c r="HW118" s="216">
        <f t="shared" si="246"/>
        <v>3138</v>
      </c>
      <c r="HX118" s="217">
        <f t="shared" si="247"/>
        <v>3339</v>
      </c>
      <c r="HY118" s="72">
        <f t="shared" si="248"/>
        <v>2729</v>
      </c>
      <c r="HZ118" s="72">
        <f t="shared" si="249"/>
        <v>3081</v>
      </c>
      <c r="IA118" s="72">
        <f t="shared" si="250"/>
        <v>2300</v>
      </c>
      <c r="IB118" s="74">
        <f t="shared" si="251"/>
        <v>1543</v>
      </c>
      <c r="IC118" s="74">
        <f t="shared" si="252"/>
        <v>737</v>
      </c>
      <c r="ID118" s="74">
        <f t="shared" si="253"/>
        <v>517</v>
      </c>
      <c r="IE118" s="74">
        <f t="shared" si="254"/>
        <v>679</v>
      </c>
      <c r="IF118" s="74">
        <f t="shared" si="255"/>
        <v>1755</v>
      </c>
      <c r="IG118" s="74">
        <f t="shared" si="256"/>
        <v>2134</v>
      </c>
    </row>
    <row r="119" spans="1:241" outlineLevel="2" x14ac:dyDescent="0.3">
      <c r="A119" s="63" t="s">
        <v>144</v>
      </c>
      <c r="B119" s="58">
        <v>182</v>
      </c>
      <c r="C119" s="58">
        <v>140</v>
      </c>
      <c r="D119" s="58">
        <v>133</v>
      </c>
      <c r="E119" s="207">
        <v>116</v>
      </c>
      <c r="F119" s="58">
        <v>80</v>
      </c>
      <c r="G119" s="207">
        <v>100</v>
      </c>
      <c r="H119" s="207">
        <v>128</v>
      </c>
      <c r="I119" s="207">
        <v>154</v>
      </c>
      <c r="J119" s="207">
        <v>220</v>
      </c>
      <c r="K119" s="207">
        <v>31</v>
      </c>
      <c r="L119" s="207">
        <v>120</v>
      </c>
      <c r="M119" s="207">
        <v>50</v>
      </c>
      <c r="N119" s="58">
        <v>59</v>
      </c>
      <c r="O119" s="58">
        <v>67</v>
      </c>
      <c r="P119" s="58">
        <v>4044</v>
      </c>
      <c r="Q119" s="207">
        <v>4772</v>
      </c>
      <c r="R119" s="58">
        <v>5411</v>
      </c>
      <c r="S119" s="58">
        <v>6260</v>
      </c>
      <c r="T119" s="58">
        <v>5146</v>
      </c>
      <c r="U119" s="58">
        <v>4572</v>
      </c>
      <c r="V119" s="58">
        <v>3958</v>
      </c>
      <c r="W119" s="58">
        <v>3914</v>
      </c>
      <c r="X119" s="58">
        <v>3495</v>
      </c>
      <c r="Y119" s="58">
        <v>3942</v>
      </c>
      <c r="Z119" s="58">
        <v>4030</v>
      </c>
      <c r="AA119" s="58">
        <v>4035</v>
      </c>
      <c r="AB119" s="58">
        <v>5206</v>
      </c>
      <c r="AC119" s="58">
        <v>5431</v>
      </c>
      <c r="AD119" s="58">
        <v>4946</v>
      </c>
      <c r="AE119" s="58">
        <v>4537</v>
      </c>
      <c r="AF119" s="58">
        <v>4537</v>
      </c>
      <c r="AG119" s="58">
        <v>3861</v>
      </c>
      <c r="AH119" s="58">
        <v>3392</v>
      </c>
      <c r="AI119" s="58">
        <v>4290</v>
      </c>
      <c r="AJ119" s="58">
        <v>4270</v>
      </c>
      <c r="AK119" s="58">
        <v>3754</v>
      </c>
      <c r="AL119" s="58">
        <v>3911</v>
      </c>
      <c r="AM119" s="58">
        <v>3780</v>
      </c>
      <c r="AN119" s="58">
        <v>3664</v>
      </c>
      <c r="AO119" s="58">
        <v>3885</v>
      </c>
      <c r="AP119" s="58">
        <v>3137</v>
      </c>
      <c r="AQ119" s="58">
        <v>3121</v>
      </c>
      <c r="AR119" s="58">
        <v>3417</v>
      </c>
      <c r="AS119" s="58">
        <v>3617</v>
      </c>
      <c r="AT119" s="58">
        <v>1481</v>
      </c>
      <c r="AU119" s="58">
        <v>3527</v>
      </c>
      <c r="AV119" s="58">
        <v>3048</v>
      </c>
      <c r="AW119" s="58">
        <v>4838</v>
      </c>
      <c r="AX119" s="58">
        <v>4320</v>
      </c>
      <c r="AY119" s="58">
        <v>3535</v>
      </c>
      <c r="AZ119" s="58">
        <v>5078</v>
      </c>
      <c r="BA119" s="58">
        <v>5583</v>
      </c>
      <c r="BB119" s="58">
        <v>5950</v>
      </c>
      <c r="BC119" s="58">
        <v>4918</v>
      </c>
      <c r="BD119" s="58">
        <v>4324</v>
      </c>
      <c r="BE119" s="58">
        <v>4654</v>
      </c>
      <c r="BF119" s="58">
        <v>2472</v>
      </c>
      <c r="BG119" s="58">
        <v>4216</v>
      </c>
      <c r="BH119" s="58">
        <v>4917</v>
      </c>
      <c r="BI119" s="58">
        <v>5052</v>
      </c>
      <c r="BJ119" s="58">
        <v>4556</v>
      </c>
      <c r="BK119" s="208">
        <v>3900</v>
      </c>
      <c r="BL119" s="208">
        <v>3380</v>
      </c>
      <c r="BM119" s="208">
        <v>5405</v>
      </c>
      <c r="BN119" s="208">
        <v>5607</v>
      </c>
      <c r="BO119" s="208">
        <v>5394</v>
      </c>
      <c r="BP119" s="208">
        <v>923</v>
      </c>
      <c r="BQ119" s="208">
        <v>6023</v>
      </c>
      <c r="BR119" s="208">
        <v>2059</v>
      </c>
      <c r="BS119" s="208">
        <v>7362</v>
      </c>
      <c r="BT119" s="208">
        <v>6252</v>
      </c>
      <c r="BU119" s="208">
        <v>5836</v>
      </c>
      <c r="BV119" s="208">
        <v>4492</v>
      </c>
      <c r="BW119" s="208">
        <v>5354</v>
      </c>
      <c r="BX119" s="208">
        <v>4580</v>
      </c>
      <c r="BY119" s="208">
        <v>4511</v>
      </c>
      <c r="BZ119" s="208">
        <v>4938</v>
      </c>
      <c r="CA119" s="208">
        <v>4280</v>
      </c>
      <c r="CB119" s="208">
        <v>4522</v>
      </c>
      <c r="CC119" s="208">
        <v>3157</v>
      </c>
      <c r="CD119" s="208">
        <v>2933</v>
      </c>
      <c r="CE119" s="208">
        <v>4510</v>
      </c>
      <c r="CF119" s="208">
        <v>4004</v>
      </c>
      <c r="CG119" s="208">
        <v>4813</v>
      </c>
      <c r="CH119" s="208">
        <v>3689</v>
      </c>
      <c r="CI119" s="208">
        <v>4232</v>
      </c>
      <c r="CJ119" s="208">
        <v>3970</v>
      </c>
      <c r="CK119" s="208">
        <v>3837</v>
      </c>
      <c r="CL119" s="208">
        <v>3454</v>
      </c>
      <c r="CM119" s="208">
        <v>3707</v>
      </c>
      <c r="CN119" s="208">
        <v>5026</v>
      </c>
      <c r="CO119" s="208">
        <v>3546</v>
      </c>
      <c r="CP119" s="208">
        <v>1988</v>
      </c>
      <c r="CQ119" s="218">
        <v>4019</v>
      </c>
      <c r="CR119" s="208">
        <v>4268</v>
      </c>
      <c r="CS119" s="208">
        <v>2578</v>
      </c>
      <c r="CT119" s="208"/>
      <c r="CU119" s="208">
        <v>453</v>
      </c>
      <c r="CV119" s="208">
        <v>1578</v>
      </c>
      <c r="CW119" s="208">
        <v>3054</v>
      </c>
      <c r="CX119" s="208">
        <v>3394</v>
      </c>
      <c r="CY119" s="208">
        <v>4252</v>
      </c>
      <c r="CZ119" s="208">
        <v>5451</v>
      </c>
      <c r="DA119" s="208">
        <v>2237</v>
      </c>
      <c r="DB119" s="208">
        <v>1381</v>
      </c>
      <c r="DC119" s="208">
        <v>2811</v>
      </c>
      <c r="DD119" s="208">
        <v>3972</v>
      </c>
      <c r="DE119" s="208">
        <v>6511</v>
      </c>
      <c r="DF119" s="208">
        <v>4660</v>
      </c>
      <c r="DG119" s="208">
        <v>766</v>
      </c>
      <c r="DH119" s="208">
        <v>4403</v>
      </c>
      <c r="DI119" s="208">
        <v>2659</v>
      </c>
      <c r="DJ119" s="208">
        <v>1324</v>
      </c>
      <c r="DK119" s="208"/>
      <c r="DL119" s="208"/>
      <c r="DM119" s="208"/>
      <c r="DN119" s="208"/>
      <c r="DO119" s="208"/>
      <c r="DP119" s="208"/>
      <c r="DQ119" s="208"/>
      <c r="DR119" s="208"/>
      <c r="DS119" s="208"/>
      <c r="DT119" s="208"/>
      <c r="DU119" s="208"/>
      <c r="DV119" s="208"/>
      <c r="DW119" s="208"/>
      <c r="DX119" s="208"/>
      <c r="DY119" s="208"/>
      <c r="DZ119" s="208"/>
      <c r="EA119" s="208"/>
      <c r="EB119" s="208"/>
      <c r="EC119" s="208"/>
      <c r="ED119" s="208"/>
      <c r="EE119" s="208"/>
      <c r="EF119" s="208"/>
      <c r="EG119" s="208"/>
      <c r="EH119" s="208"/>
      <c r="EI119" s="208"/>
      <c r="EJ119" s="208"/>
      <c r="EK119" s="208"/>
      <c r="EL119" s="208"/>
      <c r="EM119" s="208"/>
      <c r="EN119" s="208"/>
      <c r="EO119" s="208"/>
      <c r="EP119" s="208"/>
      <c r="EQ119" s="208"/>
      <c r="ER119" s="208"/>
      <c r="ES119" s="208"/>
      <c r="ET119" s="208"/>
      <c r="EU119" s="208"/>
      <c r="EV119" s="208"/>
      <c r="EW119" s="208"/>
      <c r="EX119" s="208"/>
      <c r="EY119" s="208"/>
      <c r="EZ119" s="208"/>
      <c r="FA119" s="208"/>
      <c r="FB119" s="208"/>
      <c r="FC119" s="208"/>
      <c r="FD119" s="208"/>
      <c r="FE119" s="208"/>
      <c r="FF119" s="208"/>
      <c r="FG119" s="208"/>
      <c r="FH119" s="208"/>
      <c r="FI119" s="208"/>
      <c r="FJ119" s="208"/>
      <c r="FK119" s="43"/>
      <c r="FL119" s="43"/>
      <c r="FM119" s="43"/>
      <c r="FN119" s="67">
        <f t="shared" si="261"/>
        <v>455</v>
      </c>
      <c r="FO119" s="67">
        <f t="shared" si="262"/>
        <v>296</v>
      </c>
      <c r="FP119" s="67">
        <f t="shared" si="263"/>
        <v>502</v>
      </c>
      <c r="FQ119" s="67">
        <f t="shared" si="264"/>
        <v>201</v>
      </c>
      <c r="FR119" s="67">
        <f t="shared" si="265"/>
        <v>4170</v>
      </c>
      <c r="FS119" s="67">
        <f t="shared" si="266"/>
        <v>16443</v>
      </c>
      <c r="FT119" s="67">
        <f t="shared" si="267"/>
        <v>13676</v>
      </c>
      <c r="FU119" s="67">
        <f t="shared" si="268"/>
        <v>11351</v>
      </c>
      <c r="FV119" s="67">
        <f t="shared" si="269"/>
        <v>13271</v>
      </c>
      <c r="FW119" s="67">
        <f t="shared" si="270"/>
        <v>14914</v>
      </c>
      <c r="FX119" s="67">
        <f t="shared" si="271"/>
        <v>11790</v>
      </c>
      <c r="FY119" s="67">
        <f t="shared" si="272"/>
        <v>12314</v>
      </c>
      <c r="FZ119" s="67">
        <f t="shared" si="273"/>
        <v>11355</v>
      </c>
      <c r="GA119" s="67">
        <f t="shared" si="274"/>
        <v>10143</v>
      </c>
      <c r="GB119" s="67">
        <f t="shared" si="275"/>
        <v>8515</v>
      </c>
      <c r="GC119" s="67">
        <f t="shared" si="276"/>
        <v>11413</v>
      </c>
      <c r="GD119" s="67">
        <f t="shared" si="277"/>
        <v>12933</v>
      </c>
      <c r="GE119" s="67">
        <f t="shared" si="278"/>
        <v>16451</v>
      </c>
      <c r="GF119" s="67">
        <f t="shared" si="279"/>
        <v>11450</v>
      </c>
      <c r="GG119" s="67">
        <f t="shared" si="280"/>
        <v>14185</v>
      </c>
      <c r="GH119" s="67">
        <f t="shared" si="281"/>
        <v>11836</v>
      </c>
      <c r="GI119" s="67">
        <f t="shared" si="282"/>
        <v>16406</v>
      </c>
      <c r="GJ119" s="67">
        <f t="shared" si="283"/>
        <v>9005</v>
      </c>
      <c r="GK119" s="67">
        <f t="shared" si="284"/>
        <v>19450</v>
      </c>
      <c r="GL119" s="67">
        <f t="shared" si="285"/>
        <v>14426</v>
      </c>
      <c r="GM119" s="67">
        <f t="shared" si="286"/>
        <v>13729</v>
      </c>
      <c r="GN119" s="67">
        <f t="shared" si="287"/>
        <v>10612</v>
      </c>
      <c r="GO119" s="67">
        <f t="shared" si="288"/>
        <v>13327</v>
      </c>
      <c r="GP119" s="67">
        <f t="shared" si="289"/>
        <v>11891</v>
      </c>
      <c r="GQ119" s="67">
        <f t="shared" si="290"/>
        <v>10998</v>
      </c>
      <c r="GR119" s="67">
        <f t="shared" si="291"/>
        <v>10560</v>
      </c>
      <c r="GS119" s="67">
        <f t="shared" si="292"/>
        <v>10865</v>
      </c>
      <c r="GT119" s="67">
        <f t="shared" si="293"/>
        <v>2031</v>
      </c>
      <c r="GU119" s="67">
        <f t="shared" si="294"/>
        <v>10700</v>
      </c>
      <c r="GV119" s="67">
        <f t="shared" si="295"/>
        <v>9069</v>
      </c>
      <c r="GW119" s="67">
        <f t="shared" si="296"/>
        <v>13294</v>
      </c>
      <c r="GX119" s="67">
        <f t="shared" si="297"/>
        <v>9829</v>
      </c>
      <c r="GY119" s="67">
        <f t="shared" si="298"/>
        <v>3983</v>
      </c>
      <c r="GZ119" s="67">
        <f t="shared" si="299"/>
        <v>0</v>
      </c>
      <c r="HA119" s="67">
        <f t="shared" si="300"/>
        <v>0</v>
      </c>
      <c r="HB119" s="67">
        <f t="shared" si="301"/>
        <v>0</v>
      </c>
      <c r="HC119" s="67">
        <f t="shared" si="302"/>
        <v>0</v>
      </c>
      <c r="HD119" s="67">
        <f t="shared" si="303"/>
        <v>0</v>
      </c>
      <c r="HE119" s="67">
        <f t="shared" si="304"/>
        <v>0</v>
      </c>
      <c r="HF119" s="67">
        <f t="shared" si="305"/>
        <v>0</v>
      </c>
      <c r="HG119" s="67">
        <f t="shared" si="306"/>
        <v>0</v>
      </c>
      <c r="HH119" s="67">
        <f t="shared" si="307"/>
        <v>0</v>
      </c>
      <c r="HI119" s="67">
        <f t="shared" si="308"/>
        <v>0</v>
      </c>
      <c r="HJ119" s="210">
        <f t="shared" si="309"/>
        <v>0</v>
      </c>
      <c r="HK119" s="210">
        <f t="shared" si="310"/>
        <v>0</v>
      </c>
      <c r="HL119" s="210">
        <f t="shared" si="311"/>
        <v>0</v>
      </c>
      <c r="HM119" s="210">
        <f t="shared" si="312"/>
        <v>0</v>
      </c>
      <c r="HN119" s="210">
        <f t="shared" si="313"/>
        <v>0</v>
      </c>
      <c r="HO119" s="210">
        <f t="shared" si="314"/>
        <v>0</v>
      </c>
      <c r="HP119" s="210">
        <f t="shared" si="315"/>
        <v>0</v>
      </c>
      <c r="HQ119" s="60"/>
      <c r="HR119" s="43"/>
      <c r="HS119" s="43"/>
      <c r="HT119" s="43"/>
      <c r="HU119" s="211">
        <f t="shared" si="244"/>
        <v>1454</v>
      </c>
      <c r="HV119" s="211">
        <f t="shared" si="245"/>
        <v>45640</v>
      </c>
      <c r="HW119" s="211">
        <f t="shared" si="246"/>
        <v>52289</v>
      </c>
      <c r="HX119" s="212">
        <f t="shared" si="247"/>
        <v>41426</v>
      </c>
      <c r="HY119" s="58">
        <f t="shared" si="248"/>
        <v>55019</v>
      </c>
      <c r="HZ119" s="58">
        <f t="shared" si="249"/>
        <v>56697</v>
      </c>
      <c r="IA119" s="58">
        <f t="shared" si="250"/>
        <v>52094</v>
      </c>
      <c r="IB119" s="64">
        <f t="shared" si="251"/>
        <v>44314</v>
      </c>
      <c r="IC119" s="64">
        <f t="shared" si="252"/>
        <v>35094</v>
      </c>
      <c r="ID119" s="64">
        <f t="shared" si="253"/>
        <v>13812</v>
      </c>
      <c r="IE119" s="64">
        <f t="shared" si="254"/>
        <v>0</v>
      </c>
      <c r="IF119" s="64">
        <f t="shared" si="255"/>
        <v>0</v>
      </c>
      <c r="IG119" s="64">
        <f t="shared" si="256"/>
        <v>0</v>
      </c>
    </row>
    <row r="120" spans="1:241" outlineLevel="2" x14ac:dyDescent="0.3">
      <c r="A120" s="71" t="s">
        <v>145</v>
      </c>
      <c r="B120" s="72">
        <v>1966</v>
      </c>
      <c r="C120" s="72">
        <v>967</v>
      </c>
      <c r="D120" s="72">
        <v>771</v>
      </c>
      <c r="E120" s="213">
        <v>1695</v>
      </c>
      <c r="F120" s="72">
        <v>2253</v>
      </c>
      <c r="G120" s="213">
        <v>2161</v>
      </c>
      <c r="H120" s="213">
        <v>2194</v>
      </c>
      <c r="I120" s="213">
        <v>1471</v>
      </c>
      <c r="J120" s="213">
        <v>1791</v>
      </c>
      <c r="K120" s="213">
        <v>1725</v>
      </c>
      <c r="L120" s="213">
        <v>2054</v>
      </c>
      <c r="M120" s="213">
        <v>1882</v>
      </c>
      <c r="N120" s="72">
        <v>2263</v>
      </c>
      <c r="O120" s="72">
        <v>3661</v>
      </c>
      <c r="P120" s="72">
        <v>2566</v>
      </c>
      <c r="Q120" s="213">
        <v>2340</v>
      </c>
      <c r="R120" s="72">
        <v>2202</v>
      </c>
      <c r="S120" s="72">
        <v>1902</v>
      </c>
      <c r="T120" s="72">
        <v>2772</v>
      </c>
      <c r="U120" s="72">
        <v>2570</v>
      </c>
      <c r="V120" s="72">
        <v>1962</v>
      </c>
      <c r="W120" s="72">
        <v>2201</v>
      </c>
      <c r="X120" s="72">
        <v>2052</v>
      </c>
      <c r="Y120" s="72">
        <v>2676</v>
      </c>
      <c r="Z120" s="72">
        <v>2212</v>
      </c>
      <c r="AA120" s="72">
        <v>2016</v>
      </c>
      <c r="AB120" s="72">
        <v>2242</v>
      </c>
      <c r="AC120" s="72">
        <v>2037</v>
      </c>
      <c r="AD120" s="72">
        <v>1980</v>
      </c>
      <c r="AE120" s="72">
        <v>1715</v>
      </c>
      <c r="AF120" s="72">
        <v>1462</v>
      </c>
      <c r="AG120" s="72">
        <v>1684</v>
      </c>
      <c r="AH120" s="72">
        <v>1002</v>
      </c>
      <c r="AI120" s="72">
        <v>1805</v>
      </c>
      <c r="AJ120" s="72">
        <v>1618</v>
      </c>
      <c r="AK120" s="72">
        <v>1731</v>
      </c>
      <c r="AL120" s="72">
        <v>1414</v>
      </c>
      <c r="AM120" s="72">
        <v>1163</v>
      </c>
      <c r="AN120" s="72">
        <v>1294</v>
      </c>
      <c r="AO120" s="72">
        <v>1165</v>
      </c>
      <c r="AP120" s="72">
        <v>1174</v>
      </c>
      <c r="AQ120" s="72">
        <v>1240</v>
      </c>
      <c r="AR120" s="72">
        <v>1452</v>
      </c>
      <c r="AS120" s="72">
        <v>1307</v>
      </c>
      <c r="AT120" s="72">
        <v>1309</v>
      </c>
      <c r="AU120" s="72">
        <v>1272</v>
      </c>
      <c r="AV120" s="72">
        <v>982</v>
      </c>
      <c r="AW120" s="72">
        <v>1617</v>
      </c>
      <c r="AX120" s="72">
        <v>1115</v>
      </c>
      <c r="AY120" s="72">
        <v>1007</v>
      </c>
      <c r="AZ120" s="72">
        <v>993</v>
      </c>
      <c r="BA120" s="72">
        <v>760</v>
      </c>
      <c r="BB120" s="72">
        <v>873</v>
      </c>
      <c r="BC120" s="72">
        <v>1089</v>
      </c>
      <c r="BD120" s="72">
        <v>1875</v>
      </c>
      <c r="BE120" s="72">
        <v>1537</v>
      </c>
      <c r="BF120" s="72">
        <v>1960</v>
      </c>
      <c r="BG120" s="72">
        <v>778</v>
      </c>
      <c r="BH120" s="72">
        <v>728</v>
      </c>
      <c r="BI120" s="72">
        <v>275</v>
      </c>
      <c r="BJ120" s="72">
        <v>528</v>
      </c>
      <c r="BK120" s="214">
        <v>246</v>
      </c>
      <c r="BL120" s="214">
        <v>385</v>
      </c>
      <c r="BM120" s="214">
        <v>442</v>
      </c>
      <c r="BN120" s="214">
        <v>2</v>
      </c>
      <c r="BO120" s="214">
        <v>0</v>
      </c>
      <c r="BP120" s="214">
        <v>0</v>
      </c>
      <c r="BQ120" s="214">
        <v>0</v>
      </c>
      <c r="BR120" s="214">
        <v>0</v>
      </c>
      <c r="BS120" s="214">
        <v>0</v>
      </c>
      <c r="BT120" s="214">
        <v>0</v>
      </c>
      <c r="BU120" s="214">
        <v>0</v>
      </c>
      <c r="BV120" s="214">
        <v>0</v>
      </c>
      <c r="BW120" s="214">
        <v>0</v>
      </c>
      <c r="BX120" s="214">
        <v>0</v>
      </c>
      <c r="BY120" s="214">
        <v>0</v>
      </c>
      <c r="BZ120" s="214">
        <v>0</v>
      </c>
      <c r="CA120" s="214">
        <v>0</v>
      </c>
      <c r="CB120" s="214">
        <v>0</v>
      </c>
      <c r="CC120" s="214">
        <v>0</v>
      </c>
      <c r="CD120" s="214">
        <v>0</v>
      </c>
      <c r="CE120" s="214">
        <v>0</v>
      </c>
      <c r="CF120" s="214">
        <v>0</v>
      </c>
      <c r="CG120" s="214">
        <v>0</v>
      </c>
      <c r="CH120" s="214"/>
      <c r="CI120" s="214"/>
      <c r="CJ120" s="214"/>
      <c r="CK120" s="214"/>
      <c r="CL120" s="219"/>
      <c r="CM120" s="219"/>
      <c r="CN120" s="219"/>
      <c r="CO120" s="219"/>
      <c r="CP120" s="219"/>
      <c r="CQ120" s="219"/>
      <c r="CR120" s="214">
        <v>0</v>
      </c>
      <c r="CS120" s="219"/>
      <c r="CT120" s="219"/>
      <c r="CU120" s="219"/>
      <c r="CV120" s="219">
        <v>0</v>
      </c>
      <c r="CW120" s="219">
        <v>0</v>
      </c>
      <c r="CX120" s="219">
        <v>0</v>
      </c>
      <c r="CY120" s="219">
        <v>0</v>
      </c>
      <c r="CZ120" s="219">
        <v>0</v>
      </c>
      <c r="DA120" s="219"/>
      <c r="DB120" s="219"/>
      <c r="DC120" s="219"/>
      <c r="DD120" s="219"/>
      <c r="DE120" s="219"/>
      <c r="DF120" s="219"/>
      <c r="DG120" s="219"/>
      <c r="DH120" s="219"/>
      <c r="DI120" s="219"/>
      <c r="DJ120" s="219"/>
      <c r="DK120" s="219"/>
      <c r="DL120" s="219"/>
      <c r="DM120" s="219"/>
      <c r="DN120" s="219"/>
      <c r="DO120" s="219"/>
      <c r="DP120" s="219"/>
      <c r="DQ120" s="219"/>
      <c r="DR120" s="219"/>
      <c r="DS120" s="219"/>
      <c r="DT120" s="219"/>
      <c r="DU120" s="219"/>
      <c r="DV120" s="219"/>
      <c r="DW120" s="219"/>
      <c r="DX120" s="219"/>
      <c r="DY120" s="219"/>
      <c r="DZ120" s="219"/>
      <c r="EA120" s="219"/>
      <c r="EB120" s="219"/>
      <c r="EC120" s="219"/>
      <c r="ED120" s="219"/>
      <c r="EE120" s="219"/>
      <c r="EF120" s="219"/>
      <c r="EG120" s="219"/>
      <c r="EH120" s="219"/>
      <c r="EI120" s="219"/>
      <c r="EJ120" s="219"/>
      <c r="EK120" s="219"/>
      <c r="EL120" s="219"/>
      <c r="EM120" s="219"/>
      <c r="EN120" s="219"/>
      <c r="EO120" s="219"/>
      <c r="EP120" s="219"/>
      <c r="EQ120" s="219"/>
      <c r="ER120" s="219"/>
      <c r="ES120" s="219"/>
      <c r="ET120" s="219"/>
      <c r="EU120" s="219"/>
      <c r="EV120" s="219"/>
      <c r="EW120" s="219"/>
      <c r="EX120" s="219"/>
      <c r="EY120" s="219"/>
      <c r="EZ120" s="219"/>
      <c r="FA120" s="219"/>
      <c r="FB120" s="219"/>
      <c r="FC120" s="219"/>
      <c r="FD120" s="219"/>
      <c r="FE120" s="219"/>
      <c r="FF120" s="219"/>
      <c r="FG120" s="219"/>
      <c r="FH120" s="219"/>
      <c r="FI120" s="219"/>
      <c r="FJ120" s="219"/>
      <c r="FK120" s="43"/>
      <c r="FL120" s="43"/>
      <c r="FM120" s="43"/>
      <c r="FN120" s="76">
        <f t="shared" si="261"/>
        <v>3704</v>
      </c>
      <c r="FO120" s="76">
        <f t="shared" si="262"/>
        <v>6109</v>
      </c>
      <c r="FP120" s="76">
        <f t="shared" si="263"/>
        <v>5456</v>
      </c>
      <c r="FQ120" s="76">
        <f t="shared" si="264"/>
        <v>5661</v>
      </c>
      <c r="FR120" s="76">
        <f t="shared" si="265"/>
        <v>8490</v>
      </c>
      <c r="FS120" s="76">
        <f t="shared" si="266"/>
        <v>6444</v>
      </c>
      <c r="FT120" s="76">
        <f t="shared" si="267"/>
        <v>7304</v>
      </c>
      <c r="FU120" s="76">
        <f t="shared" si="268"/>
        <v>6929</v>
      </c>
      <c r="FV120" s="76">
        <f t="shared" si="269"/>
        <v>6470</v>
      </c>
      <c r="FW120" s="76">
        <f t="shared" si="270"/>
        <v>5732</v>
      </c>
      <c r="FX120" s="76">
        <f t="shared" si="271"/>
        <v>4148</v>
      </c>
      <c r="FY120" s="76">
        <f t="shared" si="272"/>
        <v>5154</v>
      </c>
      <c r="FZ120" s="76">
        <f t="shared" si="273"/>
        <v>3871</v>
      </c>
      <c r="GA120" s="76">
        <f t="shared" si="274"/>
        <v>3579</v>
      </c>
      <c r="GB120" s="76">
        <f t="shared" si="275"/>
        <v>4068</v>
      </c>
      <c r="GC120" s="76">
        <f t="shared" si="276"/>
        <v>3871</v>
      </c>
      <c r="GD120" s="76">
        <f t="shared" si="277"/>
        <v>3115</v>
      </c>
      <c r="GE120" s="76">
        <f t="shared" si="278"/>
        <v>2722</v>
      </c>
      <c r="GF120" s="76">
        <f t="shared" si="279"/>
        <v>5372</v>
      </c>
      <c r="GG120" s="76">
        <f t="shared" si="280"/>
        <v>1781</v>
      </c>
      <c r="GH120" s="76">
        <f t="shared" si="281"/>
        <v>1159</v>
      </c>
      <c r="GI120" s="76">
        <f t="shared" si="282"/>
        <v>444</v>
      </c>
      <c r="GJ120" s="76">
        <f t="shared" si="283"/>
        <v>0</v>
      </c>
      <c r="GK120" s="76">
        <f t="shared" si="284"/>
        <v>0</v>
      </c>
      <c r="GL120" s="76">
        <f t="shared" si="285"/>
        <v>0</v>
      </c>
      <c r="GM120" s="76">
        <f t="shared" si="286"/>
        <v>0</v>
      </c>
      <c r="GN120" s="76">
        <f t="shared" si="287"/>
        <v>0</v>
      </c>
      <c r="GO120" s="76">
        <f t="shared" si="288"/>
        <v>0</v>
      </c>
      <c r="GP120" s="76">
        <f t="shared" si="289"/>
        <v>0</v>
      </c>
      <c r="GQ120" s="76">
        <f t="shared" si="290"/>
        <v>0</v>
      </c>
      <c r="GR120" s="76">
        <f t="shared" si="291"/>
        <v>0</v>
      </c>
      <c r="GS120" s="76">
        <f t="shared" si="292"/>
        <v>0</v>
      </c>
      <c r="GT120" s="76">
        <f t="shared" si="293"/>
        <v>0</v>
      </c>
      <c r="GU120" s="76">
        <f t="shared" si="294"/>
        <v>0</v>
      </c>
      <c r="GV120" s="76">
        <f t="shared" si="295"/>
        <v>0</v>
      </c>
      <c r="GW120" s="76">
        <f t="shared" si="296"/>
        <v>0</v>
      </c>
      <c r="GX120" s="76">
        <f t="shared" si="297"/>
        <v>0</v>
      </c>
      <c r="GY120" s="76">
        <f t="shared" si="298"/>
        <v>0</v>
      </c>
      <c r="GZ120" s="76">
        <f t="shared" si="299"/>
        <v>0</v>
      </c>
      <c r="HA120" s="76">
        <f t="shared" si="300"/>
        <v>0</v>
      </c>
      <c r="HB120" s="76">
        <f t="shared" si="301"/>
        <v>0</v>
      </c>
      <c r="HC120" s="76">
        <f t="shared" si="302"/>
        <v>0</v>
      </c>
      <c r="HD120" s="76">
        <f t="shared" si="303"/>
        <v>0</v>
      </c>
      <c r="HE120" s="76">
        <f t="shared" si="304"/>
        <v>0</v>
      </c>
      <c r="HF120" s="76">
        <f t="shared" si="305"/>
        <v>0</v>
      </c>
      <c r="HG120" s="76">
        <f t="shared" si="306"/>
        <v>0</v>
      </c>
      <c r="HH120" s="76">
        <f t="shared" si="307"/>
        <v>0</v>
      </c>
      <c r="HI120" s="76">
        <f t="shared" si="308"/>
        <v>0</v>
      </c>
      <c r="HJ120" s="215">
        <f t="shared" si="309"/>
        <v>0</v>
      </c>
      <c r="HK120" s="215">
        <f t="shared" si="310"/>
        <v>0</v>
      </c>
      <c r="HL120" s="215">
        <f t="shared" si="311"/>
        <v>0</v>
      </c>
      <c r="HM120" s="215">
        <f t="shared" si="312"/>
        <v>0</v>
      </c>
      <c r="HN120" s="215">
        <f t="shared" si="313"/>
        <v>0</v>
      </c>
      <c r="HO120" s="215">
        <f t="shared" si="314"/>
        <v>0</v>
      </c>
      <c r="HP120" s="215">
        <f t="shared" si="315"/>
        <v>0</v>
      </c>
      <c r="HQ120" s="77"/>
      <c r="HR120" s="43"/>
      <c r="HS120" s="43"/>
      <c r="HT120" s="43"/>
      <c r="HU120" s="216">
        <f t="shared" si="244"/>
        <v>20930</v>
      </c>
      <c r="HV120" s="216">
        <f t="shared" si="245"/>
        <v>29167</v>
      </c>
      <c r="HW120" s="216">
        <f t="shared" si="246"/>
        <v>21504</v>
      </c>
      <c r="HX120" s="217">
        <f t="shared" si="247"/>
        <v>15389</v>
      </c>
      <c r="HY120" s="72">
        <f t="shared" si="248"/>
        <v>12990</v>
      </c>
      <c r="HZ120" s="72">
        <f t="shared" si="249"/>
        <v>1603</v>
      </c>
      <c r="IA120" s="72">
        <f t="shared" si="250"/>
        <v>0</v>
      </c>
      <c r="IB120" s="74">
        <f t="shared" si="251"/>
        <v>0</v>
      </c>
      <c r="IC120" s="74">
        <f t="shared" si="252"/>
        <v>0</v>
      </c>
      <c r="ID120" s="74">
        <f t="shared" si="253"/>
        <v>0</v>
      </c>
      <c r="IE120" s="74">
        <f t="shared" si="254"/>
        <v>0</v>
      </c>
      <c r="IF120" s="74">
        <f t="shared" si="255"/>
        <v>0</v>
      </c>
      <c r="IG120" s="74">
        <f t="shared" si="256"/>
        <v>0</v>
      </c>
    </row>
    <row r="121" spans="1:241" outlineLevel="2" x14ac:dyDescent="0.3">
      <c r="A121" s="63" t="s">
        <v>147</v>
      </c>
      <c r="B121" s="58">
        <v>187</v>
      </c>
      <c r="C121" s="58">
        <v>134</v>
      </c>
      <c r="D121" s="58">
        <v>60</v>
      </c>
      <c r="E121" s="207">
        <v>276</v>
      </c>
      <c r="F121" s="58">
        <v>182</v>
      </c>
      <c r="G121" s="207">
        <v>39</v>
      </c>
      <c r="H121" s="207">
        <v>135</v>
      </c>
      <c r="I121" s="207">
        <v>158</v>
      </c>
      <c r="J121" s="207">
        <v>208</v>
      </c>
      <c r="K121" s="207">
        <v>230</v>
      </c>
      <c r="L121" s="207">
        <v>270</v>
      </c>
      <c r="M121" s="207">
        <v>225</v>
      </c>
      <c r="N121" s="58">
        <v>113</v>
      </c>
      <c r="O121" s="58">
        <v>144</v>
      </c>
      <c r="P121" s="58">
        <v>116</v>
      </c>
      <c r="Q121" s="207">
        <v>163</v>
      </c>
      <c r="R121" s="58">
        <v>173</v>
      </c>
      <c r="S121" s="58">
        <v>170</v>
      </c>
      <c r="T121" s="58">
        <v>154</v>
      </c>
      <c r="U121" s="58">
        <v>112</v>
      </c>
      <c r="V121" s="58">
        <v>77</v>
      </c>
      <c r="W121" s="58">
        <v>100</v>
      </c>
      <c r="X121" s="58">
        <v>91</v>
      </c>
      <c r="Y121" s="58">
        <v>128</v>
      </c>
      <c r="Z121" s="58">
        <v>120</v>
      </c>
      <c r="AA121" s="58">
        <v>90</v>
      </c>
      <c r="AB121" s="58">
        <v>96</v>
      </c>
      <c r="AC121" s="58">
        <v>75</v>
      </c>
      <c r="AD121" s="58">
        <v>152</v>
      </c>
      <c r="AE121" s="58">
        <v>185</v>
      </c>
      <c r="AF121" s="58">
        <v>17</v>
      </c>
      <c r="AG121" s="58">
        <v>225</v>
      </c>
      <c r="AH121" s="58">
        <v>162</v>
      </c>
      <c r="AI121" s="58">
        <v>272</v>
      </c>
      <c r="AJ121" s="58">
        <v>213</v>
      </c>
      <c r="AK121" s="58">
        <v>219</v>
      </c>
      <c r="AL121" s="58">
        <v>204</v>
      </c>
      <c r="AM121" s="58">
        <v>204</v>
      </c>
      <c r="AN121" s="58">
        <v>200</v>
      </c>
      <c r="AO121" s="58">
        <v>122</v>
      </c>
      <c r="AP121" s="58">
        <v>138</v>
      </c>
      <c r="AQ121" s="58">
        <v>150</v>
      </c>
      <c r="AR121" s="58">
        <v>101</v>
      </c>
      <c r="AS121" s="58">
        <v>100</v>
      </c>
      <c r="AT121" s="58">
        <v>58</v>
      </c>
      <c r="AU121" s="58">
        <v>124</v>
      </c>
      <c r="AV121" s="58">
        <v>71</v>
      </c>
      <c r="AW121" s="58">
        <v>126</v>
      </c>
      <c r="AX121" s="58">
        <v>60</v>
      </c>
      <c r="AY121" s="58">
        <v>72</v>
      </c>
      <c r="AZ121" s="58">
        <v>46</v>
      </c>
      <c r="BA121" s="58">
        <v>44</v>
      </c>
      <c r="BB121" s="58">
        <v>70</v>
      </c>
      <c r="BC121" s="58">
        <v>68</v>
      </c>
      <c r="BD121" s="58">
        <v>64</v>
      </c>
      <c r="BE121" s="58">
        <v>35</v>
      </c>
      <c r="BF121" s="58">
        <v>36</v>
      </c>
      <c r="BG121" s="58">
        <v>29</v>
      </c>
      <c r="BH121" s="58">
        <v>67</v>
      </c>
      <c r="BI121" s="58">
        <v>69</v>
      </c>
      <c r="BJ121" s="58">
        <v>70</v>
      </c>
      <c r="BK121" s="208">
        <v>24</v>
      </c>
      <c r="BL121" s="208">
        <v>44</v>
      </c>
      <c r="BM121" s="208">
        <v>66</v>
      </c>
      <c r="BN121" s="208">
        <v>62</v>
      </c>
      <c r="BO121" s="208">
        <v>55</v>
      </c>
      <c r="BP121" s="208">
        <v>23</v>
      </c>
      <c r="BQ121" s="208">
        <v>28</v>
      </c>
      <c r="BR121" s="208">
        <v>37</v>
      </c>
      <c r="BS121" s="208">
        <v>40</v>
      </c>
      <c r="BT121" s="208">
        <v>20</v>
      </c>
      <c r="BU121" s="208">
        <v>24</v>
      </c>
      <c r="BV121" s="208">
        <v>25</v>
      </c>
      <c r="BW121" s="208">
        <v>15</v>
      </c>
      <c r="BX121" s="208">
        <v>53</v>
      </c>
      <c r="BY121" s="208">
        <v>35</v>
      </c>
      <c r="BZ121" s="208">
        <v>26</v>
      </c>
      <c r="CA121" s="208">
        <v>19</v>
      </c>
      <c r="CB121" s="208">
        <v>16</v>
      </c>
      <c r="CC121" s="208">
        <v>20</v>
      </c>
      <c r="CD121" s="208">
        <v>4</v>
      </c>
      <c r="CE121" s="208">
        <v>8</v>
      </c>
      <c r="CF121" s="208">
        <v>6</v>
      </c>
      <c r="CG121" s="208">
        <v>13</v>
      </c>
      <c r="CH121" s="208">
        <v>2</v>
      </c>
      <c r="CI121" s="208">
        <v>2</v>
      </c>
      <c r="CJ121" s="208">
        <v>1</v>
      </c>
      <c r="CK121" s="208"/>
      <c r="CL121" s="208">
        <v>1</v>
      </c>
      <c r="CM121" s="208">
        <v>14</v>
      </c>
      <c r="CN121" s="208">
        <v>3</v>
      </c>
      <c r="CO121" s="208">
        <v>4</v>
      </c>
      <c r="CP121" s="208">
        <v>2</v>
      </c>
      <c r="CQ121" s="208">
        <v>1</v>
      </c>
      <c r="CR121" s="218"/>
      <c r="CS121" s="208">
        <v>10</v>
      </c>
      <c r="CT121" s="208"/>
      <c r="CU121" s="208"/>
      <c r="CV121" s="208"/>
      <c r="CW121" s="208"/>
      <c r="CX121" s="208"/>
      <c r="CY121" s="208"/>
      <c r="CZ121" s="208"/>
      <c r="DA121" s="208"/>
      <c r="DB121" s="208"/>
      <c r="DC121" s="208">
        <v>0</v>
      </c>
      <c r="DD121" s="208">
        <v>0</v>
      </c>
      <c r="DE121" s="208">
        <v>0</v>
      </c>
      <c r="DF121" s="208"/>
      <c r="DG121" s="208"/>
      <c r="DH121" s="208"/>
      <c r="DI121" s="208"/>
      <c r="DJ121" s="208"/>
      <c r="DK121" s="208"/>
      <c r="DL121" s="208"/>
      <c r="DM121" s="208"/>
      <c r="DN121" s="208"/>
      <c r="DO121" s="208"/>
      <c r="DP121" s="208"/>
      <c r="DQ121" s="208"/>
      <c r="DR121" s="208"/>
      <c r="DS121" s="208"/>
      <c r="DT121" s="208"/>
      <c r="DU121" s="208"/>
      <c r="DV121" s="208"/>
      <c r="DW121" s="208"/>
      <c r="DX121" s="208"/>
      <c r="DY121" s="208"/>
      <c r="DZ121" s="208"/>
      <c r="EA121" s="208"/>
      <c r="EB121" s="208"/>
      <c r="EC121" s="208"/>
      <c r="ED121" s="208"/>
      <c r="EE121" s="208"/>
      <c r="EF121" s="208"/>
      <c r="EG121" s="208"/>
      <c r="EH121" s="208"/>
      <c r="EI121" s="208"/>
      <c r="EJ121" s="208"/>
      <c r="EK121" s="208"/>
      <c r="EL121" s="208"/>
      <c r="EM121" s="208"/>
      <c r="EN121" s="208"/>
      <c r="EO121" s="208"/>
      <c r="EP121" s="208"/>
      <c r="EQ121" s="208"/>
      <c r="ER121" s="208"/>
      <c r="ES121" s="208"/>
      <c r="ET121" s="208"/>
      <c r="EU121" s="208"/>
      <c r="EV121" s="208"/>
      <c r="EW121" s="208"/>
      <c r="EX121" s="208"/>
      <c r="EY121" s="208"/>
      <c r="EZ121" s="208"/>
      <c r="FA121" s="208"/>
      <c r="FB121" s="208"/>
      <c r="FC121" s="208"/>
      <c r="FD121" s="208"/>
      <c r="FE121" s="208"/>
      <c r="FF121" s="208"/>
      <c r="FG121" s="208"/>
      <c r="FH121" s="208"/>
      <c r="FI121" s="208"/>
      <c r="FJ121" s="208"/>
      <c r="FK121" s="43"/>
      <c r="FL121" s="43"/>
      <c r="FM121" s="43"/>
      <c r="FN121" s="67">
        <f t="shared" si="261"/>
        <v>381</v>
      </c>
      <c r="FO121" s="67">
        <f t="shared" si="262"/>
        <v>497</v>
      </c>
      <c r="FP121" s="67">
        <f t="shared" si="263"/>
        <v>501</v>
      </c>
      <c r="FQ121" s="67">
        <f t="shared" si="264"/>
        <v>725</v>
      </c>
      <c r="FR121" s="67">
        <f t="shared" si="265"/>
        <v>373</v>
      </c>
      <c r="FS121" s="67">
        <f t="shared" si="266"/>
        <v>506</v>
      </c>
      <c r="FT121" s="67">
        <f t="shared" si="267"/>
        <v>343</v>
      </c>
      <c r="FU121" s="67">
        <f t="shared" si="268"/>
        <v>319</v>
      </c>
      <c r="FV121" s="67">
        <f t="shared" si="269"/>
        <v>306</v>
      </c>
      <c r="FW121" s="67">
        <f t="shared" si="270"/>
        <v>412</v>
      </c>
      <c r="FX121" s="67">
        <f t="shared" si="271"/>
        <v>404</v>
      </c>
      <c r="FY121" s="67">
        <f t="shared" si="272"/>
        <v>704</v>
      </c>
      <c r="FZ121" s="67">
        <f t="shared" si="273"/>
        <v>608</v>
      </c>
      <c r="GA121" s="67">
        <f t="shared" si="274"/>
        <v>410</v>
      </c>
      <c r="GB121" s="67">
        <f t="shared" si="275"/>
        <v>259</v>
      </c>
      <c r="GC121" s="67">
        <f t="shared" si="276"/>
        <v>321</v>
      </c>
      <c r="GD121" s="67">
        <f t="shared" si="277"/>
        <v>178</v>
      </c>
      <c r="GE121" s="67">
        <f t="shared" si="278"/>
        <v>182</v>
      </c>
      <c r="GF121" s="67">
        <f t="shared" si="279"/>
        <v>135</v>
      </c>
      <c r="GG121" s="67">
        <f t="shared" si="280"/>
        <v>165</v>
      </c>
      <c r="GH121" s="67">
        <f t="shared" si="281"/>
        <v>138</v>
      </c>
      <c r="GI121" s="67">
        <f t="shared" si="282"/>
        <v>183</v>
      </c>
      <c r="GJ121" s="67">
        <f t="shared" si="283"/>
        <v>88</v>
      </c>
      <c r="GK121" s="67">
        <f t="shared" si="284"/>
        <v>84</v>
      </c>
      <c r="GL121" s="67">
        <f t="shared" si="285"/>
        <v>93</v>
      </c>
      <c r="GM121" s="67">
        <f t="shared" si="286"/>
        <v>80</v>
      </c>
      <c r="GN121" s="67">
        <f t="shared" si="287"/>
        <v>40</v>
      </c>
      <c r="GO121" s="67">
        <f t="shared" si="288"/>
        <v>27</v>
      </c>
      <c r="GP121" s="67">
        <f t="shared" si="289"/>
        <v>5</v>
      </c>
      <c r="GQ121" s="67">
        <f t="shared" si="290"/>
        <v>15</v>
      </c>
      <c r="GR121" s="67">
        <f t="shared" si="291"/>
        <v>9</v>
      </c>
      <c r="GS121" s="67">
        <f t="shared" si="292"/>
        <v>11</v>
      </c>
      <c r="GT121" s="67">
        <f t="shared" si="293"/>
        <v>0</v>
      </c>
      <c r="GU121" s="67">
        <f t="shared" si="294"/>
        <v>0</v>
      </c>
      <c r="GV121" s="67">
        <f t="shared" si="295"/>
        <v>0</v>
      </c>
      <c r="GW121" s="67">
        <f t="shared" si="296"/>
        <v>0</v>
      </c>
      <c r="GX121" s="67">
        <f t="shared" si="297"/>
        <v>0</v>
      </c>
      <c r="GY121" s="67">
        <f t="shared" si="298"/>
        <v>0</v>
      </c>
      <c r="GZ121" s="67">
        <f t="shared" si="299"/>
        <v>0</v>
      </c>
      <c r="HA121" s="67">
        <f t="shared" si="300"/>
        <v>0</v>
      </c>
      <c r="HB121" s="67">
        <f t="shared" si="301"/>
        <v>0</v>
      </c>
      <c r="HC121" s="67">
        <f t="shared" si="302"/>
        <v>0</v>
      </c>
      <c r="HD121" s="67">
        <f t="shared" si="303"/>
        <v>0</v>
      </c>
      <c r="HE121" s="67">
        <f t="shared" si="304"/>
        <v>0</v>
      </c>
      <c r="HF121" s="67">
        <f t="shared" si="305"/>
        <v>0</v>
      </c>
      <c r="HG121" s="67">
        <f t="shared" si="306"/>
        <v>0</v>
      </c>
      <c r="HH121" s="67">
        <f t="shared" si="307"/>
        <v>0</v>
      </c>
      <c r="HI121" s="67">
        <f t="shared" si="308"/>
        <v>0</v>
      </c>
      <c r="HJ121" s="210">
        <f t="shared" si="309"/>
        <v>0</v>
      </c>
      <c r="HK121" s="210">
        <f t="shared" si="310"/>
        <v>0</v>
      </c>
      <c r="HL121" s="210">
        <f t="shared" si="311"/>
        <v>0</v>
      </c>
      <c r="HM121" s="210">
        <f t="shared" si="312"/>
        <v>0</v>
      </c>
      <c r="HN121" s="210">
        <f t="shared" si="313"/>
        <v>0</v>
      </c>
      <c r="HO121" s="210">
        <f t="shared" si="314"/>
        <v>0</v>
      </c>
      <c r="HP121" s="210">
        <f t="shared" si="315"/>
        <v>0</v>
      </c>
      <c r="HQ121" s="60"/>
      <c r="HR121" s="43"/>
      <c r="HS121" s="43"/>
      <c r="HT121" s="43"/>
      <c r="HU121" s="211">
        <f t="shared" si="244"/>
        <v>2104</v>
      </c>
      <c r="HV121" s="211">
        <f t="shared" si="245"/>
        <v>1541</v>
      </c>
      <c r="HW121" s="211">
        <f t="shared" si="246"/>
        <v>1826</v>
      </c>
      <c r="HX121" s="212">
        <f t="shared" si="247"/>
        <v>1598</v>
      </c>
      <c r="HY121" s="58">
        <f t="shared" si="248"/>
        <v>660</v>
      </c>
      <c r="HZ121" s="58">
        <f t="shared" si="249"/>
        <v>493</v>
      </c>
      <c r="IA121" s="58">
        <f t="shared" si="250"/>
        <v>240</v>
      </c>
      <c r="IB121" s="64">
        <f t="shared" si="251"/>
        <v>40</v>
      </c>
      <c r="IC121" s="64">
        <f t="shared" si="252"/>
        <v>0</v>
      </c>
      <c r="ID121" s="64">
        <f t="shared" si="253"/>
        <v>0</v>
      </c>
      <c r="IE121" s="64">
        <f t="shared" si="254"/>
        <v>0</v>
      </c>
      <c r="IF121" s="64">
        <f t="shared" si="255"/>
        <v>0</v>
      </c>
      <c r="IG121" s="64">
        <f t="shared" si="256"/>
        <v>0</v>
      </c>
    </row>
    <row r="122" spans="1:241" outlineLevel="2" x14ac:dyDescent="0.3">
      <c r="A122" s="158" t="s">
        <v>148</v>
      </c>
      <c r="B122" s="72">
        <v>17</v>
      </c>
      <c r="C122" s="72">
        <v>21</v>
      </c>
      <c r="D122" s="72">
        <v>45</v>
      </c>
      <c r="E122" s="213">
        <v>53</v>
      </c>
      <c r="F122" s="72">
        <v>47</v>
      </c>
      <c r="G122" s="213">
        <v>3</v>
      </c>
      <c r="H122" s="213">
        <v>0</v>
      </c>
      <c r="I122" s="213">
        <v>0</v>
      </c>
      <c r="J122" s="213">
        <v>0</v>
      </c>
      <c r="K122" s="213">
        <v>30</v>
      </c>
      <c r="L122" s="213">
        <v>55</v>
      </c>
      <c r="M122" s="213">
        <v>30</v>
      </c>
      <c r="N122" s="72">
        <v>58</v>
      </c>
      <c r="O122" s="72">
        <v>68</v>
      </c>
      <c r="P122" s="72">
        <v>100</v>
      </c>
      <c r="Q122" s="213">
        <v>132</v>
      </c>
      <c r="R122" s="72">
        <v>148</v>
      </c>
      <c r="S122" s="72">
        <v>134</v>
      </c>
      <c r="T122" s="72">
        <v>87</v>
      </c>
      <c r="U122" s="72">
        <v>22</v>
      </c>
      <c r="V122" s="72">
        <v>9</v>
      </c>
      <c r="W122" s="72">
        <v>117</v>
      </c>
      <c r="X122" s="72">
        <v>65</v>
      </c>
      <c r="Y122" s="72">
        <v>78</v>
      </c>
      <c r="Z122" s="72">
        <v>63</v>
      </c>
      <c r="AA122" s="72">
        <v>59</v>
      </c>
      <c r="AB122" s="72">
        <v>80</v>
      </c>
      <c r="AC122" s="72">
        <v>3357</v>
      </c>
      <c r="AD122" s="72">
        <v>5592</v>
      </c>
      <c r="AE122" s="72">
        <v>5415</v>
      </c>
      <c r="AF122" s="72">
        <v>3056</v>
      </c>
      <c r="AG122" s="72">
        <v>3651</v>
      </c>
      <c r="AH122" s="72">
        <v>2120</v>
      </c>
      <c r="AI122" s="72">
        <v>3000</v>
      </c>
      <c r="AJ122" s="72">
        <v>1837</v>
      </c>
      <c r="AK122" s="72">
        <v>3149</v>
      </c>
      <c r="AL122" s="72">
        <v>744</v>
      </c>
      <c r="AM122" s="72">
        <v>1297</v>
      </c>
      <c r="AN122" s="72">
        <v>1100</v>
      </c>
      <c r="AO122" s="72">
        <v>1039</v>
      </c>
      <c r="AP122" s="72">
        <v>964</v>
      </c>
      <c r="AQ122" s="72">
        <v>709</v>
      </c>
      <c r="AR122" s="72">
        <v>856</v>
      </c>
      <c r="AS122" s="72">
        <v>436</v>
      </c>
      <c r="AT122" s="72">
        <v>257</v>
      </c>
      <c r="AU122" s="72">
        <v>522</v>
      </c>
      <c r="AV122" s="72">
        <v>307</v>
      </c>
      <c r="AW122" s="72">
        <v>704</v>
      </c>
      <c r="AX122" s="72">
        <v>987</v>
      </c>
      <c r="AY122" s="72">
        <v>2539</v>
      </c>
      <c r="AZ122" s="72">
        <v>3257</v>
      </c>
      <c r="BA122" s="72">
        <v>3541</v>
      </c>
      <c r="BB122" s="72">
        <v>2596</v>
      </c>
      <c r="BC122" s="72">
        <v>2501</v>
      </c>
      <c r="BD122" s="72">
        <v>1609</v>
      </c>
      <c r="BE122" s="72">
        <v>541</v>
      </c>
      <c r="BF122" s="72">
        <v>1807</v>
      </c>
      <c r="BG122" s="72">
        <v>1575</v>
      </c>
      <c r="BH122" s="72">
        <v>728</v>
      </c>
      <c r="BI122" s="72">
        <v>5288</v>
      </c>
      <c r="BJ122" s="72">
        <v>4003</v>
      </c>
      <c r="BK122" s="214">
        <v>3713</v>
      </c>
      <c r="BL122" s="214">
        <v>4834</v>
      </c>
      <c r="BM122" s="214">
        <v>5951</v>
      </c>
      <c r="BN122" s="214">
        <v>6502</v>
      </c>
      <c r="BO122" s="214">
        <v>6163</v>
      </c>
      <c r="BP122" s="214">
        <v>4737</v>
      </c>
      <c r="BQ122" s="214">
        <v>4335</v>
      </c>
      <c r="BR122" s="214">
        <v>4680</v>
      </c>
      <c r="BS122" s="214">
        <v>5355</v>
      </c>
      <c r="BT122" s="214">
        <v>4200</v>
      </c>
      <c r="BU122" s="214">
        <v>5444</v>
      </c>
      <c r="BV122" s="214">
        <v>3633</v>
      </c>
      <c r="BW122" s="214">
        <v>2449</v>
      </c>
      <c r="BX122" s="214">
        <v>3252</v>
      </c>
      <c r="BY122" s="214">
        <v>4029</v>
      </c>
      <c r="BZ122" s="214">
        <v>3310</v>
      </c>
      <c r="CA122" s="214">
        <v>2773</v>
      </c>
      <c r="CB122" s="214">
        <v>3995</v>
      </c>
      <c r="CC122" s="214">
        <v>3184</v>
      </c>
      <c r="CD122" s="214">
        <v>2980</v>
      </c>
      <c r="CE122" s="214">
        <v>3878</v>
      </c>
      <c r="CF122" s="214">
        <v>2607</v>
      </c>
      <c r="CG122" s="214">
        <v>2981</v>
      </c>
      <c r="CH122" s="214">
        <v>1939</v>
      </c>
      <c r="CI122" s="214">
        <v>1841</v>
      </c>
      <c r="CJ122" s="214">
        <v>1617</v>
      </c>
      <c r="CK122" s="214">
        <v>1611</v>
      </c>
      <c r="CL122" s="214">
        <v>1461</v>
      </c>
      <c r="CM122" s="219">
        <v>1674</v>
      </c>
      <c r="CN122" s="219">
        <v>1803</v>
      </c>
      <c r="CO122" s="219">
        <v>957</v>
      </c>
      <c r="CP122" s="219">
        <v>1518</v>
      </c>
      <c r="CQ122" s="219">
        <v>213</v>
      </c>
      <c r="CR122" s="214">
        <v>25</v>
      </c>
      <c r="CS122" s="214">
        <v>100</v>
      </c>
      <c r="CT122" s="214"/>
      <c r="CU122" s="214">
        <v>116</v>
      </c>
      <c r="CV122" s="214">
        <v>672</v>
      </c>
      <c r="CW122" s="214">
        <v>744</v>
      </c>
      <c r="CX122" s="214">
        <v>739</v>
      </c>
      <c r="CY122" s="214">
        <v>1145</v>
      </c>
      <c r="CZ122" s="214">
        <v>1131</v>
      </c>
      <c r="DA122" s="214">
        <v>985</v>
      </c>
      <c r="DB122" s="214">
        <v>934</v>
      </c>
      <c r="DC122" s="214">
        <v>1221</v>
      </c>
      <c r="DD122" s="214">
        <v>1005</v>
      </c>
      <c r="DE122" s="214">
        <v>979</v>
      </c>
      <c r="DF122" s="214">
        <v>1194</v>
      </c>
      <c r="DG122" s="214">
        <v>192</v>
      </c>
      <c r="DH122" s="214">
        <v>466</v>
      </c>
      <c r="DI122" s="214">
        <v>708</v>
      </c>
      <c r="DJ122" s="214">
        <v>672</v>
      </c>
      <c r="DK122" s="214">
        <v>687</v>
      </c>
      <c r="DL122" s="214">
        <v>728</v>
      </c>
      <c r="DM122" s="214">
        <v>120</v>
      </c>
      <c r="DN122" s="214">
        <v>85</v>
      </c>
      <c r="DO122" s="214">
        <v>494</v>
      </c>
      <c r="DP122" s="214">
        <v>489</v>
      </c>
      <c r="DQ122" s="214">
        <v>251</v>
      </c>
      <c r="DR122" s="214">
        <v>635</v>
      </c>
      <c r="DS122" s="214">
        <v>546</v>
      </c>
      <c r="DT122" s="214">
        <v>599</v>
      </c>
      <c r="DU122" s="214">
        <v>527</v>
      </c>
      <c r="DV122" s="214">
        <v>415</v>
      </c>
      <c r="DW122" s="214">
        <v>594</v>
      </c>
      <c r="DX122" s="214">
        <v>653</v>
      </c>
      <c r="DY122" s="214">
        <v>430</v>
      </c>
      <c r="DZ122" s="214">
        <v>359</v>
      </c>
      <c r="EA122" s="214">
        <v>183</v>
      </c>
      <c r="EB122" s="214">
        <v>0</v>
      </c>
      <c r="EC122" s="214">
        <v>3</v>
      </c>
      <c r="ED122" s="214">
        <v>0</v>
      </c>
      <c r="EE122" s="214">
        <v>0</v>
      </c>
      <c r="EF122" s="214">
        <v>0</v>
      </c>
      <c r="EG122" s="214">
        <v>0</v>
      </c>
      <c r="EH122" s="214">
        <v>2822</v>
      </c>
      <c r="EI122" s="214">
        <v>5685</v>
      </c>
      <c r="EJ122" s="214">
        <v>4957</v>
      </c>
      <c r="EK122" s="214">
        <v>4755</v>
      </c>
      <c r="EL122" s="214">
        <v>4376</v>
      </c>
      <c r="EM122" s="214">
        <v>4586</v>
      </c>
      <c r="EN122" s="214">
        <v>3184</v>
      </c>
      <c r="EO122" s="214">
        <v>3277</v>
      </c>
      <c r="EP122" s="214">
        <v>1731</v>
      </c>
      <c r="EQ122" s="214">
        <v>1553</v>
      </c>
      <c r="ER122" s="214">
        <v>2151</v>
      </c>
      <c r="ES122" s="214">
        <v>1340</v>
      </c>
      <c r="ET122" s="214">
        <v>1723</v>
      </c>
      <c r="EU122" s="214">
        <v>1960</v>
      </c>
      <c r="EV122" s="214">
        <v>2149</v>
      </c>
      <c r="EW122" s="214">
        <v>1668</v>
      </c>
      <c r="EX122" s="214">
        <v>2148</v>
      </c>
      <c r="EY122" s="214">
        <v>1959</v>
      </c>
      <c r="EZ122" s="214">
        <v>1464</v>
      </c>
      <c r="FA122" s="214">
        <v>2475</v>
      </c>
      <c r="FB122" s="214">
        <v>935</v>
      </c>
      <c r="FC122" s="214">
        <v>1461</v>
      </c>
      <c r="FD122" s="214">
        <v>1635</v>
      </c>
      <c r="FE122" s="214">
        <v>1395</v>
      </c>
      <c r="FF122" s="214">
        <v>1660</v>
      </c>
      <c r="FG122" s="214">
        <v>2198</v>
      </c>
      <c r="FH122" s="214">
        <v>2186</v>
      </c>
      <c r="FI122" s="214">
        <v>1781</v>
      </c>
      <c r="FJ122" s="214">
        <v>2289</v>
      </c>
      <c r="FK122" s="43"/>
      <c r="FL122" s="43"/>
      <c r="FM122" s="43"/>
      <c r="FN122" s="76">
        <f t="shared" si="261"/>
        <v>83</v>
      </c>
      <c r="FO122" s="76">
        <f t="shared" si="262"/>
        <v>103</v>
      </c>
      <c r="FP122" s="76">
        <f t="shared" si="263"/>
        <v>0</v>
      </c>
      <c r="FQ122" s="76">
        <f t="shared" si="264"/>
        <v>115</v>
      </c>
      <c r="FR122" s="76">
        <f t="shared" si="265"/>
        <v>226</v>
      </c>
      <c r="FS122" s="76">
        <f t="shared" si="266"/>
        <v>414</v>
      </c>
      <c r="FT122" s="76">
        <f t="shared" si="267"/>
        <v>118</v>
      </c>
      <c r="FU122" s="76">
        <f t="shared" si="268"/>
        <v>260</v>
      </c>
      <c r="FV122" s="76">
        <f t="shared" si="269"/>
        <v>202</v>
      </c>
      <c r="FW122" s="76">
        <f t="shared" si="270"/>
        <v>14364</v>
      </c>
      <c r="FX122" s="76">
        <f t="shared" si="271"/>
        <v>8827</v>
      </c>
      <c r="FY122" s="76">
        <f t="shared" si="272"/>
        <v>7986</v>
      </c>
      <c r="FZ122" s="76">
        <f t="shared" si="273"/>
        <v>3141</v>
      </c>
      <c r="GA122" s="76">
        <f t="shared" si="274"/>
        <v>2712</v>
      </c>
      <c r="GB122" s="76">
        <f t="shared" si="275"/>
        <v>1549</v>
      </c>
      <c r="GC122" s="76">
        <f t="shared" si="276"/>
        <v>1533</v>
      </c>
      <c r="GD122" s="76">
        <f t="shared" si="277"/>
        <v>6783</v>
      </c>
      <c r="GE122" s="76">
        <f t="shared" si="278"/>
        <v>8638</v>
      </c>
      <c r="GF122" s="76">
        <f t="shared" si="279"/>
        <v>3957</v>
      </c>
      <c r="GG122" s="76">
        <f t="shared" si="280"/>
        <v>7591</v>
      </c>
      <c r="GH122" s="76">
        <f t="shared" si="281"/>
        <v>12550</v>
      </c>
      <c r="GI122" s="76">
        <f t="shared" si="282"/>
        <v>18616</v>
      </c>
      <c r="GJ122" s="76">
        <f t="shared" si="283"/>
        <v>13752</v>
      </c>
      <c r="GK122" s="76">
        <f t="shared" si="284"/>
        <v>14999</v>
      </c>
      <c r="GL122" s="76">
        <f t="shared" si="285"/>
        <v>9334</v>
      </c>
      <c r="GM122" s="76">
        <f t="shared" si="286"/>
        <v>10112</v>
      </c>
      <c r="GN122" s="76">
        <f t="shared" si="287"/>
        <v>10159</v>
      </c>
      <c r="GO122" s="76">
        <f t="shared" si="288"/>
        <v>9466</v>
      </c>
      <c r="GP122" s="76">
        <f t="shared" si="289"/>
        <v>5397</v>
      </c>
      <c r="GQ122" s="76">
        <f t="shared" si="290"/>
        <v>4746</v>
      </c>
      <c r="GR122" s="76">
        <f t="shared" si="291"/>
        <v>4278</v>
      </c>
      <c r="GS122" s="76">
        <f t="shared" si="292"/>
        <v>338</v>
      </c>
      <c r="GT122" s="76">
        <f t="shared" si="293"/>
        <v>788</v>
      </c>
      <c r="GU122" s="76">
        <f t="shared" si="294"/>
        <v>2628</v>
      </c>
      <c r="GV122" s="76">
        <f t="shared" si="295"/>
        <v>3050</v>
      </c>
      <c r="GW122" s="76">
        <f t="shared" si="296"/>
        <v>3205</v>
      </c>
      <c r="GX122" s="76">
        <f t="shared" si="297"/>
        <v>1852</v>
      </c>
      <c r="GY122" s="76">
        <f t="shared" si="298"/>
        <v>2067</v>
      </c>
      <c r="GZ122" s="76">
        <f t="shared" si="299"/>
        <v>933</v>
      </c>
      <c r="HA122" s="76">
        <f t="shared" si="300"/>
        <v>1234</v>
      </c>
      <c r="HB122" s="76">
        <f t="shared" si="301"/>
        <v>1780</v>
      </c>
      <c r="HC122" s="76">
        <f t="shared" si="302"/>
        <v>1536</v>
      </c>
      <c r="HD122" s="76">
        <f t="shared" si="303"/>
        <v>1442</v>
      </c>
      <c r="HE122" s="76">
        <f t="shared" si="304"/>
        <v>186</v>
      </c>
      <c r="HF122" s="76">
        <f t="shared" si="305"/>
        <v>0</v>
      </c>
      <c r="HG122" s="76">
        <f t="shared" si="306"/>
        <v>8507</v>
      </c>
      <c r="HH122" s="76">
        <f t="shared" si="307"/>
        <v>14088</v>
      </c>
      <c r="HI122" s="76">
        <f t="shared" si="308"/>
        <v>11047</v>
      </c>
      <c r="HJ122" s="215">
        <f t="shared" si="309"/>
        <v>5435</v>
      </c>
      <c r="HK122" s="215">
        <f t="shared" si="310"/>
        <v>5023</v>
      </c>
      <c r="HL122" s="215">
        <f t="shared" si="311"/>
        <v>5965</v>
      </c>
      <c r="HM122" s="215">
        <f t="shared" si="312"/>
        <v>5898</v>
      </c>
      <c r="HN122" s="215">
        <f t="shared" si="313"/>
        <v>4031</v>
      </c>
      <c r="HO122" s="215">
        <f t="shared" si="314"/>
        <v>5253</v>
      </c>
      <c r="HP122" s="215">
        <f t="shared" si="315"/>
        <v>6256</v>
      </c>
      <c r="HQ122" s="77"/>
      <c r="HR122" s="43"/>
      <c r="HS122" s="43"/>
      <c r="HT122" s="43"/>
      <c r="HU122" s="216">
        <f t="shared" si="244"/>
        <v>301</v>
      </c>
      <c r="HV122" s="216">
        <f t="shared" si="245"/>
        <v>1018</v>
      </c>
      <c r="HW122" s="216">
        <f t="shared" si="246"/>
        <v>31379</v>
      </c>
      <c r="HX122" s="217">
        <f t="shared" si="247"/>
        <v>8935</v>
      </c>
      <c r="HY122" s="72">
        <f t="shared" si="248"/>
        <v>26969</v>
      </c>
      <c r="HZ122" s="72">
        <f t="shared" si="249"/>
        <v>59917</v>
      </c>
      <c r="IA122" s="72">
        <f t="shared" si="250"/>
        <v>39071</v>
      </c>
      <c r="IB122" s="74">
        <f t="shared" si="251"/>
        <v>14759</v>
      </c>
      <c r="IC122" s="74">
        <f t="shared" si="252"/>
        <v>9671</v>
      </c>
      <c r="ID122" s="74">
        <f t="shared" si="253"/>
        <v>6086</v>
      </c>
      <c r="IE122" s="74">
        <f t="shared" si="254"/>
        <v>4944</v>
      </c>
      <c r="IF122" s="74">
        <f t="shared" si="255"/>
        <v>33642</v>
      </c>
      <c r="IG122" s="74">
        <f t="shared" si="256"/>
        <v>22321</v>
      </c>
    </row>
    <row r="123" spans="1:241" outlineLevel="2" x14ac:dyDescent="0.3">
      <c r="A123" s="63" t="s">
        <v>149</v>
      </c>
      <c r="B123" s="58">
        <v>70</v>
      </c>
      <c r="C123" s="58">
        <v>71</v>
      </c>
      <c r="D123" s="58">
        <v>87</v>
      </c>
      <c r="E123" s="207">
        <v>85</v>
      </c>
      <c r="F123" s="58">
        <v>65</v>
      </c>
      <c r="G123" s="207">
        <v>56</v>
      </c>
      <c r="H123" s="207">
        <v>56</v>
      </c>
      <c r="I123" s="207">
        <v>53</v>
      </c>
      <c r="J123" s="207">
        <v>46</v>
      </c>
      <c r="K123" s="207">
        <v>55</v>
      </c>
      <c r="L123" s="207">
        <v>66</v>
      </c>
      <c r="M123" s="207">
        <v>50</v>
      </c>
      <c r="N123" s="58">
        <v>39</v>
      </c>
      <c r="O123" s="58">
        <v>50</v>
      </c>
      <c r="P123" s="58">
        <v>33</v>
      </c>
      <c r="Q123" s="207">
        <v>26</v>
      </c>
      <c r="R123" s="58">
        <v>30</v>
      </c>
      <c r="S123" s="58">
        <v>21</v>
      </c>
      <c r="T123" s="58">
        <v>29</v>
      </c>
      <c r="U123" s="58">
        <v>74</v>
      </c>
      <c r="V123" s="58">
        <v>25</v>
      </c>
      <c r="W123" s="58">
        <v>54</v>
      </c>
      <c r="X123" s="58">
        <v>130</v>
      </c>
      <c r="Y123" s="58">
        <v>187</v>
      </c>
      <c r="Z123" s="58">
        <v>138</v>
      </c>
      <c r="AA123" s="58">
        <v>250</v>
      </c>
      <c r="AB123" s="58">
        <v>256</v>
      </c>
      <c r="AC123" s="58">
        <v>208</v>
      </c>
      <c r="AD123" s="58">
        <v>157</v>
      </c>
      <c r="AE123" s="58">
        <v>135</v>
      </c>
      <c r="AF123" s="58">
        <v>116</v>
      </c>
      <c r="AG123" s="58">
        <v>63</v>
      </c>
      <c r="AH123" s="58">
        <v>75</v>
      </c>
      <c r="AI123" s="58">
        <v>137</v>
      </c>
      <c r="AJ123" s="58">
        <v>142</v>
      </c>
      <c r="AK123" s="58">
        <v>200</v>
      </c>
      <c r="AL123" s="58">
        <v>127</v>
      </c>
      <c r="AM123" s="58">
        <v>122</v>
      </c>
      <c r="AN123" s="58">
        <v>1758</v>
      </c>
      <c r="AO123" s="58">
        <v>6904</v>
      </c>
      <c r="AP123" s="58">
        <v>7520</v>
      </c>
      <c r="AQ123" s="58">
        <v>7312</v>
      </c>
      <c r="AR123" s="58">
        <v>7306</v>
      </c>
      <c r="AS123" s="58">
        <v>5880</v>
      </c>
      <c r="AT123" s="58">
        <v>4760</v>
      </c>
      <c r="AU123" s="58">
        <v>6618</v>
      </c>
      <c r="AV123" s="58">
        <v>8274</v>
      </c>
      <c r="AW123" s="58">
        <v>8215</v>
      </c>
      <c r="AX123" s="58">
        <v>7926</v>
      </c>
      <c r="AY123" s="58">
        <v>7089</v>
      </c>
      <c r="AZ123" s="58">
        <v>7726</v>
      </c>
      <c r="BA123" s="58">
        <v>8004</v>
      </c>
      <c r="BB123" s="58">
        <v>8473</v>
      </c>
      <c r="BC123" s="58">
        <v>8863</v>
      </c>
      <c r="BD123" s="58">
        <v>8890</v>
      </c>
      <c r="BE123" s="58">
        <v>7093</v>
      </c>
      <c r="BF123" s="58">
        <v>7020</v>
      </c>
      <c r="BG123" s="58">
        <v>8068</v>
      </c>
      <c r="BH123" s="58">
        <v>9178</v>
      </c>
      <c r="BI123" s="58">
        <v>10168</v>
      </c>
      <c r="BJ123" s="58">
        <v>9355</v>
      </c>
      <c r="BK123" s="208">
        <v>8470</v>
      </c>
      <c r="BL123" s="208">
        <v>6495</v>
      </c>
      <c r="BM123" s="208">
        <v>10686</v>
      </c>
      <c r="BN123" s="208">
        <v>10410</v>
      </c>
      <c r="BO123" s="208">
        <v>9378</v>
      </c>
      <c r="BP123" s="208">
        <v>9433</v>
      </c>
      <c r="BQ123" s="208">
        <v>8650</v>
      </c>
      <c r="BR123" s="208">
        <v>6911</v>
      </c>
      <c r="BS123" s="208">
        <v>9499</v>
      </c>
      <c r="BT123" s="208">
        <v>9458</v>
      </c>
      <c r="BU123" s="208">
        <v>10212</v>
      </c>
      <c r="BV123" s="208">
        <v>9590</v>
      </c>
      <c r="BW123" s="208">
        <v>11173</v>
      </c>
      <c r="BX123" s="208">
        <v>11259</v>
      </c>
      <c r="BY123" s="208">
        <v>10573</v>
      </c>
      <c r="BZ123" s="208">
        <v>10511</v>
      </c>
      <c r="CA123" s="208">
        <v>11171</v>
      </c>
      <c r="CB123" s="208">
        <v>11792</v>
      </c>
      <c r="CC123" s="208">
        <v>9761</v>
      </c>
      <c r="CD123" s="208">
        <v>7732</v>
      </c>
      <c r="CE123" s="208">
        <v>10364</v>
      </c>
      <c r="CF123" s="208">
        <v>10318</v>
      </c>
      <c r="CG123" s="208">
        <v>11594</v>
      </c>
      <c r="CH123" s="208">
        <v>10598</v>
      </c>
      <c r="CI123" s="208">
        <v>16174</v>
      </c>
      <c r="CJ123" s="208">
        <v>17185</v>
      </c>
      <c r="CK123" s="208">
        <v>16234</v>
      </c>
      <c r="CL123" s="208">
        <v>15489</v>
      </c>
      <c r="CM123" s="208">
        <v>14708</v>
      </c>
      <c r="CN123" s="208">
        <v>15978</v>
      </c>
      <c r="CO123" s="208">
        <v>16461</v>
      </c>
      <c r="CP123" s="208">
        <v>16338</v>
      </c>
      <c r="CQ123" s="208">
        <v>13709</v>
      </c>
      <c r="CR123" s="208">
        <v>11053</v>
      </c>
      <c r="CS123" s="218">
        <v>12847</v>
      </c>
      <c r="CT123" s="218"/>
      <c r="CU123" s="218">
        <v>4458</v>
      </c>
      <c r="CV123" s="218">
        <v>11382</v>
      </c>
      <c r="CW123" s="218">
        <v>18372</v>
      </c>
      <c r="CX123" s="218">
        <v>20190</v>
      </c>
      <c r="CY123" s="218">
        <v>20908</v>
      </c>
      <c r="CZ123" s="218">
        <v>22951</v>
      </c>
      <c r="DA123" s="218">
        <v>21358</v>
      </c>
      <c r="DB123" s="218">
        <v>23009</v>
      </c>
      <c r="DC123" s="218">
        <v>24209</v>
      </c>
      <c r="DD123" s="218">
        <v>23814</v>
      </c>
      <c r="DE123" s="218">
        <v>23516</v>
      </c>
      <c r="DF123" s="218">
        <v>23825</v>
      </c>
      <c r="DG123" s="218">
        <v>13808</v>
      </c>
      <c r="DH123" s="218">
        <v>18001</v>
      </c>
      <c r="DI123" s="218">
        <v>24320</v>
      </c>
      <c r="DJ123" s="218">
        <v>24560</v>
      </c>
      <c r="DK123" s="218">
        <v>18186</v>
      </c>
      <c r="DL123" s="218">
        <v>18538</v>
      </c>
      <c r="DM123" s="218">
        <v>20793</v>
      </c>
      <c r="DN123" s="218">
        <v>19016</v>
      </c>
      <c r="DO123" s="218">
        <v>24469</v>
      </c>
      <c r="DP123" s="218">
        <v>22549</v>
      </c>
      <c r="DQ123" s="218">
        <v>22365</v>
      </c>
      <c r="DR123" s="218">
        <v>23562</v>
      </c>
      <c r="DS123" s="218">
        <v>21285</v>
      </c>
      <c r="DT123" s="218">
        <v>26276</v>
      </c>
      <c r="DU123" s="218">
        <v>27736</v>
      </c>
      <c r="DV123" s="218">
        <v>26566</v>
      </c>
      <c r="DW123" s="218">
        <v>27073</v>
      </c>
      <c r="DX123" s="218">
        <v>24905</v>
      </c>
      <c r="DY123" s="218">
        <v>26967</v>
      </c>
      <c r="DZ123" s="218">
        <v>20100</v>
      </c>
      <c r="EA123" s="218">
        <v>27532</v>
      </c>
      <c r="EB123" s="218">
        <v>22508</v>
      </c>
      <c r="EC123" s="218">
        <v>27171</v>
      </c>
      <c r="ED123" s="218">
        <v>27304</v>
      </c>
      <c r="EE123" s="218">
        <v>27728</v>
      </c>
      <c r="EF123" s="218">
        <v>28610</v>
      </c>
      <c r="EG123" s="218">
        <v>32991</v>
      </c>
      <c r="EH123" s="218">
        <v>34160</v>
      </c>
      <c r="EI123" s="218">
        <v>36027</v>
      </c>
      <c r="EJ123" s="218">
        <v>34955</v>
      </c>
      <c r="EK123" s="218">
        <v>33465</v>
      </c>
      <c r="EL123" s="218">
        <v>28403</v>
      </c>
      <c r="EM123" s="218">
        <v>35479</v>
      </c>
      <c r="EN123" s="218">
        <v>33390</v>
      </c>
      <c r="EO123" s="218">
        <v>36213</v>
      </c>
      <c r="EP123" s="218">
        <v>33788</v>
      </c>
      <c r="EQ123" s="218">
        <v>32840</v>
      </c>
      <c r="ER123" s="218">
        <v>34117</v>
      </c>
      <c r="ES123" s="218">
        <v>32976</v>
      </c>
      <c r="ET123" s="218">
        <v>33749</v>
      </c>
      <c r="EU123" s="218">
        <v>35910</v>
      </c>
      <c r="EV123" s="218">
        <v>37902</v>
      </c>
      <c r="EW123" s="218">
        <v>33193</v>
      </c>
      <c r="EX123" s="218">
        <v>29542</v>
      </c>
      <c r="EY123" s="218">
        <v>37086</v>
      </c>
      <c r="EZ123" s="218">
        <v>33156</v>
      </c>
      <c r="FA123" s="218">
        <v>35940</v>
      </c>
      <c r="FB123" s="218">
        <v>31483</v>
      </c>
      <c r="FC123" s="218">
        <v>29272</v>
      </c>
      <c r="FD123" s="218">
        <v>29776</v>
      </c>
      <c r="FE123" s="218">
        <v>31555</v>
      </c>
      <c r="FF123" s="218">
        <v>30352</v>
      </c>
      <c r="FG123" s="218">
        <v>37313</v>
      </c>
      <c r="FH123" s="218">
        <v>37704</v>
      </c>
      <c r="FI123" s="218">
        <v>35564</v>
      </c>
      <c r="FJ123" s="218">
        <v>29736</v>
      </c>
      <c r="FK123" s="43"/>
      <c r="FL123" s="43"/>
      <c r="FM123" s="43"/>
      <c r="FN123" s="67">
        <f t="shared" si="261"/>
        <v>228</v>
      </c>
      <c r="FO123" s="67">
        <f t="shared" si="262"/>
        <v>206</v>
      </c>
      <c r="FP123" s="67">
        <f t="shared" si="263"/>
        <v>155</v>
      </c>
      <c r="FQ123" s="67">
        <f t="shared" si="264"/>
        <v>171</v>
      </c>
      <c r="FR123" s="67">
        <f t="shared" si="265"/>
        <v>122</v>
      </c>
      <c r="FS123" s="67">
        <f t="shared" si="266"/>
        <v>77</v>
      </c>
      <c r="FT123" s="67">
        <f t="shared" si="267"/>
        <v>128</v>
      </c>
      <c r="FU123" s="67">
        <f t="shared" si="268"/>
        <v>371</v>
      </c>
      <c r="FV123" s="67">
        <f t="shared" si="269"/>
        <v>644</v>
      </c>
      <c r="FW123" s="67">
        <f t="shared" si="270"/>
        <v>500</v>
      </c>
      <c r="FX123" s="67">
        <f t="shared" si="271"/>
        <v>254</v>
      </c>
      <c r="FY123" s="67">
        <f t="shared" si="272"/>
        <v>479</v>
      </c>
      <c r="FZ123" s="67">
        <f t="shared" si="273"/>
        <v>2007</v>
      </c>
      <c r="GA123" s="67">
        <f t="shared" si="274"/>
        <v>21736</v>
      </c>
      <c r="GB123" s="67">
        <f t="shared" si="275"/>
        <v>17946</v>
      </c>
      <c r="GC123" s="67">
        <f t="shared" si="276"/>
        <v>23107</v>
      </c>
      <c r="GD123" s="67">
        <f t="shared" si="277"/>
        <v>22741</v>
      </c>
      <c r="GE123" s="67">
        <f t="shared" si="278"/>
        <v>25340</v>
      </c>
      <c r="GF123" s="67">
        <f t="shared" si="279"/>
        <v>23003</v>
      </c>
      <c r="GG123" s="67">
        <f t="shared" si="280"/>
        <v>27414</v>
      </c>
      <c r="GH123" s="67">
        <f t="shared" si="281"/>
        <v>24320</v>
      </c>
      <c r="GI123" s="67">
        <f t="shared" si="282"/>
        <v>30474</v>
      </c>
      <c r="GJ123" s="67">
        <f t="shared" si="283"/>
        <v>24994</v>
      </c>
      <c r="GK123" s="67">
        <f t="shared" si="284"/>
        <v>29169</v>
      </c>
      <c r="GL123" s="67">
        <f t="shared" si="285"/>
        <v>32022</v>
      </c>
      <c r="GM123" s="67">
        <f t="shared" si="286"/>
        <v>32255</v>
      </c>
      <c r="GN123" s="67">
        <f t="shared" si="287"/>
        <v>29285</v>
      </c>
      <c r="GO123" s="67">
        <f t="shared" si="288"/>
        <v>32276</v>
      </c>
      <c r="GP123" s="67">
        <f t="shared" si="289"/>
        <v>43957</v>
      </c>
      <c r="GQ123" s="67">
        <f t="shared" si="290"/>
        <v>46431</v>
      </c>
      <c r="GR123" s="67">
        <f t="shared" si="291"/>
        <v>48777</v>
      </c>
      <c r="GS123" s="67">
        <f t="shared" si="292"/>
        <v>37609</v>
      </c>
      <c r="GT123" s="67">
        <f t="shared" si="293"/>
        <v>15840</v>
      </c>
      <c r="GU123" s="67">
        <f t="shared" si="294"/>
        <v>59470</v>
      </c>
      <c r="GV123" s="67">
        <f t="shared" si="295"/>
        <v>67318</v>
      </c>
      <c r="GW123" s="67">
        <f t="shared" si="296"/>
        <v>71539</v>
      </c>
      <c r="GX123" s="67">
        <f t="shared" si="297"/>
        <v>55634</v>
      </c>
      <c r="GY123" s="67">
        <f t="shared" si="298"/>
        <v>67066</v>
      </c>
      <c r="GZ123" s="67">
        <f t="shared" si="299"/>
        <v>58347</v>
      </c>
      <c r="HA123" s="67">
        <f t="shared" si="300"/>
        <v>69383</v>
      </c>
      <c r="HB123" s="67">
        <f t="shared" si="301"/>
        <v>71123</v>
      </c>
      <c r="HC123" s="67">
        <f t="shared" si="302"/>
        <v>81375</v>
      </c>
      <c r="HD123" s="67">
        <f t="shared" si="303"/>
        <v>71972</v>
      </c>
      <c r="HE123" s="67">
        <f t="shared" si="304"/>
        <v>77211</v>
      </c>
      <c r="HF123" s="67">
        <f t="shared" si="305"/>
        <v>83642</v>
      </c>
      <c r="HG123" s="67">
        <f t="shared" si="306"/>
        <v>103178</v>
      </c>
      <c r="HH123" s="67">
        <f t="shared" si="307"/>
        <v>96823</v>
      </c>
      <c r="HI123" s="67">
        <f t="shared" si="308"/>
        <v>105082</v>
      </c>
      <c r="HJ123" s="210">
        <f t="shared" si="309"/>
        <v>100745</v>
      </c>
      <c r="HK123" s="210">
        <f t="shared" si="310"/>
        <v>102635</v>
      </c>
      <c r="HL123" s="210">
        <f t="shared" si="311"/>
        <v>100637</v>
      </c>
      <c r="HM123" s="210">
        <f t="shared" si="312"/>
        <v>106182</v>
      </c>
      <c r="HN123" s="210">
        <f t="shared" si="313"/>
        <v>90531</v>
      </c>
      <c r="HO123" s="210">
        <f t="shared" si="314"/>
        <v>99220</v>
      </c>
      <c r="HP123" s="210">
        <f t="shared" si="315"/>
        <v>103004</v>
      </c>
      <c r="HQ123" s="60"/>
      <c r="HR123" s="43"/>
      <c r="HS123" s="43"/>
      <c r="HT123" s="43"/>
      <c r="HU123" s="211">
        <f t="shared" si="244"/>
        <v>760</v>
      </c>
      <c r="HV123" s="211">
        <f t="shared" si="245"/>
        <v>698</v>
      </c>
      <c r="HW123" s="211">
        <f t="shared" si="246"/>
        <v>1877</v>
      </c>
      <c r="HX123" s="212">
        <f t="shared" si="247"/>
        <v>64796</v>
      </c>
      <c r="HY123" s="58">
        <f t="shared" si="248"/>
        <v>98498</v>
      </c>
      <c r="HZ123" s="58">
        <f t="shared" si="249"/>
        <v>108957</v>
      </c>
      <c r="IA123" s="58">
        <f t="shared" si="250"/>
        <v>125838</v>
      </c>
      <c r="IB123" s="64">
        <f t="shared" si="251"/>
        <v>176774</v>
      </c>
      <c r="IC123" s="64">
        <f t="shared" si="252"/>
        <v>214167</v>
      </c>
      <c r="ID123" s="64">
        <f t="shared" si="253"/>
        <v>250430</v>
      </c>
      <c r="IE123" s="64">
        <f t="shared" si="254"/>
        <v>301681</v>
      </c>
      <c r="IF123" s="64">
        <f t="shared" si="255"/>
        <v>388725</v>
      </c>
      <c r="IG123" s="64">
        <f t="shared" si="256"/>
        <v>410199</v>
      </c>
    </row>
    <row r="124" spans="1:241" outlineLevel="2" x14ac:dyDescent="0.3">
      <c r="A124" s="71" t="s">
        <v>166</v>
      </c>
      <c r="B124" s="72">
        <v>52</v>
      </c>
      <c r="C124" s="72">
        <v>50</v>
      </c>
      <c r="D124" s="72">
        <v>30</v>
      </c>
      <c r="E124" s="213">
        <v>34</v>
      </c>
      <c r="F124" s="72">
        <v>30</v>
      </c>
      <c r="G124" s="213">
        <v>26</v>
      </c>
      <c r="H124" s="213">
        <v>38</v>
      </c>
      <c r="I124" s="213" t="s">
        <v>146</v>
      </c>
      <c r="J124" s="213" t="s">
        <v>146</v>
      </c>
      <c r="K124" s="213" t="s">
        <v>146</v>
      </c>
      <c r="L124" s="213" t="s">
        <v>146</v>
      </c>
      <c r="M124" s="213" t="s">
        <v>146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15</v>
      </c>
      <c r="AA124" s="72">
        <v>25</v>
      </c>
      <c r="AB124" s="72">
        <v>21</v>
      </c>
      <c r="AC124" s="72">
        <v>12</v>
      </c>
      <c r="AD124" s="72">
        <v>15</v>
      </c>
      <c r="AE124" s="72">
        <v>20</v>
      </c>
      <c r="AF124" s="72">
        <v>22</v>
      </c>
      <c r="AG124" s="72">
        <v>30</v>
      </c>
      <c r="AH124" s="72">
        <v>16</v>
      </c>
      <c r="AI124" s="72">
        <v>22</v>
      </c>
      <c r="AJ124" s="72">
        <v>41</v>
      </c>
      <c r="AK124" s="72">
        <v>31</v>
      </c>
      <c r="AL124" s="72">
        <v>13</v>
      </c>
      <c r="AM124" s="72">
        <v>21</v>
      </c>
      <c r="AN124" s="72">
        <v>27</v>
      </c>
      <c r="AO124" s="72">
        <v>39</v>
      </c>
      <c r="AP124" s="72">
        <v>39</v>
      </c>
      <c r="AQ124" s="72">
        <v>35</v>
      </c>
      <c r="AR124" s="72">
        <v>32</v>
      </c>
      <c r="AS124" s="72">
        <v>32</v>
      </c>
      <c r="AT124" s="72">
        <v>53</v>
      </c>
      <c r="AU124" s="72">
        <v>14</v>
      </c>
      <c r="AV124" s="72">
        <v>25</v>
      </c>
      <c r="AW124" s="72">
        <v>62</v>
      </c>
      <c r="AX124" s="72">
        <v>37</v>
      </c>
      <c r="AY124" s="72">
        <v>13</v>
      </c>
      <c r="AZ124" s="72">
        <v>188</v>
      </c>
      <c r="BA124" s="72">
        <v>87</v>
      </c>
      <c r="BB124" s="72">
        <v>208</v>
      </c>
      <c r="BC124" s="72">
        <v>279</v>
      </c>
      <c r="BD124" s="72">
        <v>181</v>
      </c>
      <c r="BE124" s="72">
        <v>57</v>
      </c>
      <c r="BF124" s="72">
        <v>299</v>
      </c>
      <c r="BG124" s="72">
        <v>0</v>
      </c>
      <c r="BH124" s="72">
        <v>109</v>
      </c>
      <c r="BI124" s="72">
        <v>134</v>
      </c>
      <c r="BJ124" s="72">
        <v>139</v>
      </c>
      <c r="BK124" s="214">
        <v>185</v>
      </c>
      <c r="BL124" s="214">
        <v>163</v>
      </c>
      <c r="BM124" s="214">
        <v>252</v>
      </c>
      <c r="BN124" s="214">
        <v>286</v>
      </c>
      <c r="BO124" s="214">
        <v>358</v>
      </c>
      <c r="BP124" s="214">
        <v>130</v>
      </c>
      <c r="BQ124" s="214">
        <v>144</v>
      </c>
      <c r="BR124" s="214">
        <v>269</v>
      </c>
      <c r="BS124" s="214">
        <v>241</v>
      </c>
      <c r="BT124" s="214">
        <v>271</v>
      </c>
      <c r="BU124" s="214">
        <v>378</v>
      </c>
      <c r="BV124" s="214">
        <v>61</v>
      </c>
      <c r="BW124" s="214">
        <v>170</v>
      </c>
      <c r="BX124" s="214">
        <v>252</v>
      </c>
      <c r="BY124" s="214">
        <v>189</v>
      </c>
      <c r="BZ124" s="214">
        <v>246</v>
      </c>
      <c r="CA124" s="214">
        <v>181</v>
      </c>
      <c r="CB124" s="214">
        <v>149</v>
      </c>
      <c r="CC124" s="214">
        <v>93</v>
      </c>
      <c r="CD124" s="214">
        <v>259</v>
      </c>
      <c r="CE124" s="214">
        <v>82</v>
      </c>
      <c r="CF124" s="214">
        <v>89</v>
      </c>
      <c r="CG124" s="214">
        <v>158</v>
      </c>
      <c r="CH124" s="214">
        <v>162</v>
      </c>
      <c r="CI124" s="214">
        <v>155</v>
      </c>
      <c r="CJ124" s="214">
        <v>94</v>
      </c>
      <c r="CK124" s="214">
        <v>115</v>
      </c>
      <c r="CL124" s="214">
        <v>137</v>
      </c>
      <c r="CM124" s="214">
        <v>126</v>
      </c>
      <c r="CN124" s="214">
        <v>189</v>
      </c>
      <c r="CO124" s="214">
        <v>100</v>
      </c>
      <c r="CP124" s="214">
        <v>140</v>
      </c>
      <c r="CQ124" s="219">
        <v>115</v>
      </c>
      <c r="CR124" s="214">
        <v>71</v>
      </c>
      <c r="CS124" s="214">
        <v>81</v>
      </c>
      <c r="CT124" s="214"/>
      <c r="CU124" s="214">
        <v>0</v>
      </c>
      <c r="CV124" s="214">
        <v>0</v>
      </c>
      <c r="CW124" s="214">
        <v>0</v>
      </c>
      <c r="CX124" s="214">
        <v>0</v>
      </c>
      <c r="CY124" s="214">
        <v>0</v>
      </c>
      <c r="CZ124" s="214">
        <v>0</v>
      </c>
      <c r="DA124" s="214"/>
      <c r="DB124" s="214">
        <v>0</v>
      </c>
      <c r="DC124" s="214">
        <v>0</v>
      </c>
      <c r="DD124" s="214">
        <v>0</v>
      </c>
      <c r="DE124" s="214">
        <v>50</v>
      </c>
      <c r="DF124" s="214">
        <v>48</v>
      </c>
      <c r="DG124" s="214">
        <v>55</v>
      </c>
      <c r="DH124" s="214">
        <v>70</v>
      </c>
      <c r="DI124" s="214">
        <v>47</v>
      </c>
      <c r="DJ124" s="214">
        <v>73</v>
      </c>
      <c r="DK124" s="214">
        <v>34</v>
      </c>
      <c r="DL124" s="214">
        <v>58</v>
      </c>
      <c r="DM124" s="214">
        <v>66</v>
      </c>
      <c r="DN124" s="214">
        <v>136</v>
      </c>
      <c r="DO124" s="214">
        <v>85</v>
      </c>
      <c r="DP124" s="214">
        <v>30</v>
      </c>
      <c r="DQ124" s="214">
        <v>149</v>
      </c>
      <c r="DR124" s="214">
        <v>23</v>
      </c>
      <c r="DS124" s="214">
        <v>60</v>
      </c>
      <c r="DT124" s="214">
        <v>83</v>
      </c>
      <c r="DU124" s="214">
        <v>39</v>
      </c>
      <c r="DV124" s="214">
        <v>45</v>
      </c>
      <c r="DW124" s="214">
        <v>48</v>
      </c>
      <c r="DX124" s="214">
        <v>58</v>
      </c>
      <c r="DY124" s="214">
        <v>57</v>
      </c>
      <c r="DZ124" s="214">
        <v>83</v>
      </c>
      <c r="EA124" s="214">
        <v>95</v>
      </c>
      <c r="EB124" s="214">
        <v>66</v>
      </c>
      <c r="EC124" s="214">
        <v>321</v>
      </c>
      <c r="ED124" s="214">
        <v>34</v>
      </c>
      <c r="EE124" s="214">
        <v>39</v>
      </c>
      <c r="EF124" s="214">
        <v>30</v>
      </c>
      <c r="EG124" s="214">
        <v>33</v>
      </c>
      <c r="EH124" s="214">
        <v>30</v>
      </c>
      <c r="EI124" s="214">
        <v>45</v>
      </c>
      <c r="EJ124" s="214">
        <v>70</v>
      </c>
      <c r="EK124" s="214">
        <v>48</v>
      </c>
      <c r="EL124" s="214">
        <v>67</v>
      </c>
      <c r="EM124" s="214">
        <v>64</v>
      </c>
      <c r="EN124" s="214">
        <v>23</v>
      </c>
      <c r="EO124" s="214">
        <v>32</v>
      </c>
      <c r="EP124" s="214">
        <v>21</v>
      </c>
      <c r="EQ124" s="214">
        <v>36</v>
      </c>
      <c r="ER124" s="214">
        <v>52</v>
      </c>
      <c r="ES124" s="214">
        <v>22</v>
      </c>
      <c r="ET124" s="214">
        <v>19</v>
      </c>
      <c r="EU124" s="214">
        <v>32</v>
      </c>
      <c r="EV124" s="214">
        <v>24</v>
      </c>
      <c r="EW124" s="214">
        <v>24</v>
      </c>
      <c r="EX124" s="214">
        <v>49</v>
      </c>
      <c r="EY124" s="214">
        <v>6</v>
      </c>
      <c r="EZ124" s="214">
        <v>56</v>
      </c>
      <c r="FA124" s="214">
        <v>43</v>
      </c>
      <c r="FB124" s="214">
        <v>13</v>
      </c>
      <c r="FC124" s="214">
        <v>9</v>
      </c>
      <c r="FD124" s="214">
        <v>42</v>
      </c>
      <c r="FE124" s="214">
        <v>27</v>
      </c>
      <c r="FF124" s="214">
        <v>16</v>
      </c>
      <c r="FG124" s="214">
        <v>34</v>
      </c>
      <c r="FH124" s="214">
        <v>38</v>
      </c>
      <c r="FI124" s="214">
        <v>33</v>
      </c>
      <c r="FJ124" s="214">
        <v>36</v>
      </c>
      <c r="FK124" s="43"/>
      <c r="FL124" s="43"/>
      <c r="FM124" s="43"/>
      <c r="FN124" s="76">
        <f t="shared" si="261"/>
        <v>132</v>
      </c>
      <c r="FO124" s="76">
        <f t="shared" si="262"/>
        <v>90</v>
      </c>
      <c r="FP124" s="76">
        <f t="shared" si="263"/>
        <v>38</v>
      </c>
      <c r="FQ124" s="76">
        <f t="shared" si="264"/>
        <v>0</v>
      </c>
      <c r="FR124" s="76">
        <f t="shared" si="265"/>
        <v>0</v>
      </c>
      <c r="FS124" s="76">
        <f t="shared" si="266"/>
        <v>0</v>
      </c>
      <c r="FT124" s="76">
        <f t="shared" si="267"/>
        <v>0</v>
      </c>
      <c r="FU124" s="76">
        <f t="shared" si="268"/>
        <v>0</v>
      </c>
      <c r="FV124" s="76">
        <f t="shared" si="269"/>
        <v>61</v>
      </c>
      <c r="FW124" s="76">
        <f t="shared" si="270"/>
        <v>47</v>
      </c>
      <c r="FX124" s="76">
        <f t="shared" si="271"/>
        <v>68</v>
      </c>
      <c r="FY124" s="76">
        <f t="shared" si="272"/>
        <v>94</v>
      </c>
      <c r="FZ124" s="76">
        <f t="shared" si="273"/>
        <v>61</v>
      </c>
      <c r="GA124" s="76">
        <f t="shared" si="274"/>
        <v>113</v>
      </c>
      <c r="GB124" s="76">
        <f t="shared" si="275"/>
        <v>117</v>
      </c>
      <c r="GC124" s="76">
        <f t="shared" si="276"/>
        <v>101</v>
      </c>
      <c r="GD124" s="76">
        <f t="shared" si="277"/>
        <v>238</v>
      </c>
      <c r="GE124" s="76">
        <f t="shared" si="278"/>
        <v>574</v>
      </c>
      <c r="GF124" s="76">
        <f t="shared" si="279"/>
        <v>537</v>
      </c>
      <c r="GG124" s="76">
        <f t="shared" si="280"/>
        <v>243</v>
      </c>
      <c r="GH124" s="76">
        <f t="shared" si="281"/>
        <v>487</v>
      </c>
      <c r="GI124" s="76">
        <f t="shared" si="282"/>
        <v>896</v>
      </c>
      <c r="GJ124" s="76">
        <f t="shared" si="283"/>
        <v>543</v>
      </c>
      <c r="GK124" s="76">
        <f t="shared" si="284"/>
        <v>890</v>
      </c>
      <c r="GL124" s="76">
        <f t="shared" si="285"/>
        <v>483</v>
      </c>
      <c r="GM124" s="76">
        <f t="shared" si="286"/>
        <v>616</v>
      </c>
      <c r="GN124" s="76">
        <f t="shared" si="287"/>
        <v>501</v>
      </c>
      <c r="GO124" s="76">
        <f t="shared" si="288"/>
        <v>329</v>
      </c>
      <c r="GP124" s="76">
        <f t="shared" si="289"/>
        <v>411</v>
      </c>
      <c r="GQ124" s="76">
        <f t="shared" si="290"/>
        <v>378</v>
      </c>
      <c r="GR124" s="76">
        <f t="shared" si="291"/>
        <v>429</v>
      </c>
      <c r="GS124" s="76">
        <f t="shared" si="292"/>
        <v>267</v>
      </c>
      <c r="GT124" s="76">
        <f t="shared" si="293"/>
        <v>0</v>
      </c>
      <c r="GU124" s="76">
        <f t="shared" si="294"/>
        <v>0</v>
      </c>
      <c r="GV124" s="76">
        <f t="shared" si="295"/>
        <v>0</v>
      </c>
      <c r="GW124" s="76">
        <f t="shared" si="296"/>
        <v>50</v>
      </c>
      <c r="GX124" s="76">
        <f t="shared" si="297"/>
        <v>173</v>
      </c>
      <c r="GY124" s="76">
        <f t="shared" si="298"/>
        <v>154</v>
      </c>
      <c r="GZ124" s="76">
        <f t="shared" si="299"/>
        <v>260</v>
      </c>
      <c r="HA124" s="76">
        <f t="shared" si="300"/>
        <v>264</v>
      </c>
      <c r="HB124" s="76">
        <f t="shared" si="301"/>
        <v>166</v>
      </c>
      <c r="HC124" s="76">
        <f t="shared" si="302"/>
        <v>132</v>
      </c>
      <c r="HD124" s="76">
        <f t="shared" si="303"/>
        <v>198</v>
      </c>
      <c r="HE124" s="76">
        <f t="shared" si="304"/>
        <v>482</v>
      </c>
      <c r="HF124" s="76">
        <f t="shared" si="305"/>
        <v>103</v>
      </c>
      <c r="HG124" s="76">
        <f t="shared" si="306"/>
        <v>108</v>
      </c>
      <c r="HH124" s="76">
        <f t="shared" si="307"/>
        <v>185</v>
      </c>
      <c r="HI124" s="76">
        <f t="shared" si="308"/>
        <v>119</v>
      </c>
      <c r="HJ124" s="215">
        <f t="shared" si="309"/>
        <v>109</v>
      </c>
      <c r="HK124" s="215">
        <f t="shared" si="310"/>
        <v>73</v>
      </c>
      <c r="HL124" s="215">
        <f t="shared" si="311"/>
        <v>97</v>
      </c>
      <c r="HM124" s="215">
        <f t="shared" si="312"/>
        <v>105</v>
      </c>
      <c r="HN124" s="215">
        <f t="shared" si="313"/>
        <v>64</v>
      </c>
      <c r="HO124" s="215">
        <f t="shared" si="314"/>
        <v>77</v>
      </c>
      <c r="HP124" s="215">
        <f t="shared" si="315"/>
        <v>107</v>
      </c>
      <c r="HQ124" s="77"/>
      <c r="HR124" s="43"/>
      <c r="HS124" s="43"/>
      <c r="HT124" s="43"/>
      <c r="HU124" s="216">
        <f t="shared" si="244"/>
        <v>260</v>
      </c>
      <c r="HV124" s="216">
        <f t="shared" si="245"/>
        <v>0</v>
      </c>
      <c r="HW124" s="216">
        <f t="shared" si="246"/>
        <v>270</v>
      </c>
      <c r="HX124" s="217">
        <f t="shared" si="247"/>
        <v>392</v>
      </c>
      <c r="HY124" s="72">
        <f t="shared" si="248"/>
        <v>1592</v>
      </c>
      <c r="HZ124" s="72">
        <f t="shared" si="249"/>
        <v>2816</v>
      </c>
      <c r="IA124" s="72">
        <f t="shared" si="250"/>
        <v>1929</v>
      </c>
      <c r="IB124" s="74">
        <f t="shared" si="251"/>
        <v>1485</v>
      </c>
      <c r="IC124" s="74">
        <f t="shared" si="252"/>
        <v>50</v>
      </c>
      <c r="ID124" s="74">
        <f t="shared" si="253"/>
        <v>851</v>
      </c>
      <c r="IE124" s="74">
        <f t="shared" si="254"/>
        <v>978</v>
      </c>
      <c r="IF124" s="74">
        <f t="shared" si="255"/>
        <v>515</v>
      </c>
      <c r="IG124" s="74">
        <f t="shared" si="256"/>
        <v>384</v>
      </c>
    </row>
    <row r="125" spans="1:241" outlineLevel="2" x14ac:dyDescent="0.3">
      <c r="A125" s="63" t="s">
        <v>167</v>
      </c>
      <c r="B125" s="58"/>
      <c r="C125" s="58"/>
      <c r="D125" s="58"/>
      <c r="E125" s="207"/>
      <c r="F125" s="58"/>
      <c r="G125" s="207"/>
      <c r="H125" s="207"/>
      <c r="I125" s="207"/>
      <c r="J125" s="207"/>
      <c r="K125" s="207"/>
      <c r="L125" s="207"/>
      <c r="M125" s="20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208"/>
      <c r="BL125" s="208"/>
      <c r="BM125" s="208"/>
      <c r="BN125" s="208"/>
      <c r="BO125" s="208"/>
      <c r="BP125" s="208"/>
      <c r="BQ125" s="208"/>
      <c r="BR125" s="208"/>
      <c r="BS125" s="208"/>
      <c r="BT125" s="208"/>
      <c r="BU125" s="208"/>
      <c r="BV125" s="208"/>
      <c r="BW125" s="208"/>
      <c r="BX125" s="208"/>
      <c r="BY125" s="208"/>
      <c r="BZ125" s="208"/>
      <c r="CA125" s="208"/>
      <c r="CB125" s="208"/>
      <c r="CC125" s="208"/>
      <c r="CD125" s="208"/>
      <c r="CE125" s="208"/>
      <c r="CF125" s="208"/>
      <c r="CG125" s="208"/>
      <c r="CH125" s="208"/>
      <c r="CI125" s="208"/>
      <c r="CJ125" s="208"/>
      <c r="CK125" s="208"/>
      <c r="CL125" s="208">
        <v>6236</v>
      </c>
      <c r="CM125" s="208">
        <v>7554</v>
      </c>
      <c r="CN125" s="208">
        <v>12786</v>
      </c>
      <c r="CO125" s="208">
        <v>14005</v>
      </c>
      <c r="CP125" s="208">
        <v>4645</v>
      </c>
      <c r="CQ125" s="208">
        <v>15000</v>
      </c>
      <c r="CR125" s="208">
        <v>15644</v>
      </c>
      <c r="CS125" s="208">
        <v>8583</v>
      </c>
      <c r="CT125" s="208"/>
      <c r="CU125" s="208">
        <v>1661</v>
      </c>
      <c r="CV125" s="208">
        <v>7275</v>
      </c>
      <c r="CW125" s="208">
        <v>8502</v>
      </c>
      <c r="CX125" s="208">
        <v>10853</v>
      </c>
      <c r="CY125" s="208">
        <v>18676</v>
      </c>
      <c r="CZ125" s="208">
        <v>20621</v>
      </c>
      <c r="DA125" s="208">
        <v>21022</v>
      </c>
      <c r="DB125" s="208">
        <v>11818</v>
      </c>
      <c r="DC125" s="208">
        <v>19056</v>
      </c>
      <c r="DD125" s="208">
        <v>16702</v>
      </c>
      <c r="DE125" s="208">
        <v>19100</v>
      </c>
      <c r="DF125" s="208">
        <v>16111</v>
      </c>
      <c r="DG125" s="208">
        <v>11050</v>
      </c>
      <c r="DH125" s="208">
        <v>15015</v>
      </c>
      <c r="DI125" s="208">
        <v>15016</v>
      </c>
      <c r="DJ125" s="208">
        <v>16750</v>
      </c>
      <c r="DK125" s="208">
        <v>14441</v>
      </c>
      <c r="DL125" s="208">
        <v>16331</v>
      </c>
      <c r="DM125" s="208">
        <v>14214</v>
      </c>
      <c r="DN125" s="208">
        <v>7797</v>
      </c>
      <c r="DO125" s="208">
        <v>19319</v>
      </c>
      <c r="DP125" s="208">
        <v>18121</v>
      </c>
      <c r="DQ125" s="208">
        <v>22622</v>
      </c>
      <c r="DR125" s="208">
        <v>19019</v>
      </c>
      <c r="DS125" s="208">
        <v>18718</v>
      </c>
      <c r="DT125" s="208">
        <v>24024</v>
      </c>
      <c r="DU125" s="208">
        <v>22022</v>
      </c>
      <c r="DV125" s="208">
        <v>22322</v>
      </c>
      <c r="DW125" s="208">
        <v>25857</v>
      </c>
      <c r="DX125" s="208">
        <v>23323</v>
      </c>
      <c r="DY125" s="208">
        <v>24025</v>
      </c>
      <c r="DZ125" s="208">
        <v>15184</v>
      </c>
      <c r="EA125" s="208">
        <v>28634</v>
      </c>
      <c r="EB125" s="208">
        <v>24600</v>
      </c>
      <c r="EC125" s="208">
        <v>21501</v>
      </c>
      <c r="ED125" s="208">
        <v>23216</v>
      </c>
      <c r="EE125" s="208">
        <v>18766</v>
      </c>
      <c r="EF125" s="208">
        <v>19391</v>
      </c>
      <c r="EG125" s="208">
        <v>20002</v>
      </c>
      <c r="EH125" s="208">
        <v>19219</v>
      </c>
      <c r="EI125" s="208">
        <v>20022</v>
      </c>
      <c r="EJ125" s="208">
        <v>24351</v>
      </c>
      <c r="EK125" s="208">
        <v>22762</v>
      </c>
      <c r="EL125" s="208">
        <v>12536</v>
      </c>
      <c r="EM125" s="208">
        <v>23769</v>
      </c>
      <c r="EN125" s="208">
        <v>20200</v>
      </c>
      <c r="EO125" s="208">
        <v>21400</v>
      </c>
      <c r="EP125" s="208">
        <v>19968</v>
      </c>
      <c r="EQ125" s="208">
        <v>19500</v>
      </c>
      <c r="ER125" s="208">
        <v>21300</v>
      </c>
      <c r="ES125" s="208">
        <v>20507</v>
      </c>
      <c r="ET125" s="208">
        <v>22523</v>
      </c>
      <c r="EU125" s="208">
        <v>23523</v>
      </c>
      <c r="EV125" s="208">
        <v>22753</v>
      </c>
      <c r="EW125" s="208">
        <v>20600</v>
      </c>
      <c r="EX125" s="208">
        <v>8957</v>
      </c>
      <c r="EY125" s="208">
        <v>25025</v>
      </c>
      <c r="EZ125" s="208">
        <v>25026</v>
      </c>
      <c r="FA125" s="208">
        <v>25525</v>
      </c>
      <c r="FB125" s="208">
        <v>23623</v>
      </c>
      <c r="FC125" s="208">
        <v>22315</v>
      </c>
      <c r="FD125" s="208">
        <v>20625</v>
      </c>
      <c r="FE125" s="208">
        <v>22135</v>
      </c>
      <c r="FF125" s="208">
        <v>19608</v>
      </c>
      <c r="FG125" s="208">
        <v>22700</v>
      </c>
      <c r="FH125" s="208">
        <v>29556</v>
      </c>
      <c r="FI125" s="208">
        <v>25489</v>
      </c>
      <c r="FJ125" s="208">
        <v>18659</v>
      </c>
      <c r="FK125" s="43"/>
      <c r="FL125" s="43"/>
      <c r="FM125" s="43"/>
      <c r="FN125" s="67">
        <f t="shared" si="261"/>
        <v>0</v>
      </c>
      <c r="FO125" s="67">
        <f t="shared" si="262"/>
        <v>0</v>
      </c>
      <c r="FP125" s="67">
        <f t="shared" si="263"/>
        <v>0</v>
      </c>
      <c r="FQ125" s="67">
        <f t="shared" si="264"/>
        <v>0</v>
      </c>
      <c r="FR125" s="67">
        <f t="shared" si="265"/>
        <v>0</v>
      </c>
      <c r="FS125" s="67">
        <f t="shared" si="266"/>
        <v>0</v>
      </c>
      <c r="FT125" s="67">
        <f t="shared" si="267"/>
        <v>0</v>
      </c>
      <c r="FU125" s="67">
        <f t="shared" si="268"/>
        <v>0</v>
      </c>
      <c r="FV125" s="67">
        <f t="shared" si="269"/>
        <v>0</v>
      </c>
      <c r="FW125" s="67">
        <f t="shared" si="270"/>
        <v>0</v>
      </c>
      <c r="FX125" s="67">
        <f t="shared" si="271"/>
        <v>0</v>
      </c>
      <c r="FY125" s="67">
        <f t="shared" si="272"/>
        <v>0</v>
      </c>
      <c r="FZ125" s="67">
        <f t="shared" si="273"/>
        <v>0</v>
      </c>
      <c r="GA125" s="67">
        <f t="shared" si="274"/>
        <v>0</v>
      </c>
      <c r="GB125" s="67">
        <f t="shared" si="275"/>
        <v>0</v>
      </c>
      <c r="GC125" s="67">
        <f t="shared" si="276"/>
        <v>0</v>
      </c>
      <c r="GD125" s="67">
        <f t="shared" si="277"/>
        <v>0</v>
      </c>
      <c r="GE125" s="67">
        <f t="shared" si="278"/>
        <v>0</v>
      </c>
      <c r="GF125" s="67">
        <f t="shared" si="279"/>
        <v>0</v>
      </c>
      <c r="GG125" s="67">
        <f t="shared" si="280"/>
        <v>0</v>
      </c>
      <c r="GH125" s="67">
        <f t="shared" si="281"/>
        <v>0</v>
      </c>
      <c r="GI125" s="67">
        <f t="shared" si="282"/>
        <v>0</v>
      </c>
      <c r="GJ125" s="67">
        <f t="shared" si="283"/>
        <v>0</v>
      </c>
      <c r="GK125" s="67">
        <f t="shared" si="284"/>
        <v>0</v>
      </c>
      <c r="GL125" s="67">
        <f t="shared" si="285"/>
        <v>0</v>
      </c>
      <c r="GM125" s="67">
        <f t="shared" si="286"/>
        <v>0</v>
      </c>
      <c r="GN125" s="67">
        <f t="shared" si="287"/>
        <v>0</v>
      </c>
      <c r="GO125" s="67">
        <f t="shared" si="288"/>
        <v>0</v>
      </c>
      <c r="GP125" s="67">
        <f t="shared" si="289"/>
        <v>0</v>
      </c>
      <c r="GQ125" s="67">
        <f t="shared" si="290"/>
        <v>13790</v>
      </c>
      <c r="GR125" s="67">
        <f t="shared" si="291"/>
        <v>31436</v>
      </c>
      <c r="GS125" s="67">
        <f t="shared" si="292"/>
        <v>39227</v>
      </c>
      <c r="GT125" s="67">
        <f t="shared" si="293"/>
        <v>8936</v>
      </c>
      <c r="GU125" s="67">
        <f t="shared" si="294"/>
        <v>38031</v>
      </c>
      <c r="GV125" s="67">
        <f t="shared" si="295"/>
        <v>53461</v>
      </c>
      <c r="GW125" s="67">
        <f t="shared" si="296"/>
        <v>54858</v>
      </c>
      <c r="GX125" s="67">
        <f t="shared" si="297"/>
        <v>42176</v>
      </c>
      <c r="GY125" s="67">
        <f t="shared" si="298"/>
        <v>46207</v>
      </c>
      <c r="GZ125" s="67">
        <f t="shared" si="299"/>
        <v>38342</v>
      </c>
      <c r="HA125" s="67">
        <f t="shared" si="300"/>
        <v>60062</v>
      </c>
      <c r="HB125" s="67">
        <f t="shared" si="301"/>
        <v>61761</v>
      </c>
      <c r="HC125" s="67">
        <f t="shared" si="302"/>
        <v>70201</v>
      </c>
      <c r="HD125" s="67">
        <f t="shared" si="303"/>
        <v>62532</v>
      </c>
      <c r="HE125" s="67">
        <f t="shared" si="304"/>
        <v>74735</v>
      </c>
      <c r="HF125" s="67">
        <f t="shared" si="305"/>
        <v>61373</v>
      </c>
      <c r="HG125" s="67">
        <f t="shared" si="306"/>
        <v>59243</v>
      </c>
      <c r="HH125" s="67">
        <f t="shared" si="307"/>
        <v>59649</v>
      </c>
      <c r="HI125" s="67">
        <f t="shared" si="308"/>
        <v>65369</v>
      </c>
      <c r="HJ125" s="210">
        <f t="shared" si="309"/>
        <v>60768</v>
      </c>
      <c r="HK125" s="210">
        <f t="shared" si="310"/>
        <v>66553</v>
      </c>
      <c r="HL125" s="210">
        <f t="shared" si="311"/>
        <v>52310</v>
      </c>
      <c r="HM125" s="210">
        <f t="shared" si="312"/>
        <v>75576</v>
      </c>
      <c r="HN125" s="210">
        <f t="shared" si="313"/>
        <v>66563</v>
      </c>
      <c r="HO125" s="210">
        <f t="shared" si="314"/>
        <v>64443</v>
      </c>
      <c r="HP125" s="210">
        <f t="shared" si="315"/>
        <v>73704</v>
      </c>
      <c r="HQ125" s="60"/>
      <c r="HR125" s="43"/>
      <c r="HS125" s="43"/>
      <c r="HT125" s="43"/>
      <c r="HU125" s="211">
        <f t="shared" si="244"/>
        <v>0</v>
      </c>
      <c r="HV125" s="211">
        <f t="shared" si="245"/>
        <v>0</v>
      </c>
      <c r="HW125" s="211">
        <f t="shared" si="246"/>
        <v>0</v>
      </c>
      <c r="HX125" s="212">
        <f t="shared" si="247"/>
        <v>0</v>
      </c>
      <c r="HY125" s="58">
        <f t="shared" si="248"/>
        <v>0</v>
      </c>
      <c r="HZ125" s="58">
        <f t="shared" si="249"/>
        <v>0</v>
      </c>
      <c r="IA125" s="58">
        <f t="shared" si="250"/>
        <v>0</v>
      </c>
      <c r="IB125" s="64">
        <f t="shared" si="251"/>
        <v>84453</v>
      </c>
      <c r="IC125" s="64">
        <f t="shared" si="252"/>
        <v>155286</v>
      </c>
      <c r="ID125" s="64">
        <f t="shared" si="253"/>
        <v>186787</v>
      </c>
      <c r="IE125" s="64">
        <f t="shared" si="254"/>
        <v>269229</v>
      </c>
      <c r="IF125" s="64">
        <f t="shared" si="255"/>
        <v>245634</v>
      </c>
      <c r="IG125" s="64">
        <f t="shared" si="256"/>
        <v>255207</v>
      </c>
    </row>
    <row r="126" spans="1:241" outlineLevel="2" x14ac:dyDescent="0.3">
      <c r="A126" s="71" t="s">
        <v>150</v>
      </c>
      <c r="B126" s="72">
        <v>19057</v>
      </c>
      <c r="C126" s="72">
        <v>20211</v>
      </c>
      <c r="D126" s="72">
        <v>19348</v>
      </c>
      <c r="E126" s="213">
        <v>20750</v>
      </c>
      <c r="F126" s="72">
        <v>19729</v>
      </c>
      <c r="G126" s="213">
        <v>22272</v>
      </c>
      <c r="H126" s="213">
        <v>25379</v>
      </c>
      <c r="I126" s="213">
        <v>23369</v>
      </c>
      <c r="J126" s="213">
        <v>21735</v>
      </c>
      <c r="K126" s="213">
        <v>25055</v>
      </c>
      <c r="L126" s="213">
        <v>22385</v>
      </c>
      <c r="M126" s="213">
        <v>24636</v>
      </c>
      <c r="N126" s="72">
        <v>20180</v>
      </c>
      <c r="O126" s="72">
        <v>20873</v>
      </c>
      <c r="P126" s="72">
        <v>15916</v>
      </c>
      <c r="Q126" s="213">
        <v>14503</v>
      </c>
      <c r="R126" s="72">
        <v>14866</v>
      </c>
      <c r="S126" s="72">
        <v>18019</v>
      </c>
      <c r="T126" s="72">
        <v>22034</v>
      </c>
      <c r="U126" s="72">
        <v>16249</v>
      </c>
      <c r="V126" s="72">
        <v>15881</v>
      </c>
      <c r="W126" s="72">
        <v>19236</v>
      </c>
      <c r="X126" s="72">
        <v>18766</v>
      </c>
      <c r="Y126" s="72">
        <v>22898</v>
      </c>
      <c r="Z126" s="72">
        <v>17857</v>
      </c>
      <c r="AA126" s="72">
        <v>17831</v>
      </c>
      <c r="AB126" s="72">
        <v>16492</v>
      </c>
      <c r="AC126" s="72">
        <v>14348</v>
      </c>
      <c r="AD126" s="72">
        <v>13911</v>
      </c>
      <c r="AE126" s="72">
        <v>19647</v>
      </c>
      <c r="AF126" s="72">
        <v>19029</v>
      </c>
      <c r="AG126" s="72">
        <v>13613</v>
      </c>
      <c r="AH126" s="72">
        <v>17082</v>
      </c>
      <c r="AI126" s="72">
        <v>18550</v>
      </c>
      <c r="AJ126" s="72">
        <v>17805</v>
      </c>
      <c r="AK126" s="72">
        <v>20672</v>
      </c>
      <c r="AL126" s="72">
        <v>17941</v>
      </c>
      <c r="AM126" s="72">
        <v>16980</v>
      </c>
      <c r="AN126" s="72">
        <v>14433</v>
      </c>
      <c r="AO126" s="72">
        <v>13204</v>
      </c>
      <c r="AP126" s="72">
        <v>13307</v>
      </c>
      <c r="AQ126" s="72">
        <v>18717</v>
      </c>
      <c r="AR126" s="72">
        <v>22664</v>
      </c>
      <c r="AS126" s="72">
        <v>18686</v>
      </c>
      <c r="AT126" s="72">
        <v>17310</v>
      </c>
      <c r="AU126" s="72">
        <v>21034</v>
      </c>
      <c r="AV126" s="72">
        <v>22612</v>
      </c>
      <c r="AW126" s="72">
        <v>25436</v>
      </c>
      <c r="AX126" s="72">
        <v>21484</v>
      </c>
      <c r="AY126" s="72">
        <v>18648</v>
      </c>
      <c r="AZ126" s="72">
        <v>15775</v>
      </c>
      <c r="BA126" s="72">
        <v>15962</v>
      </c>
      <c r="BB126" s="72">
        <v>17119</v>
      </c>
      <c r="BC126" s="72">
        <v>19206</v>
      </c>
      <c r="BD126" s="72">
        <v>23399</v>
      </c>
      <c r="BE126" s="72">
        <v>12410</v>
      </c>
      <c r="BF126" s="72">
        <v>15957</v>
      </c>
      <c r="BG126" s="72">
        <v>19217</v>
      </c>
      <c r="BH126" s="72">
        <v>19529</v>
      </c>
      <c r="BI126" s="72">
        <v>23827</v>
      </c>
      <c r="BJ126" s="72">
        <v>18363</v>
      </c>
      <c r="BK126" s="214">
        <v>19331</v>
      </c>
      <c r="BL126" s="214">
        <v>15388</v>
      </c>
      <c r="BM126" s="214">
        <v>19152</v>
      </c>
      <c r="BN126" s="214">
        <v>18255</v>
      </c>
      <c r="BO126" s="214">
        <v>24109</v>
      </c>
      <c r="BP126" s="214">
        <v>22040</v>
      </c>
      <c r="BQ126" s="214">
        <v>14958</v>
      </c>
      <c r="BR126" s="214">
        <v>14514</v>
      </c>
      <c r="BS126" s="214">
        <v>22235</v>
      </c>
      <c r="BT126" s="214">
        <v>20977</v>
      </c>
      <c r="BU126" s="214">
        <v>24593</v>
      </c>
      <c r="BV126" s="214">
        <v>20371</v>
      </c>
      <c r="BW126" s="214">
        <v>19295</v>
      </c>
      <c r="BX126" s="214">
        <v>16408</v>
      </c>
      <c r="BY126" s="214">
        <v>17879</v>
      </c>
      <c r="BZ126" s="214">
        <v>17892</v>
      </c>
      <c r="CA126" s="214">
        <v>19885</v>
      </c>
      <c r="CB126" s="214">
        <v>22279</v>
      </c>
      <c r="CC126" s="214">
        <v>15049</v>
      </c>
      <c r="CD126" s="214">
        <v>13891</v>
      </c>
      <c r="CE126" s="214">
        <v>22263</v>
      </c>
      <c r="CF126" s="214">
        <v>24349</v>
      </c>
      <c r="CG126" s="214">
        <v>25801</v>
      </c>
      <c r="CH126" s="214">
        <v>18848</v>
      </c>
      <c r="CI126" s="214">
        <v>19524</v>
      </c>
      <c r="CJ126" s="214">
        <v>17723</v>
      </c>
      <c r="CK126" s="214">
        <v>16003</v>
      </c>
      <c r="CL126" s="214">
        <v>13037</v>
      </c>
      <c r="CM126" s="214">
        <v>13858</v>
      </c>
      <c r="CN126" s="214">
        <v>17785</v>
      </c>
      <c r="CO126" s="214">
        <v>14161</v>
      </c>
      <c r="CP126" s="214">
        <v>15225</v>
      </c>
      <c r="CQ126" s="214">
        <v>19455</v>
      </c>
      <c r="CR126" s="214">
        <v>10675</v>
      </c>
      <c r="CS126" s="214">
        <v>3111</v>
      </c>
      <c r="CT126" s="214"/>
      <c r="CU126" s="214">
        <v>3745</v>
      </c>
      <c r="CV126" s="214">
        <v>7958</v>
      </c>
      <c r="CW126" s="214">
        <v>10898</v>
      </c>
      <c r="CX126" s="214">
        <v>13407</v>
      </c>
      <c r="CY126" s="214">
        <v>14663</v>
      </c>
      <c r="CZ126" s="214">
        <v>18317</v>
      </c>
      <c r="DA126" s="214">
        <v>17971</v>
      </c>
      <c r="DB126" s="214">
        <v>16050</v>
      </c>
      <c r="DC126" s="214">
        <v>20498</v>
      </c>
      <c r="DD126" s="214">
        <v>15380</v>
      </c>
      <c r="DE126" s="214">
        <v>16643</v>
      </c>
      <c r="DF126" s="214">
        <v>18186</v>
      </c>
      <c r="DG126" s="214">
        <v>7748</v>
      </c>
      <c r="DH126" s="214">
        <v>16636</v>
      </c>
      <c r="DI126" s="214">
        <v>20797</v>
      </c>
      <c r="DJ126" s="214">
        <v>15786</v>
      </c>
      <c r="DK126" s="214">
        <v>12863</v>
      </c>
      <c r="DL126" s="214">
        <v>20034</v>
      </c>
      <c r="DM126" s="214">
        <v>19384</v>
      </c>
      <c r="DN126" s="214">
        <v>17469</v>
      </c>
      <c r="DO126" s="214">
        <v>19848</v>
      </c>
      <c r="DP126" s="214">
        <v>27551</v>
      </c>
      <c r="DQ126" s="214">
        <v>27380</v>
      </c>
      <c r="DR126" s="214">
        <v>22168</v>
      </c>
      <c r="DS126" s="214">
        <v>26632</v>
      </c>
      <c r="DT126" s="214">
        <v>26620</v>
      </c>
      <c r="DU126" s="214">
        <v>27854</v>
      </c>
      <c r="DV126" s="214">
        <v>29516</v>
      </c>
      <c r="DW126" s="214">
        <v>34262</v>
      </c>
      <c r="DX126" s="214">
        <v>32226</v>
      </c>
      <c r="DY126" s="214">
        <v>30238</v>
      </c>
      <c r="DZ126" s="214">
        <v>28333</v>
      </c>
      <c r="EA126" s="214">
        <v>32915</v>
      </c>
      <c r="EB126" s="214">
        <v>30221</v>
      </c>
      <c r="EC126" s="214">
        <v>35976</v>
      </c>
      <c r="ED126" s="214">
        <v>34694</v>
      </c>
      <c r="EE126" s="214">
        <v>32883</v>
      </c>
      <c r="EF126" s="214">
        <v>32585</v>
      </c>
      <c r="EG126" s="214">
        <v>36205</v>
      </c>
      <c r="EH126" s="214">
        <v>37270</v>
      </c>
      <c r="EI126" s="214">
        <v>41267</v>
      </c>
      <c r="EJ126" s="214">
        <v>43708</v>
      </c>
      <c r="EK126" s="214">
        <v>39981</v>
      </c>
      <c r="EL126" s="214">
        <v>35171</v>
      </c>
      <c r="EM126" s="214">
        <v>43068</v>
      </c>
      <c r="EN126" s="214">
        <v>42401</v>
      </c>
      <c r="EO126" s="214">
        <v>40631</v>
      </c>
      <c r="EP126" s="214">
        <v>41008</v>
      </c>
      <c r="EQ126" s="214">
        <v>43218</v>
      </c>
      <c r="ER126" s="214">
        <v>40022</v>
      </c>
      <c r="ES126" s="214">
        <v>41623</v>
      </c>
      <c r="ET126" s="214">
        <v>43277</v>
      </c>
      <c r="EU126" s="214">
        <v>51062</v>
      </c>
      <c r="EV126" s="214">
        <v>54504</v>
      </c>
      <c r="EW126" s="214">
        <v>46222</v>
      </c>
      <c r="EX126" s="214">
        <v>41424</v>
      </c>
      <c r="EY126" s="214">
        <v>50659</v>
      </c>
      <c r="EZ126" s="214">
        <v>50420</v>
      </c>
      <c r="FA126" s="214">
        <v>48048</v>
      </c>
      <c r="FB126" s="214">
        <v>52330</v>
      </c>
      <c r="FC126" s="214">
        <v>52431</v>
      </c>
      <c r="FD126" s="214">
        <v>47306</v>
      </c>
      <c r="FE126" s="214">
        <v>49871</v>
      </c>
      <c r="FF126" s="214">
        <v>39399</v>
      </c>
      <c r="FG126" s="214">
        <v>56233</v>
      </c>
      <c r="FH126" s="214">
        <v>71624</v>
      </c>
      <c r="FI126" s="214">
        <v>56336</v>
      </c>
      <c r="FJ126" s="214">
        <v>50946</v>
      </c>
      <c r="FK126" s="43"/>
      <c r="FL126" s="43"/>
      <c r="FM126" s="43"/>
      <c r="FN126" s="76">
        <f t="shared" si="261"/>
        <v>58616</v>
      </c>
      <c r="FO126" s="76">
        <f t="shared" si="262"/>
        <v>62751</v>
      </c>
      <c r="FP126" s="76">
        <f t="shared" si="263"/>
        <v>70483</v>
      </c>
      <c r="FQ126" s="76">
        <f t="shared" si="264"/>
        <v>72076</v>
      </c>
      <c r="FR126" s="76">
        <f t="shared" si="265"/>
        <v>56969</v>
      </c>
      <c r="FS126" s="76">
        <f t="shared" si="266"/>
        <v>47388</v>
      </c>
      <c r="FT126" s="76">
        <f t="shared" si="267"/>
        <v>54164</v>
      </c>
      <c r="FU126" s="76">
        <f t="shared" si="268"/>
        <v>60900</v>
      </c>
      <c r="FV126" s="76">
        <f t="shared" si="269"/>
        <v>52180</v>
      </c>
      <c r="FW126" s="76">
        <f t="shared" si="270"/>
        <v>47906</v>
      </c>
      <c r="FX126" s="76">
        <f t="shared" si="271"/>
        <v>49724</v>
      </c>
      <c r="FY126" s="76">
        <f t="shared" si="272"/>
        <v>57027</v>
      </c>
      <c r="FZ126" s="76">
        <f t="shared" si="273"/>
        <v>49354</v>
      </c>
      <c r="GA126" s="76">
        <f t="shared" si="274"/>
        <v>45228</v>
      </c>
      <c r="GB126" s="76">
        <f t="shared" si="275"/>
        <v>58660</v>
      </c>
      <c r="GC126" s="76">
        <f t="shared" si="276"/>
        <v>69082</v>
      </c>
      <c r="GD126" s="76">
        <f t="shared" si="277"/>
        <v>55907</v>
      </c>
      <c r="GE126" s="76">
        <f t="shared" si="278"/>
        <v>52287</v>
      </c>
      <c r="GF126" s="76">
        <f t="shared" si="279"/>
        <v>51766</v>
      </c>
      <c r="GG126" s="76">
        <f t="shared" si="280"/>
        <v>62573</v>
      </c>
      <c r="GH126" s="76">
        <f t="shared" si="281"/>
        <v>53082</v>
      </c>
      <c r="GI126" s="76">
        <f t="shared" si="282"/>
        <v>61516</v>
      </c>
      <c r="GJ126" s="76">
        <f t="shared" si="283"/>
        <v>51512</v>
      </c>
      <c r="GK126" s="76">
        <f t="shared" si="284"/>
        <v>67805</v>
      </c>
      <c r="GL126" s="76">
        <f t="shared" si="285"/>
        <v>56074</v>
      </c>
      <c r="GM126" s="76">
        <f t="shared" si="286"/>
        <v>55656</v>
      </c>
      <c r="GN126" s="76">
        <f t="shared" si="287"/>
        <v>51219</v>
      </c>
      <c r="GO126" s="76">
        <f t="shared" si="288"/>
        <v>72413</v>
      </c>
      <c r="GP126" s="76">
        <f t="shared" si="289"/>
        <v>56095</v>
      </c>
      <c r="GQ126" s="76">
        <f t="shared" si="290"/>
        <v>42898</v>
      </c>
      <c r="GR126" s="76">
        <f t="shared" si="291"/>
        <v>47171</v>
      </c>
      <c r="GS126" s="76">
        <f t="shared" si="292"/>
        <v>33241</v>
      </c>
      <c r="GT126" s="76">
        <f t="shared" si="293"/>
        <v>11703</v>
      </c>
      <c r="GU126" s="76">
        <f t="shared" si="294"/>
        <v>38968</v>
      </c>
      <c r="GV126" s="76">
        <f t="shared" si="295"/>
        <v>52338</v>
      </c>
      <c r="GW126" s="76">
        <f t="shared" si="296"/>
        <v>52521</v>
      </c>
      <c r="GX126" s="76">
        <f t="shared" si="297"/>
        <v>42570</v>
      </c>
      <c r="GY126" s="76">
        <f t="shared" si="298"/>
        <v>49446</v>
      </c>
      <c r="GZ126" s="76">
        <f t="shared" si="299"/>
        <v>56887</v>
      </c>
      <c r="HA126" s="76">
        <f t="shared" si="300"/>
        <v>74779</v>
      </c>
      <c r="HB126" s="76">
        <f t="shared" si="301"/>
        <v>75420</v>
      </c>
      <c r="HC126" s="76">
        <f t="shared" si="302"/>
        <v>91632</v>
      </c>
      <c r="HD126" s="76">
        <f t="shared" si="303"/>
        <v>90797</v>
      </c>
      <c r="HE126" s="76">
        <f t="shared" si="304"/>
        <v>99112</v>
      </c>
      <c r="HF126" s="76">
        <f t="shared" si="305"/>
        <v>100162</v>
      </c>
      <c r="HG126" s="76">
        <f t="shared" si="306"/>
        <v>114742</v>
      </c>
      <c r="HH126" s="76">
        <f t="shared" si="307"/>
        <v>118860</v>
      </c>
      <c r="HI126" s="76">
        <f t="shared" si="308"/>
        <v>126100</v>
      </c>
      <c r="HJ126" s="215">
        <f t="shared" si="309"/>
        <v>124248</v>
      </c>
      <c r="HK126" s="215">
        <f t="shared" si="310"/>
        <v>135962</v>
      </c>
      <c r="HL126" s="215">
        <f t="shared" si="311"/>
        <v>142150</v>
      </c>
      <c r="HM126" s="215">
        <f t="shared" si="312"/>
        <v>149127</v>
      </c>
      <c r="HN126" s="215">
        <f t="shared" si="313"/>
        <v>152067</v>
      </c>
      <c r="HO126" s="215">
        <f t="shared" si="314"/>
        <v>145503</v>
      </c>
      <c r="HP126" s="215">
        <f t="shared" si="315"/>
        <v>178906</v>
      </c>
      <c r="HQ126" s="77"/>
      <c r="HR126" s="43"/>
      <c r="HS126" s="43"/>
      <c r="HT126" s="43"/>
      <c r="HU126" s="216">
        <f t="shared" si="244"/>
        <v>263926</v>
      </c>
      <c r="HV126" s="216">
        <f t="shared" si="245"/>
        <v>219421</v>
      </c>
      <c r="HW126" s="216">
        <f t="shared" si="246"/>
        <v>206837</v>
      </c>
      <c r="HX126" s="217">
        <f t="shared" si="247"/>
        <v>222324</v>
      </c>
      <c r="HY126" s="72">
        <f t="shared" si="248"/>
        <v>222533</v>
      </c>
      <c r="HZ126" s="72">
        <f t="shared" si="249"/>
        <v>233915</v>
      </c>
      <c r="IA126" s="72">
        <f t="shared" si="250"/>
        <v>235362</v>
      </c>
      <c r="IB126" s="74">
        <f t="shared" si="251"/>
        <v>179405</v>
      </c>
      <c r="IC126" s="74">
        <f t="shared" si="252"/>
        <v>155530</v>
      </c>
      <c r="ID126" s="74">
        <f t="shared" si="253"/>
        <v>223682</v>
      </c>
      <c r="IE126" s="74">
        <f t="shared" si="254"/>
        <v>356961</v>
      </c>
      <c r="IF126" s="74">
        <f t="shared" si="255"/>
        <v>459864</v>
      </c>
      <c r="IG126" s="74">
        <f t="shared" si="256"/>
        <v>551487</v>
      </c>
    </row>
    <row r="127" spans="1:241" outlineLevel="2" x14ac:dyDescent="0.3">
      <c r="A127" s="63" t="s">
        <v>152</v>
      </c>
      <c r="B127" s="58">
        <v>5593</v>
      </c>
      <c r="C127" s="58">
        <v>7734</v>
      </c>
      <c r="D127" s="58">
        <v>5638</v>
      </c>
      <c r="E127" s="207">
        <v>7294</v>
      </c>
      <c r="F127" s="58">
        <v>6883</v>
      </c>
      <c r="G127" s="207">
        <v>7224</v>
      </c>
      <c r="H127" s="207">
        <v>7400</v>
      </c>
      <c r="I127" s="207">
        <v>7439</v>
      </c>
      <c r="J127" s="207">
        <v>5447</v>
      </c>
      <c r="K127" s="207">
        <v>6095</v>
      </c>
      <c r="L127" s="207">
        <v>5957</v>
      </c>
      <c r="M127" s="207">
        <v>6488</v>
      </c>
      <c r="N127" s="58">
        <v>5318</v>
      </c>
      <c r="O127" s="58">
        <v>4307</v>
      </c>
      <c r="P127" s="58">
        <v>4997</v>
      </c>
      <c r="Q127" s="207">
        <v>4562</v>
      </c>
      <c r="R127" s="58">
        <v>4563</v>
      </c>
      <c r="S127" s="58">
        <v>2657</v>
      </c>
      <c r="T127" s="58">
        <v>7236</v>
      </c>
      <c r="U127" s="58">
        <v>5840</v>
      </c>
      <c r="V127" s="58">
        <v>5146</v>
      </c>
      <c r="W127" s="58">
        <v>4763</v>
      </c>
      <c r="X127" s="58">
        <v>5231</v>
      </c>
      <c r="Y127" s="58">
        <v>6499</v>
      </c>
      <c r="Z127" s="58">
        <v>5011</v>
      </c>
      <c r="AA127" s="58">
        <v>5253</v>
      </c>
      <c r="AB127" s="58">
        <v>5003</v>
      </c>
      <c r="AC127" s="58">
        <v>5631</v>
      </c>
      <c r="AD127" s="58">
        <v>5491</v>
      </c>
      <c r="AE127" s="58">
        <v>5980</v>
      </c>
      <c r="AF127" s="58">
        <v>6027</v>
      </c>
      <c r="AG127" s="58">
        <v>5515</v>
      </c>
      <c r="AH127" s="58">
        <v>5774</v>
      </c>
      <c r="AI127" s="58">
        <v>6432</v>
      </c>
      <c r="AJ127" s="58">
        <v>5863</v>
      </c>
      <c r="AK127" s="58">
        <v>6218</v>
      </c>
      <c r="AL127" s="58">
        <v>4452</v>
      </c>
      <c r="AM127" s="58">
        <v>5567</v>
      </c>
      <c r="AN127" s="58">
        <v>5531</v>
      </c>
      <c r="AO127" s="58">
        <v>6916</v>
      </c>
      <c r="AP127" s="58">
        <v>7836</v>
      </c>
      <c r="AQ127" s="58">
        <v>6331</v>
      </c>
      <c r="AR127" s="58">
        <v>9435</v>
      </c>
      <c r="AS127" s="58">
        <v>8688</v>
      </c>
      <c r="AT127" s="58">
        <v>9168</v>
      </c>
      <c r="AU127" s="58">
        <v>8114</v>
      </c>
      <c r="AV127" s="58">
        <v>8484</v>
      </c>
      <c r="AW127" s="58">
        <v>13894</v>
      </c>
      <c r="AX127" s="58">
        <v>16044</v>
      </c>
      <c r="AY127" s="58">
        <v>13596</v>
      </c>
      <c r="AZ127" s="58">
        <v>9708</v>
      </c>
      <c r="BA127" s="58">
        <v>17382</v>
      </c>
      <c r="BB127" s="58">
        <v>16806</v>
      </c>
      <c r="BC127" s="58">
        <v>18423</v>
      </c>
      <c r="BD127" s="58">
        <v>18008</v>
      </c>
      <c r="BE127" s="58">
        <v>17215</v>
      </c>
      <c r="BF127" s="58">
        <v>16072</v>
      </c>
      <c r="BG127" s="58">
        <v>16313</v>
      </c>
      <c r="BH127" s="58">
        <v>17863</v>
      </c>
      <c r="BI127" s="58">
        <v>18311</v>
      </c>
      <c r="BJ127" s="58">
        <v>20638</v>
      </c>
      <c r="BK127" s="208">
        <v>22608</v>
      </c>
      <c r="BL127" s="208">
        <v>13879</v>
      </c>
      <c r="BM127" s="208">
        <v>25781</v>
      </c>
      <c r="BN127" s="208">
        <v>21442</v>
      </c>
      <c r="BO127" s="208">
        <v>19900</v>
      </c>
      <c r="BP127" s="208">
        <v>23382</v>
      </c>
      <c r="BQ127" s="208">
        <v>23072</v>
      </c>
      <c r="BR127" s="208">
        <v>19276</v>
      </c>
      <c r="BS127" s="208">
        <v>20693</v>
      </c>
      <c r="BT127" s="208">
        <v>20324</v>
      </c>
      <c r="BU127" s="208">
        <v>22764</v>
      </c>
      <c r="BV127" s="208">
        <v>20804</v>
      </c>
      <c r="BW127" s="208">
        <v>25629</v>
      </c>
      <c r="BX127" s="208">
        <v>19321</v>
      </c>
      <c r="BY127" s="208">
        <v>24505</v>
      </c>
      <c r="BZ127" s="208">
        <v>17971</v>
      </c>
      <c r="CA127" s="208">
        <v>21639</v>
      </c>
      <c r="CB127" s="208">
        <v>20764</v>
      </c>
      <c r="CC127" s="208">
        <v>23512</v>
      </c>
      <c r="CD127" s="208">
        <v>20225</v>
      </c>
      <c r="CE127" s="208">
        <v>22430</v>
      </c>
      <c r="CF127" s="208">
        <v>21834</v>
      </c>
      <c r="CG127" s="208">
        <v>25563</v>
      </c>
      <c r="CH127" s="208">
        <v>22035</v>
      </c>
      <c r="CI127" s="208">
        <v>19152</v>
      </c>
      <c r="CJ127" s="208">
        <v>17797</v>
      </c>
      <c r="CK127" s="208">
        <v>15178</v>
      </c>
      <c r="CL127" s="208">
        <v>18522</v>
      </c>
      <c r="CM127" s="208">
        <v>21526</v>
      </c>
      <c r="CN127" s="208">
        <v>23108</v>
      </c>
      <c r="CO127" s="208">
        <v>23204</v>
      </c>
      <c r="CP127" s="208">
        <v>23808</v>
      </c>
      <c r="CQ127" s="208">
        <v>16460</v>
      </c>
      <c r="CR127" s="208">
        <v>22604</v>
      </c>
      <c r="CS127" s="208">
        <v>11904</v>
      </c>
      <c r="CT127" s="208"/>
      <c r="CU127" s="208">
        <v>3636</v>
      </c>
      <c r="CV127" s="208">
        <v>9764</v>
      </c>
      <c r="CW127" s="208">
        <v>19177</v>
      </c>
      <c r="CX127" s="208">
        <v>21030</v>
      </c>
      <c r="CY127" s="208">
        <v>23699</v>
      </c>
      <c r="CZ127" s="208">
        <v>25396</v>
      </c>
      <c r="DA127" s="208">
        <v>23753</v>
      </c>
      <c r="DB127" s="208">
        <v>25701</v>
      </c>
      <c r="DC127" s="208">
        <v>23887</v>
      </c>
      <c r="DD127" s="208">
        <v>26884</v>
      </c>
      <c r="DE127" s="208">
        <v>26174</v>
      </c>
      <c r="DF127" s="208">
        <v>25484</v>
      </c>
      <c r="DG127" s="208">
        <v>6355</v>
      </c>
      <c r="DH127" s="208">
        <v>28172</v>
      </c>
      <c r="DI127" s="208">
        <v>32272</v>
      </c>
      <c r="DJ127" s="208">
        <v>24337</v>
      </c>
      <c r="DK127" s="208">
        <v>18459</v>
      </c>
      <c r="DL127" s="208">
        <v>27081</v>
      </c>
      <c r="DM127" s="208">
        <v>24574</v>
      </c>
      <c r="DN127" s="208">
        <v>26982</v>
      </c>
      <c r="DO127" s="208">
        <v>26624</v>
      </c>
      <c r="DP127" s="208">
        <v>25360</v>
      </c>
      <c r="DQ127" s="208">
        <v>25001</v>
      </c>
      <c r="DR127" s="208">
        <v>33941</v>
      </c>
      <c r="DS127" s="208">
        <v>28051</v>
      </c>
      <c r="DT127" s="208">
        <v>18860</v>
      </c>
      <c r="DU127" s="208">
        <v>23272</v>
      </c>
      <c r="DV127" s="208">
        <v>26932</v>
      </c>
      <c r="DW127" s="208">
        <v>32574</v>
      </c>
      <c r="DX127" s="208">
        <v>30971</v>
      </c>
      <c r="DY127" s="208">
        <v>32563</v>
      </c>
      <c r="DZ127" s="208">
        <v>33008</v>
      </c>
      <c r="EA127" s="208">
        <v>35353</v>
      </c>
      <c r="EB127" s="208">
        <v>33550</v>
      </c>
      <c r="EC127" s="208">
        <v>37054</v>
      </c>
      <c r="ED127" s="208">
        <v>36754</v>
      </c>
      <c r="EE127" s="208">
        <v>46243</v>
      </c>
      <c r="EF127" s="208">
        <v>43404</v>
      </c>
      <c r="EG127" s="208">
        <v>62049</v>
      </c>
      <c r="EH127" s="208">
        <v>58746</v>
      </c>
      <c r="EI127" s="208">
        <v>59271</v>
      </c>
      <c r="EJ127" s="208">
        <v>59147</v>
      </c>
      <c r="EK127" s="208">
        <v>49016</v>
      </c>
      <c r="EL127" s="208">
        <v>45957</v>
      </c>
      <c r="EM127" s="208">
        <v>62038</v>
      </c>
      <c r="EN127" s="208">
        <v>61234</v>
      </c>
      <c r="EO127" s="208">
        <v>58436</v>
      </c>
      <c r="EP127" s="208">
        <v>56553</v>
      </c>
      <c r="EQ127" s="208">
        <v>54204</v>
      </c>
      <c r="ER127" s="208">
        <v>52373</v>
      </c>
      <c r="ES127" s="208">
        <v>56302</v>
      </c>
      <c r="ET127" s="208">
        <v>62684</v>
      </c>
      <c r="EU127" s="208">
        <v>61549</v>
      </c>
      <c r="EV127" s="208">
        <v>70644</v>
      </c>
      <c r="EW127" s="208">
        <v>59003</v>
      </c>
      <c r="EX127" s="208">
        <v>55651</v>
      </c>
      <c r="EY127" s="208">
        <v>65093</v>
      </c>
      <c r="EZ127" s="208">
        <v>65033</v>
      </c>
      <c r="FA127" s="208">
        <v>61097</v>
      </c>
      <c r="FB127" s="208">
        <v>59022</v>
      </c>
      <c r="FC127" s="208">
        <v>54899</v>
      </c>
      <c r="FD127" s="208">
        <v>47947</v>
      </c>
      <c r="FE127" s="208">
        <v>52773</v>
      </c>
      <c r="FF127" s="208">
        <v>54043</v>
      </c>
      <c r="FG127" s="208">
        <v>48695</v>
      </c>
      <c r="FH127" s="208">
        <v>77571</v>
      </c>
      <c r="FI127" s="208">
        <v>72498</v>
      </c>
      <c r="FJ127" s="208">
        <v>73818</v>
      </c>
      <c r="FK127" s="43"/>
      <c r="FL127" s="43"/>
      <c r="FM127" s="43"/>
      <c r="FN127" s="67">
        <f t="shared" si="261"/>
        <v>18965</v>
      </c>
      <c r="FO127" s="67">
        <f t="shared" si="262"/>
        <v>21401</v>
      </c>
      <c r="FP127" s="67">
        <f t="shared" si="263"/>
        <v>20286</v>
      </c>
      <c r="FQ127" s="67">
        <f t="shared" si="264"/>
        <v>18540</v>
      </c>
      <c r="FR127" s="67">
        <f t="shared" si="265"/>
        <v>14622</v>
      </c>
      <c r="FS127" s="67">
        <f t="shared" si="266"/>
        <v>11782</v>
      </c>
      <c r="FT127" s="67">
        <f t="shared" si="267"/>
        <v>18222</v>
      </c>
      <c r="FU127" s="67">
        <f t="shared" si="268"/>
        <v>16493</v>
      </c>
      <c r="FV127" s="67">
        <f t="shared" si="269"/>
        <v>15267</v>
      </c>
      <c r="FW127" s="67">
        <f t="shared" si="270"/>
        <v>17102</v>
      </c>
      <c r="FX127" s="67">
        <f t="shared" si="271"/>
        <v>17316</v>
      </c>
      <c r="FY127" s="67">
        <f t="shared" si="272"/>
        <v>18513</v>
      </c>
      <c r="FZ127" s="67">
        <f t="shared" si="273"/>
        <v>15550</v>
      </c>
      <c r="GA127" s="67">
        <f t="shared" si="274"/>
        <v>21083</v>
      </c>
      <c r="GB127" s="67">
        <f t="shared" si="275"/>
        <v>27291</v>
      </c>
      <c r="GC127" s="67">
        <f t="shared" si="276"/>
        <v>30492</v>
      </c>
      <c r="GD127" s="67">
        <f t="shared" si="277"/>
        <v>39348</v>
      </c>
      <c r="GE127" s="67">
        <f t="shared" si="278"/>
        <v>52611</v>
      </c>
      <c r="GF127" s="67">
        <f t="shared" si="279"/>
        <v>51295</v>
      </c>
      <c r="GG127" s="67">
        <f t="shared" si="280"/>
        <v>52487</v>
      </c>
      <c r="GH127" s="67">
        <f t="shared" si="281"/>
        <v>57125</v>
      </c>
      <c r="GI127" s="67">
        <f t="shared" si="282"/>
        <v>67123</v>
      </c>
      <c r="GJ127" s="67">
        <f t="shared" si="283"/>
        <v>65730</v>
      </c>
      <c r="GK127" s="67">
        <f t="shared" si="284"/>
        <v>63781</v>
      </c>
      <c r="GL127" s="67">
        <f t="shared" si="285"/>
        <v>65754</v>
      </c>
      <c r="GM127" s="67">
        <f t="shared" si="286"/>
        <v>64115</v>
      </c>
      <c r="GN127" s="67">
        <f t="shared" si="287"/>
        <v>64501</v>
      </c>
      <c r="GO127" s="67">
        <f t="shared" si="288"/>
        <v>69827</v>
      </c>
      <c r="GP127" s="67">
        <f t="shared" si="289"/>
        <v>58984</v>
      </c>
      <c r="GQ127" s="67">
        <f t="shared" si="290"/>
        <v>55226</v>
      </c>
      <c r="GR127" s="67">
        <f t="shared" si="291"/>
        <v>70120</v>
      </c>
      <c r="GS127" s="67">
        <f t="shared" si="292"/>
        <v>50968</v>
      </c>
      <c r="GT127" s="67">
        <f t="shared" si="293"/>
        <v>13400</v>
      </c>
      <c r="GU127" s="67">
        <f t="shared" si="294"/>
        <v>63906</v>
      </c>
      <c r="GV127" s="67">
        <f t="shared" si="295"/>
        <v>74850</v>
      </c>
      <c r="GW127" s="67">
        <f t="shared" si="296"/>
        <v>76945</v>
      </c>
      <c r="GX127" s="67">
        <f t="shared" si="297"/>
        <v>60011</v>
      </c>
      <c r="GY127" s="67">
        <f t="shared" si="298"/>
        <v>75068</v>
      </c>
      <c r="GZ127" s="67">
        <f t="shared" si="299"/>
        <v>78637</v>
      </c>
      <c r="HA127" s="67">
        <f t="shared" si="300"/>
        <v>76985</v>
      </c>
      <c r="HB127" s="67">
        <f t="shared" si="301"/>
        <v>80852</v>
      </c>
      <c r="HC127" s="67">
        <f t="shared" si="302"/>
        <v>82778</v>
      </c>
      <c r="HD127" s="67">
        <f t="shared" si="303"/>
        <v>96542</v>
      </c>
      <c r="HE127" s="67">
        <f t="shared" si="304"/>
        <v>105957</v>
      </c>
      <c r="HF127" s="67">
        <f t="shared" si="305"/>
        <v>126401</v>
      </c>
      <c r="HG127" s="67">
        <f t="shared" si="306"/>
        <v>180066</v>
      </c>
      <c r="HH127" s="67">
        <f t="shared" si="307"/>
        <v>154120</v>
      </c>
      <c r="HI127" s="67">
        <f t="shared" si="308"/>
        <v>181708</v>
      </c>
      <c r="HJ127" s="210">
        <f t="shared" si="309"/>
        <v>163130</v>
      </c>
      <c r="HK127" s="210">
        <f t="shared" si="310"/>
        <v>180535</v>
      </c>
      <c r="HL127" s="210">
        <f t="shared" si="311"/>
        <v>185298</v>
      </c>
      <c r="HM127" s="210">
        <f t="shared" si="312"/>
        <v>191223</v>
      </c>
      <c r="HN127" s="210">
        <f t="shared" si="313"/>
        <v>161868</v>
      </c>
      <c r="HO127" s="210">
        <f t="shared" si="314"/>
        <v>155511</v>
      </c>
      <c r="HP127" s="210">
        <f t="shared" si="315"/>
        <v>223887</v>
      </c>
      <c r="HQ127" s="60"/>
      <c r="HR127" s="43"/>
      <c r="HS127" s="43"/>
      <c r="HT127" s="43"/>
      <c r="HU127" s="211">
        <f t="shared" si="244"/>
        <v>79192</v>
      </c>
      <c r="HV127" s="211">
        <f t="shared" si="245"/>
        <v>61119</v>
      </c>
      <c r="HW127" s="211">
        <f t="shared" si="246"/>
        <v>68198</v>
      </c>
      <c r="HX127" s="212">
        <f t="shared" si="247"/>
        <v>94416</v>
      </c>
      <c r="HY127" s="58">
        <f t="shared" si="248"/>
        <v>195741</v>
      </c>
      <c r="HZ127" s="58">
        <f t="shared" si="249"/>
        <v>253759</v>
      </c>
      <c r="IA127" s="58">
        <f t="shared" si="250"/>
        <v>264197</v>
      </c>
      <c r="IB127" s="64">
        <f t="shared" si="251"/>
        <v>235298</v>
      </c>
      <c r="IC127" s="64">
        <f t="shared" si="252"/>
        <v>229101</v>
      </c>
      <c r="ID127" s="64">
        <f t="shared" si="253"/>
        <v>290701</v>
      </c>
      <c r="IE127" s="64">
        <f t="shared" si="254"/>
        <v>366129</v>
      </c>
      <c r="IF127" s="64">
        <f t="shared" si="255"/>
        <v>642295</v>
      </c>
      <c r="IG127" s="64">
        <f t="shared" si="256"/>
        <v>720186</v>
      </c>
    </row>
    <row r="128" spans="1:241" outlineLevel="2" x14ac:dyDescent="0.3">
      <c r="A128" s="71" t="s">
        <v>153</v>
      </c>
      <c r="B128" s="72"/>
      <c r="C128" s="72"/>
      <c r="D128" s="72"/>
      <c r="E128" s="213"/>
      <c r="F128" s="72"/>
      <c r="G128" s="213"/>
      <c r="H128" s="213"/>
      <c r="I128" s="213"/>
      <c r="J128" s="213"/>
      <c r="K128" s="213"/>
      <c r="L128" s="213"/>
      <c r="M128" s="213"/>
      <c r="N128" s="72"/>
      <c r="O128" s="72"/>
      <c r="P128" s="72"/>
      <c r="Q128" s="213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214"/>
      <c r="BL128" s="214"/>
      <c r="BM128" s="214"/>
      <c r="BN128" s="214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  <c r="CB128" s="214"/>
      <c r="CC128" s="214"/>
      <c r="CD128" s="214"/>
      <c r="CE128" s="214"/>
      <c r="CF128" s="214"/>
      <c r="CG128" s="214"/>
      <c r="CH128" s="214"/>
      <c r="CI128" s="214"/>
      <c r="CJ128" s="214"/>
      <c r="CK128" s="214">
        <v>1508</v>
      </c>
      <c r="CL128" s="214">
        <v>2018</v>
      </c>
      <c r="CM128" s="214">
        <v>2608</v>
      </c>
      <c r="CN128" s="214">
        <v>3536</v>
      </c>
      <c r="CO128" s="214">
        <v>3239</v>
      </c>
      <c r="CP128" s="214">
        <v>3021</v>
      </c>
      <c r="CQ128" s="214">
        <v>3130</v>
      </c>
      <c r="CR128" s="214">
        <v>1376</v>
      </c>
      <c r="CS128" s="214">
        <v>1518</v>
      </c>
      <c r="CT128" s="214"/>
      <c r="CU128" s="214">
        <v>710</v>
      </c>
      <c r="CV128" s="214">
        <v>2012</v>
      </c>
      <c r="CW128" s="214">
        <v>2105</v>
      </c>
      <c r="CX128" s="214">
        <v>2851</v>
      </c>
      <c r="CY128" s="214">
        <v>2537</v>
      </c>
      <c r="CZ128" s="214">
        <v>3750</v>
      </c>
      <c r="DA128" s="214">
        <v>4163</v>
      </c>
      <c r="DB128" s="214">
        <v>4010</v>
      </c>
      <c r="DC128" s="214">
        <v>3602</v>
      </c>
      <c r="DD128" s="214">
        <v>4329</v>
      </c>
      <c r="DE128" s="214">
        <v>5528</v>
      </c>
      <c r="DF128" s="214">
        <v>2565</v>
      </c>
      <c r="DG128" s="214">
        <v>1016</v>
      </c>
      <c r="DH128" s="214">
        <v>3558</v>
      </c>
      <c r="DI128" s="214">
        <v>4225</v>
      </c>
      <c r="DJ128" s="214">
        <v>4315</v>
      </c>
      <c r="DK128" s="214">
        <v>3241</v>
      </c>
      <c r="DL128" s="214">
        <v>2863</v>
      </c>
      <c r="DM128" s="214">
        <v>2481</v>
      </c>
      <c r="DN128" s="214">
        <v>2550</v>
      </c>
      <c r="DO128" s="214">
        <v>4306</v>
      </c>
      <c r="DP128" s="214">
        <v>4528</v>
      </c>
      <c r="DQ128" s="214">
        <v>4721</v>
      </c>
      <c r="DR128" s="214">
        <v>2008</v>
      </c>
      <c r="DS128" s="214">
        <v>4008</v>
      </c>
      <c r="DT128" s="214">
        <v>4503</v>
      </c>
      <c r="DU128" s="214">
        <v>4013</v>
      </c>
      <c r="DV128" s="214">
        <v>3823</v>
      </c>
      <c r="DW128" s="214">
        <v>3808</v>
      </c>
      <c r="DX128" s="214">
        <v>4367</v>
      </c>
      <c r="DY128" s="214">
        <v>4079</v>
      </c>
      <c r="DZ128" s="214">
        <v>3899</v>
      </c>
      <c r="EA128" s="214">
        <v>4114</v>
      </c>
      <c r="EB128" s="214">
        <v>4193</v>
      </c>
      <c r="EC128" s="214">
        <v>6051</v>
      </c>
      <c r="ED128" s="214">
        <v>4551</v>
      </c>
      <c r="EE128" s="214">
        <v>4276</v>
      </c>
      <c r="EF128" s="214">
        <v>3941</v>
      </c>
      <c r="EG128" s="214">
        <v>3308</v>
      </c>
      <c r="EH128" s="214">
        <v>3113</v>
      </c>
      <c r="EI128" s="214">
        <v>3755</v>
      </c>
      <c r="EJ128" s="214">
        <v>3840</v>
      </c>
      <c r="EK128" s="214">
        <v>3028</v>
      </c>
      <c r="EL128" s="214">
        <v>3145</v>
      </c>
      <c r="EM128" s="214">
        <v>2922</v>
      </c>
      <c r="EN128" s="214">
        <v>3030</v>
      </c>
      <c r="EO128" s="214">
        <v>3292</v>
      </c>
      <c r="EP128" s="214">
        <v>2956</v>
      </c>
      <c r="EQ128" s="214">
        <v>3032</v>
      </c>
      <c r="ER128" s="214">
        <v>2783</v>
      </c>
      <c r="ES128" s="214">
        <v>2900</v>
      </c>
      <c r="ET128" s="214">
        <v>2987</v>
      </c>
      <c r="EU128" s="214">
        <v>2340</v>
      </c>
      <c r="EV128" s="214">
        <v>2167</v>
      </c>
      <c r="EW128" s="214">
        <v>1792</v>
      </c>
      <c r="EX128" s="214">
        <v>2134</v>
      </c>
      <c r="EY128" s="214">
        <v>740</v>
      </c>
      <c r="EZ128" s="214">
        <v>881</v>
      </c>
      <c r="FA128" s="214">
        <v>831</v>
      </c>
      <c r="FB128" s="214">
        <v>1114</v>
      </c>
      <c r="FC128" s="214">
        <v>1182</v>
      </c>
      <c r="FD128" s="214">
        <v>857</v>
      </c>
      <c r="FE128" s="214">
        <v>643</v>
      </c>
      <c r="FF128" s="214">
        <v>574</v>
      </c>
      <c r="FG128" s="214">
        <v>534</v>
      </c>
      <c r="FH128" s="214">
        <v>336</v>
      </c>
      <c r="FI128" s="214">
        <v>432</v>
      </c>
      <c r="FJ128" s="214">
        <v>1259</v>
      </c>
      <c r="FK128" s="43"/>
      <c r="FL128" s="43"/>
      <c r="FM128" s="43"/>
      <c r="FN128" s="76">
        <f t="shared" si="261"/>
        <v>0</v>
      </c>
      <c r="FO128" s="76">
        <f t="shared" si="262"/>
        <v>0</v>
      </c>
      <c r="FP128" s="76">
        <f t="shared" si="263"/>
        <v>0</v>
      </c>
      <c r="FQ128" s="76">
        <f t="shared" si="264"/>
        <v>0</v>
      </c>
      <c r="FR128" s="76">
        <f t="shared" si="265"/>
        <v>0</v>
      </c>
      <c r="FS128" s="76">
        <f t="shared" si="266"/>
        <v>0</v>
      </c>
      <c r="FT128" s="76">
        <f t="shared" si="267"/>
        <v>0</v>
      </c>
      <c r="FU128" s="76">
        <f t="shared" si="268"/>
        <v>0</v>
      </c>
      <c r="FV128" s="76">
        <f t="shared" si="269"/>
        <v>0</v>
      </c>
      <c r="FW128" s="76">
        <f t="shared" si="270"/>
        <v>0</v>
      </c>
      <c r="FX128" s="76">
        <f t="shared" si="271"/>
        <v>0</v>
      </c>
      <c r="FY128" s="76">
        <f t="shared" si="272"/>
        <v>0</v>
      </c>
      <c r="FZ128" s="76">
        <f t="shared" si="273"/>
        <v>0</v>
      </c>
      <c r="GA128" s="76">
        <f t="shared" si="274"/>
        <v>0</v>
      </c>
      <c r="GB128" s="76">
        <f t="shared" si="275"/>
        <v>0</v>
      </c>
      <c r="GC128" s="76">
        <f t="shared" si="276"/>
        <v>0</v>
      </c>
      <c r="GD128" s="76">
        <f t="shared" si="277"/>
        <v>0</v>
      </c>
      <c r="GE128" s="76">
        <f t="shared" si="278"/>
        <v>0</v>
      </c>
      <c r="GF128" s="76">
        <f t="shared" si="279"/>
        <v>0</v>
      </c>
      <c r="GG128" s="76">
        <f t="shared" si="280"/>
        <v>0</v>
      </c>
      <c r="GH128" s="76">
        <f t="shared" si="281"/>
        <v>0</v>
      </c>
      <c r="GI128" s="76">
        <f t="shared" si="282"/>
        <v>0</v>
      </c>
      <c r="GJ128" s="76">
        <f t="shared" si="283"/>
        <v>0</v>
      </c>
      <c r="GK128" s="76">
        <f t="shared" si="284"/>
        <v>0</v>
      </c>
      <c r="GL128" s="76">
        <f t="shared" si="285"/>
        <v>0</v>
      </c>
      <c r="GM128" s="76">
        <f t="shared" si="286"/>
        <v>0</v>
      </c>
      <c r="GN128" s="76">
        <f t="shared" si="287"/>
        <v>0</v>
      </c>
      <c r="GO128" s="76">
        <f t="shared" si="288"/>
        <v>0</v>
      </c>
      <c r="GP128" s="76">
        <f t="shared" si="289"/>
        <v>0</v>
      </c>
      <c r="GQ128" s="76">
        <f t="shared" si="290"/>
        <v>6134</v>
      </c>
      <c r="GR128" s="76">
        <f t="shared" si="291"/>
        <v>9796</v>
      </c>
      <c r="GS128" s="76">
        <f t="shared" si="292"/>
        <v>6024</v>
      </c>
      <c r="GT128" s="76">
        <f t="shared" si="293"/>
        <v>2722</v>
      </c>
      <c r="GU128" s="76">
        <f t="shared" si="294"/>
        <v>7493</v>
      </c>
      <c r="GV128" s="76">
        <f t="shared" si="295"/>
        <v>11923</v>
      </c>
      <c r="GW128" s="76">
        <f t="shared" si="296"/>
        <v>13459</v>
      </c>
      <c r="GX128" s="76">
        <f t="shared" si="297"/>
        <v>7139</v>
      </c>
      <c r="GY128" s="76">
        <f t="shared" si="298"/>
        <v>11781</v>
      </c>
      <c r="GZ128" s="76">
        <f t="shared" si="299"/>
        <v>7894</v>
      </c>
      <c r="HA128" s="76">
        <f t="shared" si="300"/>
        <v>13555</v>
      </c>
      <c r="HB128" s="76">
        <f t="shared" si="301"/>
        <v>10519</v>
      </c>
      <c r="HC128" s="76">
        <f t="shared" si="302"/>
        <v>11644</v>
      </c>
      <c r="HD128" s="76">
        <f t="shared" si="303"/>
        <v>12345</v>
      </c>
      <c r="HE128" s="76">
        <f t="shared" si="304"/>
        <v>14358</v>
      </c>
      <c r="HF128" s="76">
        <f t="shared" si="305"/>
        <v>12768</v>
      </c>
      <c r="HG128" s="76">
        <f t="shared" si="306"/>
        <v>10176</v>
      </c>
      <c r="HH128" s="76">
        <f t="shared" si="307"/>
        <v>10013</v>
      </c>
      <c r="HI128" s="76">
        <f t="shared" si="308"/>
        <v>9244</v>
      </c>
      <c r="HJ128" s="215">
        <f t="shared" si="309"/>
        <v>8771</v>
      </c>
      <c r="HK128" s="215">
        <f t="shared" si="310"/>
        <v>8227</v>
      </c>
      <c r="HL128" s="215">
        <f t="shared" si="311"/>
        <v>6093</v>
      </c>
      <c r="HM128" s="215">
        <f t="shared" si="312"/>
        <v>2452</v>
      </c>
      <c r="HN128" s="215">
        <f t="shared" si="313"/>
        <v>3153</v>
      </c>
      <c r="HO128" s="215">
        <f t="shared" si="314"/>
        <v>1751</v>
      </c>
      <c r="HP128" s="215">
        <f t="shared" si="315"/>
        <v>2027</v>
      </c>
      <c r="HQ128" s="77"/>
      <c r="HR128" s="43"/>
      <c r="HS128" s="43"/>
      <c r="HT128" s="43"/>
      <c r="HU128" s="216">
        <f t="shared" si="244"/>
        <v>0</v>
      </c>
      <c r="HV128" s="216">
        <f t="shared" si="245"/>
        <v>0</v>
      </c>
      <c r="HW128" s="216">
        <f t="shared" si="246"/>
        <v>0</v>
      </c>
      <c r="HX128" s="217">
        <f t="shared" si="247"/>
        <v>0</v>
      </c>
      <c r="HY128" s="72">
        <f t="shared" si="248"/>
        <v>0</v>
      </c>
      <c r="HZ128" s="72">
        <f t="shared" si="249"/>
        <v>0</v>
      </c>
      <c r="IA128" s="72">
        <f t="shared" si="250"/>
        <v>0</v>
      </c>
      <c r="IB128" s="74">
        <f t="shared" si="251"/>
        <v>21954</v>
      </c>
      <c r="IC128" s="74">
        <f t="shared" si="252"/>
        <v>35597</v>
      </c>
      <c r="ID128" s="74">
        <f t="shared" si="253"/>
        <v>40369</v>
      </c>
      <c r="IE128" s="74">
        <f t="shared" si="254"/>
        <v>48866</v>
      </c>
      <c r="IF128" s="74">
        <f t="shared" si="255"/>
        <v>42201</v>
      </c>
      <c r="IG128" s="74">
        <f t="shared" si="256"/>
        <v>25543</v>
      </c>
    </row>
    <row r="129" spans="1:241" outlineLevel="2" x14ac:dyDescent="0.3">
      <c r="A129" s="63" t="s">
        <v>154</v>
      </c>
      <c r="B129" s="58">
        <v>7</v>
      </c>
      <c r="C129" s="58">
        <v>13</v>
      </c>
      <c r="D129" s="58">
        <v>9</v>
      </c>
      <c r="E129" s="207">
        <v>14</v>
      </c>
      <c r="F129" s="58">
        <v>4</v>
      </c>
      <c r="G129" s="207">
        <v>3</v>
      </c>
      <c r="H129" s="207">
        <v>195</v>
      </c>
      <c r="I129" s="207">
        <v>267</v>
      </c>
      <c r="J129" s="207">
        <v>189</v>
      </c>
      <c r="K129" s="207">
        <v>257</v>
      </c>
      <c r="L129" s="207">
        <v>147</v>
      </c>
      <c r="M129" s="207">
        <v>346</v>
      </c>
      <c r="N129" s="58">
        <v>18</v>
      </c>
      <c r="O129" s="58">
        <v>121</v>
      </c>
      <c r="P129" s="58">
        <v>39</v>
      </c>
      <c r="Q129" s="207">
        <v>22</v>
      </c>
      <c r="R129" s="58">
        <v>14</v>
      </c>
      <c r="S129" s="58">
        <v>61</v>
      </c>
      <c r="T129" s="58">
        <v>3307</v>
      </c>
      <c r="U129" s="58">
        <v>2889</v>
      </c>
      <c r="V129" s="58">
        <v>1539</v>
      </c>
      <c r="W129" s="58">
        <v>3263</v>
      </c>
      <c r="X129" s="58">
        <v>1405</v>
      </c>
      <c r="Y129" s="58">
        <v>3095</v>
      </c>
      <c r="Z129" s="58">
        <v>1598</v>
      </c>
      <c r="AA129" s="58">
        <v>1891</v>
      </c>
      <c r="AB129" s="58">
        <v>1679</v>
      </c>
      <c r="AC129" s="58">
        <v>1218</v>
      </c>
      <c r="AD129" s="58">
        <v>1602</v>
      </c>
      <c r="AE129" s="58">
        <v>1794</v>
      </c>
      <c r="AF129" s="58">
        <v>1576</v>
      </c>
      <c r="AG129" s="58">
        <v>729</v>
      </c>
      <c r="AH129" s="58">
        <v>1749</v>
      </c>
      <c r="AI129" s="58">
        <v>2383</v>
      </c>
      <c r="AJ129" s="58">
        <v>1735</v>
      </c>
      <c r="AK129" s="58">
        <v>2919</v>
      </c>
      <c r="AL129" s="58">
        <v>2647</v>
      </c>
      <c r="AM129" s="58">
        <v>2117</v>
      </c>
      <c r="AN129" s="58">
        <v>1845</v>
      </c>
      <c r="AO129" s="58">
        <v>1337</v>
      </c>
      <c r="AP129" s="58">
        <v>1271</v>
      </c>
      <c r="AQ129" s="58">
        <v>1228</v>
      </c>
      <c r="AR129" s="58">
        <v>1730</v>
      </c>
      <c r="AS129" s="58">
        <v>1343</v>
      </c>
      <c r="AT129" s="58">
        <v>1230</v>
      </c>
      <c r="AU129" s="58">
        <v>1245</v>
      </c>
      <c r="AV129" s="58">
        <v>1431</v>
      </c>
      <c r="AW129" s="58">
        <v>1661</v>
      </c>
      <c r="AX129" s="58">
        <v>1354</v>
      </c>
      <c r="AY129" s="58">
        <v>999</v>
      </c>
      <c r="AZ129" s="58">
        <v>785</v>
      </c>
      <c r="BA129" s="58">
        <v>926</v>
      </c>
      <c r="BB129" s="58">
        <v>1079</v>
      </c>
      <c r="BC129" s="58">
        <v>1007</v>
      </c>
      <c r="BD129" s="58">
        <v>927</v>
      </c>
      <c r="BE129" s="58">
        <v>570</v>
      </c>
      <c r="BF129" s="58">
        <v>756</v>
      </c>
      <c r="BG129" s="58">
        <v>806</v>
      </c>
      <c r="BH129" s="58">
        <v>626</v>
      </c>
      <c r="BI129" s="58">
        <v>685</v>
      </c>
      <c r="BJ129" s="58">
        <v>937</v>
      </c>
      <c r="BK129" s="208">
        <v>816</v>
      </c>
      <c r="BL129" s="208">
        <v>808</v>
      </c>
      <c r="BM129" s="208">
        <v>643</v>
      </c>
      <c r="BN129" s="208">
        <v>826</v>
      </c>
      <c r="BO129" s="208">
        <v>936</v>
      </c>
      <c r="BP129" s="208">
        <v>673</v>
      </c>
      <c r="BQ129" s="208">
        <v>651</v>
      </c>
      <c r="BR129" s="208">
        <v>702</v>
      </c>
      <c r="BS129" s="208">
        <v>618</v>
      </c>
      <c r="BT129" s="208">
        <v>674</v>
      </c>
      <c r="BU129" s="208">
        <v>809</v>
      </c>
      <c r="BV129" s="208">
        <v>638</v>
      </c>
      <c r="BW129" s="208">
        <v>576</v>
      </c>
      <c r="BX129" s="208">
        <v>477</v>
      </c>
      <c r="BY129" s="208">
        <v>391</v>
      </c>
      <c r="BZ129" s="208">
        <v>485</v>
      </c>
      <c r="CA129" s="208">
        <v>599</v>
      </c>
      <c r="CB129" s="208">
        <v>881</v>
      </c>
      <c r="CC129" s="208">
        <v>370</v>
      </c>
      <c r="CD129" s="208">
        <v>413</v>
      </c>
      <c r="CE129" s="208">
        <v>1721</v>
      </c>
      <c r="CF129" s="208">
        <v>967</v>
      </c>
      <c r="CG129" s="208">
        <v>1019</v>
      </c>
      <c r="CH129" s="208">
        <v>611</v>
      </c>
      <c r="CI129" s="208">
        <v>544</v>
      </c>
      <c r="CJ129" s="208">
        <v>484</v>
      </c>
      <c r="CK129" s="208">
        <v>341</v>
      </c>
      <c r="CL129" s="208">
        <v>341</v>
      </c>
      <c r="CM129" s="208">
        <v>365</v>
      </c>
      <c r="CN129" s="208">
        <v>503</v>
      </c>
      <c r="CO129" s="208">
        <v>383</v>
      </c>
      <c r="CP129" s="208">
        <v>568</v>
      </c>
      <c r="CQ129" s="208">
        <v>227</v>
      </c>
      <c r="CR129" s="208">
        <v>327</v>
      </c>
      <c r="CS129" s="208">
        <v>531</v>
      </c>
      <c r="CT129" s="208"/>
      <c r="CU129" s="208">
        <v>136</v>
      </c>
      <c r="CV129" s="208">
        <v>121</v>
      </c>
      <c r="CW129" s="208">
        <v>145</v>
      </c>
      <c r="CX129" s="208">
        <v>257</v>
      </c>
      <c r="CY129" s="208">
        <v>113</v>
      </c>
      <c r="CZ129" s="208">
        <v>152</v>
      </c>
      <c r="DA129" s="208">
        <v>175</v>
      </c>
      <c r="DB129" s="208">
        <v>657</v>
      </c>
      <c r="DC129" s="208">
        <v>3211</v>
      </c>
      <c r="DD129" s="208">
        <v>3326</v>
      </c>
      <c r="DE129" s="208">
        <v>3158</v>
      </c>
      <c r="DF129" s="208">
        <v>2993</v>
      </c>
      <c r="DG129" s="208">
        <v>1212</v>
      </c>
      <c r="DH129" s="208">
        <v>3348</v>
      </c>
      <c r="DI129" s="208">
        <v>4221</v>
      </c>
      <c r="DJ129" s="208">
        <v>3174</v>
      </c>
      <c r="DK129" s="208">
        <v>2730</v>
      </c>
      <c r="DL129" s="208">
        <v>3619</v>
      </c>
      <c r="DM129" s="208">
        <v>2392</v>
      </c>
      <c r="DN129" s="208">
        <v>2783</v>
      </c>
      <c r="DO129" s="208">
        <v>3977</v>
      </c>
      <c r="DP129" s="208">
        <v>2217</v>
      </c>
      <c r="DQ129" s="208">
        <v>3007</v>
      </c>
      <c r="DR129" s="208">
        <v>2140</v>
      </c>
      <c r="DS129" s="208">
        <v>2131</v>
      </c>
      <c r="DT129" s="208">
        <v>3515</v>
      </c>
      <c r="DU129" s="208">
        <v>3667</v>
      </c>
      <c r="DV129" s="208">
        <v>3283</v>
      </c>
      <c r="DW129" s="208">
        <v>3177</v>
      </c>
      <c r="DX129" s="208">
        <v>3061</v>
      </c>
      <c r="DY129" s="208">
        <v>2400</v>
      </c>
      <c r="DZ129" s="208">
        <v>2020</v>
      </c>
      <c r="EA129" s="208">
        <v>2803</v>
      </c>
      <c r="EB129" s="208">
        <v>2184</v>
      </c>
      <c r="EC129" s="208">
        <v>3260</v>
      </c>
      <c r="ED129" s="208">
        <v>2617</v>
      </c>
      <c r="EE129" s="208">
        <v>2618</v>
      </c>
      <c r="EF129" s="208">
        <v>2552</v>
      </c>
      <c r="EG129" s="208">
        <v>2152</v>
      </c>
      <c r="EH129" s="208">
        <v>2258</v>
      </c>
      <c r="EI129" s="208">
        <v>2453</v>
      </c>
      <c r="EJ129" s="208">
        <v>2573</v>
      </c>
      <c r="EK129" s="208">
        <v>2662</v>
      </c>
      <c r="EL129" s="208">
        <v>2150</v>
      </c>
      <c r="EM129" s="208">
        <v>2863</v>
      </c>
      <c r="EN129" s="208">
        <v>2755</v>
      </c>
      <c r="EO129" s="208">
        <v>2701</v>
      </c>
      <c r="EP129" s="208">
        <v>2404</v>
      </c>
      <c r="EQ129" s="208">
        <v>2211</v>
      </c>
      <c r="ER129" s="208">
        <v>2107</v>
      </c>
      <c r="ES129" s="208">
        <v>1995</v>
      </c>
      <c r="ET129" s="208">
        <v>2257</v>
      </c>
      <c r="EU129" s="208">
        <v>2113</v>
      </c>
      <c r="EV129" s="208">
        <v>3119</v>
      </c>
      <c r="EW129" s="208">
        <v>2342</v>
      </c>
      <c r="EX129" s="208">
        <v>2117</v>
      </c>
      <c r="EY129" s="208">
        <v>2404</v>
      </c>
      <c r="EZ129" s="208">
        <v>2328</v>
      </c>
      <c r="FA129" s="208">
        <v>2484</v>
      </c>
      <c r="FB129" s="208">
        <v>1825</v>
      </c>
      <c r="FC129" s="208">
        <v>1354</v>
      </c>
      <c r="FD129" s="208">
        <v>1313</v>
      </c>
      <c r="FE129" s="208">
        <v>1420</v>
      </c>
      <c r="FF129" s="208">
        <v>1384</v>
      </c>
      <c r="FG129" s="208">
        <v>1652</v>
      </c>
      <c r="FH129" s="208">
        <v>2402</v>
      </c>
      <c r="FI129" s="208">
        <v>1908</v>
      </c>
      <c r="FJ129" s="208">
        <v>1902</v>
      </c>
      <c r="FK129" s="43"/>
      <c r="FL129" s="43"/>
      <c r="FM129" s="43"/>
      <c r="FN129" s="67">
        <f t="shared" si="261"/>
        <v>29</v>
      </c>
      <c r="FO129" s="67">
        <f t="shared" si="262"/>
        <v>21</v>
      </c>
      <c r="FP129" s="67">
        <f t="shared" si="263"/>
        <v>651</v>
      </c>
      <c r="FQ129" s="67">
        <f t="shared" si="264"/>
        <v>750</v>
      </c>
      <c r="FR129" s="67">
        <f t="shared" si="265"/>
        <v>178</v>
      </c>
      <c r="FS129" s="67">
        <f t="shared" si="266"/>
        <v>97</v>
      </c>
      <c r="FT129" s="67">
        <f t="shared" si="267"/>
        <v>7735</v>
      </c>
      <c r="FU129" s="67">
        <f t="shared" si="268"/>
        <v>7763</v>
      </c>
      <c r="FV129" s="67">
        <f t="shared" si="269"/>
        <v>5168</v>
      </c>
      <c r="FW129" s="67">
        <f t="shared" si="270"/>
        <v>4614</v>
      </c>
      <c r="FX129" s="67">
        <f t="shared" si="271"/>
        <v>4054</v>
      </c>
      <c r="FY129" s="67">
        <f t="shared" si="272"/>
        <v>7037</v>
      </c>
      <c r="FZ129" s="67">
        <f t="shared" si="273"/>
        <v>6609</v>
      </c>
      <c r="GA129" s="67">
        <f t="shared" si="274"/>
        <v>3836</v>
      </c>
      <c r="GB129" s="67">
        <f t="shared" si="275"/>
        <v>4303</v>
      </c>
      <c r="GC129" s="67">
        <f t="shared" si="276"/>
        <v>4337</v>
      </c>
      <c r="GD129" s="67">
        <f t="shared" si="277"/>
        <v>3138</v>
      </c>
      <c r="GE129" s="67">
        <f t="shared" si="278"/>
        <v>3012</v>
      </c>
      <c r="GF129" s="67">
        <f t="shared" si="279"/>
        <v>2253</v>
      </c>
      <c r="GG129" s="67">
        <f t="shared" si="280"/>
        <v>2117</v>
      </c>
      <c r="GH129" s="67">
        <f t="shared" si="281"/>
        <v>2561</v>
      </c>
      <c r="GI129" s="67">
        <f t="shared" si="282"/>
        <v>2405</v>
      </c>
      <c r="GJ129" s="67">
        <f t="shared" si="283"/>
        <v>2026</v>
      </c>
      <c r="GK129" s="67">
        <f t="shared" si="284"/>
        <v>2101</v>
      </c>
      <c r="GL129" s="67">
        <f t="shared" si="285"/>
        <v>1691</v>
      </c>
      <c r="GM129" s="67">
        <f t="shared" si="286"/>
        <v>1475</v>
      </c>
      <c r="GN129" s="67">
        <f t="shared" si="287"/>
        <v>1664</v>
      </c>
      <c r="GO129" s="67">
        <f t="shared" si="288"/>
        <v>3707</v>
      </c>
      <c r="GP129" s="67">
        <f t="shared" si="289"/>
        <v>1639</v>
      </c>
      <c r="GQ129" s="67">
        <f t="shared" si="290"/>
        <v>1047</v>
      </c>
      <c r="GR129" s="67">
        <f t="shared" si="291"/>
        <v>1454</v>
      </c>
      <c r="GS129" s="67">
        <f t="shared" si="292"/>
        <v>1085</v>
      </c>
      <c r="GT129" s="67">
        <f t="shared" si="293"/>
        <v>257</v>
      </c>
      <c r="GU129" s="67">
        <f t="shared" si="294"/>
        <v>515</v>
      </c>
      <c r="GV129" s="67">
        <f t="shared" si="295"/>
        <v>984</v>
      </c>
      <c r="GW129" s="67">
        <f t="shared" si="296"/>
        <v>9695</v>
      </c>
      <c r="GX129" s="67">
        <f t="shared" si="297"/>
        <v>7553</v>
      </c>
      <c r="GY129" s="67">
        <f t="shared" si="298"/>
        <v>10125</v>
      </c>
      <c r="GZ129" s="67">
        <f t="shared" si="299"/>
        <v>8794</v>
      </c>
      <c r="HA129" s="67">
        <f t="shared" si="300"/>
        <v>9201</v>
      </c>
      <c r="HB129" s="67">
        <f t="shared" si="301"/>
        <v>7786</v>
      </c>
      <c r="HC129" s="67">
        <f t="shared" si="302"/>
        <v>10127</v>
      </c>
      <c r="HD129" s="67">
        <f t="shared" si="303"/>
        <v>7481</v>
      </c>
      <c r="HE129" s="67">
        <f t="shared" si="304"/>
        <v>8247</v>
      </c>
      <c r="HF129" s="67">
        <f t="shared" si="305"/>
        <v>7787</v>
      </c>
      <c r="HG129" s="67">
        <f t="shared" si="306"/>
        <v>6863</v>
      </c>
      <c r="HH129" s="67">
        <f t="shared" si="307"/>
        <v>7385</v>
      </c>
      <c r="HI129" s="67">
        <f t="shared" si="308"/>
        <v>8319</v>
      </c>
      <c r="HJ129" s="210">
        <f t="shared" si="309"/>
        <v>6722</v>
      </c>
      <c r="HK129" s="210">
        <f t="shared" si="310"/>
        <v>6365</v>
      </c>
      <c r="HL129" s="210">
        <f t="shared" si="311"/>
        <v>7578</v>
      </c>
      <c r="HM129" s="210">
        <f t="shared" si="312"/>
        <v>7216</v>
      </c>
      <c r="HN129" s="210">
        <f t="shared" si="313"/>
        <v>4492</v>
      </c>
      <c r="HO129" s="210">
        <f t="shared" si="314"/>
        <v>4456</v>
      </c>
      <c r="HP129" s="210">
        <f t="shared" si="315"/>
        <v>6212</v>
      </c>
      <c r="HQ129" s="60"/>
      <c r="HR129" s="43"/>
      <c r="HS129" s="43"/>
      <c r="HT129" s="43"/>
      <c r="HU129" s="211">
        <f t="shared" si="244"/>
        <v>1451</v>
      </c>
      <c r="HV129" s="211">
        <f t="shared" si="245"/>
        <v>15773</v>
      </c>
      <c r="HW129" s="211">
        <f t="shared" si="246"/>
        <v>20873</v>
      </c>
      <c r="HX129" s="212">
        <f t="shared" si="247"/>
        <v>19085</v>
      </c>
      <c r="HY129" s="58">
        <f t="shared" si="248"/>
        <v>10520</v>
      </c>
      <c r="HZ129" s="58">
        <f t="shared" si="249"/>
        <v>9093</v>
      </c>
      <c r="IA129" s="58">
        <f t="shared" si="250"/>
        <v>8537</v>
      </c>
      <c r="IB129" s="64">
        <f t="shared" si="251"/>
        <v>5225</v>
      </c>
      <c r="IC129" s="64">
        <f t="shared" si="252"/>
        <v>11451</v>
      </c>
      <c r="ID129" s="64">
        <f t="shared" si="253"/>
        <v>35673</v>
      </c>
      <c r="IE129" s="64">
        <f t="shared" si="254"/>
        <v>33641</v>
      </c>
      <c r="IF129" s="64">
        <f t="shared" si="255"/>
        <v>30354</v>
      </c>
      <c r="IG129" s="64">
        <f t="shared" si="256"/>
        <v>27881</v>
      </c>
    </row>
    <row r="130" spans="1:241" outlineLevel="2" x14ac:dyDescent="0.3">
      <c r="A130" s="71" t="s">
        <v>168</v>
      </c>
      <c r="B130" s="72"/>
      <c r="C130" s="72"/>
      <c r="D130" s="72"/>
      <c r="E130" s="213"/>
      <c r="F130" s="72"/>
      <c r="G130" s="213"/>
      <c r="H130" s="213"/>
      <c r="I130" s="213"/>
      <c r="J130" s="213"/>
      <c r="K130" s="213"/>
      <c r="L130" s="213"/>
      <c r="M130" s="213"/>
      <c r="N130" s="72"/>
      <c r="O130" s="72"/>
      <c r="P130" s="72"/>
      <c r="Q130" s="213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2"/>
      <c r="BC130" s="72"/>
      <c r="BD130" s="72"/>
      <c r="BE130" s="72"/>
      <c r="BF130" s="72"/>
      <c r="BG130" s="72"/>
      <c r="BH130" s="72"/>
      <c r="BI130" s="72"/>
      <c r="BJ130" s="72"/>
      <c r="BK130" s="214"/>
      <c r="BL130" s="214"/>
      <c r="BM130" s="214"/>
      <c r="BN130" s="214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  <c r="CB130" s="214"/>
      <c r="CC130" s="214"/>
      <c r="CD130" s="214"/>
      <c r="CE130" s="214"/>
      <c r="CF130" s="214"/>
      <c r="CG130" s="214"/>
      <c r="CH130" s="214"/>
      <c r="CI130" s="214"/>
      <c r="CJ130" s="214"/>
      <c r="CK130" s="214"/>
      <c r="CL130" s="214"/>
      <c r="CM130" s="214"/>
      <c r="CN130" s="214"/>
      <c r="CO130" s="214"/>
      <c r="CP130" s="214"/>
      <c r="CQ130" s="214"/>
      <c r="CR130" s="214"/>
      <c r="CS130" s="214"/>
      <c r="CT130" s="214"/>
      <c r="CU130" s="214"/>
      <c r="CV130" s="214"/>
      <c r="CW130" s="214"/>
      <c r="CX130" s="214"/>
      <c r="CY130" s="214"/>
      <c r="CZ130" s="214"/>
      <c r="DA130" s="214"/>
      <c r="DB130" s="214"/>
      <c r="DC130" s="214"/>
      <c r="DD130" s="214"/>
      <c r="DE130" s="214"/>
      <c r="DF130" s="214">
        <v>230</v>
      </c>
      <c r="DG130" s="214">
        <v>40</v>
      </c>
      <c r="DH130" s="214">
        <v>41</v>
      </c>
      <c r="DI130" s="214">
        <v>40</v>
      </c>
      <c r="DJ130" s="214">
        <v>61</v>
      </c>
      <c r="DK130" s="214">
        <v>72</v>
      </c>
      <c r="DL130" s="214">
        <v>64</v>
      </c>
      <c r="DM130" s="214">
        <v>52</v>
      </c>
      <c r="DN130" s="214">
        <v>24</v>
      </c>
      <c r="DO130" s="214">
        <v>40</v>
      </c>
      <c r="DP130" s="214">
        <v>59</v>
      </c>
      <c r="DQ130" s="214">
        <v>52</v>
      </c>
      <c r="DR130" s="214">
        <v>51</v>
      </c>
      <c r="DS130" s="214">
        <v>24</v>
      </c>
      <c r="DT130" s="214">
        <v>77</v>
      </c>
      <c r="DU130" s="214">
        <v>575</v>
      </c>
      <c r="DV130" s="214">
        <v>850</v>
      </c>
      <c r="DW130" s="214">
        <v>1386</v>
      </c>
      <c r="DX130" s="214">
        <v>1195</v>
      </c>
      <c r="DY130" s="214">
        <v>825</v>
      </c>
      <c r="DZ130" s="214">
        <v>932</v>
      </c>
      <c r="EA130" s="214">
        <v>804</v>
      </c>
      <c r="EB130" s="214">
        <v>328</v>
      </c>
      <c r="EC130" s="214">
        <v>2015</v>
      </c>
      <c r="ED130" s="214">
        <v>1003</v>
      </c>
      <c r="EE130" s="214">
        <v>806</v>
      </c>
      <c r="EF130" s="214">
        <v>1003</v>
      </c>
      <c r="EG130" s="214">
        <v>388</v>
      </c>
      <c r="EH130" s="214">
        <v>525</v>
      </c>
      <c r="EI130" s="214">
        <v>748</v>
      </c>
      <c r="EJ130" s="214">
        <v>630</v>
      </c>
      <c r="EK130" s="214">
        <v>537</v>
      </c>
      <c r="EL130" s="214">
        <v>650</v>
      </c>
      <c r="EM130" s="214">
        <v>650</v>
      </c>
      <c r="EN130" s="214">
        <v>421</v>
      </c>
      <c r="EO130" s="214">
        <v>1006</v>
      </c>
      <c r="EP130" s="214">
        <v>404</v>
      </c>
      <c r="EQ130" s="214">
        <v>515</v>
      </c>
      <c r="ER130" s="214">
        <v>339</v>
      </c>
      <c r="ES130" s="214">
        <v>335</v>
      </c>
      <c r="ET130" s="214">
        <v>1275</v>
      </c>
      <c r="EU130" s="214">
        <v>711</v>
      </c>
      <c r="EV130" s="214">
        <v>717</v>
      </c>
      <c r="EW130" s="214">
        <v>509</v>
      </c>
      <c r="EX130" s="214">
        <v>566</v>
      </c>
      <c r="EY130" s="214">
        <v>470</v>
      </c>
      <c r="EZ130" s="214">
        <v>268</v>
      </c>
      <c r="FA130" s="214">
        <v>407</v>
      </c>
      <c r="FB130" s="214">
        <v>339</v>
      </c>
      <c r="FC130" s="214">
        <v>333</v>
      </c>
      <c r="FD130" s="214">
        <v>610</v>
      </c>
      <c r="FE130" s="214">
        <v>494</v>
      </c>
      <c r="FF130" s="214">
        <v>403</v>
      </c>
      <c r="FG130" s="214">
        <v>734</v>
      </c>
      <c r="FH130" s="214">
        <v>1426</v>
      </c>
      <c r="FI130" s="214">
        <v>1224</v>
      </c>
      <c r="FJ130" s="214">
        <v>1190</v>
      </c>
      <c r="FK130" s="43"/>
      <c r="FL130" s="43"/>
      <c r="FM130" s="43"/>
      <c r="FN130" s="76"/>
      <c r="FO130" s="76"/>
      <c r="FP130" s="76"/>
      <c r="FQ130" s="76"/>
      <c r="FR130" s="76"/>
      <c r="FS130" s="76"/>
      <c r="FT130" s="76"/>
      <c r="FU130" s="76"/>
      <c r="FV130" s="76"/>
      <c r="FW130" s="76"/>
      <c r="FX130" s="76"/>
      <c r="FY130" s="76"/>
      <c r="FZ130" s="76"/>
      <c r="GA130" s="76"/>
      <c r="GB130" s="76"/>
      <c r="GC130" s="76"/>
      <c r="GD130" s="76"/>
      <c r="GE130" s="76"/>
      <c r="GF130" s="76"/>
      <c r="GG130" s="76"/>
      <c r="GH130" s="76"/>
      <c r="GI130" s="76"/>
      <c r="GJ130" s="76"/>
      <c r="GK130" s="76"/>
      <c r="GL130" s="76"/>
      <c r="GM130" s="76"/>
      <c r="GN130" s="76"/>
      <c r="GO130" s="76"/>
      <c r="GP130" s="76"/>
      <c r="GQ130" s="76"/>
      <c r="GR130" s="76"/>
      <c r="GS130" s="76"/>
      <c r="GT130" s="76"/>
      <c r="GU130" s="76">
        <f t="shared" si="294"/>
        <v>0</v>
      </c>
      <c r="GV130" s="76">
        <f t="shared" si="295"/>
        <v>0</v>
      </c>
      <c r="GW130" s="76">
        <f t="shared" si="296"/>
        <v>0</v>
      </c>
      <c r="GX130" s="76">
        <f t="shared" si="297"/>
        <v>311</v>
      </c>
      <c r="GY130" s="76">
        <f t="shared" si="298"/>
        <v>173</v>
      </c>
      <c r="GZ130" s="76">
        <f t="shared" si="299"/>
        <v>140</v>
      </c>
      <c r="HA130" s="76">
        <f t="shared" si="300"/>
        <v>151</v>
      </c>
      <c r="HB130" s="76">
        <f t="shared" si="301"/>
        <v>152</v>
      </c>
      <c r="HC130" s="76">
        <f t="shared" si="302"/>
        <v>2811</v>
      </c>
      <c r="HD130" s="76">
        <f t="shared" si="303"/>
        <v>2952</v>
      </c>
      <c r="HE130" s="76">
        <f t="shared" si="304"/>
        <v>3147</v>
      </c>
      <c r="HF130" s="76">
        <f t="shared" si="305"/>
        <v>2812</v>
      </c>
      <c r="HG130" s="76">
        <f t="shared" si="306"/>
        <v>1661</v>
      </c>
      <c r="HH130" s="76">
        <f t="shared" si="307"/>
        <v>1817</v>
      </c>
      <c r="HI130" s="76">
        <f t="shared" si="308"/>
        <v>2077</v>
      </c>
      <c r="HJ130" s="215">
        <f t="shared" si="309"/>
        <v>1258</v>
      </c>
      <c r="HK130" s="215">
        <f t="shared" si="310"/>
        <v>2321</v>
      </c>
      <c r="HL130" s="215">
        <f t="shared" si="311"/>
        <v>1792</v>
      </c>
      <c r="HM130" s="215">
        <f t="shared" si="312"/>
        <v>1145</v>
      </c>
      <c r="HN130" s="215">
        <f t="shared" si="313"/>
        <v>1282</v>
      </c>
      <c r="HO130" s="215">
        <f t="shared" si="314"/>
        <v>1631</v>
      </c>
      <c r="HP130" s="215">
        <f t="shared" si="315"/>
        <v>3840</v>
      </c>
      <c r="HQ130" s="77"/>
      <c r="HR130" s="43"/>
      <c r="HS130" s="43"/>
      <c r="HT130" s="43"/>
      <c r="HU130" s="211"/>
      <c r="HV130" s="211"/>
      <c r="HW130" s="211"/>
      <c r="HX130" s="212"/>
      <c r="HY130" s="58"/>
      <c r="HZ130" s="58"/>
      <c r="IA130" s="58">
        <f t="shared" si="250"/>
        <v>0</v>
      </c>
      <c r="IB130" s="64">
        <f t="shared" si="251"/>
        <v>0</v>
      </c>
      <c r="IC130" s="64">
        <f t="shared" si="252"/>
        <v>0</v>
      </c>
      <c r="ID130" s="64">
        <f t="shared" si="253"/>
        <v>775</v>
      </c>
      <c r="IE130" s="64">
        <f t="shared" si="254"/>
        <v>9062</v>
      </c>
      <c r="IF130" s="64">
        <f t="shared" si="255"/>
        <v>8367</v>
      </c>
      <c r="IG130" s="64">
        <f t="shared" si="256"/>
        <v>6516</v>
      </c>
    </row>
    <row r="131" spans="1:241" outlineLevel="2" x14ac:dyDescent="0.3">
      <c r="A131" s="63" t="s">
        <v>155</v>
      </c>
      <c r="B131" s="58">
        <v>26</v>
      </c>
      <c r="C131" s="58">
        <v>17</v>
      </c>
      <c r="D131" s="58">
        <v>43</v>
      </c>
      <c r="E131" s="207">
        <v>1237</v>
      </c>
      <c r="F131" s="58">
        <v>3213</v>
      </c>
      <c r="G131" s="207">
        <v>4237</v>
      </c>
      <c r="H131" s="207">
        <v>5463</v>
      </c>
      <c r="I131" s="207">
        <v>5282</v>
      </c>
      <c r="J131" s="207">
        <v>4521</v>
      </c>
      <c r="K131" s="207">
        <v>3591</v>
      </c>
      <c r="L131" s="207">
        <v>5618</v>
      </c>
      <c r="M131" s="207">
        <v>6328</v>
      </c>
      <c r="N131" s="58">
        <v>5372</v>
      </c>
      <c r="O131" s="58">
        <v>5149</v>
      </c>
      <c r="P131" s="58">
        <v>4523</v>
      </c>
      <c r="Q131" s="207">
        <v>2190</v>
      </c>
      <c r="R131" s="58">
        <v>2977</v>
      </c>
      <c r="S131" s="58">
        <v>4005</v>
      </c>
      <c r="T131" s="58">
        <v>4670</v>
      </c>
      <c r="U131" s="58">
        <v>3631</v>
      </c>
      <c r="V131" s="58">
        <v>2675</v>
      </c>
      <c r="W131" s="58">
        <v>3057</v>
      </c>
      <c r="X131" s="58">
        <v>3302</v>
      </c>
      <c r="Y131" s="58">
        <v>4550</v>
      </c>
      <c r="Z131" s="58">
        <v>3175</v>
      </c>
      <c r="AA131" s="58">
        <v>3350</v>
      </c>
      <c r="AB131" s="58">
        <v>3822</v>
      </c>
      <c r="AC131" s="58">
        <v>2823</v>
      </c>
      <c r="AD131" s="58">
        <v>3106</v>
      </c>
      <c r="AE131" s="58">
        <v>3418</v>
      </c>
      <c r="AF131" s="58">
        <v>3419</v>
      </c>
      <c r="AG131" s="58">
        <v>2676</v>
      </c>
      <c r="AH131" s="58">
        <v>3275</v>
      </c>
      <c r="AI131" s="58">
        <v>3088</v>
      </c>
      <c r="AJ131" s="58">
        <v>2997</v>
      </c>
      <c r="AK131" s="58">
        <v>4229</v>
      </c>
      <c r="AL131" s="58">
        <v>3742</v>
      </c>
      <c r="AM131" s="58">
        <v>3377</v>
      </c>
      <c r="AN131" s="58">
        <v>4018</v>
      </c>
      <c r="AO131" s="58">
        <v>1528</v>
      </c>
      <c r="AP131" s="58">
        <v>1381</v>
      </c>
      <c r="AQ131" s="58">
        <v>1276</v>
      </c>
      <c r="AR131" s="58">
        <v>2033</v>
      </c>
      <c r="AS131" s="58">
        <v>2124</v>
      </c>
      <c r="AT131" s="58">
        <v>3109</v>
      </c>
      <c r="AU131" s="58">
        <v>1777</v>
      </c>
      <c r="AV131" s="58">
        <v>994</v>
      </c>
      <c r="AW131" s="58">
        <v>2514</v>
      </c>
      <c r="AX131" s="58">
        <v>2519</v>
      </c>
      <c r="AY131" s="58">
        <v>2494</v>
      </c>
      <c r="AZ131" s="58">
        <v>2219</v>
      </c>
      <c r="BA131" s="58">
        <v>1859</v>
      </c>
      <c r="BB131" s="58">
        <v>2068</v>
      </c>
      <c r="BC131" s="58">
        <v>1328</v>
      </c>
      <c r="BD131" s="58">
        <v>2212</v>
      </c>
      <c r="BE131" s="58">
        <v>1498</v>
      </c>
      <c r="BF131" s="58">
        <v>2213</v>
      </c>
      <c r="BG131" s="58">
        <v>1735</v>
      </c>
      <c r="BH131" s="58">
        <v>1473</v>
      </c>
      <c r="BI131" s="58">
        <v>1815</v>
      </c>
      <c r="BJ131" s="58">
        <v>1543</v>
      </c>
      <c r="BK131" s="208">
        <v>1644</v>
      </c>
      <c r="BL131" s="208">
        <v>1401</v>
      </c>
      <c r="BM131" s="208">
        <v>1493</v>
      </c>
      <c r="BN131" s="208">
        <v>1783</v>
      </c>
      <c r="BO131" s="208">
        <v>1775</v>
      </c>
      <c r="BP131" s="208">
        <v>1169</v>
      </c>
      <c r="BQ131" s="208">
        <v>2074</v>
      </c>
      <c r="BR131" s="208">
        <v>1810</v>
      </c>
      <c r="BS131" s="208">
        <v>1329</v>
      </c>
      <c r="BT131" s="208">
        <v>1231</v>
      </c>
      <c r="BU131" s="208">
        <v>1830</v>
      </c>
      <c r="BV131" s="208">
        <v>1630</v>
      </c>
      <c r="BW131" s="208">
        <v>1536</v>
      </c>
      <c r="BX131" s="208">
        <v>1697</v>
      </c>
      <c r="BY131" s="208">
        <v>1202</v>
      </c>
      <c r="BZ131" s="208">
        <v>1016</v>
      </c>
      <c r="CA131" s="208">
        <v>905</v>
      </c>
      <c r="CB131" s="208">
        <v>1031</v>
      </c>
      <c r="CC131" s="208">
        <v>715</v>
      </c>
      <c r="CD131" s="208">
        <v>1431</v>
      </c>
      <c r="CE131" s="208">
        <v>1113</v>
      </c>
      <c r="CF131" s="208">
        <v>1191</v>
      </c>
      <c r="CG131" s="208">
        <v>1274</v>
      </c>
      <c r="CH131" s="208">
        <v>920</v>
      </c>
      <c r="CI131" s="208">
        <v>797</v>
      </c>
      <c r="CJ131" s="208">
        <v>1040</v>
      </c>
      <c r="CK131" s="208">
        <v>976</v>
      </c>
      <c r="CL131" s="208">
        <v>1023</v>
      </c>
      <c r="CM131" s="208">
        <v>5350</v>
      </c>
      <c r="CN131" s="208">
        <v>6132</v>
      </c>
      <c r="CO131" s="208">
        <v>6700</v>
      </c>
      <c r="CP131" s="208">
        <v>6425</v>
      </c>
      <c r="CQ131" s="208">
        <v>4524</v>
      </c>
      <c r="CR131" s="208">
        <v>4597</v>
      </c>
      <c r="CS131" s="208">
        <v>1794</v>
      </c>
      <c r="CT131" s="208"/>
      <c r="CU131" s="208">
        <v>1069</v>
      </c>
      <c r="CV131" s="208">
        <v>2193</v>
      </c>
      <c r="CW131" s="208">
        <v>3415</v>
      </c>
      <c r="CX131" s="208">
        <v>4383</v>
      </c>
      <c r="CY131" s="208">
        <v>4292</v>
      </c>
      <c r="CZ131" s="208">
        <v>5634</v>
      </c>
      <c r="DA131" s="208">
        <v>5225</v>
      </c>
      <c r="DB131" s="208">
        <v>5465</v>
      </c>
      <c r="DC131" s="208">
        <v>4418</v>
      </c>
      <c r="DD131" s="208">
        <v>7116</v>
      </c>
      <c r="DE131" s="208">
        <v>8224</v>
      </c>
      <c r="DF131" s="208">
        <v>5406</v>
      </c>
      <c r="DG131" s="208">
        <v>1882</v>
      </c>
      <c r="DH131" s="208">
        <v>3939</v>
      </c>
      <c r="DI131" s="208">
        <v>6500</v>
      </c>
      <c r="DJ131" s="208">
        <v>6734</v>
      </c>
      <c r="DK131" s="208">
        <v>4616</v>
      </c>
      <c r="DL131" s="208">
        <v>6187</v>
      </c>
      <c r="DM131" s="208">
        <v>4126</v>
      </c>
      <c r="DN131" s="208">
        <v>5074</v>
      </c>
      <c r="DO131" s="208">
        <v>5775</v>
      </c>
      <c r="DP131" s="208">
        <v>4644</v>
      </c>
      <c r="DQ131" s="208">
        <v>6057</v>
      </c>
      <c r="DR131" s="208">
        <v>5528</v>
      </c>
      <c r="DS131" s="208">
        <v>3490</v>
      </c>
      <c r="DT131" s="208">
        <v>6757</v>
      </c>
      <c r="DU131" s="208">
        <v>5799</v>
      </c>
      <c r="DV131" s="208">
        <v>5308</v>
      </c>
      <c r="DW131" s="208">
        <v>5622</v>
      </c>
      <c r="DX131" s="208">
        <v>5884</v>
      </c>
      <c r="DY131" s="208">
        <v>4828</v>
      </c>
      <c r="DZ131" s="208">
        <v>4299</v>
      </c>
      <c r="EA131" s="208">
        <v>2949</v>
      </c>
      <c r="EB131" s="208">
        <v>4858</v>
      </c>
      <c r="EC131" s="208">
        <v>4106</v>
      </c>
      <c r="ED131" s="208">
        <v>3241</v>
      </c>
      <c r="EE131" s="208">
        <v>3828</v>
      </c>
      <c r="EF131" s="208">
        <v>4101</v>
      </c>
      <c r="EG131" s="208">
        <v>2845</v>
      </c>
      <c r="EH131" s="208">
        <v>2750</v>
      </c>
      <c r="EI131" s="208">
        <v>2622</v>
      </c>
      <c r="EJ131" s="208">
        <v>2992</v>
      </c>
      <c r="EK131" s="208">
        <v>1842</v>
      </c>
      <c r="EL131" s="208">
        <v>1531</v>
      </c>
      <c r="EM131" s="208">
        <v>2970</v>
      </c>
      <c r="EN131" s="208">
        <v>3252</v>
      </c>
      <c r="EO131" s="208">
        <v>3297</v>
      </c>
      <c r="EP131" s="208">
        <v>2730</v>
      </c>
      <c r="EQ131" s="208">
        <v>2966</v>
      </c>
      <c r="ER131" s="208">
        <v>2950</v>
      </c>
      <c r="ES131" s="208">
        <v>2267</v>
      </c>
      <c r="ET131" s="208">
        <v>2384</v>
      </c>
      <c r="EU131" s="208">
        <v>2526</v>
      </c>
      <c r="EV131" s="208">
        <v>3164</v>
      </c>
      <c r="EW131" s="208">
        <v>2265</v>
      </c>
      <c r="EX131" s="208">
        <v>2253</v>
      </c>
      <c r="EY131" s="208">
        <v>2211</v>
      </c>
      <c r="EZ131" s="208">
        <v>2243</v>
      </c>
      <c r="FA131" s="208">
        <v>2314</v>
      </c>
      <c r="FB131" s="208">
        <v>2007</v>
      </c>
      <c r="FC131" s="208">
        <v>1962</v>
      </c>
      <c r="FD131" s="208">
        <v>2176</v>
      </c>
      <c r="FE131" s="208">
        <v>2310</v>
      </c>
      <c r="FF131" s="208">
        <v>2780</v>
      </c>
      <c r="FG131" s="208">
        <v>3753</v>
      </c>
      <c r="FH131" s="208">
        <v>4118</v>
      </c>
      <c r="FI131" s="208">
        <v>3215</v>
      </c>
      <c r="FJ131" s="208">
        <v>3476</v>
      </c>
      <c r="FK131" s="43"/>
      <c r="FL131" s="43"/>
      <c r="FM131" s="43"/>
      <c r="FN131" s="67">
        <f t="shared" ref="FN131:FN136" si="316">+SUM(B131:D131)</f>
        <v>86</v>
      </c>
      <c r="FO131" s="67">
        <f t="shared" ref="FO131:FO136" si="317">+SUM(E131:G131)</f>
        <v>8687</v>
      </c>
      <c r="FP131" s="67">
        <f t="shared" ref="FP131:FP136" si="318">+SUM(H131:J131)</f>
        <v>15266</v>
      </c>
      <c r="FQ131" s="67">
        <f t="shared" ref="FQ131:FQ136" si="319">+SUM(K131:M131)</f>
        <v>15537</v>
      </c>
      <c r="FR131" s="67">
        <f t="shared" ref="FR131:FR136" si="320">+SUM(N131:P131)</f>
        <v>15044</v>
      </c>
      <c r="FS131" s="67">
        <f t="shared" ref="FS131:FS136" si="321">+SUM(Q131:S131)</f>
        <v>9172</v>
      </c>
      <c r="FT131" s="67">
        <f t="shared" ref="FT131:FT136" si="322">+SUM(T131:V131)</f>
        <v>10976</v>
      </c>
      <c r="FU131" s="67">
        <f t="shared" ref="FU131:FU136" si="323">+SUM(W131:Y131)</f>
        <v>10909</v>
      </c>
      <c r="FV131" s="67">
        <f t="shared" ref="FV131:FV136" si="324">+SUM(Z131:AB131)</f>
        <v>10347</v>
      </c>
      <c r="FW131" s="67">
        <f t="shared" ref="FW131:FW136" si="325">+SUM(AC131:AE131)</f>
        <v>9347</v>
      </c>
      <c r="FX131" s="67">
        <f t="shared" ref="FX131:FX136" si="326">+SUM(AF131:AH131)</f>
        <v>9370</v>
      </c>
      <c r="FY131" s="67">
        <f t="shared" ref="FY131:FY136" si="327">+SUM(AI131:AK131)</f>
        <v>10314</v>
      </c>
      <c r="FZ131" s="67">
        <f t="shared" ref="FZ131:FZ136" si="328">+SUM(AL131:AN131)</f>
        <v>11137</v>
      </c>
      <c r="GA131" s="67">
        <f t="shared" ref="GA131:GA136" si="329">+SUM(AO131:AQ131)</f>
        <v>4185</v>
      </c>
      <c r="GB131" s="67">
        <f t="shared" ref="GB131:GB136" si="330">+SUM(AR131:AT131)</f>
        <v>7266</v>
      </c>
      <c r="GC131" s="67">
        <f t="shared" ref="GC131:GC136" si="331">+SUM(AU131:AW131)</f>
        <v>5285</v>
      </c>
      <c r="GD131" s="67">
        <f t="shared" ref="GD131:GD136" si="332">+SUM(AX131:AZ131)</f>
        <v>7232</v>
      </c>
      <c r="GE131" s="67">
        <f t="shared" ref="GE131:GE136" si="333">+SUM(BA131:BC131)</f>
        <v>5255</v>
      </c>
      <c r="GF131" s="67">
        <f t="shared" ref="GF131:GF136" si="334">+SUM(BD131:BF131)</f>
        <v>5923</v>
      </c>
      <c r="GG131" s="67">
        <f t="shared" ref="GG131:GG136" si="335">+SUM(BG131:BI131)</f>
        <v>5023</v>
      </c>
      <c r="GH131" s="67">
        <f t="shared" ref="GH131:GH136" si="336">+SUM(BJ131:BL131)</f>
        <v>4588</v>
      </c>
      <c r="GI131" s="67">
        <f t="shared" ref="GI131:GI136" si="337">+SUM(BM131:BO131)</f>
        <v>5051</v>
      </c>
      <c r="GJ131" s="67">
        <f t="shared" ref="GJ131:GJ136" si="338">+SUM(BP131:BR131)</f>
        <v>5053</v>
      </c>
      <c r="GK131" s="67">
        <f t="shared" ref="GK131:GK136" si="339">+SUM(BS131:BU131)</f>
        <v>4390</v>
      </c>
      <c r="GL131" s="67">
        <f t="shared" ref="GL131:GL136" si="340">+SUM(BV131:BX131)</f>
        <v>4863</v>
      </c>
      <c r="GM131" s="67">
        <f t="shared" ref="GM131:GM136" si="341">+SUM(BY131:CA131)</f>
        <v>3123</v>
      </c>
      <c r="GN131" s="67">
        <f t="shared" ref="GN131:GN136" si="342">+SUM(CB131:CD131)</f>
        <v>3177</v>
      </c>
      <c r="GO131" s="67">
        <f t="shared" ref="GO131:GO136" si="343">+SUM(CE131:CG131)</f>
        <v>3578</v>
      </c>
      <c r="GP131" s="67">
        <f t="shared" ref="GP131:GP136" si="344">+SUM(CH131:CJ131)</f>
        <v>2757</v>
      </c>
      <c r="GQ131" s="67">
        <f t="shared" ref="GQ131:GQ136" si="345">+SUM(CK131:CM131)</f>
        <v>7349</v>
      </c>
      <c r="GR131" s="67">
        <f t="shared" ref="GR131:GR136" si="346">+SUM(CN131:CP131)</f>
        <v>19257</v>
      </c>
      <c r="GS131" s="67">
        <f t="shared" ref="GS131:GS136" si="347">+SUM(CQ131:CS131)</f>
        <v>10915</v>
      </c>
      <c r="GT131" s="67">
        <f t="shared" ref="GT131:GT136" si="348">+SUM(CT131:CV131)</f>
        <v>3262</v>
      </c>
      <c r="GU131" s="67">
        <f t="shared" si="294"/>
        <v>12090</v>
      </c>
      <c r="GV131" s="67">
        <f t="shared" si="295"/>
        <v>16324</v>
      </c>
      <c r="GW131" s="67">
        <f t="shared" si="296"/>
        <v>19758</v>
      </c>
      <c r="GX131" s="67">
        <f t="shared" si="297"/>
        <v>11227</v>
      </c>
      <c r="GY131" s="67">
        <f t="shared" si="298"/>
        <v>17850</v>
      </c>
      <c r="GZ131" s="67">
        <f t="shared" si="299"/>
        <v>15387</v>
      </c>
      <c r="HA131" s="67">
        <f t="shared" si="300"/>
        <v>16476</v>
      </c>
      <c r="HB131" s="67">
        <f t="shared" si="301"/>
        <v>15775</v>
      </c>
      <c r="HC131" s="67">
        <f t="shared" si="302"/>
        <v>16729</v>
      </c>
      <c r="HD131" s="67">
        <f t="shared" si="303"/>
        <v>15011</v>
      </c>
      <c r="HE131" s="67">
        <f t="shared" si="304"/>
        <v>11913</v>
      </c>
      <c r="HF131" s="67">
        <f t="shared" si="305"/>
        <v>11170</v>
      </c>
      <c r="HG131" s="67">
        <f t="shared" si="306"/>
        <v>8217</v>
      </c>
      <c r="HH131" s="67">
        <f t="shared" si="307"/>
        <v>6365</v>
      </c>
      <c r="HI131" s="67">
        <f t="shared" si="308"/>
        <v>9519</v>
      </c>
      <c r="HJ131" s="210">
        <f t="shared" si="309"/>
        <v>8646</v>
      </c>
      <c r="HK131" s="210">
        <f t="shared" si="310"/>
        <v>7177</v>
      </c>
      <c r="HL131" s="210">
        <f t="shared" si="311"/>
        <v>7682</v>
      </c>
      <c r="HM131" s="210">
        <f t="shared" si="312"/>
        <v>6768</v>
      </c>
      <c r="HN131" s="210">
        <f t="shared" si="313"/>
        <v>6145</v>
      </c>
      <c r="HO131" s="210">
        <f t="shared" si="314"/>
        <v>8843</v>
      </c>
      <c r="HP131" s="210">
        <f t="shared" si="315"/>
        <v>10809</v>
      </c>
      <c r="HQ131" s="60"/>
      <c r="HR131" s="43"/>
      <c r="HS131" s="43"/>
      <c r="HT131" s="43"/>
      <c r="HU131" s="216">
        <f t="shared" ref="HU131:HU136" si="349">SUM(B131:M131)</f>
        <v>39576</v>
      </c>
      <c r="HV131" s="216">
        <f t="shared" ref="HV131:HV136" si="350">SUM(N131:Y131)</f>
        <v>46101</v>
      </c>
      <c r="HW131" s="216">
        <f t="shared" ref="HW131:HW136" si="351">SUM(Z131:AK131)</f>
        <v>39378</v>
      </c>
      <c r="HX131" s="217">
        <f t="shared" ref="HX131:HX136" si="352">SUM(AL131:AW131)</f>
        <v>27873</v>
      </c>
      <c r="HY131" s="72">
        <f t="shared" ref="HY131:HY136" si="353">SUM(AX131:BI131)</f>
        <v>23433</v>
      </c>
      <c r="HZ131" s="72">
        <f t="shared" ref="HZ131:HZ136" si="354">SUM(BJ131:BU131)</f>
        <v>19082</v>
      </c>
      <c r="IA131" s="72">
        <f t="shared" si="250"/>
        <v>14741</v>
      </c>
      <c r="IB131" s="74">
        <f t="shared" si="251"/>
        <v>40278</v>
      </c>
      <c r="IC131" s="74">
        <f t="shared" si="252"/>
        <v>51434</v>
      </c>
      <c r="ID131" s="74">
        <f t="shared" si="253"/>
        <v>60940</v>
      </c>
      <c r="IE131" s="74">
        <f t="shared" si="254"/>
        <v>59428</v>
      </c>
      <c r="IF131" s="74">
        <f t="shared" si="255"/>
        <v>35271</v>
      </c>
      <c r="IG131" s="74">
        <f t="shared" si="256"/>
        <v>30273</v>
      </c>
    </row>
    <row r="132" spans="1:241" outlineLevel="2" x14ac:dyDescent="0.3">
      <c r="A132" s="71" t="s">
        <v>156</v>
      </c>
      <c r="B132" s="72">
        <v>75</v>
      </c>
      <c r="C132" s="72">
        <v>82</v>
      </c>
      <c r="D132" s="72">
        <v>168</v>
      </c>
      <c r="E132" s="213">
        <v>85</v>
      </c>
      <c r="F132" s="72">
        <v>77</v>
      </c>
      <c r="G132" s="213">
        <v>284</v>
      </c>
      <c r="H132" s="213">
        <v>6</v>
      </c>
      <c r="I132" s="213">
        <v>51</v>
      </c>
      <c r="J132" s="213">
        <v>52</v>
      </c>
      <c r="K132" s="213">
        <v>87</v>
      </c>
      <c r="L132" s="213">
        <v>112</v>
      </c>
      <c r="M132" s="213">
        <v>47</v>
      </c>
      <c r="N132" s="72">
        <v>44</v>
      </c>
      <c r="O132" s="72">
        <v>36</v>
      </c>
      <c r="P132" s="72">
        <v>35</v>
      </c>
      <c r="Q132" s="213">
        <v>41</v>
      </c>
      <c r="R132" s="72">
        <v>29</v>
      </c>
      <c r="S132" s="72">
        <v>46</v>
      </c>
      <c r="T132" s="72">
        <v>59</v>
      </c>
      <c r="U132" s="72">
        <v>45</v>
      </c>
      <c r="V132" s="72">
        <v>37</v>
      </c>
      <c r="W132" s="72">
        <v>45</v>
      </c>
      <c r="X132" s="72">
        <v>9</v>
      </c>
      <c r="Y132" s="72">
        <v>7</v>
      </c>
      <c r="Z132" s="72">
        <v>2</v>
      </c>
      <c r="AA132" s="72">
        <v>1</v>
      </c>
      <c r="AB132" s="72">
        <v>2</v>
      </c>
      <c r="AC132" s="72">
        <v>6</v>
      </c>
      <c r="AD132" s="72">
        <v>6</v>
      </c>
      <c r="AE132" s="72">
        <v>27</v>
      </c>
      <c r="AF132" s="72">
        <v>20</v>
      </c>
      <c r="AG132" s="72">
        <v>10</v>
      </c>
      <c r="AH132" s="72">
        <v>20</v>
      </c>
      <c r="AI132" s="72">
        <v>12</v>
      </c>
      <c r="AJ132" s="72">
        <v>7</v>
      </c>
      <c r="AK132" s="72">
        <v>13</v>
      </c>
      <c r="AL132" s="72">
        <v>20</v>
      </c>
      <c r="AM132" s="72">
        <v>7</v>
      </c>
      <c r="AN132" s="72">
        <v>11</v>
      </c>
      <c r="AO132" s="72">
        <v>6</v>
      </c>
      <c r="AP132" s="72">
        <v>15</v>
      </c>
      <c r="AQ132" s="72">
        <v>18</v>
      </c>
      <c r="AR132" s="72">
        <v>8</v>
      </c>
      <c r="AS132" s="72">
        <v>2</v>
      </c>
      <c r="AT132" s="72">
        <v>3</v>
      </c>
      <c r="AU132" s="72">
        <v>1</v>
      </c>
      <c r="AV132" s="72">
        <v>14</v>
      </c>
      <c r="AW132" s="72">
        <v>7</v>
      </c>
      <c r="AX132" s="72">
        <v>3</v>
      </c>
      <c r="AY132" s="72">
        <v>8</v>
      </c>
      <c r="AZ132" s="72">
        <v>4</v>
      </c>
      <c r="BA132" s="72">
        <v>4</v>
      </c>
      <c r="BB132" s="72">
        <v>3</v>
      </c>
      <c r="BC132" s="72">
        <v>2</v>
      </c>
      <c r="BD132" s="72">
        <v>5</v>
      </c>
      <c r="BE132" s="72">
        <v>0</v>
      </c>
      <c r="BF132" s="72">
        <v>1</v>
      </c>
      <c r="BG132" s="72">
        <v>0</v>
      </c>
      <c r="BH132" s="72">
        <v>1</v>
      </c>
      <c r="BI132" s="72">
        <v>1</v>
      </c>
      <c r="BJ132" s="72">
        <v>0</v>
      </c>
      <c r="BK132" s="214">
        <v>0</v>
      </c>
      <c r="BL132" s="214">
        <v>2</v>
      </c>
      <c r="BM132" s="214">
        <v>1</v>
      </c>
      <c r="BN132" s="214">
        <v>7</v>
      </c>
      <c r="BO132" s="214">
        <v>73</v>
      </c>
      <c r="BP132" s="214">
        <v>289</v>
      </c>
      <c r="BQ132" s="214">
        <v>267</v>
      </c>
      <c r="BR132" s="214">
        <v>192</v>
      </c>
      <c r="BS132" s="214">
        <v>182</v>
      </c>
      <c r="BT132" s="214">
        <v>223</v>
      </c>
      <c r="BU132" s="214">
        <v>163</v>
      </c>
      <c r="BV132" s="214">
        <v>161</v>
      </c>
      <c r="BW132" s="214">
        <v>153</v>
      </c>
      <c r="BX132" s="214">
        <v>195</v>
      </c>
      <c r="BY132" s="214">
        <v>135</v>
      </c>
      <c r="BZ132" s="214">
        <v>130</v>
      </c>
      <c r="CA132" s="214">
        <v>147</v>
      </c>
      <c r="CB132" s="214">
        <v>218</v>
      </c>
      <c r="CC132" s="214">
        <v>127</v>
      </c>
      <c r="CD132" s="214">
        <v>219</v>
      </c>
      <c r="CE132" s="214">
        <v>143</v>
      </c>
      <c r="CF132" s="214">
        <v>158</v>
      </c>
      <c r="CG132" s="214">
        <v>252</v>
      </c>
      <c r="CH132" s="214">
        <v>75</v>
      </c>
      <c r="CI132" s="214">
        <v>95</v>
      </c>
      <c r="CJ132" s="214">
        <v>93</v>
      </c>
      <c r="CK132" s="214">
        <v>79</v>
      </c>
      <c r="CL132" s="214">
        <v>104</v>
      </c>
      <c r="CM132" s="214">
        <v>150</v>
      </c>
      <c r="CN132" s="214">
        <v>180</v>
      </c>
      <c r="CO132" s="214">
        <v>157</v>
      </c>
      <c r="CP132" s="214">
        <v>233</v>
      </c>
      <c r="CQ132" s="214">
        <v>189</v>
      </c>
      <c r="CR132" s="214">
        <v>176</v>
      </c>
      <c r="CS132" s="214">
        <v>59</v>
      </c>
      <c r="CT132" s="214"/>
      <c r="CU132" s="214">
        <v>112</v>
      </c>
      <c r="CV132" s="214">
        <v>151</v>
      </c>
      <c r="CW132" s="214">
        <v>130</v>
      </c>
      <c r="CX132" s="214">
        <v>175</v>
      </c>
      <c r="CY132" s="214">
        <v>240</v>
      </c>
      <c r="CZ132" s="214">
        <v>182</v>
      </c>
      <c r="DA132" s="214">
        <v>5</v>
      </c>
      <c r="DB132" s="214">
        <v>4</v>
      </c>
      <c r="DC132" s="214">
        <v>0</v>
      </c>
      <c r="DD132" s="214">
        <v>2</v>
      </c>
      <c r="DE132" s="214">
        <v>1</v>
      </c>
      <c r="DF132" s="214">
        <v>3</v>
      </c>
      <c r="DG132" s="214">
        <v>1</v>
      </c>
      <c r="DH132" s="214">
        <v>1</v>
      </c>
      <c r="DI132" s="214">
        <v>1822</v>
      </c>
      <c r="DJ132" s="214">
        <v>2904</v>
      </c>
      <c r="DK132" s="214">
        <v>2158</v>
      </c>
      <c r="DL132" s="214">
        <v>2430</v>
      </c>
      <c r="DM132" s="214">
        <v>1876</v>
      </c>
      <c r="DN132" s="214">
        <v>2896</v>
      </c>
      <c r="DO132" s="214">
        <v>2721</v>
      </c>
      <c r="DP132" s="214">
        <v>2374</v>
      </c>
      <c r="DQ132" s="214">
        <v>2624</v>
      </c>
      <c r="DR132" s="214">
        <v>2500</v>
      </c>
      <c r="DS132" s="214">
        <v>1912</v>
      </c>
      <c r="DT132" s="214">
        <v>3062</v>
      </c>
      <c r="DU132" s="214">
        <v>2174</v>
      </c>
      <c r="DV132" s="214">
        <v>2027</v>
      </c>
      <c r="DW132" s="214">
        <v>2295</v>
      </c>
      <c r="DX132" s="214">
        <v>1746</v>
      </c>
      <c r="DY132" s="214">
        <v>2147</v>
      </c>
      <c r="DZ132" s="214">
        <v>2293</v>
      </c>
      <c r="EA132" s="214">
        <v>2209</v>
      </c>
      <c r="EB132" s="214">
        <v>1972</v>
      </c>
      <c r="EC132" s="214">
        <v>2668</v>
      </c>
      <c r="ED132" s="214">
        <v>2302</v>
      </c>
      <c r="EE132" s="214">
        <v>1842</v>
      </c>
      <c r="EF132" s="214">
        <v>2327</v>
      </c>
      <c r="EG132" s="214">
        <v>2553</v>
      </c>
      <c r="EH132" s="214">
        <v>2650</v>
      </c>
      <c r="EI132" s="214">
        <v>2451</v>
      </c>
      <c r="EJ132" s="214">
        <v>2623</v>
      </c>
      <c r="EK132" s="214">
        <v>2034</v>
      </c>
      <c r="EL132" s="214">
        <v>2710</v>
      </c>
      <c r="EM132" s="214">
        <v>1135</v>
      </c>
      <c r="EN132" s="214">
        <v>1226</v>
      </c>
      <c r="EO132" s="214">
        <v>1430</v>
      </c>
      <c r="EP132" s="214">
        <v>1313</v>
      </c>
      <c r="EQ132" s="214">
        <v>1342</v>
      </c>
      <c r="ER132" s="214">
        <v>1335</v>
      </c>
      <c r="ES132" s="214">
        <v>1310</v>
      </c>
      <c r="ET132" s="214">
        <v>1647</v>
      </c>
      <c r="EU132" s="214">
        <v>1913</v>
      </c>
      <c r="EV132" s="214">
        <v>2422</v>
      </c>
      <c r="EW132" s="214">
        <v>1749</v>
      </c>
      <c r="EX132" s="214">
        <v>2659</v>
      </c>
      <c r="EY132" s="214">
        <v>2623</v>
      </c>
      <c r="EZ132" s="214">
        <v>4681</v>
      </c>
      <c r="FA132" s="214">
        <v>6237</v>
      </c>
      <c r="FB132" s="214">
        <v>6254</v>
      </c>
      <c r="FC132" s="214">
        <v>5801</v>
      </c>
      <c r="FD132" s="214">
        <v>4118</v>
      </c>
      <c r="FE132" s="214">
        <v>4384</v>
      </c>
      <c r="FF132" s="214">
        <v>3963</v>
      </c>
      <c r="FG132" s="214">
        <v>5297</v>
      </c>
      <c r="FH132" s="214">
        <v>6602</v>
      </c>
      <c r="FI132" s="214">
        <v>4277</v>
      </c>
      <c r="FJ132" s="214">
        <v>4856</v>
      </c>
      <c r="FK132" s="43"/>
      <c r="FL132" s="43"/>
      <c r="FM132" s="43"/>
      <c r="FN132" s="76">
        <f t="shared" si="316"/>
        <v>325</v>
      </c>
      <c r="FO132" s="76">
        <f t="shared" si="317"/>
        <v>446</v>
      </c>
      <c r="FP132" s="76">
        <f t="shared" si="318"/>
        <v>109</v>
      </c>
      <c r="FQ132" s="76">
        <f t="shared" si="319"/>
        <v>246</v>
      </c>
      <c r="FR132" s="76">
        <f t="shared" si="320"/>
        <v>115</v>
      </c>
      <c r="FS132" s="76">
        <f t="shared" si="321"/>
        <v>116</v>
      </c>
      <c r="FT132" s="76">
        <f t="shared" si="322"/>
        <v>141</v>
      </c>
      <c r="FU132" s="76">
        <f t="shared" si="323"/>
        <v>61</v>
      </c>
      <c r="FV132" s="76">
        <f t="shared" si="324"/>
        <v>5</v>
      </c>
      <c r="FW132" s="76">
        <f t="shared" si="325"/>
        <v>39</v>
      </c>
      <c r="FX132" s="76">
        <f t="shared" si="326"/>
        <v>50</v>
      </c>
      <c r="FY132" s="76">
        <f t="shared" si="327"/>
        <v>32</v>
      </c>
      <c r="FZ132" s="76">
        <f t="shared" si="328"/>
        <v>38</v>
      </c>
      <c r="GA132" s="76">
        <f t="shared" si="329"/>
        <v>39</v>
      </c>
      <c r="GB132" s="76">
        <f t="shared" si="330"/>
        <v>13</v>
      </c>
      <c r="GC132" s="76">
        <f t="shared" si="331"/>
        <v>22</v>
      </c>
      <c r="GD132" s="76">
        <f t="shared" si="332"/>
        <v>15</v>
      </c>
      <c r="GE132" s="76">
        <f t="shared" si="333"/>
        <v>9</v>
      </c>
      <c r="GF132" s="76">
        <f t="shared" si="334"/>
        <v>6</v>
      </c>
      <c r="GG132" s="76">
        <f t="shared" si="335"/>
        <v>2</v>
      </c>
      <c r="GH132" s="76">
        <f t="shared" si="336"/>
        <v>2</v>
      </c>
      <c r="GI132" s="76">
        <f t="shared" si="337"/>
        <v>81</v>
      </c>
      <c r="GJ132" s="76">
        <f t="shared" si="338"/>
        <v>748</v>
      </c>
      <c r="GK132" s="76">
        <f t="shared" si="339"/>
        <v>568</v>
      </c>
      <c r="GL132" s="76">
        <f t="shared" si="340"/>
        <v>509</v>
      </c>
      <c r="GM132" s="76">
        <f t="shared" si="341"/>
        <v>412</v>
      </c>
      <c r="GN132" s="76">
        <f t="shared" si="342"/>
        <v>564</v>
      </c>
      <c r="GO132" s="76">
        <f t="shared" si="343"/>
        <v>553</v>
      </c>
      <c r="GP132" s="76">
        <f t="shared" si="344"/>
        <v>263</v>
      </c>
      <c r="GQ132" s="76">
        <f t="shared" si="345"/>
        <v>333</v>
      </c>
      <c r="GR132" s="76">
        <f t="shared" si="346"/>
        <v>570</v>
      </c>
      <c r="GS132" s="76">
        <f t="shared" si="347"/>
        <v>424</v>
      </c>
      <c r="GT132" s="76">
        <f t="shared" si="348"/>
        <v>263</v>
      </c>
      <c r="GU132" s="76">
        <f t="shared" si="294"/>
        <v>545</v>
      </c>
      <c r="GV132" s="76">
        <f t="shared" si="295"/>
        <v>191</v>
      </c>
      <c r="GW132" s="76">
        <f t="shared" si="296"/>
        <v>3</v>
      </c>
      <c r="GX132" s="76">
        <f t="shared" si="297"/>
        <v>5</v>
      </c>
      <c r="GY132" s="76">
        <f t="shared" si="298"/>
        <v>6884</v>
      </c>
      <c r="GZ132" s="76">
        <f t="shared" si="299"/>
        <v>7202</v>
      </c>
      <c r="HA132" s="76">
        <f t="shared" si="300"/>
        <v>7719</v>
      </c>
      <c r="HB132" s="76">
        <f t="shared" si="301"/>
        <v>7474</v>
      </c>
      <c r="HC132" s="76">
        <f t="shared" si="302"/>
        <v>6496</v>
      </c>
      <c r="HD132" s="76">
        <f t="shared" si="303"/>
        <v>6186</v>
      </c>
      <c r="HE132" s="76">
        <f t="shared" si="304"/>
        <v>6849</v>
      </c>
      <c r="HF132" s="76">
        <f t="shared" si="305"/>
        <v>6471</v>
      </c>
      <c r="HG132" s="76">
        <f t="shared" si="306"/>
        <v>7654</v>
      </c>
      <c r="HH132" s="76">
        <f t="shared" si="307"/>
        <v>7367</v>
      </c>
      <c r="HI132" s="76">
        <f t="shared" si="308"/>
        <v>3791</v>
      </c>
      <c r="HJ132" s="215">
        <f t="shared" si="309"/>
        <v>3990</v>
      </c>
      <c r="HK132" s="215">
        <f t="shared" si="310"/>
        <v>4870</v>
      </c>
      <c r="HL132" s="215">
        <f t="shared" si="311"/>
        <v>6830</v>
      </c>
      <c r="HM132" s="215">
        <f t="shared" si="312"/>
        <v>13541</v>
      </c>
      <c r="HN132" s="215">
        <f t="shared" si="313"/>
        <v>16173</v>
      </c>
      <c r="HO132" s="215">
        <f t="shared" si="314"/>
        <v>13644</v>
      </c>
      <c r="HP132" s="215">
        <f t="shared" si="315"/>
        <v>15735</v>
      </c>
      <c r="HQ132" s="77"/>
      <c r="HR132" s="43"/>
      <c r="HS132" s="43"/>
      <c r="HT132" s="43"/>
      <c r="HU132" s="211">
        <f t="shared" si="349"/>
        <v>1126</v>
      </c>
      <c r="HV132" s="211">
        <f t="shared" si="350"/>
        <v>433</v>
      </c>
      <c r="HW132" s="211">
        <f t="shared" si="351"/>
        <v>126</v>
      </c>
      <c r="HX132" s="212">
        <f t="shared" si="352"/>
        <v>112</v>
      </c>
      <c r="HY132" s="58">
        <f t="shared" si="353"/>
        <v>32</v>
      </c>
      <c r="HZ132" s="58">
        <f t="shared" si="354"/>
        <v>1399</v>
      </c>
      <c r="IA132" s="58">
        <f t="shared" si="250"/>
        <v>2038</v>
      </c>
      <c r="IB132" s="64">
        <f t="shared" si="251"/>
        <v>1590</v>
      </c>
      <c r="IC132" s="64">
        <f t="shared" si="252"/>
        <v>1002</v>
      </c>
      <c r="ID132" s="64">
        <f t="shared" si="253"/>
        <v>21810</v>
      </c>
      <c r="IE132" s="64">
        <f t="shared" si="254"/>
        <v>27005</v>
      </c>
      <c r="IF132" s="64">
        <f t="shared" si="255"/>
        <v>25283</v>
      </c>
      <c r="IG132" s="64">
        <f t="shared" si="256"/>
        <v>29231</v>
      </c>
    </row>
    <row r="133" spans="1:241" outlineLevel="2" x14ac:dyDescent="0.3">
      <c r="A133" s="63" t="s">
        <v>157</v>
      </c>
      <c r="B133" s="58">
        <v>3523</v>
      </c>
      <c r="C133" s="58">
        <v>2744</v>
      </c>
      <c r="D133" s="58">
        <v>3354</v>
      </c>
      <c r="E133" s="207">
        <v>4828</v>
      </c>
      <c r="F133" s="58">
        <v>4335</v>
      </c>
      <c r="G133" s="207">
        <v>4224</v>
      </c>
      <c r="H133" s="207">
        <v>4470</v>
      </c>
      <c r="I133" s="207">
        <v>4352</v>
      </c>
      <c r="J133" s="207">
        <v>2830</v>
      </c>
      <c r="K133" s="207">
        <v>3880</v>
      </c>
      <c r="L133" s="207">
        <v>2649</v>
      </c>
      <c r="M133" s="207">
        <v>3250</v>
      </c>
      <c r="N133" s="58">
        <v>2519</v>
      </c>
      <c r="O133" s="58">
        <v>2046</v>
      </c>
      <c r="P133" s="58">
        <v>1921</v>
      </c>
      <c r="Q133" s="207">
        <v>1671</v>
      </c>
      <c r="R133" s="58">
        <v>2301</v>
      </c>
      <c r="S133" s="58">
        <v>2694</v>
      </c>
      <c r="T133" s="58">
        <v>2847</v>
      </c>
      <c r="U133" s="58">
        <v>2243</v>
      </c>
      <c r="V133" s="58">
        <v>2585</v>
      </c>
      <c r="W133" s="58">
        <v>2383</v>
      </c>
      <c r="X133" s="58">
        <v>2178</v>
      </c>
      <c r="Y133" s="58">
        <v>2712</v>
      </c>
      <c r="Z133" s="58">
        <v>1700</v>
      </c>
      <c r="AA133" s="58">
        <v>2218</v>
      </c>
      <c r="AB133" s="58">
        <v>1912</v>
      </c>
      <c r="AC133" s="58">
        <v>2365</v>
      </c>
      <c r="AD133" s="58">
        <v>2683</v>
      </c>
      <c r="AE133" s="58">
        <v>2104</v>
      </c>
      <c r="AF133" s="58">
        <v>1875</v>
      </c>
      <c r="AG133" s="58">
        <v>1683</v>
      </c>
      <c r="AH133" s="58">
        <v>2057</v>
      </c>
      <c r="AI133" s="58">
        <v>1357</v>
      </c>
      <c r="AJ133" s="58">
        <v>1914</v>
      </c>
      <c r="AK133" s="58">
        <v>1982</v>
      </c>
      <c r="AL133" s="58">
        <v>1242</v>
      </c>
      <c r="AM133" s="58">
        <v>1914</v>
      </c>
      <c r="AN133" s="58">
        <v>1715</v>
      </c>
      <c r="AO133" s="58">
        <v>1815</v>
      </c>
      <c r="AP133" s="58">
        <v>1349</v>
      </c>
      <c r="AQ133" s="58">
        <v>1506</v>
      </c>
      <c r="AR133" s="58">
        <v>1698</v>
      </c>
      <c r="AS133" s="58">
        <v>1298</v>
      </c>
      <c r="AT133" s="58">
        <v>1144</v>
      </c>
      <c r="AU133" s="58">
        <v>1321</v>
      </c>
      <c r="AV133" s="58">
        <v>1626</v>
      </c>
      <c r="AW133" s="58">
        <v>1510</v>
      </c>
      <c r="AX133" s="58">
        <v>1353</v>
      </c>
      <c r="AY133" s="58">
        <v>787</v>
      </c>
      <c r="AZ133" s="58">
        <v>777</v>
      </c>
      <c r="BA133" s="58">
        <v>1338</v>
      </c>
      <c r="BB133" s="58">
        <v>1567</v>
      </c>
      <c r="BC133" s="58">
        <v>1604</v>
      </c>
      <c r="BD133" s="58">
        <v>1828</v>
      </c>
      <c r="BE133" s="58">
        <v>1190</v>
      </c>
      <c r="BF133" s="58">
        <v>1195</v>
      </c>
      <c r="BG133" s="58">
        <v>2307</v>
      </c>
      <c r="BH133" s="58">
        <v>2305</v>
      </c>
      <c r="BI133" s="58">
        <v>2401</v>
      </c>
      <c r="BJ133" s="58">
        <v>1607</v>
      </c>
      <c r="BK133" s="208">
        <v>1061</v>
      </c>
      <c r="BL133" s="208">
        <v>1191</v>
      </c>
      <c r="BM133" s="208">
        <v>2808</v>
      </c>
      <c r="BN133" s="208">
        <v>2878</v>
      </c>
      <c r="BO133" s="208">
        <v>5048</v>
      </c>
      <c r="BP133" s="208">
        <v>5144</v>
      </c>
      <c r="BQ133" s="208">
        <v>5601</v>
      </c>
      <c r="BR133" s="208">
        <v>6042</v>
      </c>
      <c r="BS133" s="208">
        <v>6640</v>
      </c>
      <c r="BT133" s="208">
        <v>6118</v>
      </c>
      <c r="BU133" s="208">
        <v>7753</v>
      </c>
      <c r="BV133" s="208">
        <v>6578</v>
      </c>
      <c r="BW133" s="208">
        <v>5973</v>
      </c>
      <c r="BX133" s="208">
        <v>5922</v>
      </c>
      <c r="BY133" s="208">
        <v>5613</v>
      </c>
      <c r="BZ133" s="208">
        <v>6396</v>
      </c>
      <c r="CA133" s="208">
        <v>6238</v>
      </c>
      <c r="CB133" s="208">
        <v>6727</v>
      </c>
      <c r="CC133" s="208">
        <v>5571</v>
      </c>
      <c r="CD133" s="208">
        <v>6178</v>
      </c>
      <c r="CE133" s="208">
        <v>6819</v>
      </c>
      <c r="CF133" s="208">
        <v>7726</v>
      </c>
      <c r="CG133" s="208">
        <v>9015</v>
      </c>
      <c r="CH133" s="208">
        <v>6588</v>
      </c>
      <c r="CI133" s="208">
        <v>6738</v>
      </c>
      <c r="CJ133" s="208">
        <v>5800</v>
      </c>
      <c r="CK133" s="208">
        <v>4348</v>
      </c>
      <c r="CL133" s="208">
        <v>3129</v>
      </c>
      <c r="CM133" s="208">
        <v>4010</v>
      </c>
      <c r="CN133" s="208">
        <v>6090</v>
      </c>
      <c r="CO133" s="208">
        <v>4378</v>
      </c>
      <c r="CP133" s="208">
        <v>6188</v>
      </c>
      <c r="CQ133" s="208">
        <v>4147</v>
      </c>
      <c r="CR133" s="208">
        <v>4687</v>
      </c>
      <c r="CS133" s="208">
        <v>3278</v>
      </c>
      <c r="CT133" s="208"/>
      <c r="CU133" s="208">
        <v>754</v>
      </c>
      <c r="CV133" s="208">
        <v>3693</v>
      </c>
      <c r="CW133" s="208">
        <v>5312</v>
      </c>
      <c r="CX133" s="208">
        <v>6873</v>
      </c>
      <c r="CY133" s="208">
        <v>7762</v>
      </c>
      <c r="CZ133" s="208">
        <v>9286</v>
      </c>
      <c r="DA133" s="208">
        <v>8231</v>
      </c>
      <c r="DB133" s="208">
        <v>9058</v>
      </c>
      <c r="DC133" s="208">
        <v>10668</v>
      </c>
      <c r="DD133" s="208">
        <v>11666</v>
      </c>
      <c r="DE133" s="208">
        <v>13115</v>
      </c>
      <c r="DF133" s="208">
        <v>10164</v>
      </c>
      <c r="DG133" s="208">
        <v>9335</v>
      </c>
      <c r="DH133" s="208">
        <v>11804</v>
      </c>
      <c r="DI133" s="208">
        <v>14774</v>
      </c>
      <c r="DJ133" s="208">
        <v>14511</v>
      </c>
      <c r="DK133" s="208">
        <v>13532</v>
      </c>
      <c r="DL133" s="208">
        <v>14928</v>
      </c>
      <c r="DM133" s="208">
        <v>19972</v>
      </c>
      <c r="DN133" s="208">
        <v>24622</v>
      </c>
      <c r="DO133" s="208">
        <v>28108</v>
      </c>
      <c r="DP133" s="208">
        <v>26389</v>
      </c>
      <c r="DQ133" s="208">
        <v>29559</v>
      </c>
      <c r="DR133" s="208">
        <v>28459</v>
      </c>
      <c r="DS133" s="208">
        <v>29891</v>
      </c>
      <c r="DT133" s="208">
        <v>29593</v>
      </c>
      <c r="DU133" s="208">
        <v>30236</v>
      </c>
      <c r="DV133" s="208">
        <v>31507</v>
      </c>
      <c r="DW133" s="208">
        <v>31792</v>
      </c>
      <c r="DX133" s="208">
        <v>29262</v>
      </c>
      <c r="DY133" s="208"/>
      <c r="DZ133" s="208">
        <v>26269</v>
      </c>
      <c r="EA133" s="208">
        <v>30177</v>
      </c>
      <c r="EB133" s="208">
        <v>28389</v>
      </c>
      <c r="EC133" s="208">
        <v>30114</v>
      </c>
      <c r="ED133" s="208">
        <v>30748</v>
      </c>
      <c r="EE133" s="208">
        <v>29626</v>
      </c>
      <c r="EF133" s="208">
        <v>28520</v>
      </c>
      <c r="EG133" s="208">
        <v>28147</v>
      </c>
      <c r="EH133" s="208">
        <v>25280</v>
      </c>
      <c r="EI133" s="208">
        <v>29803</v>
      </c>
      <c r="EJ133" s="208">
        <v>35440</v>
      </c>
      <c r="EK133" s="208">
        <v>33832</v>
      </c>
      <c r="EL133" s="208">
        <v>32578</v>
      </c>
      <c r="EM133" s="208">
        <v>40679</v>
      </c>
      <c r="EN133" s="208">
        <v>38043</v>
      </c>
      <c r="EO133" s="208">
        <v>35722</v>
      </c>
      <c r="EP133" s="208">
        <v>33788</v>
      </c>
      <c r="EQ133" s="208">
        <v>33692</v>
      </c>
      <c r="ER133" s="208">
        <v>33045</v>
      </c>
      <c r="ES133" s="208">
        <v>34123</v>
      </c>
      <c r="ET133" s="208">
        <v>35230</v>
      </c>
      <c r="EU133" s="208">
        <v>33188</v>
      </c>
      <c r="EV133" s="208">
        <v>39883</v>
      </c>
      <c r="EW133" s="208">
        <v>38802</v>
      </c>
      <c r="EX133" s="208">
        <v>36295</v>
      </c>
      <c r="EY133" s="208">
        <v>37751</v>
      </c>
      <c r="EZ133" s="208">
        <v>35933</v>
      </c>
      <c r="FA133" s="208">
        <v>40545</v>
      </c>
      <c r="FB133" s="208">
        <v>33454</v>
      </c>
      <c r="FC133" s="208">
        <v>31295</v>
      </c>
      <c r="FD133" s="208">
        <v>26289</v>
      </c>
      <c r="FE133" s="208">
        <v>29073</v>
      </c>
      <c r="FF133" s="208">
        <v>30987</v>
      </c>
      <c r="FG133" s="208">
        <v>46211</v>
      </c>
      <c r="FH133" s="208">
        <v>47318</v>
      </c>
      <c r="FI133" s="208">
        <v>47947</v>
      </c>
      <c r="FJ133" s="208">
        <v>40574</v>
      </c>
      <c r="FK133" s="43"/>
      <c r="FL133" s="43"/>
      <c r="FM133" s="43"/>
      <c r="FN133" s="67">
        <f t="shared" si="316"/>
        <v>9621</v>
      </c>
      <c r="FO133" s="67">
        <f t="shared" si="317"/>
        <v>13387</v>
      </c>
      <c r="FP133" s="67">
        <f t="shared" si="318"/>
        <v>11652</v>
      </c>
      <c r="FQ133" s="67">
        <f t="shared" si="319"/>
        <v>9779</v>
      </c>
      <c r="FR133" s="67">
        <f t="shared" si="320"/>
        <v>6486</v>
      </c>
      <c r="FS133" s="67">
        <f t="shared" si="321"/>
        <v>6666</v>
      </c>
      <c r="FT133" s="67">
        <f t="shared" si="322"/>
        <v>7675</v>
      </c>
      <c r="FU133" s="67">
        <f t="shared" si="323"/>
        <v>7273</v>
      </c>
      <c r="FV133" s="67">
        <f t="shared" si="324"/>
        <v>5830</v>
      </c>
      <c r="FW133" s="67">
        <f t="shared" si="325"/>
        <v>7152</v>
      </c>
      <c r="FX133" s="67">
        <f t="shared" si="326"/>
        <v>5615</v>
      </c>
      <c r="FY133" s="67">
        <f t="shared" si="327"/>
        <v>5253</v>
      </c>
      <c r="FZ133" s="67">
        <f t="shared" si="328"/>
        <v>4871</v>
      </c>
      <c r="GA133" s="67">
        <f t="shared" si="329"/>
        <v>4670</v>
      </c>
      <c r="GB133" s="67">
        <f t="shared" si="330"/>
        <v>4140</v>
      </c>
      <c r="GC133" s="67">
        <f t="shared" si="331"/>
        <v>4457</v>
      </c>
      <c r="GD133" s="67">
        <f t="shared" si="332"/>
        <v>2917</v>
      </c>
      <c r="GE133" s="67">
        <f t="shared" si="333"/>
        <v>4509</v>
      </c>
      <c r="GF133" s="67">
        <f t="shared" si="334"/>
        <v>4213</v>
      </c>
      <c r="GG133" s="67">
        <f t="shared" si="335"/>
        <v>7013</v>
      </c>
      <c r="GH133" s="67">
        <f t="shared" si="336"/>
        <v>3859</v>
      </c>
      <c r="GI133" s="67">
        <f t="shared" si="337"/>
        <v>10734</v>
      </c>
      <c r="GJ133" s="67">
        <f t="shared" si="338"/>
        <v>16787</v>
      </c>
      <c r="GK133" s="67">
        <f t="shared" si="339"/>
        <v>20511</v>
      </c>
      <c r="GL133" s="67">
        <f t="shared" si="340"/>
        <v>18473</v>
      </c>
      <c r="GM133" s="67">
        <f t="shared" si="341"/>
        <v>18247</v>
      </c>
      <c r="GN133" s="67">
        <f t="shared" si="342"/>
        <v>18476</v>
      </c>
      <c r="GO133" s="67">
        <f t="shared" si="343"/>
        <v>23560</v>
      </c>
      <c r="GP133" s="67">
        <f t="shared" si="344"/>
        <v>19126</v>
      </c>
      <c r="GQ133" s="67">
        <f t="shared" si="345"/>
        <v>11487</v>
      </c>
      <c r="GR133" s="67">
        <f t="shared" si="346"/>
        <v>16656</v>
      </c>
      <c r="GS133" s="67">
        <f t="shared" si="347"/>
        <v>12112</v>
      </c>
      <c r="GT133" s="67">
        <f t="shared" si="348"/>
        <v>4447</v>
      </c>
      <c r="GU133" s="67">
        <f t="shared" si="294"/>
        <v>19947</v>
      </c>
      <c r="GV133" s="67">
        <f t="shared" si="295"/>
        <v>26575</v>
      </c>
      <c r="GW133" s="67">
        <f t="shared" si="296"/>
        <v>35449</v>
      </c>
      <c r="GX133" s="67">
        <f t="shared" si="297"/>
        <v>31303</v>
      </c>
      <c r="GY133" s="67">
        <f t="shared" si="298"/>
        <v>42817</v>
      </c>
      <c r="GZ133" s="67">
        <f t="shared" si="299"/>
        <v>59522</v>
      </c>
      <c r="HA133" s="67">
        <f t="shared" si="300"/>
        <v>84056</v>
      </c>
      <c r="HB133" s="67">
        <f t="shared" si="301"/>
        <v>87943</v>
      </c>
      <c r="HC133" s="67">
        <f t="shared" si="302"/>
        <v>93535</v>
      </c>
      <c r="HD133" s="67">
        <f t="shared" si="303"/>
        <v>55531</v>
      </c>
      <c r="HE133" s="67">
        <f t="shared" si="304"/>
        <v>88680</v>
      </c>
      <c r="HF133" s="67">
        <f t="shared" si="305"/>
        <v>88894</v>
      </c>
      <c r="HG133" s="67">
        <f t="shared" si="306"/>
        <v>83230</v>
      </c>
      <c r="HH133" s="67">
        <f t="shared" si="307"/>
        <v>101850</v>
      </c>
      <c r="HI133" s="67">
        <f t="shared" si="308"/>
        <v>114444</v>
      </c>
      <c r="HJ133" s="210">
        <f t="shared" si="309"/>
        <v>100525</v>
      </c>
      <c r="HK133" s="210">
        <f t="shared" si="310"/>
        <v>102541</v>
      </c>
      <c r="HL133" s="210">
        <f t="shared" si="311"/>
        <v>114980</v>
      </c>
      <c r="HM133" s="210">
        <f t="shared" si="312"/>
        <v>114229</v>
      </c>
      <c r="HN133" s="210">
        <f t="shared" si="313"/>
        <v>91038</v>
      </c>
      <c r="HO133" s="210">
        <f t="shared" si="314"/>
        <v>106271</v>
      </c>
      <c r="HP133" s="210">
        <f t="shared" si="315"/>
        <v>135839</v>
      </c>
      <c r="HQ133" s="60"/>
      <c r="HR133" s="43"/>
      <c r="HS133" s="43"/>
      <c r="HT133" s="43"/>
      <c r="HU133" s="216">
        <f t="shared" si="349"/>
        <v>44439</v>
      </c>
      <c r="HV133" s="216">
        <f t="shared" si="350"/>
        <v>28100</v>
      </c>
      <c r="HW133" s="216">
        <f t="shared" si="351"/>
        <v>23850</v>
      </c>
      <c r="HX133" s="217">
        <f t="shared" si="352"/>
        <v>18138</v>
      </c>
      <c r="HY133" s="72">
        <f t="shared" si="353"/>
        <v>18652</v>
      </c>
      <c r="HZ133" s="72">
        <f t="shared" si="354"/>
        <v>51891</v>
      </c>
      <c r="IA133" s="72">
        <f t="shared" si="250"/>
        <v>78756</v>
      </c>
      <c r="IB133" s="74">
        <f t="shared" si="251"/>
        <v>59381</v>
      </c>
      <c r="IC133" s="74">
        <f t="shared" si="252"/>
        <v>86418</v>
      </c>
      <c r="ID133" s="74">
        <f t="shared" si="253"/>
        <v>217698</v>
      </c>
      <c r="IE133" s="74">
        <f t="shared" si="254"/>
        <v>325689</v>
      </c>
      <c r="IF133" s="74">
        <f t="shared" si="255"/>
        <v>388418</v>
      </c>
      <c r="IG133" s="74">
        <f t="shared" si="256"/>
        <v>432275</v>
      </c>
    </row>
    <row r="134" spans="1:241" outlineLevel="2" x14ac:dyDescent="0.3">
      <c r="A134" s="71" t="s">
        <v>158</v>
      </c>
      <c r="B134" s="72">
        <v>7873</v>
      </c>
      <c r="C134" s="72">
        <v>8120</v>
      </c>
      <c r="D134" s="72">
        <v>8039</v>
      </c>
      <c r="E134" s="213">
        <v>8010</v>
      </c>
      <c r="F134" s="72">
        <v>7742</v>
      </c>
      <c r="G134" s="213">
        <v>7166</v>
      </c>
      <c r="H134" s="213">
        <v>7291</v>
      </c>
      <c r="I134" s="213">
        <v>5713</v>
      </c>
      <c r="J134" s="213">
        <v>7725</v>
      </c>
      <c r="K134" s="213">
        <v>7569</v>
      </c>
      <c r="L134" s="213">
        <v>8019</v>
      </c>
      <c r="M134" s="213">
        <v>10237</v>
      </c>
      <c r="N134" s="72">
        <v>4301</v>
      </c>
      <c r="O134" s="72">
        <v>5580</v>
      </c>
      <c r="P134" s="72">
        <v>6529</v>
      </c>
      <c r="Q134" s="213">
        <v>6351</v>
      </c>
      <c r="R134" s="72">
        <v>6401</v>
      </c>
      <c r="S134" s="72">
        <v>6178</v>
      </c>
      <c r="T134" s="72">
        <v>7742</v>
      </c>
      <c r="U134" s="72">
        <v>5684</v>
      </c>
      <c r="V134" s="72">
        <v>6070</v>
      </c>
      <c r="W134" s="72">
        <v>6407</v>
      </c>
      <c r="X134" s="72">
        <v>6449</v>
      </c>
      <c r="Y134" s="72">
        <v>4254</v>
      </c>
      <c r="Z134" s="72">
        <v>4504</v>
      </c>
      <c r="AA134" s="72">
        <v>7028</v>
      </c>
      <c r="AB134" s="72">
        <v>6827</v>
      </c>
      <c r="AC134" s="72">
        <v>7210</v>
      </c>
      <c r="AD134" s="72">
        <v>6588</v>
      </c>
      <c r="AE134" s="72">
        <v>7631</v>
      </c>
      <c r="AF134" s="72">
        <v>6648</v>
      </c>
      <c r="AG134" s="72">
        <v>6896</v>
      </c>
      <c r="AH134" s="72">
        <v>6098</v>
      </c>
      <c r="AI134" s="72">
        <v>6850</v>
      </c>
      <c r="AJ134" s="72">
        <v>6680</v>
      </c>
      <c r="AK134" s="72">
        <v>7566</v>
      </c>
      <c r="AL134" s="72">
        <v>6941</v>
      </c>
      <c r="AM134" s="72">
        <v>6575</v>
      </c>
      <c r="AN134" s="72">
        <v>5543</v>
      </c>
      <c r="AO134" s="72">
        <v>7045</v>
      </c>
      <c r="AP134" s="72">
        <v>6243</v>
      </c>
      <c r="AQ134" s="72">
        <v>6521</v>
      </c>
      <c r="AR134" s="72">
        <v>6965</v>
      </c>
      <c r="AS134" s="72">
        <v>5025</v>
      </c>
      <c r="AT134" s="72">
        <v>4613</v>
      </c>
      <c r="AU134" s="72">
        <v>4179</v>
      </c>
      <c r="AV134" s="72">
        <v>5867</v>
      </c>
      <c r="AW134" s="72">
        <v>3323</v>
      </c>
      <c r="AX134" s="72">
        <v>4788</v>
      </c>
      <c r="AY134" s="72">
        <v>7863</v>
      </c>
      <c r="AZ134" s="72">
        <v>9099</v>
      </c>
      <c r="BA134" s="72">
        <v>8356</v>
      </c>
      <c r="BB134" s="72">
        <v>8712</v>
      </c>
      <c r="BC134" s="72">
        <v>7322</v>
      </c>
      <c r="BD134" s="72">
        <v>6866</v>
      </c>
      <c r="BE134" s="72">
        <v>6861</v>
      </c>
      <c r="BF134" s="72">
        <v>8332</v>
      </c>
      <c r="BG134" s="72">
        <v>6967</v>
      </c>
      <c r="BH134" s="72">
        <v>8092</v>
      </c>
      <c r="BI134" s="72">
        <v>9346</v>
      </c>
      <c r="BJ134" s="72">
        <v>8833</v>
      </c>
      <c r="BK134" s="214">
        <v>7619</v>
      </c>
      <c r="BL134" s="214">
        <v>1429</v>
      </c>
      <c r="BM134" s="214">
        <v>12832</v>
      </c>
      <c r="BN134" s="214">
        <v>8107</v>
      </c>
      <c r="BO134" s="214">
        <v>8519</v>
      </c>
      <c r="BP134" s="214">
        <v>8652</v>
      </c>
      <c r="BQ134" s="214">
        <v>8952</v>
      </c>
      <c r="BR134" s="214">
        <v>7551</v>
      </c>
      <c r="BS134" s="214">
        <v>9169</v>
      </c>
      <c r="BT134" s="214">
        <v>8088</v>
      </c>
      <c r="BU134" s="214">
        <v>8904</v>
      </c>
      <c r="BV134" s="214">
        <v>9018</v>
      </c>
      <c r="BW134" s="214">
        <v>7983</v>
      </c>
      <c r="BX134" s="214">
        <v>8477</v>
      </c>
      <c r="BY134" s="214">
        <v>8504</v>
      </c>
      <c r="BZ134" s="214">
        <v>8509</v>
      </c>
      <c r="CA134" s="214">
        <v>8062</v>
      </c>
      <c r="CB134" s="214">
        <v>8562</v>
      </c>
      <c r="CC134" s="214">
        <v>6910</v>
      </c>
      <c r="CD134" s="214">
        <v>7895</v>
      </c>
      <c r="CE134" s="214">
        <v>7936</v>
      </c>
      <c r="CF134" s="214">
        <v>8388</v>
      </c>
      <c r="CG134" s="214">
        <v>8981</v>
      </c>
      <c r="CH134" s="214">
        <v>7110</v>
      </c>
      <c r="CI134" s="214">
        <v>7104</v>
      </c>
      <c r="CJ134" s="214">
        <v>6048</v>
      </c>
      <c r="CK134" s="214">
        <v>6070</v>
      </c>
      <c r="CL134" s="214">
        <v>5684</v>
      </c>
      <c r="CM134" s="214">
        <v>5158</v>
      </c>
      <c r="CN134" s="214">
        <v>6402</v>
      </c>
      <c r="CO134" s="214">
        <v>4490</v>
      </c>
      <c r="CP134" s="214">
        <v>4027</v>
      </c>
      <c r="CQ134" s="214">
        <v>2803</v>
      </c>
      <c r="CR134" s="214">
        <v>7011</v>
      </c>
      <c r="CS134" s="214">
        <v>5006</v>
      </c>
      <c r="CT134" s="214"/>
      <c r="CU134" s="214">
        <v>1058</v>
      </c>
      <c r="CV134" s="214">
        <v>2847</v>
      </c>
      <c r="CW134" s="214">
        <v>3839</v>
      </c>
      <c r="CX134" s="214">
        <v>3692</v>
      </c>
      <c r="CY134" s="214">
        <v>5146</v>
      </c>
      <c r="CZ134" s="214">
        <v>8984</v>
      </c>
      <c r="DA134" s="214">
        <v>5703</v>
      </c>
      <c r="DB134" s="214">
        <v>5126</v>
      </c>
      <c r="DC134" s="214">
        <v>8113</v>
      </c>
      <c r="DD134" s="214">
        <v>10654</v>
      </c>
      <c r="DE134" s="214">
        <v>11106</v>
      </c>
      <c r="DF134" s="214">
        <v>7154</v>
      </c>
      <c r="DG134" s="214">
        <v>409</v>
      </c>
      <c r="DH134" s="214">
        <v>6169</v>
      </c>
      <c r="DI134" s="214">
        <v>10361</v>
      </c>
      <c r="DJ134" s="214">
        <v>10850</v>
      </c>
      <c r="DK134" s="214">
        <v>7461</v>
      </c>
      <c r="DL134" s="214">
        <v>10166</v>
      </c>
      <c r="DM134" s="214">
        <v>11047</v>
      </c>
      <c r="DN134" s="214">
        <v>8473</v>
      </c>
      <c r="DO134" s="214">
        <v>5840</v>
      </c>
      <c r="DP134" s="214">
        <v>8584</v>
      </c>
      <c r="DQ134" s="214">
        <v>13980</v>
      </c>
      <c r="DR134" s="214">
        <v>12002</v>
      </c>
      <c r="DS134" s="214">
        <v>7093</v>
      </c>
      <c r="DT134" s="214">
        <v>15277</v>
      </c>
      <c r="DU134" s="214">
        <v>16668</v>
      </c>
      <c r="DV134" s="214">
        <v>11866</v>
      </c>
      <c r="DW134" s="214">
        <v>11780</v>
      </c>
      <c r="DX134" s="214">
        <v>9242</v>
      </c>
      <c r="DY134" s="214">
        <v>7217</v>
      </c>
      <c r="DZ134" s="214">
        <v>5880</v>
      </c>
      <c r="EA134" s="214">
        <v>9448</v>
      </c>
      <c r="EB134" s="214">
        <v>11033</v>
      </c>
      <c r="EC134" s="214">
        <v>14984</v>
      </c>
      <c r="ED134" s="214">
        <v>10180</v>
      </c>
      <c r="EE134" s="214">
        <v>13758</v>
      </c>
      <c r="EF134" s="214">
        <v>14268</v>
      </c>
      <c r="EG134" s="214">
        <v>15451</v>
      </c>
      <c r="EH134" s="214">
        <v>15830</v>
      </c>
      <c r="EI134" s="214">
        <v>17171</v>
      </c>
      <c r="EJ134" s="214">
        <v>15600</v>
      </c>
      <c r="EK134" s="214">
        <v>12754</v>
      </c>
      <c r="EL134" s="214">
        <v>17095</v>
      </c>
      <c r="EM134" s="214">
        <v>19138</v>
      </c>
      <c r="EN134" s="214">
        <v>18502</v>
      </c>
      <c r="EO134" s="214">
        <v>20521</v>
      </c>
      <c r="EP134" s="214">
        <v>14117</v>
      </c>
      <c r="EQ134" s="214">
        <v>19289</v>
      </c>
      <c r="ER134" s="214">
        <v>21476</v>
      </c>
      <c r="ES134" s="214">
        <v>24564</v>
      </c>
      <c r="ET134" s="214">
        <v>23810</v>
      </c>
      <c r="EU134" s="214">
        <v>20427</v>
      </c>
      <c r="EV134" s="214">
        <v>23668</v>
      </c>
      <c r="EW134" s="214">
        <v>21239</v>
      </c>
      <c r="EX134" s="214">
        <v>21278</v>
      </c>
      <c r="EY134" s="214">
        <v>22495</v>
      </c>
      <c r="EZ134" s="214">
        <v>21550</v>
      </c>
      <c r="FA134" s="214">
        <v>24624</v>
      </c>
      <c r="FB134" s="214">
        <v>20449</v>
      </c>
      <c r="FC134" s="214">
        <v>24279</v>
      </c>
      <c r="FD134" s="214">
        <v>23295</v>
      </c>
      <c r="FE134" s="214">
        <v>23961</v>
      </c>
      <c r="FF134" s="214">
        <v>24035</v>
      </c>
      <c r="FG134" s="214">
        <v>23644</v>
      </c>
      <c r="FH134" s="214">
        <v>33809</v>
      </c>
      <c r="FI134" s="214">
        <v>24812</v>
      </c>
      <c r="FJ134" s="214">
        <v>27502</v>
      </c>
      <c r="FK134" s="43"/>
      <c r="FL134" s="43"/>
      <c r="FM134" s="43"/>
      <c r="FN134" s="76">
        <f t="shared" si="316"/>
        <v>24032</v>
      </c>
      <c r="FO134" s="76">
        <f t="shared" si="317"/>
        <v>22918</v>
      </c>
      <c r="FP134" s="76">
        <f t="shared" si="318"/>
        <v>20729</v>
      </c>
      <c r="FQ134" s="76">
        <f t="shared" si="319"/>
        <v>25825</v>
      </c>
      <c r="FR134" s="76">
        <f t="shared" si="320"/>
        <v>16410</v>
      </c>
      <c r="FS134" s="76">
        <f t="shared" si="321"/>
        <v>18930</v>
      </c>
      <c r="FT134" s="76">
        <f t="shared" si="322"/>
        <v>19496</v>
      </c>
      <c r="FU134" s="76">
        <f t="shared" si="323"/>
        <v>17110</v>
      </c>
      <c r="FV134" s="76">
        <f t="shared" si="324"/>
        <v>18359</v>
      </c>
      <c r="FW134" s="76">
        <f t="shared" si="325"/>
        <v>21429</v>
      </c>
      <c r="FX134" s="76">
        <f t="shared" si="326"/>
        <v>19642</v>
      </c>
      <c r="FY134" s="76">
        <f t="shared" si="327"/>
        <v>21096</v>
      </c>
      <c r="FZ134" s="76">
        <f t="shared" si="328"/>
        <v>19059</v>
      </c>
      <c r="GA134" s="76">
        <f t="shared" si="329"/>
        <v>19809</v>
      </c>
      <c r="GB134" s="76">
        <f t="shared" si="330"/>
        <v>16603</v>
      </c>
      <c r="GC134" s="76">
        <f t="shared" si="331"/>
        <v>13369</v>
      </c>
      <c r="GD134" s="76">
        <f t="shared" si="332"/>
        <v>21750</v>
      </c>
      <c r="GE134" s="76">
        <f t="shared" si="333"/>
        <v>24390</v>
      </c>
      <c r="GF134" s="76">
        <f t="shared" si="334"/>
        <v>22059</v>
      </c>
      <c r="GG134" s="76">
        <f t="shared" si="335"/>
        <v>24405</v>
      </c>
      <c r="GH134" s="76">
        <f t="shared" si="336"/>
        <v>17881</v>
      </c>
      <c r="GI134" s="76">
        <f t="shared" si="337"/>
        <v>29458</v>
      </c>
      <c r="GJ134" s="76">
        <f t="shared" si="338"/>
        <v>25155</v>
      </c>
      <c r="GK134" s="76">
        <f t="shared" si="339"/>
        <v>26161</v>
      </c>
      <c r="GL134" s="76">
        <f t="shared" si="340"/>
        <v>25478</v>
      </c>
      <c r="GM134" s="76">
        <f t="shared" si="341"/>
        <v>25075</v>
      </c>
      <c r="GN134" s="76">
        <f t="shared" si="342"/>
        <v>23367</v>
      </c>
      <c r="GO134" s="76">
        <f t="shared" si="343"/>
        <v>25305</v>
      </c>
      <c r="GP134" s="76">
        <f t="shared" si="344"/>
        <v>20262</v>
      </c>
      <c r="GQ134" s="76">
        <f t="shared" si="345"/>
        <v>16912</v>
      </c>
      <c r="GR134" s="76">
        <f t="shared" si="346"/>
        <v>14919</v>
      </c>
      <c r="GS134" s="76">
        <f t="shared" si="347"/>
        <v>14820</v>
      </c>
      <c r="GT134" s="76">
        <f t="shared" si="348"/>
        <v>3905</v>
      </c>
      <c r="GU134" s="76">
        <f t="shared" si="294"/>
        <v>12677</v>
      </c>
      <c r="GV134" s="76">
        <f t="shared" si="295"/>
        <v>19813</v>
      </c>
      <c r="GW134" s="76">
        <f t="shared" si="296"/>
        <v>29873</v>
      </c>
      <c r="GX134" s="76">
        <f t="shared" si="297"/>
        <v>13732</v>
      </c>
      <c r="GY134" s="76">
        <f t="shared" si="298"/>
        <v>28672</v>
      </c>
      <c r="GZ134" s="76">
        <f t="shared" si="299"/>
        <v>29686</v>
      </c>
      <c r="HA134" s="76">
        <f t="shared" si="300"/>
        <v>28404</v>
      </c>
      <c r="HB134" s="76">
        <f t="shared" si="301"/>
        <v>34372</v>
      </c>
      <c r="HC134" s="76">
        <f t="shared" si="302"/>
        <v>40314</v>
      </c>
      <c r="HD134" s="76">
        <f t="shared" si="303"/>
        <v>22339</v>
      </c>
      <c r="HE134" s="76">
        <f t="shared" si="304"/>
        <v>35465</v>
      </c>
      <c r="HF134" s="76">
        <f t="shared" si="305"/>
        <v>38206</v>
      </c>
      <c r="HG134" s="76">
        <f t="shared" si="306"/>
        <v>48452</v>
      </c>
      <c r="HH134" s="76">
        <f t="shared" si="307"/>
        <v>45449</v>
      </c>
      <c r="HI134" s="76">
        <f t="shared" si="308"/>
        <v>58161</v>
      </c>
      <c r="HJ134" s="215">
        <f t="shared" si="309"/>
        <v>54882</v>
      </c>
      <c r="HK134" s="215">
        <f t="shared" si="310"/>
        <v>68801</v>
      </c>
      <c r="HL134" s="215">
        <f t="shared" si="311"/>
        <v>66185</v>
      </c>
      <c r="HM134" s="215">
        <f t="shared" si="312"/>
        <v>68669</v>
      </c>
      <c r="HN134" s="215">
        <f t="shared" si="313"/>
        <v>68023</v>
      </c>
      <c r="HO134" s="215">
        <f t="shared" si="314"/>
        <v>71640</v>
      </c>
      <c r="HP134" s="215">
        <f t="shared" si="315"/>
        <v>86123</v>
      </c>
      <c r="HQ134" s="77"/>
      <c r="HR134" s="43"/>
      <c r="HS134" s="43"/>
      <c r="HT134" s="43"/>
      <c r="HU134" s="211">
        <f t="shared" si="349"/>
        <v>93504</v>
      </c>
      <c r="HV134" s="211">
        <f t="shared" si="350"/>
        <v>71946</v>
      </c>
      <c r="HW134" s="211">
        <f t="shared" si="351"/>
        <v>80526</v>
      </c>
      <c r="HX134" s="212">
        <f t="shared" si="352"/>
        <v>68840</v>
      </c>
      <c r="HY134" s="58">
        <f t="shared" si="353"/>
        <v>92604</v>
      </c>
      <c r="HZ134" s="58">
        <f t="shared" si="354"/>
        <v>98655</v>
      </c>
      <c r="IA134" s="58">
        <f t="shared" si="250"/>
        <v>99225</v>
      </c>
      <c r="IB134" s="64">
        <f t="shared" si="251"/>
        <v>66913</v>
      </c>
      <c r="IC134" s="64">
        <f t="shared" si="252"/>
        <v>66268</v>
      </c>
      <c r="ID134" s="64">
        <f t="shared" si="253"/>
        <v>100494</v>
      </c>
      <c r="IE134" s="64">
        <f t="shared" si="254"/>
        <v>132490</v>
      </c>
      <c r="IF134" s="64">
        <f t="shared" si="255"/>
        <v>190268</v>
      </c>
      <c r="IG134" s="64">
        <f t="shared" si="256"/>
        <v>258537</v>
      </c>
    </row>
    <row r="135" spans="1:241" outlineLevel="2" x14ac:dyDescent="0.3">
      <c r="A135" s="71" t="s">
        <v>160</v>
      </c>
      <c r="B135" s="72">
        <v>0</v>
      </c>
      <c r="C135" s="72">
        <v>0</v>
      </c>
      <c r="D135" s="72">
        <v>0</v>
      </c>
      <c r="E135" s="213">
        <v>0</v>
      </c>
      <c r="F135" s="72">
        <v>13</v>
      </c>
      <c r="G135" s="213">
        <v>7</v>
      </c>
      <c r="H135" s="213">
        <v>14</v>
      </c>
      <c r="I135" s="213">
        <v>7</v>
      </c>
      <c r="J135" s="213">
        <v>4</v>
      </c>
      <c r="K135" s="213">
        <v>5</v>
      </c>
      <c r="L135" s="213">
        <v>5</v>
      </c>
      <c r="M135" s="213">
        <v>31</v>
      </c>
      <c r="N135" s="72">
        <v>0</v>
      </c>
      <c r="O135" s="72">
        <v>0</v>
      </c>
      <c r="P135" s="72">
        <v>0</v>
      </c>
      <c r="Q135" s="213">
        <v>0</v>
      </c>
      <c r="R135" s="72">
        <v>0</v>
      </c>
      <c r="S135" s="72">
        <v>0</v>
      </c>
      <c r="T135" s="72">
        <v>1</v>
      </c>
      <c r="U135" s="72">
        <v>0</v>
      </c>
      <c r="V135" s="72">
        <v>0</v>
      </c>
      <c r="W135" s="72">
        <v>0</v>
      </c>
      <c r="X135" s="72">
        <v>2</v>
      </c>
      <c r="Y135" s="72">
        <v>0</v>
      </c>
      <c r="Z135" s="72">
        <v>0</v>
      </c>
      <c r="AA135" s="72">
        <v>3</v>
      </c>
      <c r="AB135" s="72">
        <v>2</v>
      </c>
      <c r="AC135" s="72">
        <v>0</v>
      </c>
      <c r="AD135" s="72">
        <v>0</v>
      </c>
      <c r="AE135" s="72">
        <v>0</v>
      </c>
      <c r="AF135" s="72">
        <v>0</v>
      </c>
      <c r="AG135" s="72">
        <v>0</v>
      </c>
      <c r="AH135" s="72">
        <v>0</v>
      </c>
      <c r="AI135" s="72">
        <v>1</v>
      </c>
      <c r="AJ135" s="72">
        <v>0</v>
      </c>
      <c r="AK135" s="83">
        <v>0</v>
      </c>
      <c r="AL135" s="83"/>
      <c r="AM135" s="83">
        <v>0</v>
      </c>
      <c r="AN135" s="83">
        <v>0</v>
      </c>
      <c r="AO135" s="72">
        <v>0</v>
      </c>
      <c r="AP135" s="72">
        <v>0</v>
      </c>
      <c r="AQ135" s="72">
        <v>0</v>
      </c>
      <c r="AR135" s="72"/>
      <c r="AS135" s="72"/>
      <c r="AT135" s="72">
        <v>0</v>
      </c>
      <c r="AU135" s="72">
        <v>0</v>
      </c>
      <c r="AV135" s="72">
        <v>0</v>
      </c>
      <c r="AW135" s="72">
        <v>0</v>
      </c>
      <c r="AX135" s="72"/>
      <c r="AY135" s="72"/>
      <c r="AZ135" s="72">
        <v>0</v>
      </c>
      <c r="BA135" s="72">
        <v>0</v>
      </c>
      <c r="BB135" s="72">
        <v>0</v>
      </c>
      <c r="BC135" s="72">
        <v>0</v>
      </c>
      <c r="BD135" s="72">
        <v>0</v>
      </c>
      <c r="BE135" s="72">
        <v>0</v>
      </c>
      <c r="BF135" s="72">
        <v>0</v>
      </c>
      <c r="BG135" s="72"/>
      <c r="BH135" s="72"/>
      <c r="BI135" s="72"/>
      <c r="BJ135" s="72"/>
      <c r="BK135" s="214">
        <v>95</v>
      </c>
      <c r="BL135" s="214">
        <v>9</v>
      </c>
      <c r="BM135" s="214">
        <v>248</v>
      </c>
      <c r="BN135" s="214">
        <v>166</v>
      </c>
      <c r="BO135" s="214">
        <v>120</v>
      </c>
      <c r="BP135" s="214">
        <v>50</v>
      </c>
      <c r="BQ135" s="214">
        <v>60</v>
      </c>
      <c r="BR135" s="214">
        <v>50</v>
      </c>
      <c r="BS135" s="214">
        <v>45</v>
      </c>
      <c r="BT135" s="214">
        <v>110</v>
      </c>
      <c r="BU135" s="214">
        <v>133</v>
      </c>
      <c r="BV135" s="214">
        <v>100</v>
      </c>
      <c r="BW135" s="214">
        <v>73</v>
      </c>
      <c r="BX135" s="214">
        <v>117</v>
      </c>
      <c r="BY135" s="214">
        <v>126</v>
      </c>
      <c r="BZ135" s="214">
        <v>130</v>
      </c>
      <c r="CA135" s="214">
        <v>124</v>
      </c>
      <c r="CB135" s="214">
        <v>133</v>
      </c>
      <c r="CC135" s="214">
        <v>96</v>
      </c>
      <c r="CD135" s="214">
        <v>35</v>
      </c>
      <c r="CE135" s="214">
        <v>3</v>
      </c>
      <c r="CF135" s="214">
        <v>63</v>
      </c>
      <c r="CG135" s="214">
        <v>54</v>
      </c>
      <c r="CH135" s="214">
        <v>1</v>
      </c>
      <c r="CI135" s="214">
        <v>0</v>
      </c>
      <c r="CJ135" s="214">
        <v>169</v>
      </c>
      <c r="CK135" s="214">
        <v>71</v>
      </c>
      <c r="CL135" s="214">
        <v>84</v>
      </c>
      <c r="CM135" s="214">
        <v>108</v>
      </c>
      <c r="CN135" s="214">
        <v>155</v>
      </c>
      <c r="CO135" s="214">
        <v>176</v>
      </c>
      <c r="CP135" s="214">
        <v>176</v>
      </c>
      <c r="CQ135" s="214">
        <v>86</v>
      </c>
      <c r="CR135" s="214">
        <v>27</v>
      </c>
      <c r="CS135" s="214">
        <v>4</v>
      </c>
      <c r="CT135" s="214"/>
      <c r="CU135" s="214">
        <v>100</v>
      </c>
      <c r="CV135" s="214">
        <v>0</v>
      </c>
      <c r="CW135" s="214">
        <v>531</v>
      </c>
      <c r="CX135" s="214">
        <v>290</v>
      </c>
      <c r="CY135" s="214">
        <v>257</v>
      </c>
      <c r="CZ135" s="214">
        <v>259</v>
      </c>
      <c r="DA135" s="214">
        <v>157</v>
      </c>
      <c r="DB135" s="214">
        <v>248</v>
      </c>
      <c r="DC135" s="214">
        <v>74</v>
      </c>
      <c r="DD135" s="214">
        <v>63</v>
      </c>
      <c r="DE135" s="214">
        <v>0</v>
      </c>
      <c r="DF135" s="214">
        <v>166</v>
      </c>
      <c r="DG135" s="214">
        <v>149</v>
      </c>
      <c r="DH135" s="214">
        <v>152</v>
      </c>
      <c r="DI135" s="214">
        <v>160</v>
      </c>
      <c r="DJ135" s="214">
        <v>150</v>
      </c>
      <c r="DK135" s="214">
        <v>1461</v>
      </c>
      <c r="DL135" s="214">
        <v>2631</v>
      </c>
      <c r="DM135" s="214">
        <v>2850</v>
      </c>
      <c r="DN135" s="214">
        <v>2868</v>
      </c>
      <c r="DO135" s="214">
        <v>2493</v>
      </c>
      <c r="DP135" s="214">
        <v>2518</v>
      </c>
      <c r="DQ135" s="214">
        <v>2411</v>
      </c>
      <c r="DR135" s="214">
        <v>2662</v>
      </c>
      <c r="DS135" s="214">
        <v>1322</v>
      </c>
      <c r="DT135" s="214">
        <v>1387</v>
      </c>
      <c r="DU135" s="214">
        <v>1529</v>
      </c>
      <c r="DV135" s="214">
        <v>1171</v>
      </c>
      <c r="DW135" s="214">
        <v>2117</v>
      </c>
      <c r="DX135" s="214">
        <v>2437</v>
      </c>
      <c r="DY135" s="214">
        <v>2055</v>
      </c>
      <c r="DZ135" s="214">
        <v>2819</v>
      </c>
      <c r="EA135" s="214">
        <v>1527</v>
      </c>
      <c r="EB135" s="214">
        <v>1748</v>
      </c>
      <c r="EC135" s="214">
        <v>2089</v>
      </c>
      <c r="ED135" s="214">
        <v>1551</v>
      </c>
      <c r="EE135" s="214">
        <v>1655</v>
      </c>
      <c r="EF135" s="214">
        <v>1582</v>
      </c>
      <c r="EG135" s="214">
        <v>2077</v>
      </c>
      <c r="EH135" s="214">
        <v>2034</v>
      </c>
      <c r="EI135" s="214">
        <v>1777</v>
      </c>
      <c r="EJ135" s="214">
        <v>2317</v>
      </c>
      <c r="EK135" s="214">
        <v>1921</v>
      </c>
      <c r="EL135" s="214">
        <v>2731</v>
      </c>
      <c r="EM135" s="214">
        <v>1388</v>
      </c>
      <c r="EN135" s="214">
        <v>1388</v>
      </c>
      <c r="EO135" s="214">
        <v>1682</v>
      </c>
      <c r="EP135" s="214">
        <v>1866</v>
      </c>
      <c r="EQ135" s="214">
        <v>1663</v>
      </c>
      <c r="ER135" s="214">
        <v>1604</v>
      </c>
      <c r="ES135" s="214">
        <v>1641</v>
      </c>
      <c r="ET135" s="214">
        <v>1701</v>
      </c>
      <c r="EU135" s="214">
        <v>1697</v>
      </c>
      <c r="EV135" s="214">
        <v>2107</v>
      </c>
      <c r="EW135" s="214">
        <v>1576</v>
      </c>
      <c r="EX135" s="214">
        <v>2530</v>
      </c>
      <c r="EY135" s="214">
        <v>1549</v>
      </c>
      <c r="EZ135" s="214">
        <v>1273</v>
      </c>
      <c r="FA135" s="214">
        <v>1591</v>
      </c>
      <c r="FB135" s="214">
        <v>1246</v>
      </c>
      <c r="FC135" s="214">
        <v>1141</v>
      </c>
      <c r="FD135" s="214">
        <v>1311</v>
      </c>
      <c r="FE135" s="214">
        <v>1415</v>
      </c>
      <c r="FF135" s="214">
        <v>1045</v>
      </c>
      <c r="FG135" s="214">
        <v>1132</v>
      </c>
      <c r="FH135" s="214">
        <v>1595</v>
      </c>
      <c r="FI135" s="214">
        <v>1117</v>
      </c>
      <c r="FJ135" s="214">
        <v>1878</v>
      </c>
      <c r="FK135" s="43"/>
      <c r="FL135" s="43"/>
      <c r="FM135" s="43"/>
      <c r="FN135" s="76">
        <f t="shared" si="316"/>
        <v>0</v>
      </c>
      <c r="FO135" s="76">
        <f t="shared" si="317"/>
        <v>20</v>
      </c>
      <c r="FP135" s="76">
        <f t="shared" si="318"/>
        <v>25</v>
      </c>
      <c r="FQ135" s="76">
        <f t="shared" si="319"/>
        <v>41</v>
      </c>
      <c r="FR135" s="76">
        <f t="shared" si="320"/>
        <v>0</v>
      </c>
      <c r="FS135" s="76">
        <f t="shared" si="321"/>
        <v>0</v>
      </c>
      <c r="FT135" s="76">
        <f t="shared" si="322"/>
        <v>1</v>
      </c>
      <c r="FU135" s="76">
        <f t="shared" si="323"/>
        <v>2</v>
      </c>
      <c r="FV135" s="76">
        <f t="shared" si="324"/>
        <v>5</v>
      </c>
      <c r="FW135" s="76">
        <f t="shared" si="325"/>
        <v>0</v>
      </c>
      <c r="FX135" s="76">
        <f t="shared" si="326"/>
        <v>0</v>
      </c>
      <c r="FY135" s="76">
        <f t="shared" si="327"/>
        <v>1</v>
      </c>
      <c r="FZ135" s="76">
        <f t="shared" si="328"/>
        <v>0</v>
      </c>
      <c r="GA135" s="76">
        <f t="shared" si="329"/>
        <v>0</v>
      </c>
      <c r="GB135" s="76">
        <f t="shared" si="330"/>
        <v>0</v>
      </c>
      <c r="GC135" s="76">
        <f t="shared" si="331"/>
        <v>0</v>
      </c>
      <c r="GD135" s="76">
        <f t="shared" si="332"/>
        <v>0</v>
      </c>
      <c r="GE135" s="76">
        <f t="shared" si="333"/>
        <v>0</v>
      </c>
      <c r="GF135" s="76">
        <f t="shared" si="334"/>
        <v>0</v>
      </c>
      <c r="GG135" s="76">
        <f t="shared" si="335"/>
        <v>0</v>
      </c>
      <c r="GH135" s="76">
        <f t="shared" si="336"/>
        <v>104</v>
      </c>
      <c r="GI135" s="76">
        <f t="shared" si="337"/>
        <v>534</v>
      </c>
      <c r="GJ135" s="76">
        <f t="shared" si="338"/>
        <v>160</v>
      </c>
      <c r="GK135" s="76">
        <f t="shared" si="339"/>
        <v>288</v>
      </c>
      <c r="GL135" s="76">
        <f t="shared" si="340"/>
        <v>290</v>
      </c>
      <c r="GM135" s="76">
        <f t="shared" si="341"/>
        <v>380</v>
      </c>
      <c r="GN135" s="76">
        <f t="shared" si="342"/>
        <v>264</v>
      </c>
      <c r="GO135" s="76">
        <f t="shared" si="343"/>
        <v>120</v>
      </c>
      <c r="GP135" s="76">
        <f t="shared" si="344"/>
        <v>170</v>
      </c>
      <c r="GQ135" s="76">
        <f t="shared" si="345"/>
        <v>263</v>
      </c>
      <c r="GR135" s="76">
        <f t="shared" si="346"/>
        <v>507</v>
      </c>
      <c r="GS135" s="76">
        <f t="shared" si="347"/>
        <v>117</v>
      </c>
      <c r="GT135" s="76">
        <f t="shared" si="348"/>
        <v>100</v>
      </c>
      <c r="GU135" s="76">
        <f t="shared" si="294"/>
        <v>1078</v>
      </c>
      <c r="GV135" s="76">
        <f t="shared" si="295"/>
        <v>664</v>
      </c>
      <c r="GW135" s="76">
        <f t="shared" si="296"/>
        <v>137</v>
      </c>
      <c r="GX135" s="76">
        <f t="shared" si="297"/>
        <v>467</v>
      </c>
      <c r="GY135" s="76">
        <f t="shared" si="298"/>
        <v>1771</v>
      </c>
      <c r="GZ135" s="76">
        <f t="shared" si="299"/>
        <v>8349</v>
      </c>
      <c r="HA135" s="76">
        <f t="shared" si="300"/>
        <v>7422</v>
      </c>
      <c r="HB135" s="76">
        <f t="shared" si="301"/>
        <v>5371</v>
      </c>
      <c r="HC135" s="76">
        <f t="shared" si="302"/>
        <v>4817</v>
      </c>
      <c r="HD135" s="76">
        <f t="shared" si="303"/>
        <v>7311</v>
      </c>
      <c r="HE135" s="76">
        <f t="shared" si="304"/>
        <v>5364</v>
      </c>
      <c r="HF135" s="76">
        <f t="shared" si="305"/>
        <v>4788</v>
      </c>
      <c r="HG135" s="76">
        <f t="shared" si="306"/>
        <v>5888</v>
      </c>
      <c r="HH135" s="76">
        <f t="shared" si="307"/>
        <v>6969</v>
      </c>
      <c r="HI135" s="76">
        <f t="shared" si="308"/>
        <v>4458</v>
      </c>
      <c r="HJ135" s="215">
        <f t="shared" si="309"/>
        <v>5133</v>
      </c>
      <c r="HK135" s="215">
        <f t="shared" si="310"/>
        <v>5039</v>
      </c>
      <c r="HL135" s="215">
        <f t="shared" si="311"/>
        <v>6213</v>
      </c>
      <c r="HM135" s="215">
        <f t="shared" si="312"/>
        <v>4413</v>
      </c>
      <c r="HN135" s="215">
        <f t="shared" si="313"/>
        <v>3698</v>
      </c>
      <c r="HO135" s="215">
        <f t="shared" si="314"/>
        <v>3592</v>
      </c>
      <c r="HP135" s="215">
        <f t="shared" si="315"/>
        <v>4590</v>
      </c>
      <c r="HQ135" s="77"/>
      <c r="HR135" s="43"/>
      <c r="HS135" s="43"/>
      <c r="HT135" s="43"/>
      <c r="HU135" s="211">
        <f t="shared" si="349"/>
        <v>86</v>
      </c>
      <c r="HV135" s="211">
        <f t="shared" si="350"/>
        <v>3</v>
      </c>
      <c r="HW135" s="211">
        <f t="shared" si="351"/>
        <v>6</v>
      </c>
      <c r="HX135" s="212">
        <f t="shared" si="352"/>
        <v>0</v>
      </c>
      <c r="HY135" s="58">
        <f t="shared" si="353"/>
        <v>0</v>
      </c>
      <c r="HZ135" s="58">
        <f t="shared" si="354"/>
        <v>1086</v>
      </c>
      <c r="IA135" s="58">
        <f t="shared" si="250"/>
        <v>1054</v>
      </c>
      <c r="IB135" s="64">
        <f t="shared" si="251"/>
        <v>1057</v>
      </c>
      <c r="IC135" s="64">
        <f t="shared" si="252"/>
        <v>1979</v>
      </c>
      <c r="ID135" s="64">
        <f t="shared" si="253"/>
        <v>18009</v>
      </c>
      <c r="IE135" s="64">
        <f t="shared" si="254"/>
        <v>22863</v>
      </c>
      <c r="IF135" s="64">
        <f t="shared" si="255"/>
        <v>22103</v>
      </c>
      <c r="IG135" s="64">
        <f t="shared" si="256"/>
        <v>20798</v>
      </c>
    </row>
    <row r="136" spans="1:241" outlineLevel="1" x14ac:dyDescent="0.3">
      <c r="A136" s="180" t="s">
        <v>169</v>
      </c>
      <c r="B136" s="87">
        <f t="shared" ref="B136:S136" si="355">+SUM(B118:B135)</f>
        <v>39008</v>
      </c>
      <c r="C136" s="87">
        <f t="shared" si="355"/>
        <v>40635</v>
      </c>
      <c r="D136" s="87">
        <f t="shared" si="355"/>
        <v>38068</v>
      </c>
      <c r="E136" s="87">
        <f t="shared" si="355"/>
        <v>44878</v>
      </c>
      <c r="F136" s="87">
        <f t="shared" si="355"/>
        <v>45062</v>
      </c>
      <c r="G136" s="87">
        <f t="shared" si="355"/>
        <v>48244</v>
      </c>
      <c r="H136" s="87">
        <f t="shared" si="355"/>
        <v>53285</v>
      </c>
      <c r="I136" s="87">
        <f t="shared" si="355"/>
        <v>48692</v>
      </c>
      <c r="J136" s="87">
        <f t="shared" si="355"/>
        <v>45049</v>
      </c>
      <c r="K136" s="87">
        <f t="shared" si="355"/>
        <v>49014</v>
      </c>
      <c r="L136" s="87">
        <f t="shared" si="355"/>
        <v>47859</v>
      </c>
      <c r="M136" s="87">
        <f t="shared" si="355"/>
        <v>53866</v>
      </c>
      <c r="N136" s="87">
        <f t="shared" si="355"/>
        <v>40563</v>
      </c>
      <c r="O136" s="87">
        <f t="shared" si="355"/>
        <v>42330</v>
      </c>
      <c r="P136" s="87">
        <f t="shared" si="355"/>
        <v>41016</v>
      </c>
      <c r="Q136" s="87">
        <f t="shared" si="355"/>
        <v>37010</v>
      </c>
      <c r="R136" s="87">
        <f t="shared" si="355"/>
        <v>39379</v>
      </c>
      <c r="S136" s="87">
        <f t="shared" si="355"/>
        <v>42442</v>
      </c>
      <c r="T136" s="87">
        <f t="shared" ref="T136:Y136" si="356">+SUM(T115:T135)</f>
        <v>57020</v>
      </c>
      <c r="U136" s="87">
        <f t="shared" si="356"/>
        <v>44243</v>
      </c>
      <c r="V136" s="87">
        <f t="shared" si="356"/>
        <v>40348</v>
      </c>
      <c r="W136" s="87">
        <f t="shared" si="356"/>
        <v>45941</v>
      </c>
      <c r="X136" s="87">
        <f t="shared" si="356"/>
        <v>43507</v>
      </c>
      <c r="Y136" s="87">
        <f t="shared" si="356"/>
        <v>51414</v>
      </c>
      <c r="Z136" s="87">
        <f>+SUM(Z115:Z134)</f>
        <v>40680</v>
      </c>
      <c r="AA136" s="87">
        <f t="shared" ref="AA136:CL136" si="357">+SUM(AA115:AA135)</f>
        <v>44267</v>
      </c>
      <c r="AB136" s="87">
        <f t="shared" si="357"/>
        <v>43849</v>
      </c>
      <c r="AC136" s="87">
        <f t="shared" si="357"/>
        <v>44945</v>
      </c>
      <c r="AD136" s="87">
        <f t="shared" si="357"/>
        <v>46501</v>
      </c>
      <c r="AE136" s="87">
        <f t="shared" si="357"/>
        <v>53003</v>
      </c>
      <c r="AF136" s="87">
        <f t="shared" si="357"/>
        <v>48465</v>
      </c>
      <c r="AG136" s="87">
        <f t="shared" si="357"/>
        <v>41218</v>
      </c>
      <c r="AH136" s="87">
        <f t="shared" si="357"/>
        <v>43256</v>
      </c>
      <c r="AI136" s="87">
        <f t="shared" si="357"/>
        <v>48681</v>
      </c>
      <c r="AJ136" s="87">
        <f t="shared" si="357"/>
        <v>45545</v>
      </c>
      <c r="AK136" s="87">
        <f t="shared" si="357"/>
        <v>53211</v>
      </c>
      <c r="AL136" s="87">
        <f t="shared" si="357"/>
        <v>43526</v>
      </c>
      <c r="AM136" s="87">
        <f t="shared" si="357"/>
        <v>43260</v>
      </c>
      <c r="AN136" s="87">
        <f t="shared" si="357"/>
        <v>41278</v>
      </c>
      <c r="AO136" s="87">
        <f t="shared" si="357"/>
        <v>45191</v>
      </c>
      <c r="AP136" s="87">
        <f t="shared" si="357"/>
        <v>44608</v>
      </c>
      <c r="AQ136" s="87">
        <f t="shared" si="357"/>
        <v>48464</v>
      </c>
      <c r="AR136" s="87">
        <f t="shared" si="357"/>
        <v>58120</v>
      </c>
      <c r="AS136" s="87">
        <f t="shared" si="357"/>
        <v>48880</v>
      </c>
      <c r="AT136" s="87">
        <f t="shared" si="357"/>
        <v>44874</v>
      </c>
      <c r="AU136" s="87">
        <f t="shared" si="357"/>
        <v>50122</v>
      </c>
      <c r="AV136" s="87">
        <f t="shared" si="357"/>
        <v>54089</v>
      </c>
      <c r="AW136" s="87">
        <f t="shared" si="357"/>
        <v>64252</v>
      </c>
      <c r="AX136" s="87">
        <f t="shared" si="357"/>
        <v>62170</v>
      </c>
      <c r="AY136" s="87">
        <f t="shared" si="357"/>
        <v>58793</v>
      </c>
      <c r="AZ136" s="87">
        <f t="shared" si="357"/>
        <v>55825</v>
      </c>
      <c r="BA136" s="87">
        <f t="shared" si="357"/>
        <v>64105</v>
      </c>
      <c r="BB136" s="87">
        <f t="shared" si="357"/>
        <v>65745</v>
      </c>
      <c r="BC136" s="87">
        <f t="shared" si="357"/>
        <v>66851</v>
      </c>
      <c r="BD136" s="87">
        <f t="shared" si="357"/>
        <v>70544</v>
      </c>
      <c r="BE136" s="87">
        <f t="shared" si="357"/>
        <v>53800</v>
      </c>
      <c r="BF136" s="87">
        <f t="shared" si="357"/>
        <v>58309</v>
      </c>
      <c r="BG136" s="87">
        <f t="shared" si="357"/>
        <v>62264</v>
      </c>
      <c r="BH136" s="87">
        <f t="shared" si="357"/>
        <v>65877</v>
      </c>
      <c r="BI136" s="87">
        <f t="shared" si="357"/>
        <v>77689</v>
      </c>
      <c r="BJ136" s="87">
        <f t="shared" si="357"/>
        <v>70691</v>
      </c>
      <c r="BK136" s="87">
        <f t="shared" si="357"/>
        <v>69845</v>
      </c>
      <c r="BL136" s="87">
        <f t="shared" si="357"/>
        <v>49547</v>
      </c>
      <c r="BM136" s="87">
        <f t="shared" si="357"/>
        <v>86874</v>
      </c>
      <c r="BN136" s="87">
        <f t="shared" si="357"/>
        <v>78664</v>
      </c>
      <c r="BO136" s="87">
        <f t="shared" si="357"/>
        <v>84374</v>
      </c>
      <c r="BP136" s="87">
        <f t="shared" si="357"/>
        <v>79323</v>
      </c>
      <c r="BQ136" s="87">
        <f t="shared" si="357"/>
        <v>77824</v>
      </c>
      <c r="BR136" s="87">
        <f t="shared" si="357"/>
        <v>67073</v>
      </c>
      <c r="BS136" s="87">
        <f t="shared" si="357"/>
        <v>85850</v>
      </c>
      <c r="BT136" s="87">
        <f t="shared" si="357"/>
        <v>80254</v>
      </c>
      <c r="BU136" s="87">
        <f t="shared" si="357"/>
        <v>91483</v>
      </c>
      <c r="BV136" s="87">
        <f t="shared" si="357"/>
        <v>79136</v>
      </c>
      <c r="BW136" s="87">
        <f t="shared" si="357"/>
        <v>82086</v>
      </c>
      <c r="BX136" s="87">
        <f t="shared" si="357"/>
        <v>73654</v>
      </c>
      <c r="BY136" s="87">
        <f t="shared" si="357"/>
        <v>79092</v>
      </c>
      <c r="BZ136" s="87">
        <f t="shared" si="357"/>
        <v>73073</v>
      </c>
      <c r="CA136" s="87">
        <f t="shared" si="357"/>
        <v>77378</v>
      </c>
      <c r="CB136" s="87">
        <f t="shared" si="357"/>
        <v>82414</v>
      </c>
      <c r="CC136" s="87">
        <f t="shared" si="357"/>
        <v>69884</v>
      </c>
      <c r="CD136" s="87">
        <f t="shared" si="357"/>
        <v>65506</v>
      </c>
      <c r="CE136" s="87">
        <f t="shared" si="357"/>
        <v>82772</v>
      </c>
      <c r="CF136" s="87">
        <f t="shared" si="357"/>
        <v>83245</v>
      </c>
      <c r="CG136" s="87">
        <f t="shared" si="357"/>
        <v>93221</v>
      </c>
      <c r="CH136" s="87">
        <f t="shared" si="357"/>
        <v>73854</v>
      </c>
      <c r="CI136" s="87">
        <f t="shared" si="357"/>
        <v>77453</v>
      </c>
      <c r="CJ136" s="87">
        <f t="shared" si="357"/>
        <v>72917</v>
      </c>
      <c r="CK136" s="87">
        <f t="shared" si="357"/>
        <v>67030</v>
      </c>
      <c r="CL136" s="87">
        <f t="shared" si="357"/>
        <v>71478</v>
      </c>
      <c r="CM136" s="87">
        <v>81625</v>
      </c>
      <c r="CN136" s="87">
        <v>100725</v>
      </c>
      <c r="CO136" s="87">
        <v>92739</v>
      </c>
      <c r="CP136" s="87">
        <v>85252</v>
      </c>
      <c r="CQ136" s="87">
        <v>84929</v>
      </c>
      <c r="CR136" s="220">
        <v>83351</v>
      </c>
      <c r="CS136" s="220">
        <v>51569</v>
      </c>
      <c r="CT136" s="220"/>
      <c r="CU136" s="220">
        <v>18101</v>
      </c>
      <c r="CV136" s="220">
        <v>49894</v>
      </c>
      <c r="CW136" s="220">
        <v>76696</v>
      </c>
      <c r="CX136" s="220">
        <v>88715</v>
      </c>
      <c r="CY136" s="220">
        <v>104395</v>
      </c>
      <c r="CZ136" s="220">
        <v>123276</v>
      </c>
      <c r="DA136" s="220">
        <v>111756</v>
      </c>
      <c r="DB136" s="220">
        <v>103845</v>
      </c>
      <c r="DC136" s="220">
        <v>122162</v>
      </c>
      <c r="DD136" s="220">
        <v>126016</v>
      </c>
      <c r="DE136" s="220">
        <v>135465</v>
      </c>
      <c r="DF136" s="220">
        <v>119035</v>
      </c>
      <c r="DG136" s="220">
        <v>54493</v>
      </c>
      <c r="DH136" s="220">
        <v>112564</v>
      </c>
      <c r="DI136" s="220">
        <v>138831</v>
      </c>
      <c r="DJ136" s="220">
        <v>127374</v>
      </c>
      <c r="DK136" s="220">
        <v>101252</v>
      </c>
      <c r="DL136" s="220">
        <v>127040</v>
      </c>
      <c r="DM136" s="220">
        <v>125063</v>
      </c>
      <c r="DN136" s="220">
        <v>121759</v>
      </c>
      <c r="DO136" s="220">
        <v>145070</v>
      </c>
      <c r="DP136" s="220">
        <v>146511</v>
      </c>
      <c r="DQ136" s="220">
        <v>161591</v>
      </c>
      <c r="DR136" s="220">
        <v>155672</v>
      </c>
      <c r="DS136" s="220">
        <v>146147</v>
      </c>
      <c r="DT136" s="220">
        <v>162669</v>
      </c>
      <c r="DU136" s="220">
        <v>167340</v>
      </c>
      <c r="DV136" s="220">
        <v>167004</v>
      </c>
      <c r="DW136" s="220">
        <v>183551</v>
      </c>
      <c r="DX136" s="220">
        <v>170516</v>
      </c>
      <c r="DY136" s="220">
        <v>138780</v>
      </c>
      <c r="DZ136" s="220">
        <v>146284</v>
      </c>
      <c r="EA136" s="220">
        <v>179505</v>
      </c>
      <c r="EB136" s="220">
        <v>166627</v>
      </c>
      <c r="EC136" s="220">
        <v>187995</v>
      </c>
      <c r="ED136" s="220">
        <v>178753</v>
      </c>
      <c r="EE136" s="220">
        <v>184810</v>
      </c>
      <c r="EF136" s="220">
        <v>183040</v>
      </c>
      <c r="EG136" s="220">
        <v>208772</v>
      </c>
      <c r="EH136" s="220">
        <v>207105</v>
      </c>
      <c r="EI136" s="220">
        <v>223675</v>
      </c>
      <c r="EJ136" s="220">
        <v>233796</v>
      </c>
      <c r="EK136" s="220">
        <v>209110</v>
      </c>
      <c r="EL136" s="220">
        <v>189917</v>
      </c>
      <c r="EM136" s="220">
        <v>241596</v>
      </c>
      <c r="EN136" s="220">
        <v>229478</v>
      </c>
      <c r="EO136" s="220">
        <v>230138</v>
      </c>
      <c r="EP136" s="220">
        <v>213117</v>
      </c>
      <c r="EQ136" s="220">
        <v>216575</v>
      </c>
      <c r="ER136" s="220">
        <v>216101</v>
      </c>
      <c r="ES136" s="220">
        <v>222340</v>
      </c>
      <c r="ET136" s="220">
        <v>235826</v>
      </c>
      <c r="EU136" s="220">
        <v>239405</v>
      </c>
      <c r="EV136" s="220">
        <v>265817</v>
      </c>
      <c r="EW136" s="220">
        <v>231486</v>
      </c>
      <c r="EX136" s="220">
        <v>208056</v>
      </c>
      <c r="EY136" s="220">
        <v>250746</v>
      </c>
      <c r="EZ136" s="220">
        <v>244728</v>
      </c>
      <c r="FA136" s="220">
        <v>252640</v>
      </c>
      <c r="FB136" s="220">
        <v>234516</v>
      </c>
      <c r="FC136" s="220">
        <v>228116</v>
      </c>
      <c r="FD136" s="220">
        <v>207624</v>
      </c>
      <c r="FE136" s="220">
        <v>221836</v>
      </c>
      <c r="FF136" s="220">
        <v>210575</v>
      </c>
      <c r="FG136" s="220">
        <v>250603</v>
      </c>
      <c r="FH136" s="220">
        <v>316785</v>
      </c>
      <c r="FI136" s="220">
        <v>277104</v>
      </c>
      <c r="FJ136" s="220">
        <v>258609</v>
      </c>
      <c r="FK136" s="43"/>
      <c r="FL136" s="43"/>
      <c r="FM136" s="43"/>
      <c r="FN136" s="67">
        <f t="shared" si="316"/>
        <v>117711</v>
      </c>
      <c r="FO136" s="67">
        <f t="shared" si="317"/>
        <v>138184</v>
      </c>
      <c r="FP136" s="67">
        <f t="shared" si="318"/>
        <v>147026</v>
      </c>
      <c r="FQ136" s="67">
        <f t="shared" si="319"/>
        <v>150739</v>
      </c>
      <c r="FR136" s="67">
        <f t="shared" si="320"/>
        <v>123909</v>
      </c>
      <c r="FS136" s="67">
        <f t="shared" si="321"/>
        <v>118831</v>
      </c>
      <c r="FT136" s="67">
        <f t="shared" si="322"/>
        <v>141611</v>
      </c>
      <c r="FU136" s="67">
        <f t="shared" si="323"/>
        <v>140862</v>
      </c>
      <c r="FV136" s="67">
        <f t="shared" si="324"/>
        <v>128796</v>
      </c>
      <c r="FW136" s="67">
        <f t="shared" si="325"/>
        <v>144449</v>
      </c>
      <c r="FX136" s="67">
        <f t="shared" si="326"/>
        <v>132939</v>
      </c>
      <c r="FY136" s="67">
        <f t="shared" si="327"/>
        <v>147437</v>
      </c>
      <c r="FZ136" s="67">
        <f t="shared" si="328"/>
        <v>128064</v>
      </c>
      <c r="GA136" s="67">
        <f t="shared" si="329"/>
        <v>138263</v>
      </c>
      <c r="GB136" s="67">
        <f t="shared" si="330"/>
        <v>151874</v>
      </c>
      <c r="GC136" s="67">
        <f t="shared" si="331"/>
        <v>168463</v>
      </c>
      <c r="GD136" s="67">
        <f t="shared" si="332"/>
        <v>176788</v>
      </c>
      <c r="GE136" s="67">
        <f t="shared" si="333"/>
        <v>196701</v>
      </c>
      <c r="GF136" s="67">
        <f t="shared" si="334"/>
        <v>182653</v>
      </c>
      <c r="GG136" s="67">
        <f t="shared" si="335"/>
        <v>205830</v>
      </c>
      <c r="GH136" s="67">
        <f t="shared" si="336"/>
        <v>190083</v>
      </c>
      <c r="GI136" s="67">
        <f t="shared" si="337"/>
        <v>249912</v>
      </c>
      <c r="GJ136" s="67">
        <f t="shared" si="338"/>
        <v>224220</v>
      </c>
      <c r="GK136" s="67">
        <f t="shared" si="339"/>
        <v>257587</v>
      </c>
      <c r="GL136" s="67">
        <f t="shared" si="340"/>
        <v>234876</v>
      </c>
      <c r="GM136" s="67">
        <f t="shared" si="341"/>
        <v>229543</v>
      </c>
      <c r="GN136" s="67">
        <f t="shared" si="342"/>
        <v>217804</v>
      </c>
      <c r="GO136" s="67">
        <f t="shared" si="343"/>
        <v>259238</v>
      </c>
      <c r="GP136" s="67">
        <f t="shared" si="344"/>
        <v>224224</v>
      </c>
      <c r="GQ136" s="67">
        <f t="shared" si="345"/>
        <v>220133</v>
      </c>
      <c r="GR136" s="67">
        <f t="shared" si="346"/>
        <v>278716</v>
      </c>
      <c r="GS136" s="67">
        <f t="shared" si="347"/>
        <v>219849</v>
      </c>
      <c r="GT136" s="67">
        <f t="shared" si="348"/>
        <v>67995</v>
      </c>
      <c r="GU136" s="67">
        <f t="shared" si="294"/>
        <v>269806</v>
      </c>
      <c r="GV136" s="67">
        <f t="shared" si="295"/>
        <v>338877</v>
      </c>
      <c r="GW136" s="67">
        <f t="shared" si="296"/>
        <v>383643</v>
      </c>
      <c r="GX136" s="67">
        <f t="shared" si="297"/>
        <v>286092</v>
      </c>
      <c r="GY136" s="67">
        <f t="shared" si="298"/>
        <v>367457</v>
      </c>
      <c r="GZ136" s="67">
        <f t="shared" si="299"/>
        <v>373862</v>
      </c>
      <c r="HA136" s="67">
        <f t="shared" si="300"/>
        <v>453172</v>
      </c>
      <c r="HB136" s="67">
        <f t="shared" si="301"/>
        <v>464488</v>
      </c>
      <c r="HC136" s="67">
        <f t="shared" si="302"/>
        <v>517895</v>
      </c>
      <c r="HD136" s="67">
        <f t="shared" si="303"/>
        <v>455580</v>
      </c>
      <c r="HE136" s="67">
        <f t="shared" si="304"/>
        <v>534127</v>
      </c>
      <c r="HF136" s="67">
        <f t="shared" si="305"/>
        <v>546603</v>
      </c>
      <c r="HG136" s="67">
        <f t="shared" si="306"/>
        <v>639552</v>
      </c>
      <c r="HH136" s="67">
        <f t="shared" si="307"/>
        <v>632823</v>
      </c>
      <c r="HI136" s="67">
        <f t="shared" si="308"/>
        <v>701212</v>
      </c>
      <c r="HJ136" s="210">
        <f t="shared" si="309"/>
        <v>645793</v>
      </c>
      <c r="HK136" s="210">
        <f t="shared" si="310"/>
        <v>697571</v>
      </c>
      <c r="HL136" s="210">
        <f t="shared" si="311"/>
        <v>705359</v>
      </c>
      <c r="HM136" s="210">
        <f t="shared" si="312"/>
        <v>748114</v>
      </c>
      <c r="HN136" s="210">
        <f t="shared" si="313"/>
        <v>670256</v>
      </c>
      <c r="HO136" s="210">
        <f t="shared" si="314"/>
        <v>683014</v>
      </c>
      <c r="HP136" s="210">
        <f t="shared" si="315"/>
        <v>852498</v>
      </c>
      <c r="HQ136" s="60"/>
      <c r="HR136" s="43"/>
      <c r="HS136" s="43"/>
      <c r="HT136" s="43"/>
      <c r="HU136" s="216">
        <f t="shared" si="349"/>
        <v>553660</v>
      </c>
      <c r="HV136" s="216">
        <f t="shared" si="350"/>
        <v>525213</v>
      </c>
      <c r="HW136" s="216">
        <f t="shared" si="351"/>
        <v>553621</v>
      </c>
      <c r="HX136" s="217">
        <f t="shared" si="352"/>
        <v>586664</v>
      </c>
      <c r="HY136" s="72">
        <f t="shared" si="353"/>
        <v>761972</v>
      </c>
      <c r="HZ136" s="72">
        <f t="shared" si="354"/>
        <v>921802</v>
      </c>
      <c r="IA136" s="72">
        <f t="shared" si="250"/>
        <v>941461</v>
      </c>
      <c r="IB136" s="74">
        <f t="shared" si="251"/>
        <v>942922</v>
      </c>
      <c r="IC136" s="74">
        <f t="shared" si="252"/>
        <v>1060321</v>
      </c>
      <c r="ID136" s="74">
        <f t="shared" si="253"/>
        <v>1480583</v>
      </c>
      <c r="IE136" s="74">
        <f t="shared" si="254"/>
        <v>1972090</v>
      </c>
      <c r="IF136" s="74">
        <f t="shared" si="255"/>
        <v>2520190</v>
      </c>
      <c r="IG136" s="74">
        <f t="shared" si="256"/>
        <v>2796837</v>
      </c>
    </row>
    <row r="137" spans="1:241" outlineLevel="1" x14ac:dyDescent="0.3">
      <c r="A137" s="125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2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  <c r="AK137" s="222"/>
      <c r="AL137" s="221"/>
      <c r="AM137" s="221"/>
      <c r="AN137" s="221"/>
      <c r="AO137" s="221"/>
      <c r="AP137" s="221"/>
      <c r="AQ137" s="221"/>
      <c r="AR137" s="221"/>
      <c r="AS137" s="221"/>
      <c r="AT137" s="221"/>
      <c r="AU137" s="221"/>
      <c r="AV137" s="221"/>
      <c r="AW137" s="222"/>
      <c r="AX137" s="223"/>
      <c r="AY137" s="223"/>
      <c r="AZ137" s="223"/>
      <c r="BA137" s="223"/>
      <c r="BB137" s="223"/>
      <c r="BC137" s="223"/>
      <c r="BD137" s="223"/>
      <c r="BE137" s="223"/>
      <c r="BF137" s="223"/>
      <c r="BG137" s="223"/>
      <c r="BH137" s="223"/>
      <c r="BI137" s="222"/>
      <c r="BJ137" s="223"/>
      <c r="BK137" s="224"/>
      <c r="BL137" s="224"/>
      <c r="BM137" s="224"/>
      <c r="BN137" s="224"/>
      <c r="BO137" s="224"/>
      <c r="BP137" s="224"/>
      <c r="BQ137" s="224"/>
      <c r="BR137" s="224"/>
      <c r="BS137" s="224"/>
      <c r="BT137" s="224"/>
      <c r="BU137" s="222"/>
      <c r="BV137" s="222"/>
      <c r="BW137" s="222"/>
      <c r="BX137" s="222"/>
      <c r="BY137" s="222"/>
      <c r="BZ137" s="222"/>
      <c r="CA137" s="222"/>
      <c r="CB137" s="222"/>
      <c r="CC137" s="222"/>
      <c r="CD137" s="222"/>
      <c r="CE137" s="222"/>
      <c r="CF137" s="222"/>
      <c r="CG137" s="222"/>
      <c r="CH137" s="224"/>
      <c r="CI137" s="224"/>
      <c r="CJ137" s="224"/>
      <c r="CK137" s="224"/>
      <c r="CL137" s="224"/>
      <c r="CM137" s="224"/>
      <c r="CN137" s="224"/>
      <c r="CO137" s="224"/>
      <c r="CP137" s="224"/>
      <c r="CQ137" s="224"/>
      <c r="CR137" s="224"/>
      <c r="CS137" s="225"/>
      <c r="CT137" s="225"/>
      <c r="CU137" s="225"/>
      <c r="CV137" s="225"/>
      <c r="CW137" s="225"/>
      <c r="CX137" s="225"/>
      <c r="CY137" s="225"/>
      <c r="CZ137" s="225"/>
      <c r="DA137" s="225"/>
      <c r="DB137" s="225"/>
      <c r="DC137" s="225"/>
      <c r="DD137" s="225"/>
      <c r="DE137" s="225"/>
      <c r="DF137" s="225"/>
      <c r="DG137" s="225"/>
      <c r="DH137" s="225"/>
      <c r="DI137" s="225"/>
      <c r="DJ137" s="225"/>
      <c r="DK137" s="225"/>
      <c r="DL137" s="225"/>
      <c r="DM137" s="225"/>
      <c r="DN137" s="225"/>
      <c r="DO137" s="225"/>
      <c r="DP137" s="225"/>
      <c r="DQ137" s="225"/>
      <c r="DR137" s="225"/>
      <c r="DS137" s="225"/>
      <c r="DT137" s="225"/>
      <c r="DU137" s="225"/>
      <c r="DV137" s="225"/>
      <c r="DW137" s="225"/>
      <c r="DX137" s="225"/>
      <c r="DY137" s="225"/>
      <c r="DZ137" s="225"/>
      <c r="EA137" s="225"/>
      <c r="EB137" s="225"/>
      <c r="EC137" s="225"/>
      <c r="ED137" s="225"/>
      <c r="EE137" s="225"/>
      <c r="EF137" s="225"/>
      <c r="EG137" s="225"/>
      <c r="EH137" s="225"/>
      <c r="EI137" s="225"/>
      <c r="EJ137" s="225"/>
      <c r="EK137" s="225"/>
      <c r="EL137" s="225"/>
      <c r="EM137" s="225"/>
      <c r="EN137" s="225"/>
      <c r="EO137" s="225"/>
      <c r="EP137" s="225"/>
      <c r="EQ137" s="225"/>
      <c r="ER137" s="225"/>
      <c r="ES137" s="225"/>
      <c r="ET137" s="225"/>
      <c r="EU137" s="225"/>
      <c r="EV137" s="225"/>
      <c r="EW137" s="225"/>
      <c r="EX137" s="225"/>
      <c r="EY137" s="225"/>
      <c r="EZ137" s="225"/>
      <c r="FA137" s="225"/>
      <c r="FB137" s="225"/>
      <c r="FC137" s="225"/>
      <c r="FD137" s="225"/>
      <c r="FE137" s="225"/>
      <c r="FF137" s="225"/>
      <c r="FG137" s="225"/>
      <c r="FH137" s="225"/>
      <c r="FI137" s="225"/>
      <c r="FJ137" s="225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U137" s="155"/>
      <c r="HV137" s="155"/>
      <c r="HW137" s="155"/>
      <c r="HX137" s="156"/>
      <c r="HY137" s="146"/>
      <c r="HZ137" s="146"/>
      <c r="IA137" s="146"/>
      <c r="IB137" s="157"/>
      <c r="IC137" s="157"/>
      <c r="ID137" s="157"/>
      <c r="IE137" s="157"/>
      <c r="IF137" s="157"/>
      <c r="IG137" s="157"/>
    </row>
    <row r="138" spans="1:241" outlineLevel="1" x14ac:dyDescent="0.3">
      <c r="A138" s="226"/>
      <c r="B138" s="227"/>
      <c r="C138" s="227"/>
      <c r="D138" s="227"/>
      <c r="E138" s="227"/>
      <c r="F138" s="227"/>
      <c r="G138" s="227"/>
      <c r="H138" s="227"/>
      <c r="I138" s="227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228"/>
      <c r="V138" s="228"/>
      <c r="W138" s="228"/>
      <c r="X138" s="228"/>
      <c r="Y138" s="228"/>
      <c r="Z138" s="228"/>
      <c r="AA138" s="228"/>
      <c r="AB138" s="228"/>
      <c r="AC138" s="229"/>
      <c r="AD138" s="228"/>
      <c r="AE138" s="228"/>
      <c r="AF138" s="228"/>
      <c r="AG138" s="228"/>
      <c r="AH138" s="228"/>
      <c r="AI138" s="228"/>
      <c r="AJ138" s="228"/>
      <c r="AK138" s="228"/>
      <c r="AL138" s="228"/>
      <c r="AM138" s="228"/>
      <c r="AN138" s="229"/>
      <c r="AO138" s="230"/>
      <c r="AP138" s="230"/>
      <c r="AQ138" s="230"/>
      <c r="AR138" s="230"/>
      <c r="AS138" s="230"/>
      <c r="AT138" s="230"/>
      <c r="AU138" s="230"/>
      <c r="AV138" s="230"/>
      <c r="AW138" s="230"/>
      <c r="AX138" s="231"/>
      <c r="AY138" s="231"/>
      <c r="AZ138" s="231"/>
      <c r="BA138" s="231"/>
      <c r="BB138" s="231"/>
      <c r="BC138" s="231"/>
      <c r="BD138" s="231"/>
      <c r="BE138" s="231"/>
      <c r="BF138" s="231"/>
      <c r="BG138" s="231"/>
      <c r="BH138" s="231"/>
      <c r="BI138" s="231"/>
      <c r="BJ138" s="231"/>
      <c r="BK138" s="232"/>
      <c r="BL138" s="232"/>
      <c r="BM138" s="232"/>
      <c r="BN138" s="232"/>
      <c r="BO138" s="232"/>
      <c r="BP138" s="232"/>
      <c r="BQ138" s="232"/>
      <c r="BR138" s="232"/>
      <c r="BS138" s="232"/>
      <c r="BT138" s="232"/>
      <c r="BU138" s="232"/>
      <c r="BV138" s="233"/>
      <c r="BW138" s="233"/>
      <c r="BX138" s="233"/>
      <c r="BY138" s="233"/>
      <c r="BZ138" s="233"/>
      <c r="CA138" s="233"/>
      <c r="CB138" s="233"/>
      <c r="CC138" s="233"/>
      <c r="CD138" s="233"/>
      <c r="CE138" s="233"/>
      <c r="CF138" s="233"/>
      <c r="CG138" s="232"/>
      <c r="CH138" s="232"/>
      <c r="CI138" s="232"/>
      <c r="CJ138" s="232"/>
      <c r="CK138" s="232"/>
      <c r="CL138" s="232"/>
      <c r="CM138" s="232"/>
      <c r="CN138" s="232"/>
      <c r="CO138" s="232"/>
      <c r="CP138" s="232"/>
      <c r="CQ138" s="232"/>
      <c r="CR138" s="232"/>
      <c r="CS138" s="234"/>
      <c r="CT138" s="234"/>
      <c r="CU138" s="234"/>
      <c r="CV138" s="234"/>
      <c r="CW138" s="234"/>
      <c r="CX138" s="234"/>
      <c r="CY138" s="234"/>
      <c r="CZ138" s="234"/>
      <c r="DA138" s="234"/>
      <c r="DB138" s="234"/>
      <c r="DC138" s="234"/>
      <c r="DD138" s="234"/>
      <c r="DE138" s="234"/>
      <c r="DF138" s="234"/>
      <c r="DG138" s="234"/>
      <c r="DH138" s="234"/>
      <c r="DI138" s="234"/>
      <c r="DJ138" s="234"/>
      <c r="DK138" s="234"/>
      <c r="DL138" s="234"/>
      <c r="DM138" s="234"/>
      <c r="DN138" s="234"/>
      <c r="DO138" s="234"/>
      <c r="DP138" s="234"/>
      <c r="DQ138" s="234"/>
      <c r="DR138" s="234"/>
      <c r="DS138" s="234"/>
      <c r="DT138" s="234"/>
      <c r="DU138" s="234"/>
      <c r="DV138" s="234"/>
      <c r="DW138" s="234"/>
      <c r="DX138" s="234"/>
      <c r="DY138" s="234"/>
      <c r="DZ138" s="234"/>
      <c r="EA138" s="234"/>
      <c r="EB138" s="234"/>
      <c r="EC138" s="234"/>
      <c r="ED138" s="234"/>
      <c r="EE138" s="234"/>
      <c r="EF138" s="234"/>
      <c r="EG138" s="234"/>
      <c r="EH138" s="234"/>
      <c r="EI138" s="234"/>
      <c r="EJ138" s="234"/>
      <c r="EK138" s="234"/>
      <c r="EL138" s="234"/>
      <c r="EM138" s="234"/>
      <c r="EN138" s="234"/>
      <c r="EO138" s="234"/>
      <c r="EP138" s="234"/>
      <c r="EQ138" s="234"/>
      <c r="ER138" s="234"/>
      <c r="ES138" s="234"/>
      <c r="ET138" s="234"/>
      <c r="EU138" s="234"/>
      <c r="EV138" s="234"/>
      <c r="EW138" s="234"/>
      <c r="EX138" s="234"/>
      <c r="EY138" s="234"/>
      <c r="EZ138" s="234"/>
      <c r="FA138" s="234"/>
      <c r="FB138" s="234"/>
      <c r="FC138" s="234"/>
      <c r="FD138" s="234"/>
      <c r="FE138" s="234"/>
      <c r="FF138" s="234"/>
      <c r="FG138" s="234"/>
      <c r="FH138" s="234"/>
      <c r="FI138" s="234"/>
      <c r="FJ138" s="234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U138" s="169"/>
      <c r="HV138" s="169"/>
      <c r="HW138" s="169"/>
      <c r="HX138" s="170"/>
      <c r="HY138" s="160"/>
      <c r="HZ138" s="160"/>
      <c r="IA138" s="160"/>
      <c r="IB138" s="171"/>
      <c r="IC138" s="171"/>
      <c r="ID138" s="171"/>
      <c r="IE138" s="171"/>
      <c r="IF138" s="171"/>
      <c r="IG138" s="171"/>
    </row>
    <row r="139" spans="1:241" outlineLevel="1" x14ac:dyDescent="0.3">
      <c r="A139" s="138" t="s">
        <v>170</v>
      </c>
      <c r="B139" s="52"/>
      <c r="C139" s="52"/>
      <c r="D139" s="52"/>
      <c r="E139" s="52"/>
      <c r="F139" s="52"/>
      <c r="G139" s="52"/>
      <c r="H139" s="52"/>
      <c r="I139" s="52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  <c r="AB139" s="201"/>
      <c r="AC139" s="202"/>
      <c r="AD139" s="201"/>
      <c r="AE139" s="201"/>
      <c r="AF139" s="201"/>
      <c r="AG139" s="201"/>
      <c r="AH139" s="201"/>
      <c r="AI139" s="201"/>
      <c r="AJ139" s="201"/>
      <c r="AK139" s="201"/>
      <c r="AL139" s="201"/>
      <c r="AM139" s="201"/>
      <c r="AN139" s="202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3"/>
      <c r="BJ139" s="203"/>
      <c r="BK139" s="204"/>
      <c r="BL139" s="204"/>
      <c r="BM139" s="204"/>
      <c r="BN139" s="204"/>
      <c r="BO139" s="204"/>
      <c r="BP139" s="204"/>
      <c r="BQ139" s="204"/>
      <c r="BR139" s="204"/>
      <c r="BS139" s="204"/>
      <c r="BT139" s="204"/>
      <c r="BU139" s="204"/>
      <c r="BV139" s="204"/>
      <c r="BW139" s="204"/>
      <c r="BX139" s="204"/>
      <c r="BY139" s="204"/>
      <c r="BZ139" s="204"/>
      <c r="CA139" s="204"/>
      <c r="CB139" s="204"/>
      <c r="CC139" s="204"/>
      <c r="CD139" s="204"/>
      <c r="CE139" s="204"/>
      <c r="CF139" s="204"/>
      <c r="CG139" s="204"/>
      <c r="CH139" s="204"/>
      <c r="CI139" s="204"/>
      <c r="CJ139" s="204"/>
      <c r="CK139" s="204"/>
      <c r="CL139" s="204"/>
      <c r="CM139" s="204"/>
      <c r="CN139" s="204"/>
      <c r="CO139" s="204"/>
      <c r="CP139" s="204"/>
      <c r="CQ139" s="204"/>
      <c r="CR139" s="204"/>
      <c r="CS139" s="235"/>
      <c r="CT139" s="235"/>
      <c r="CU139" s="235"/>
      <c r="CV139" s="235"/>
      <c r="CW139" s="235"/>
      <c r="CX139" s="235"/>
      <c r="CY139" s="235"/>
      <c r="CZ139" s="235"/>
      <c r="DA139" s="235"/>
      <c r="DB139" s="235"/>
      <c r="DC139" s="235"/>
      <c r="DD139" s="235"/>
      <c r="DE139" s="235"/>
      <c r="DF139" s="235"/>
      <c r="DG139" s="235"/>
      <c r="DH139" s="235"/>
      <c r="DI139" s="235"/>
      <c r="DJ139" s="235"/>
      <c r="DK139" s="235"/>
      <c r="DL139" s="235"/>
      <c r="DM139" s="235"/>
      <c r="DN139" s="235"/>
      <c r="DO139" s="235"/>
      <c r="DP139" s="235"/>
      <c r="DQ139" s="235"/>
      <c r="DR139" s="235"/>
      <c r="DS139" s="235"/>
      <c r="DT139" s="235"/>
      <c r="DU139" s="235"/>
      <c r="DV139" s="235"/>
      <c r="DW139" s="235"/>
      <c r="DX139" s="235"/>
      <c r="DY139" s="235"/>
      <c r="DZ139" s="235"/>
      <c r="EA139" s="235"/>
      <c r="EB139" s="235"/>
      <c r="EC139" s="235"/>
      <c r="ED139" s="235"/>
      <c r="EE139" s="235"/>
      <c r="EF139" s="235"/>
      <c r="EG139" s="235"/>
      <c r="EH139" s="235"/>
      <c r="EI139" s="235"/>
      <c r="EJ139" s="235"/>
      <c r="EK139" s="235"/>
      <c r="EL139" s="235"/>
      <c r="EM139" s="235"/>
      <c r="EN139" s="235"/>
      <c r="EO139" s="235"/>
      <c r="EP139" s="235"/>
      <c r="EQ139" s="235"/>
      <c r="ER139" s="235"/>
      <c r="ES139" s="235"/>
      <c r="ET139" s="235"/>
      <c r="EU139" s="235"/>
      <c r="EV139" s="235"/>
      <c r="EW139" s="235"/>
      <c r="EX139" s="235"/>
      <c r="EY139" s="235"/>
      <c r="EZ139" s="235"/>
      <c r="FA139" s="235"/>
      <c r="FB139" s="235"/>
      <c r="FC139" s="235"/>
      <c r="FD139" s="235"/>
      <c r="FE139" s="235"/>
      <c r="FF139" s="235"/>
      <c r="FG139" s="235"/>
      <c r="FH139" s="235"/>
      <c r="FI139" s="235"/>
      <c r="FJ139" s="235"/>
      <c r="FN139" s="236"/>
      <c r="FO139" s="205"/>
      <c r="FP139" s="205"/>
      <c r="FQ139" s="205"/>
      <c r="FR139" s="205"/>
      <c r="FS139" s="205"/>
      <c r="FT139" s="205"/>
      <c r="FU139" s="205"/>
      <c r="FV139" s="205"/>
      <c r="FW139" s="205"/>
      <c r="FX139" s="205"/>
      <c r="FY139" s="205"/>
      <c r="FZ139" s="205"/>
      <c r="GA139" s="205"/>
      <c r="GB139" s="205"/>
      <c r="GC139" s="205"/>
      <c r="GD139" s="205"/>
      <c r="GE139" s="205"/>
      <c r="GF139" s="205"/>
      <c r="GG139" s="205"/>
      <c r="GH139" s="205"/>
      <c r="GI139" s="205"/>
      <c r="GJ139" s="205"/>
      <c r="GK139" s="205"/>
      <c r="GL139" s="205"/>
      <c r="GM139" s="205"/>
      <c r="GN139" s="205"/>
      <c r="GO139" s="205"/>
      <c r="GP139" s="205"/>
      <c r="GQ139" s="205"/>
      <c r="GR139" s="205"/>
      <c r="GS139" s="205"/>
      <c r="GT139" s="205"/>
      <c r="GU139" s="205"/>
      <c r="GV139" s="205"/>
      <c r="GW139" s="205"/>
      <c r="GX139" s="205"/>
      <c r="GY139" s="205"/>
      <c r="GZ139" s="205"/>
      <c r="HA139" s="205"/>
      <c r="HB139" s="205"/>
      <c r="HC139" s="205"/>
      <c r="HD139" s="205"/>
      <c r="HE139" s="205"/>
      <c r="HF139" s="205"/>
      <c r="HG139" s="205"/>
      <c r="HH139" s="205"/>
      <c r="HI139" s="205"/>
      <c r="HJ139" s="206"/>
      <c r="HK139" s="206"/>
      <c r="HL139" s="206"/>
      <c r="HM139" s="206"/>
      <c r="HN139" s="206"/>
      <c r="HO139" s="206"/>
      <c r="HP139" s="206"/>
      <c r="HQ139" s="141"/>
      <c r="HU139" s="155"/>
      <c r="HV139" s="155"/>
      <c r="HW139" s="155"/>
      <c r="HX139" s="156"/>
      <c r="HY139" s="146"/>
      <c r="HZ139" s="146"/>
      <c r="IA139" s="146"/>
      <c r="IB139" s="157"/>
      <c r="IC139" s="157"/>
      <c r="ID139" s="157"/>
      <c r="IE139" s="157"/>
      <c r="IF139" s="157"/>
      <c r="IG139" s="157"/>
    </row>
    <row r="140" spans="1:241" outlineLevel="2" x14ac:dyDescent="0.3">
      <c r="A140" s="63" t="s">
        <v>165</v>
      </c>
      <c r="B140" s="58">
        <v>0</v>
      </c>
      <c r="C140" s="58">
        <v>4</v>
      </c>
      <c r="D140" s="58">
        <v>1</v>
      </c>
      <c r="E140" s="58">
        <v>0</v>
      </c>
      <c r="F140" s="58">
        <v>2</v>
      </c>
      <c r="G140" s="207">
        <v>0</v>
      </c>
      <c r="H140" s="207">
        <v>3</v>
      </c>
      <c r="I140" s="207">
        <v>0</v>
      </c>
      <c r="J140" s="207">
        <v>1</v>
      </c>
      <c r="K140" s="207">
        <v>0</v>
      </c>
      <c r="L140" s="207">
        <v>0</v>
      </c>
      <c r="M140" s="207">
        <v>0</v>
      </c>
      <c r="N140" s="58">
        <v>0</v>
      </c>
      <c r="O140" s="58">
        <v>0</v>
      </c>
      <c r="P140" s="58">
        <v>0</v>
      </c>
      <c r="Q140" s="58">
        <v>1</v>
      </c>
      <c r="R140" s="58">
        <v>5</v>
      </c>
      <c r="S140" s="58">
        <v>9</v>
      </c>
      <c r="T140" s="58">
        <v>0</v>
      </c>
      <c r="U140" s="58">
        <v>0</v>
      </c>
      <c r="V140" s="58">
        <v>0</v>
      </c>
      <c r="W140" s="58">
        <v>0</v>
      </c>
      <c r="X140" s="58">
        <v>0</v>
      </c>
      <c r="Y140" s="58">
        <v>0</v>
      </c>
      <c r="Z140" s="58">
        <v>1</v>
      </c>
      <c r="AA140" s="58">
        <v>0</v>
      </c>
      <c r="AB140" s="58">
        <v>0</v>
      </c>
      <c r="AC140" s="58">
        <v>1</v>
      </c>
      <c r="AD140" s="58">
        <v>0</v>
      </c>
      <c r="AE140" s="58">
        <v>1</v>
      </c>
      <c r="AF140" s="58">
        <v>0</v>
      </c>
      <c r="AG140" s="58"/>
      <c r="AH140" s="58">
        <v>0</v>
      </c>
      <c r="AI140" s="58">
        <v>1</v>
      </c>
      <c r="AJ140" s="58">
        <v>0</v>
      </c>
      <c r="AK140" s="58">
        <v>0</v>
      </c>
      <c r="AL140" s="58">
        <v>0</v>
      </c>
      <c r="AM140" s="58">
        <v>0</v>
      </c>
      <c r="AN140" s="58"/>
      <c r="AO140" s="58">
        <v>0</v>
      </c>
      <c r="AP140" s="58">
        <v>0</v>
      </c>
      <c r="AQ140" s="58">
        <v>0</v>
      </c>
      <c r="AR140" s="58">
        <v>0</v>
      </c>
      <c r="AS140" s="58"/>
      <c r="AT140" s="58"/>
      <c r="AU140" s="58">
        <v>2</v>
      </c>
      <c r="AV140" s="58"/>
      <c r="AW140" s="58">
        <v>0</v>
      </c>
      <c r="AX140" s="58"/>
      <c r="AY140" s="58"/>
      <c r="AZ140" s="58"/>
      <c r="BA140" s="58"/>
      <c r="BB140" s="58"/>
      <c r="BC140" s="58"/>
      <c r="BD140" s="58"/>
      <c r="BE140" s="58">
        <v>2</v>
      </c>
      <c r="BF140" s="58"/>
      <c r="BG140" s="58">
        <v>0</v>
      </c>
      <c r="BH140" s="58"/>
      <c r="BI140" s="58"/>
      <c r="BJ140" s="58"/>
      <c r="BK140" s="208"/>
      <c r="BL140" s="208"/>
      <c r="BM140" s="208"/>
      <c r="BN140" s="208"/>
      <c r="BO140" s="208"/>
      <c r="BP140" s="208"/>
      <c r="BQ140" s="208"/>
      <c r="BR140" s="208">
        <v>0</v>
      </c>
      <c r="BS140" s="208">
        <v>0</v>
      </c>
      <c r="BT140" s="208">
        <v>0</v>
      </c>
      <c r="BU140" s="208">
        <v>0</v>
      </c>
      <c r="BV140" s="208">
        <v>0</v>
      </c>
      <c r="BW140" s="208"/>
      <c r="BX140" s="208"/>
      <c r="BY140" s="208"/>
      <c r="BZ140" s="208"/>
      <c r="CA140" s="208"/>
      <c r="CB140" s="208"/>
      <c r="CC140" s="208"/>
      <c r="CD140" s="208"/>
      <c r="CE140" s="208"/>
      <c r="CF140" s="208"/>
      <c r="CG140" s="208"/>
      <c r="CH140" s="208"/>
      <c r="CI140" s="208"/>
      <c r="CJ140" s="208"/>
      <c r="CK140" s="208"/>
      <c r="CL140" s="208"/>
      <c r="CM140" s="208"/>
      <c r="CN140" s="208"/>
      <c r="CO140" s="208"/>
      <c r="CP140" s="208"/>
      <c r="CQ140" s="208"/>
      <c r="CR140" s="208"/>
      <c r="CS140" s="149"/>
      <c r="CT140" s="149"/>
      <c r="CU140" s="149"/>
      <c r="CV140" s="149"/>
      <c r="CW140" s="149"/>
      <c r="CX140" s="149"/>
      <c r="CY140" s="149"/>
      <c r="CZ140" s="149"/>
      <c r="DA140" s="149"/>
      <c r="DB140" s="149"/>
      <c r="DC140" s="149"/>
      <c r="DD140" s="149"/>
      <c r="DE140" s="149"/>
      <c r="DF140" s="149"/>
      <c r="DG140" s="149"/>
      <c r="DH140" s="149"/>
      <c r="DI140" s="149"/>
      <c r="DJ140" s="149"/>
      <c r="DK140" s="149"/>
      <c r="DL140" s="149"/>
      <c r="DM140" s="149"/>
      <c r="DN140" s="149"/>
      <c r="DO140" s="149"/>
      <c r="DP140" s="149"/>
      <c r="DQ140" s="149"/>
      <c r="DR140" s="149"/>
      <c r="DS140" s="149"/>
      <c r="DT140" s="149"/>
      <c r="DU140" s="149"/>
      <c r="DV140" s="149"/>
      <c r="DW140" s="149"/>
      <c r="DX140" s="149"/>
      <c r="DY140" s="149"/>
      <c r="DZ140" s="149"/>
      <c r="EA140" s="149"/>
      <c r="EB140" s="149"/>
      <c r="EC140" s="149"/>
      <c r="ED140" s="149"/>
      <c r="EE140" s="149"/>
      <c r="EF140" s="149"/>
      <c r="EG140" s="149"/>
      <c r="EH140" s="149"/>
      <c r="EI140" s="149"/>
      <c r="EJ140" s="149"/>
      <c r="EK140" s="149"/>
      <c r="EL140" s="149"/>
      <c r="EM140" s="149"/>
      <c r="EN140" s="149"/>
      <c r="EO140" s="149"/>
      <c r="EP140" s="149"/>
      <c r="EQ140" s="149"/>
      <c r="ER140" s="149"/>
      <c r="ES140" s="149"/>
      <c r="ET140" s="149"/>
      <c r="EU140" s="149"/>
      <c r="EV140" s="149"/>
      <c r="EW140" s="149"/>
      <c r="EX140" s="149"/>
      <c r="EY140" s="149"/>
      <c r="EZ140" s="149"/>
      <c r="FA140" s="149"/>
      <c r="FB140" s="149"/>
      <c r="FC140" s="149"/>
      <c r="FD140" s="149"/>
      <c r="FE140" s="149"/>
      <c r="FF140" s="149"/>
      <c r="FG140" s="149"/>
      <c r="FH140" s="149"/>
      <c r="FI140" s="149"/>
      <c r="FJ140" s="149"/>
      <c r="FK140" s="43"/>
      <c r="FL140" s="43"/>
      <c r="FM140" s="43"/>
      <c r="FN140" s="66">
        <f t="shared" ref="FN140:FN147" si="358">+SUM(B140:D140)</f>
        <v>5</v>
      </c>
      <c r="FO140" s="67">
        <f t="shared" ref="FO140:FO147" si="359">+SUM(E140:G140)</f>
        <v>2</v>
      </c>
      <c r="FP140" s="67">
        <f t="shared" ref="FP140:FP147" si="360">+SUM(H140:J140)</f>
        <v>4</v>
      </c>
      <c r="FQ140" s="67">
        <f t="shared" ref="FQ140:FQ147" si="361">+SUM(K140:M140)</f>
        <v>0</v>
      </c>
      <c r="FR140" s="67">
        <f t="shared" ref="FR140:FR147" si="362">+SUM(N140:P140)</f>
        <v>0</v>
      </c>
      <c r="FS140" s="67">
        <f t="shared" ref="FS140:FS147" si="363">+SUM(Q140:S140)</f>
        <v>15</v>
      </c>
      <c r="FT140" s="67">
        <f t="shared" ref="FT140:FT147" si="364">+SUM(T140:V140)</f>
        <v>0</v>
      </c>
      <c r="FU140" s="67">
        <f t="shared" ref="FU140:FU147" si="365">+SUM(W140:Y140)</f>
        <v>0</v>
      </c>
      <c r="FV140" s="67">
        <f t="shared" ref="FV140:FV147" si="366">+SUM(Z140:AB140)</f>
        <v>1</v>
      </c>
      <c r="FW140" s="67">
        <f t="shared" ref="FW140:FW147" si="367">+SUM(AC140:AE140)</f>
        <v>2</v>
      </c>
      <c r="FX140" s="67">
        <f t="shared" ref="FX140:FX147" si="368">+SUM(AF140:AH140)</f>
        <v>0</v>
      </c>
      <c r="FY140" s="67">
        <f t="shared" ref="FY140:FY147" si="369">+SUM(AI140:AK140)</f>
        <v>1</v>
      </c>
      <c r="FZ140" s="67">
        <f t="shared" ref="FZ140:FZ147" si="370">+SUM(AL140:AN140)</f>
        <v>0</v>
      </c>
      <c r="GA140" s="67">
        <f t="shared" ref="GA140:GA147" si="371">+SUM(AO140:AQ140)</f>
        <v>0</v>
      </c>
      <c r="GB140" s="67">
        <f t="shared" ref="GB140:GB147" si="372">+SUM(AR140:AT140)</f>
        <v>0</v>
      </c>
      <c r="GC140" s="67">
        <f t="shared" ref="GC140:GC147" si="373">+SUM(AU140:AW140)</f>
        <v>2</v>
      </c>
      <c r="GD140" s="67">
        <f t="shared" ref="GD140:GD147" si="374">+SUM(AX140:AZ140)</f>
        <v>0</v>
      </c>
      <c r="GE140" s="67">
        <f t="shared" ref="GE140:GE147" si="375">+SUM(BA140:BC140)</f>
        <v>0</v>
      </c>
      <c r="GF140" s="67">
        <f t="shared" ref="GF140:GF147" si="376">+SUM(BD140:BF140)</f>
        <v>2</v>
      </c>
      <c r="GG140" s="67">
        <f t="shared" ref="GG140:GG147" si="377">+SUM(BG140:BI140)</f>
        <v>0</v>
      </c>
      <c r="GH140" s="67">
        <f t="shared" ref="GH140:GH147" si="378">+SUM(BJ140:BL140)</f>
        <v>0</v>
      </c>
      <c r="GI140" s="67">
        <f t="shared" ref="GI140:GI147" si="379">+SUM(BM140:BO140)</f>
        <v>0</v>
      </c>
      <c r="GJ140" s="67">
        <f t="shared" ref="GJ140:GJ147" si="380">+SUM(BP140:BR140)</f>
        <v>0</v>
      </c>
      <c r="GK140" s="67">
        <f t="shared" ref="GK140:GK147" si="381">+SUM(BS140:BU140)</f>
        <v>0</v>
      </c>
      <c r="GL140" s="67">
        <f t="shared" ref="GL140:GL147" si="382">+SUM(BV140:BX140)</f>
        <v>0</v>
      </c>
      <c r="GM140" s="67">
        <f t="shared" ref="GM140:GM147" si="383">+SUM(BY140:CA140)</f>
        <v>0</v>
      </c>
      <c r="GN140" s="67">
        <f t="shared" ref="GN140:GN147" si="384">+SUM(CB140:CD140)</f>
        <v>0</v>
      </c>
      <c r="GO140" s="67">
        <f t="shared" ref="GO140:GO147" si="385">+SUM(CE140:CG140)</f>
        <v>0</v>
      </c>
      <c r="GP140" s="67">
        <f t="shared" ref="GP140:GP147" si="386">+SUM(CH140:CJ140)</f>
        <v>0</v>
      </c>
      <c r="GQ140" s="67">
        <f t="shared" ref="GQ140:GQ147" si="387">+SUM(CK140:CM140)</f>
        <v>0</v>
      </c>
      <c r="GR140" s="67">
        <f t="shared" ref="GR140:GR147" si="388">+SUM(CN140:CP140)</f>
        <v>0</v>
      </c>
      <c r="GS140" s="67">
        <f t="shared" ref="GS140:GS147" si="389">+SUM(CQ140:CS140)</f>
        <v>0</v>
      </c>
      <c r="GT140" s="67">
        <f t="shared" ref="GT140:GT147" si="390">+SUM(CT140:CV140)</f>
        <v>0</v>
      </c>
      <c r="GU140" s="67">
        <f t="shared" ref="GU140:GU147" si="391">+SUM(CW140:CY140)</f>
        <v>0</v>
      </c>
      <c r="GV140" s="67">
        <f t="shared" ref="GV140:GV147" si="392">+SUM(CZ140:DB140)</f>
        <v>0</v>
      </c>
      <c r="GW140" s="67">
        <f t="shared" ref="GW140:GW147" si="393">+SUM(DC140:DE140)</f>
        <v>0</v>
      </c>
      <c r="GX140" s="67">
        <f t="shared" ref="GX140:GX147" si="394">+SUM(DF140:DH140)</f>
        <v>0</v>
      </c>
      <c r="GY140" s="67">
        <f t="shared" ref="GY140:GY147" si="395">+SUM(DI140:DK140)</f>
        <v>0</v>
      </c>
      <c r="GZ140" s="67">
        <f t="shared" ref="GZ140:GZ147" si="396">+SUM(DL140:DN140)</f>
        <v>0</v>
      </c>
      <c r="HA140" s="67">
        <f t="shared" ref="HA140:HA147" si="397">+SUM(DO140:DQ140)</f>
        <v>0</v>
      </c>
      <c r="HB140" s="67">
        <f t="shared" ref="HB140:HB147" si="398">+SUM(DR140:DT140)</f>
        <v>0</v>
      </c>
      <c r="HC140" s="67">
        <f t="shared" ref="HC140:HC147" si="399">+SUM(DU140:DW140)</f>
        <v>0</v>
      </c>
      <c r="HD140" s="67">
        <f t="shared" ref="HD140:HD147" si="400">+SUM(DX140:DZ140)</f>
        <v>0</v>
      </c>
      <c r="HE140" s="67">
        <f>+SUM(EA140:EC140)</f>
        <v>0</v>
      </c>
      <c r="HF140" s="67">
        <f>+SUM(ED140:EF140)</f>
        <v>0</v>
      </c>
      <c r="HG140" s="67">
        <f>+SUM(EG140:EI140)</f>
        <v>0</v>
      </c>
      <c r="HH140" s="67">
        <f>+SUM(EJ140:EL140)</f>
        <v>0</v>
      </c>
      <c r="HI140" s="67">
        <f>+SUM(EM140:EO140)</f>
        <v>0</v>
      </c>
      <c r="HJ140" s="210">
        <f t="shared" ref="HJ140:HJ147" si="401">SUM(EP140:ER140)</f>
        <v>0</v>
      </c>
      <c r="HK140" s="210">
        <f t="shared" ref="HK140:HK147" si="402">SUM(ES140:EU140)</f>
        <v>0</v>
      </c>
      <c r="HL140" s="210">
        <f t="shared" ref="HL140:HL147" si="403">SUM(EV140:EX140)</f>
        <v>0</v>
      </c>
      <c r="HM140" s="210">
        <f t="shared" ref="HM140:HM147" si="404">SUM(EY140:FA140)</f>
        <v>0</v>
      </c>
      <c r="HN140" s="210">
        <f t="shared" ref="HN140:HN147" si="405">SUM(FB140:FD140)</f>
        <v>0</v>
      </c>
      <c r="HO140" s="210">
        <f t="shared" ref="HO140:HO147" si="406">SUM(FE140:FG140)</f>
        <v>0</v>
      </c>
      <c r="HP140" s="210">
        <f t="shared" ref="HP140:HP147" si="407">SUM(FH140:FJ140)</f>
        <v>0</v>
      </c>
      <c r="HQ140" s="60"/>
      <c r="HR140" s="43"/>
      <c r="HS140" s="43"/>
      <c r="HT140" s="43"/>
      <c r="HU140" s="216">
        <f>SUM(B140:M140)</f>
        <v>11</v>
      </c>
      <c r="HV140" s="216">
        <f>SUM(N140:Y140)</f>
        <v>15</v>
      </c>
      <c r="HW140" s="216">
        <f>SUM(Z140:AK140)</f>
        <v>4</v>
      </c>
      <c r="HX140" s="217">
        <f>SUM(AL140:AW140)</f>
        <v>2</v>
      </c>
      <c r="HY140" s="72">
        <f>SUM(AX140:BI140)</f>
        <v>2</v>
      </c>
      <c r="HZ140" s="72">
        <f>SUM(BJ140:BU140)</f>
        <v>0</v>
      </c>
      <c r="IA140" s="72">
        <f>SUM(BV140:CG140)</f>
        <v>0</v>
      </c>
      <c r="IB140" s="74">
        <f>SUM(CH140:CS140)</f>
        <v>0</v>
      </c>
      <c r="IC140" s="74">
        <f>SUM(CT140:DE140)</f>
        <v>0</v>
      </c>
      <c r="ID140" s="74">
        <f>SUM(DF140:DQ140)</f>
        <v>0</v>
      </c>
      <c r="IE140" s="74">
        <f>SUM(DR140:EC140)</f>
        <v>0</v>
      </c>
      <c r="IF140" s="74">
        <f>SUM(ED140:EO140)</f>
        <v>0</v>
      </c>
      <c r="IG140" s="74">
        <f>SUM(EP140:FA140)</f>
        <v>0</v>
      </c>
    </row>
    <row r="141" spans="1:241" outlineLevel="2" x14ac:dyDescent="0.3">
      <c r="A141" s="71" t="s">
        <v>150</v>
      </c>
      <c r="B141" s="72">
        <v>2472</v>
      </c>
      <c r="C141" s="72">
        <v>2324</v>
      </c>
      <c r="D141" s="72">
        <v>2656</v>
      </c>
      <c r="E141" s="72">
        <v>2967</v>
      </c>
      <c r="F141" s="72">
        <v>2498</v>
      </c>
      <c r="G141" s="72">
        <v>2502</v>
      </c>
      <c r="H141" s="72">
        <v>3150</v>
      </c>
      <c r="I141" s="72">
        <v>2835</v>
      </c>
      <c r="J141" s="72">
        <v>2253</v>
      </c>
      <c r="K141" s="72">
        <v>2779</v>
      </c>
      <c r="L141" s="72">
        <v>2416</v>
      </c>
      <c r="M141" s="72">
        <v>2585</v>
      </c>
      <c r="N141" s="72">
        <v>2359</v>
      </c>
      <c r="O141" s="72">
        <v>2514</v>
      </c>
      <c r="P141" s="72">
        <v>2712</v>
      </c>
      <c r="Q141" s="72">
        <v>2685</v>
      </c>
      <c r="R141" s="72">
        <v>2316</v>
      </c>
      <c r="S141" s="72">
        <v>2187</v>
      </c>
      <c r="T141" s="72">
        <v>2437</v>
      </c>
      <c r="U141" s="72">
        <v>1923</v>
      </c>
      <c r="V141" s="72">
        <v>1391</v>
      </c>
      <c r="W141" s="72">
        <v>1280</v>
      </c>
      <c r="X141" s="72">
        <v>1408</v>
      </c>
      <c r="Y141" s="72">
        <v>1977</v>
      </c>
      <c r="Z141" s="72">
        <v>1403</v>
      </c>
      <c r="AA141" s="72">
        <v>1385</v>
      </c>
      <c r="AB141" s="72">
        <v>1855</v>
      </c>
      <c r="AC141" s="72">
        <v>1861</v>
      </c>
      <c r="AD141" s="72">
        <v>1181</v>
      </c>
      <c r="AE141" s="72">
        <v>1248</v>
      </c>
      <c r="AF141" s="72">
        <v>1001</v>
      </c>
      <c r="AG141" s="72">
        <v>708</v>
      </c>
      <c r="AH141" s="72">
        <v>669</v>
      </c>
      <c r="AI141" s="72">
        <v>769</v>
      </c>
      <c r="AJ141" s="72">
        <v>714</v>
      </c>
      <c r="AK141" s="72">
        <v>1153</v>
      </c>
      <c r="AL141" s="72">
        <v>1150</v>
      </c>
      <c r="AM141" s="72">
        <v>924</v>
      </c>
      <c r="AN141" s="72">
        <v>1078</v>
      </c>
      <c r="AO141" s="72">
        <v>951</v>
      </c>
      <c r="AP141" s="72">
        <v>591</v>
      </c>
      <c r="AQ141" s="72">
        <v>521</v>
      </c>
      <c r="AR141" s="72">
        <v>1084</v>
      </c>
      <c r="AS141" s="72">
        <v>755</v>
      </c>
      <c r="AT141" s="72">
        <v>702</v>
      </c>
      <c r="AU141" s="72">
        <v>761</v>
      </c>
      <c r="AV141" s="72">
        <v>889</v>
      </c>
      <c r="AW141" s="72">
        <v>1182</v>
      </c>
      <c r="AX141" s="72">
        <v>1033</v>
      </c>
      <c r="AY141" s="72">
        <v>805</v>
      </c>
      <c r="AZ141" s="72">
        <v>1027</v>
      </c>
      <c r="BA141" s="72">
        <v>1019</v>
      </c>
      <c r="BB141" s="72">
        <v>739</v>
      </c>
      <c r="BC141" s="72">
        <v>950</v>
      </c>
      <c r="BD141" s="72">
        <v>876</v>
      </c>
      <c r="BE141" s="72">
        <v>436</v>
      </c>
      <c r="BF141" s="72">
        <v>489</v>
      </c>
      <c r="BG141" s="72">
        <v>540</v>
      </c>
      <c r="BH141" s="72">
        <v>979</v>
      </c>
      <c r="BI141" s="72">
        <v>1477</v>
      </c>
      <c r="BJ141" s="72">
        <v>946</v>
      </c>
      <c r="BK141" s="214">
        <v>930</v>
      </c>
      <c r="BL141" s="214">
        <v>777</v>
      </c>
      <c r="BM141" s="214">
        <v>1776</v>
      </c>
      <c r="BN141" s="214">
        <v>1008</v>
      </c>
      <c r="BO141" s="214">
        <v>1142</v>
      </c>
      <c r="BP141" s="214">
        <v>1340</v>
      </c>
      <c r="BQ141" s="214">
        <v>958</v>
      </c>
      <c r="BR141" s="214">
        <v>984</v>
      </c>
      <c r="BS141" s="214">
        <v>1296</v>
      </c>
      <c r="BT141" s="214">
        <v>1277</v>
      </c>
      <c r="BU141" s="214">
        <v>1764</v>
      </c>
      <c r="BV141" s="214">
        <v>1377</v>
      </c>
      <c r="BW141" s="214">
        <v>1243</v>
      </c>
      <c r="BX141" s="214">
        <v>1638</v>
      </c>
      <c r="BY141" s="214">
        <v>1767</v>
      </c>
      <c r="BZ141" s="214">
        <v>1700</v>
      </c>
      <c r="CA141" s="214">
        <v>1449</v>
      </c>
      <c r="CB141" s="214">
        <v>1493</v>
      </c>
      <c r="CC141" s="214">
        <v>1036</v>
      </c>
      <c r="CD141" s="214">
        <v>1042</v>
      </c>
      <c r="CE141" s="214">
        <v>1465</v>
      </c>
      <c r="CF141" s="214">
        <v>1586</v>
      </c>
      <c r="CG141" s="214">
        <v>1655</v>
      </c>
      <c r="CH141" s="214">
        <v>1065</v>
      </c>
      <c r="CI141" s="214">
        <v>1066</v>
      </c>
      <c r="CJ141" s="214">
        <v>1064</v>
      </c>
      <c r="CK141" s="214">
        <v>806</v>
      </c>
      <c r="CL141" s="214">
        <v>357</v>
      </c>
      <c r="CM141" s="214">
        <v>366</v>
      </c>
      <c r="CN141" s="214">
        <v>521</v>
      </c>
      <c r="CO141" s="214">
        <v>393</v>
      </c>
      <c r="CP141" s="214">
        <v>410</v>
      </c>
      <c r="CQ141" s="214">
        <v>239</v>
      </c>
      <c r="CR141" s="214">
        <v>180</v>
      </c>
      <c r="CS141" s="164">
        <v>212</v>
      </c>
      <c r="CT141" s="164"/>
      <c r="CU141" s="164">
        <v>122</v>
      </c>
      <c r="CV141" s="164">
        <v>116</v>
      </c>
      <c r="CW141" s="164">
        <v>121</v>
      </c>
      <c r="CX141" s="164">
        <v>244</v>
      </c>
      <c r="CY141" s="164">
        <v>193</v>
      </c>
      <c r="CZ141" s="164">
        <v>303</v>
      </c>
      <c r="DA141" s="164">
        <v>241</v>
      </c>
      <c r="DB141" s="164">
        <v>132</v>
      </c>
      <c r="DC141" s="164">
        <v>136</v>
      </c>
      <c r="DD141" s="164">
        <v>11</v>
      </c>
      <c r="DE141" s="164">
        <v>57</v>
      </c>
      <c r="DF141" s="164">
        <v>99</v>
      </c>
      <c r="DG141" s="164">
        <v>255</v>
      </c>
      <c r="DH141" s="164">
        <v>277</v>
      </c>
      <c r="DI141" s="164">
        <v>248</v>
      </c>
      <c r="DJ141" s="164">
        <v>187</v>
      </c>
      <c r="DK141" s="164">
        <v>271</v>
      </c>
      <c r="DL141" s="164">
        <v>92</v>
      </c>
      <c r="DM141" s="164">
        <v>58</v>
      </c>
      <c r="DN141" s="164">
        <v>246</v>
      </c>
      <c r="DO141" s="164">
        <v>104</v>
      </c>
      <c r="DP141" s="164">
        <v>100</v>
      </c>
      <c r="DQ141" s="164">
        <v>217</v>
      </c>
      <c r="DR141" s="164">
        <v>357</v>
      </c>
      <c r="DS141" s="164">
        <v>254</v>
      </c>
      <c r="DT141" s="164">
        <v>240</v>
      </c>
      <c r="DU141" s="164">
        <v>191</v>
      </c>
      <c r="DV141" s="164">
        <v>237</v>
      </c>
      <c r="DW141" s="164">
        <v>206</v>
      </c>
      <c r="DX141" s="164">
        <v>72</v>
      </c>
      <c r="DY141" s="164">
        <v>126</v>
      </c>
      <c r="DZ141" s="164">
        <v>112</v>
      </c>
      <c r="EA141" s="164">
        <v>125</v>
      </c>
      <c r="EB141" s="164">
        <v>137</v>
      </c>
      <c r="EC141" s="164">
        <v>21</v>
      </c>
      <c r="ED141" s="164">
        <v>4</v>
      </c>
      <c r="EE141" s="164">
        <v>3</v>
      </c>
      <c r="EF141" s="164">
        <v>3</v>
      </c>
      <c r="EG141" s="164">
        <v>0</v>
      </c>
      <c r="EH141" s="164">
        <v>0</v>
      </c>
      <c r="EI141" s="164">
        <v>0</v>
      </c>
      <c r="EJ141" s="164">
        <v>0</v>
      </c>
      <c r="EK141" s="164"/>
      <c r="EL141" s="164">
        <v>3</v>
      </c>
      <c r="EM141" s="164"/>
      <c r="EN141" s="164"/>
      <c r="EO141" s="164"/>
      <c r="EP141" s="164"/>
      <c r="EQ141" s="164"/>
      <c r="ER141" s="164"/>
      <c r="ES141" s="164"/>
      <c r="ET141" s="164"/>
      <c r="EU141" s="164"/>
      <c r="EV141" s="164"/>
      <c r="EW141" s="164"/>
      <c r="EX141" s="164"/>
      <c r="EY141" s="164"/>
      <c r="EZ141" s="164"/>
      <c r="FA141" s="164"/>
      <c r="FB141" s="164"/>
      <c r="FC141" s="164"/>
      <c r="FD141" s="164"/>
      <c r="FE141" s="164"/>
      <c r="FF141" s="164"/>
      <c r="FG141" s="164"/>
      <c r="FH141" s="164"/>
      <c r="FI141" s="164"/>
      <c r="FJ141" s="164"/>
      <c r="FK141" s="43"/>
      <c r="FL141" s="43"/>
      <c r="FM141" s="43"/>
      <c r="FN141" s="75">
        <f t="shared" si="358"/>
        <v>7452</v>
      </c>
      <c r="FO141" s="76">
        <f t="shared" si="359"/>
        <v>7967</v>
      </c>
      <c r="FP141" s="76">
        <f t="shared" si="360"/>
        <v>8238</v>
      </c>
      <c r="FQ141" s="76">
        <f t="shared" si="361"/>
        <v>7780</v>
      </c>
      <c r="FR141" s="76">
        <f t="shared" si="362"/>
        <v>7585</v>
      </c>
      <c r="FS141" s="76">
        <f t="shared" si="363"/>
        <v>7188</v>
      </c>
      <c r="FT141" s="76">
        <f t="shared" si="364"/>
        <v>5751</v>
      </c>
      <c r="FU141" s="76">
        <f t="shared" si="365"/>
        <v>4665</v>
      </c>
      <c r="FV141" s="76">
        <f t="shared" si="366"/>
        <v>4643</v>
      </c>
      <c r="FW141" s="76">
        <f t="shared" si="367"/>
        <v>4290</v>
      </c>
      <c r="FX141" s="76">
        <f t="shared" si="368"/>
        <v>2378</v>
      </c>
      <c r="FY141" s="76">
        <f t="shared" si="369"/>
        <v>2636</v>
      </c>
      <c r="FZ141" s="76">
        <f t="shared" si="370"/>
        <v>3152</v>
      </c>
      <c r="GA141" s="76">
        <f t="shared" si="371"/>
        <v>2063</v>
      </c>
      <c r="GB141" s="76">
        <f t="shared" si="372"/>
        <v>2541</v>
      </c>
      <c r="GC141" s="76">
        <f t="shared" si="373"/>
        <v>2832</v>
      </c>
      <c r="GD141" s="76">
        <f t="shared" si="374"/>
        <v>2865</v>
      </c>
      <c r="GE141" s="76">
        <f t="shared" si="375"/>
        <v>2708</v>
      </c>
      <c r="GF141" s="76">
        <f t="shared" si="376"/>
        <v>1801</v>
      </c>
      <c r="GG141" s="76">
        <f t="shared" si="377"/>
        <v>2996</v>
      </c>
      <c r="GH141" s="76">
        <f t="shared" si="378"/>
        <v>2653</v>
      </c>
      <c r="GI141" s="76">
        <f t="shared" si="379"/>
        <v>3926</v>
      </c>
      <c r="GJ141" s="76">
        <f t="shared" si="380"/>
        <v>3282</v>
      </c>
      <c r="GK141" s="76">
        <f t="shared" si="381"/>
        <v>4337</v>
      </c>
      <c r="GL141" s="76">
        <f t="shared" si="382"/>
        <v>4258</v>
      </c>
      <c r="GM141" s="76">
        <f t="shared" si="383"/>
        <v>4916</v>
      </c>
      <c r="GN141" s="76">
        <f t="shared" si="384"/>
        <v>3571</v>
      </c>
      <c r="GO141" s="76">
        <f t="shared" si="385"/>
        <v>4706</v>
      </c>
      <c r="GP141" s="76">
        <f t="shared" si="386"/>
        <v>3195</v>
      </c>
      <c r="GQ141" s="76">
        <f t="shared" si="387"/>
        <v>1529</v>
      </c>
      <c r="GR141" s="76">
        <f t="shared" si="388"/>
        <v>1324</v>
      </c>
      <c r="GS141" s="76">
        <f t="shared" si="389"/>
        <v>631</v>
      </c>
      <c r="GT141" s="76">
        <f t="shared" si="390"/>
        <v>238</v>
      </c>
      <c r="GU141" s="76">
        <f t="shared" si="391"/>
        <v>558</v>
      </c>
      <c r="GV141" s="76">
        <f t="shared" si="392"/>
        <v>676</v>
      </c>
      <c r="GW141" s="76">
        <f t="shared" si="393"/>
        <v>204</v>
      </c>
      <c r="GX141" s="76">
        <f t="shared" si="394"/>
        <v>631</v>
      </c>
      <c r="GY141" s="76">
        <f t="shared" si="395"/>
        <v>706</v>
      </c>
      <c r="GZ141" s="76">
        <f t="shared" si="396"/>
        <v>396</v>
      </c>
      <c r="HA141" s="76">
        <f t="shared" si="397"/>
        <v>421</v>
      </c>
      <c r="HB141" s="76">
        <f t="shared" si="398"/>
        <v>851</v>
      </c>
      <c r="HC141" s="76">
        <f t="shared" si="399"/>
        <v>634</v>
      </c>
      <c r="HD141" s="76">
        <f t="shared" si="400"/>
        <v>310</v>
      </c>
      <c r="HE141" s="76">
        <f>+SUM(EA141:EC141)</f>
        <v>283</v>
      </c>
      <c r="HF141" s="76">
        <f>+SUM(ED141:EF141)</f>
        <v>10</v>
      </c>
      <c r="HG141" s="76">
        <f>+SUM(EG141:EI141)</f>
        <v>0</v>
      </c>
      <c r="HH141" s="76">
        <f>+SUM(EJ141:EL141)</f>
        <v>3</v>
      </c>
      <c r="HI141" s="76">
        <f>+SUM(EM141:EO141)</f>
        <v>0</v>
      </c>
      <c r="HJ141" s="215">
        <f t="shared" si="401"/>
        <v>0</v>
      </c>
      <c r="HK141" s="215">
        <f t="shared" si="402"/>
        <v>0</v>
      </c>
      <c r="HL141" s="215">
        <f t="shared" si="403"/>
        <v>0</v>
      </c>
      <c r="HM141" s="215">
        <f t="shared" si="404"/>
        <v>0</v>
      </c>
      <c r="HN141" s="215">
        <f t="shared" si="405"/>
        <v>0</v>
      </c>
      <c r="HO141" s="215">
        <f t="shared" si="406"/>
        <v>0</v>
      </c>
      <c r="HP141" s="215">
        <f t="shared" si="407"/>
        <v>0</v>
      </c>
      <c r="HQ141" s="77"/>
      <c r="HR141" s="43"/>
      <c r="HS141" s="43"/>
      <c r="HT141" s="43"/>
      <c r="HU141" s="211">
        <f>SUM(B141:M141)</f>
        <v>31437</v>
      </c>
      <c r="HV141" s="211">
        <f>SUM(N141:Y141)</f>
        <v>25189</v>
      </c>
      <c r="HW141" s="211">
        <f>SUM(Z141:AK141)</f>
        <v>13947</v>
      </c>
      <c r="HX141" s="212">
        <f>SUM(AL141:AW141)</f>
        <v>10588</v>
      </c>
      <c r="HY141" s="58">
        <f>SUM(AX141:BI141)</f>
        <v>10370</v>
      </c>
      <c r="HZ141" s="58">
        <f>SUM(BJ141:BU141)</f>
        <v>14198</v>
      </c>
      <c r="IA141" s="58">
        <f>SUM(BV141:CG141)</f>
        <v>17451</v>
      </c>
      <c r="IB141" s="64">
        <f>SUM(CH141:CS141)</f>
        <v>6679</v>
      </c>
      <c r="IC141" s="64">
        <f>SUM(CT141:DE141)</f>
        <v>1676</v>
      </c>
      <c r="ID141" s="64">
        <f>SUM(DF141:DQ141)</f>
        <v>2154</v>
      </c>
      <c r="IE141" s="64">
        <f>SUM(DR141:EC141)</f>
        <v>2078</v>
      </c>
      <c r="IF141" s="64">
        <f>SUM(ED141:EO141)</f>
        <v>13</v>
      </c>
      <c r="IG141" s="64">
        <f>SUM(EP141:FA141)</f>
        <v>0</v>
      </c>
    </row>
    <row r="142" spans="1:241" outlineLevel="2" x14ac:dyDescent="0.3">
      <c r="A142" s="63" t="s">
        <v>152</v>
      </c>
      <c r="B142" s="58">
        <v>11723</v>
      </c>
      <c r="C142" s="58">
        <v>9435</v>
      </c>
      <c r="D142" s="58">
        <v>6916</v>
      </c>
      <c r="E142" s="58">
        <v>6879</v>
      </c>
      <c r="F142" s="58">
        <v>11593</v>
      </c>
      <c r="G142" s="58">
        <v>12620</v>
      </c>
      <c r="H142" s="58">
        <v>8791</v>
      </c>
      <c r="I142" s="58">
        <v>8650</v>
      </c>
      <c r="J142" s="58">
        <v>7897</v>
      </c>
      <c r="K142" s="58">
        <v>8374</v>
      </c>
      <c r="L142" s="58">
        <v>8133</v>
      </c>
      <c r="M142" s="58">
        <v>9506</v>
      </c>
      <c r="N142" s="58">
        <v>8696</v>
      </c>
      <c r="O142" s="58">
        <v>7172</v>
      </c>
      <c r="P142" s="58">
        <v>6833</v>
      </c>
      <c r="Q142" s="58">
        <v>7543</v>
      </c>
      <c r="R142" s="58">
        <v>7956</v>
      </c>
      <c r="S142" s="58">
        <v>8767</v>
      </c>
      <c r="T142" s="58">
        <v>9786</v>
      </c>
      <c r="U142" s="58">
        <v>8021</v>
      </c>
      <c r="V142" s="58">
        <v>8312</v>
      </c>
      <c r="W142" s="58">
        <v>9345</v>
      </c>
      <c r="X142" s="58">
        <v>9932</v>
      </c>
      <c r="Y142" s="58">
        <v>9752</v>
      </c>
      <c r="Z142" s="58">
        <v>8322</v>
      </c>
      <c r="AA142" s="58">
        <v>10771</v>
      </c>
      <c r="AB142" s="58">
        <v>9738</v>
      </c>
      <c r="AC142" s="58">
        <v>11680</v>
      </c>
      <c r="AD142" s="58">
        <v>9990</v>
      </c>
      <c r="AE142" s="58">
        <v>11863</v>
      </c>
      <c r="AF142" s="58">
        <v>10453</v>
      </c>
      <c r="AG142" s="58">
        <v>12203</v>
      </c>
      <c r="AH142" s="58">
        <v>10771</v>
      </c>
      <c r="AI142" s="58">
        <v>10113</v>
      </c>
      <c r="AJ142" s="58">
        <v>11301</v>
      </c>
      <c r="AK142" s="58">
        <v>11768</v>
      </c>
      <c r="AL142" s="58">
        <v>12069</v>
      </c>
      <c r="AM142" s="58">
        <v>11602</v>
      </c>
      <c r="AN142" s="58">
        <v>10465</v>
      </c>
      <c r="AO142" s="58">
        <v>11887</v>
      </c>
      <c r="AP142" s="58">
        <v>12491</v>
      </c>
      <c r="AQ142" s="58">
        <v>11836</v>
      </c>
      <c r="AR142" s="58">
        <v>13677</v>
      </c>
      <c r="AS142" s="58">
        <v>12432</v>
      </c>
      <c r="AT142" s="58">
        <v>11122</v>
      </c>
      <c r="AU142" s="58">
        <v>10512</v>
      </c>
      <c r="AV142" s="58">
        <v>12482</v>
      </c>
      <c r="AW142" s="58">
        <v>12896</v>
      </c>
      <c r="AX142" s="58">
        <v>14520</v>
      </c>
      <c r="AY142" s="58">
        <v>12164</v>
      </c>
      <c r="AZ142" s="58">
        <v>9874</v>
      </c>
      <c r="BA142" s="58">
        <v>14748</v>
      </c>
      <c r="BB142" s="58">
        <v>12831</v>
      </c>
      <c r="BC142" s="58">
        <v>13618</v>
      </c>
      <c r="BD142" s="58">
        <v>12790</v>
      </c>
      <c r="BE142" s="58">
        <v>12238</v>
      </c>
      <c r="BF142" s="58">
        <v>9224</v>
      </c>
      <c r="BG142" s="58">
        <v>14179</v>
      </c>
      <c r="BH142" s="58">
        <v>14195</v>
      </c>
      <c r="BI142" s="58">
        <v>11628</v>
      </c>
      <c r="BJ142" s="58">
        <v>13938</v>
      </c>
      <c r="BK142" s="208">
        <v>12593</v>
      </c>
      <c r="BL142" s="208">
        <v>9208</v>
      </c>
      <c r="BM142" s="208">
        <v>15714</v>
      </c>
      <c r="BN142" s="208">
        <v>13931</v>
      </c>
      <c r="BO142" s="208">
        <v>13735</v>
      </c>
      <c r="BP142" s="208">
        <v>12669</v>
      </c>
      <c r="BQ142" s="208">
        <v>13565</v>
      </c>
      <c r="BR142" s="208">
        <v>11420</v>
      </c>
      <c r="BS142" s="208">
        <v>12250</v>
      </c>
      <c r="BT142" s="208">
        <v>12425</v>
      </c>
      <c r="BU142" s="208">
        <v>13689</v>
      </c>
      <c r="BV142" s="208">
        <v>15886</v>
      </c>
      <c r="BW142" s="208">
        <v>16717</v>
      </c>
      <c r="BX142" s="208">
        <v>12185</v>
      </c>
      <c r="BY142" s="208">
        <v>15791</v>
      </c>
      <c r="BZ142" s="208">
        <v>13663</v>
      </c>
      <c r="CA142" s="208">
        <v>14645</v>
      </c>
      <c r="CB142" s="208">
        <v>13668</v>
      </c>
      <c r="CC142" s="208">
        <v>14053</v>
      </c>
      <c r="CD142" s="208">
        <v>15850</v>
      </c>
      <c r="CE142" s="208">
        <v>15145</v>
      </c>
      <c r="CF142" s="208">
        <v>14565</v>
      </c>
      <c r="CG142" s="208">
        <v>16438</v>
      </c>
      <c r="CH142" s="208">
        <v>11649</v>
      </c>
      <c r="CI142" s="208">
        <v>11745</v>
      </c>
      <c r="CJ142" s="208">
        <v>9265</v>
      </c>
      <c r="CK142" s="208">
        <v>9814</v>
      </c>
      <c r="CL142" s="208">
        <v>8658</v>
      </c>
      <c r="CM142" s="208">
        <v>9949</v>
      </c>
      <c r="CN142" s="208">
        <v>10011</v>
      </c>
      <c r="CO142" s="208">
        <v>10162</v>
      </c>
      <c r="CP142" s="208">
        <v>7634</v>
      </c>
      <c r="CQ142" s="208">
        <v>12324</v>
      </c>
      <c r="CR142" s="208">
        <v>11227</v>
      </c>
      <c r="CS142" s="149">
        <v>5966</v>
      </c>
      <c r="CT142" s="149"/>
      <c r="CU142" s="149">
        <v>1617</v>
      </c>
      <c r="CV142" s="149">
        <v>3803</v>
      </c>
      <c r="CW142" s="149">
        <v>8501</v>
      </c>
      <c r="CX142" s="149">
        <v>9115</v>
      </c>
      <c r="CY142" s="149">
        <v>11220</v>
      </c>
      <c r="CZ142" s="149">
        <v>13309</v>
      </c>
      <c r="DA142" s="149">
        <v>11183</v>
      </c>
      <c r="DB142" s="149">
        <v>11215</v>
      </c>
      <c r="DC142" s="149">
        <v>11680</v>
      </c>
      <c r="DD142" s="149">
        <v>11891</v>
      </c>
      <c r="DE142" s="149">
        <v>11547</v>
      </c>
      <c r="DF142" s="149">
        <v>11469</v>
      </c>
      <c r="DG142" s="149">
        <v>1096</v>
      </c>
      <c r="DH142" s="149">
        <v>9218</v>
      </c>
      <c r="DI142" s="149">
        <v>10057</v>
      </c>
      <c r="DJ142" s="149">
        <v>10666</v>
      </c>
      <c r="DK142" s="149">
        <v>7844</v>
      </c>
      <c r="DL142" s="149">
        <v>10320</v>
      </c>
      <c r="DM142" s="149">
        <v>9571</v>
      </c>
      <c r="DN142" s="149">
        <v>9165</v>
      </c>
      <c r="DO142" s="149">
        <v>10528</v>
      </c>
      <c r="DP142" s="149">
        <v>9190</v>
      </c>
      <c r="DQ142" s="149">
        <v>9221</v>
      </c>
      <c r="DR142" s="149">
        <v>11154</v>
      </c>
      <c r="DS142" s="149">
        <v>10482</v>
      </c>
      <c r="DT142" s="149">
        <v>10130</v>
      </c>
      <c r="DU142" s="149">
        <v>13048</v>
      </c>
      <c r="DV142" s="149">
        <v>11999</v>
      </c>
      <c r="DW142" s="149">
        <v>12697</v>
      </c>
      <c r="DX142" s="149">
        <v>8861</v>
      </c>
      <c r="DY142" s="149">
        <v>7183</v>
      </c>
      <c r="DZ142" s="149">
        <v>10581</v>
      </c>
      <c r="EA142" s="149">
        <v>11709</v>
      </c>
      <c r="EB142" s="149">
        <v>11352</v>
      </c>
      <c r="EC142" s="149">
        <v>11995</v>
      </c>
      <c r="ED142" s="149">
        <v>10504</v>
      </c>
      <c r="EE142" s="149">
        <v>12818</v>
      </c>
      <c r="EF142" s="149">
        <v>9354</v>
      </c>
      <c r="EG142" s="149">
        <v>12037</v>
      </c>
      <c r="EH142" s="149">
        <v>11859</v>
      </c>
      <c r="EI142" s="149">
        <v>11147</v>
      </c>
      <c r="EJ142" s="149">
        <v>12975</v>
      </c>
      <c r="EK142" s="149">
        <v>10226</v>
      </c>
      <c r="EL142" s="149">
        <v>10034</v>
      </c>
      <c r="EM142" s="149">
        <v>12019</v>
      </c>
      <c r="EN142" s="149">
        <v>12147</v>
      </c>
      <c r="EO142" s="149">
        <v>12019</v>
      </c>
      <c r="EP142" s="149">
        <v>12060</v>
      </c>
      <c r="EQ142" s="149">
        <v>10960</v>
      </c>
      <c r="ER142" s="149">
        <v>10771</v>
      </c>
      <c r="ES142" s="149">
        <v>11916</v>
      </c>
      <c r="ET142" s="149">
        <v>10985</v>
      </c>
      <c r="EU142" s="149">
        <v>11908</v>
      </c>
      <c r="EV142" s="149">
        <v>11653</v>
      </c>
      <c r="EW142" s="149">
        <v>10589</v>
      </c>
      <c r="EX142" s="237">
        <v>11678</v>
      </c>
      <c r="EY142" s="149">
        <v>11250</v>
      </c>
      <c r="EZ142" s="149">
        <v>11493</v>
      </c>
      <c r="FA142" s="149">
        <v>10409</v>
      </c>
      <c r="FB142" s="149">
        <v>11438</v>
      </c>
      <c r="FC142" s="149">
        <v>12327</v>
      </c>
      <c r="FD142" s="149">
        <v>9340</v>
      </c>
      <c r="FE142" s="149">
        <v>12341</v>
      </c>
      <c r="FF142" s="149">
        <v>10785</v>
      </c>
      <c r="FG142" s="149">
        <v>10035</v>
      </c>
      <c r="FH142" s="149">
        <v>13537</v>
      </c>
      <c r="FI142" s="149">
        <v>13200</v>
      </c>
      <c r="FJ142" s="149">
        <v>11899</v>
      </c>
      <c r="FK142" s="43"/>
      <c r="FL142" s="43"/>
      <c r="FM142" s="43"/>
      <c r="FN142" s="66">
        <f t="shared" si="358"/>
        <v>28074</v>
      </c>
      <c r="FO142" s="67">
        <f t="shared" si="359"/>
        <v>31092</v>
      </c>
      <c r="FP142" s="67">
        <f t="shared" si="360"/>
        <v>25338</v>
      </c>
      <c r="FQ142" s="67">
        <f t="shared" si="361"/>
        <v>26013</v>
      </c>
      <c r="FR142" s="67">
        <f t="shared" si="362"/>
        <v>22701</v>
      </c>
      <c r="FS142" s="67">
        <f t="shared" si="363"/>
        <v>24266</v>
      </c>
      <c r="FT142" s="67">
        <f t="shared" si="364"/>
        <v>26119</v>
      </c>
      <c r="FU142" s="67">
        <f t="shared" si="365"/>
        <v>29029</v>
      </c>
      <c r="FV142" s="67">
        <f t="shared" si="366"/>
        <v>28831</v>
      </c>
      <c r="FW142" s="67">
        <f t="shared" si="367"/>
        <v>33533</v>
      </c>
      <c r="FX142" s="67">
        <f t="shared" si="368"/>
        <v>33427</v>
      </c>
      <c r="FY142" s="67">
        <f t="shared" si="369"/>
        <v>33182</v>
      </c>
      <c r="FZ142" s="67">
        <f t="shared" si="370"/>
        <v>34136</v>
      </c>
      <c r="GA142" s="67">
        <f t="shared" si="371"/>
        <v>36214</v>
      </c>
      <c r="GB142" s="67">
        <f t="shared" si="372"/>
        <v>37231</v>
      </c>
      <c r="GC142" s="67">
        <f t="shared" si="373"/>
        <v>35890</v>
      </c>
      <c r="GD142" s="67">
        <f t="shared" si="374"/>
        <v>36558</v>
      </c>
      <c r="GE142" s="67">
        <f t="shared" si="375"/>
        <v>41197</v>
      </c>
      <c r="GF142" s="67">
        <f t="shared" si="376"/>
        <v>34252</v>
      </c>
      <c r="GG142" s="67">
        <f t="shared" si="377"/>
        <v>40002</v>
      </c>
      <c r="GH142" s="67">
        <f t="shared" si="378"/>
        <v>35739</v>
      </c>
      <c r="GI142" s="67">
        <f t="shared" si="379"/>
        <v>43380</v>
      </c>
      <c r="GJ142" s="67">
        <f t="shared" si="380"/>
        <v>37654</v>
      </c>
      <c r="GK142" s="67">
        <f t="shared" si="381"/>
        <v>38364</v>
      </c>
      <c r="GL142" s="67">
        <f t="shared" si="382"/>
        <v>44788</v>
      </c>
      <c r="GM142" s="67">
        <f t="shared" si="383"/>
        <v>44099</v>
      </c>
      <c r="GN142" s="67">
        <f t="shared" si="384"/>
        <v>43571</v>
      </c>
      <c r="GO142" s="67">
        <f t="shared" si="385"/>
        <v>46148</v>
      </c>
      <c r="GP142" s="67">
        <f t="shared" si="386"/>
        <v>32659</v>
      </c>
      <c r="GQ142" s="67">
        <f t="shared" si="387"/>
        <v>28421</v>
      </c>
      <c r="GR142" s="67">
        <f t="shared" si="388"/>
        <v>27807</v>
      </c>
      <c r="GS142" s="67">
        <f t="shared" si="389"/>
        <v>29517</v>
      </c>
      <c r="GT142" s="67">
        <f t="shared" si="390"/>
        <v>5420</v>
      </c>
      <c r="GU142" s="67">
        <f t="shared" si="391"/>
        <v>28836</v>
      </c>
      <c r="GV142" s="67">
        <f t="shared" si="392"/>
        <v>35707</v>
      </c>
      <c r="GW142" s="67">
        <f t="shared" si="393"/>
        <v>35118</v>
      </c>
      <c r="GX142" s="67">
        <f t="shared" si="394"/>
        <v>21783</v>
      </c>
      <c r="GY142" s="67">
        <f t="shared" si="395"/>
        <v>28567</v>
      </c>
      <c r="GZ142" s="67">
        <f t="shared" si="396"/>
        <v>29056</v>
      </c>
      <c r="HA142" s="67">
        <f t="shared" si="397"/>
        <v>28939</v>
      </c>
      <c r="HB142" s="67">
        <f t="shared" si="398"/>
        <v>31766</v>
      </c>
      <c r="HC142" s="67">
        <f t="shared" si="399"/>
        <v>37744</v>
      </c>
      <c r="HD142" s="67">
        <f t="shared" si="400"/>
        <v>26625</v>
      </c>
      <c r="HE142" s="67">
        <f>+SUM(EA142:EC142)</f>
        <v>35056</v>
      </c>
      <c r="HF142" s="67">
        <f>+SUM(ED142:EF142)</f>
        <v>32676</v>
      </c>
      <c r="HG142" s="67">
        <f>+SUM(EG142:EI142)</f>
        <v>35043</v>
      </c>
      <c r="HH142" s="67">
        <f>+SUM(EJ142:EL142)</f>
        <v>33235</v>
      </c>
      <c r="HI142" s="67">
        <f>+SUM(EM142:EO142)</f>
        <v>36185</v>
      </c>
      <c r="HJ142" s="210">
        <f t="shared" si="401"/>
        <v>33791</v>
      </c>
      <c r="HK142" s="210">
        <f t="shared" si="402"/>
        <v>34809</v>
      </c>
      <c r="HL142" s="210">
        <f t="shared" si="403"/>
        <v>33920</v>
      </c>
      <c r="HM142" s="210">
        <f t="shared" si="404"/>
        <v>33152</v>
      </c>
      <c r="HN142" s="210">
        <f t="shared" si="405"/>
        <v>33105</v>
      </c>
      <c r="HO142" s="210">
        <f t="shared" si="406"/>
        <v>33161</v>
      </c>
      <c r="HP142" s="210">
        <f t="shared" si="407"/>
        <v>38636</v>
      </c>
      <c r="HQ142" s="60"/>
      <c r="HR142" s="43"/>
      <c r="HS142" s="43"/>
      <c r="HT142" s="43"/>
      <c r="HU142" s="216">
        <f>SUM(B142:M142)</f>
        <v>110517</v>
      </c>
      <c r="HV142" s="216">
        <f>SUM(N142:Y142)</f>
        <v>102115</v>
      </c>
      <c r="HW142" s="216">
        <f>SUM(Z142:AK142)</f>
        <v>128973</v>
      </c>
      <c r="HX142" s="217">
        <f>SUM(AL142:AW142)</f>
        <v>143471</v>
      </c>
      <c r="HY142" s="72">
        <f>SUM(AX142:BI142)</f>
        <v>152009</v>
      </c>
      <c r="HZ142" s="72">
        <f>SUM(BJ142:BU142)</f>
        <v>155137</v>
      </c>
      <c r="IA142" s="72">
        <f>SUM(BV142:CG142)</f>
        <v>178606</v>
      </c>
      <c r="IB142" s="74">
        <f>SUM(CH142:CS142)</f>
        <v>118404</v>
      </c>
      <c r="IC142" s="74">
        <f>SUM(CT142:DE142)</f>
        <v>105081</v>
      </c>
      <c r="ID142" s="74">
        <f>SUM(DF142:DQ142)</f>
        <v>108345</v>
      </c>
      <c r="IE142" s="74">
        <f>SUM(DR142:EC142)</f>
        <v>131191</v>
      </c>
      <c r="IF142" s="74">
        <f>SUM(ED142:EO142)</f>
        <v>137139</v>
      </c>
      <c r="IG142" s="74">
        <f>SUM(EP142:FA142)</f>
        <v>135672</v>
      </c>
    </row>
    <row r="143" spans="1:241" outlineLevel="2" x14ac:dyDescent="0.3">
      <c r="A143" s="71" t="s">
        <v>157</v>
      </c>
      <c r="B143" s="72">
        <v>5480</v>
      </c>
      <c r="C143" s="72">
        <v>5508</v>
      </c>
      <c r="D143" s="72">
        <v>5602</v>
      </c>
      <c r="E143" s="72">
        <v>6749</v>
      </c>
      <c r="F143" s="72">
        <v>7061</v>
      </c>
      <c r="G143" s="72">
        <v>7904</v>
      </c>
      <c r="H143" s="72">
        <v>9037</v>
      </c>
      <c r="I143" s="72">
        <v>8657</v>
      </c>
      <c r="J143" s="72">
        <v>10582</v>
      </c>
      <c r="K143" s="72">
        <v>8843</v>
      </c>
      <c r="L143" s="72">
        <v>9563</v>
      </c>
      <c r="M143" s="72">
        <v>10347</v>
      </c>
      <c r="N143" s="72">
        <v>5979</v>
      </c>
      <c r="O143" s="72">
        <v>6205</v>
      </c>
      <c r="P143" s="72">
        <v>6539</v>
      </c>
      <c r="Q143" s="72">
        <v>7837</v>
      </c>
      <c r="R143" s="72">
        <v>6911</v>
      </c>
      <c r="S143" s="72">
        <v>6608</v>
      </c>
      <c r="T143" s="72">
        <v>6695</v>
      </c>
      <c r="U143" s="72">
        <v>4484</v>
      </c>
      <c r="V143" s="72">
        <v>3549</v>
      </c>
      <c r="W143" s="72">
        <v>2954</v>
      </c>
      <c r="X143" s="72">
        <v>2184</v>
      </c>
      <c r="Y143" s="72">
        <v>3580</v>
      </c>
      <c r="Z143" s="72">
        <v>2702</v>
      </c>
      <c r="AA143" s="72">
        <v>2953</v>
      </c>
      <c r="AB143" s="72">
        <v>3154</v>
      </c>
      <c r="AC143" s="72">
        <v>3075</v>
      </c>
      <c r="AD143" s="72">
        <v>2485</v>
      </c>
      <c r="AE143" s="72">
        <v>2571</v>
      </c>
      <c r="AF143" s="72">
        <v>2196</v>
      </c>
      <c r="AG143" s="72">
        <v>1864</v>
      </c>
      <c r="AH143" s="72">
        <v>1586</v>
      </c>
      <c r="AI143" s="72">
        <v>1755</v>
      </c>
      <c r="AJ143" s="72">
        <v>1878</v>
      </c>
      <c r="AK143" s="72">
        <v>2252</v>
      </c>
      <c r="AL143" s="72">
        <v>1656</v>
      </c>
      <c r="AM143" s="72">
        <v>1818</v>
      </c>
      <c r="AN143" s="72">
        <v>2144</v>
      </c>
      <c r="AO143" s="72">
        <v>2317</v>
      </c>
      <c r="AP143" s="72">
        <v>1693</v>
      </c>
      <c r="AQ143" s="72">
        <v>1756</v>
      </c>
      <c r="AR143" s="72">
        <v>1590</v>
      </c>
      <c r="AS143" s="72">
        <v>1486</v>
      </c>
      <c r="AT143" s="72">
        <v>1591</v>
      </c>
      <c r="AU143" s="72">
        <v>2316</v>
      </c>
      <c r="AV143" s="72">
        <v>2225</v>
      </c>
      <c r="AW143" s="72">
        <v>2882</v>
      </c>
      <c r="AX143" s="72">
        <v>1771</v>
      </c>
      <c r="AY143" s="72">
        <v>882</v>
      </c>
      <c r="AZ143" s="72">
        <v>2491</v>
      </c>
      <c r="BA143" s="72">
        <v>2209</v>
      </c>
      <c r="BB143" s="72">
        <v>1578</v>
      </c>
      <c r="BC143" s="72">
        <v>1750</v>
      </c>
      <c r="BD143" s="72">
        <v>1431</v>
      </c>
      <c r="BE143" s="72">
        <v>897</v>
      </c>
      <c r="BF143" s="72">
        <v>1185</v>
      </c>
      <c r="BG143" s="72">
        <v>1814</v>
      </c>
      <c r="BH143" s="72">
        <v>1685</v>
      </c>
      <c r="BI143" s="72">
        <v>1660</v>
      </c>
      <c r="BJ143" s="72">
        <v>1239</v>
      </c>
      <c r="BK143" s="214">
        <v>1644</v>
      </c>
      <c r="BL143" s="214">
        <v>1972</v>
      </c>
      <c r="BM143" s="214">
        <v>1860</v>
      </c>
      <c r="BN143" s="214">
        <v>1921</v>
      </c>
      <c r="BO143" s="214">
        <v>2048</v>
      </c>
      <c r="BP143" s="214">
        <v>1839</v>
      </c>
      <c r="BQ143" s="214">
        <v>1675</v>
      </c>
      <c r="BR143" s="214">
        <v>1909</v>
      </c>
      <c r="BS143" s="214">
        <v>1817</v>
      </c>
      <c r="BT143" s="214">
        <v>2251</v>
      </c>
      <c r="BU143" s="214">
        <v>2704</v>
      </c>
      <c r="BV143" s="214">
        <v>1922</v>
      </c>
      <c r="BW143" s="214">
        <v>1713</v>
      </c>
      <c r="BX143" s="214">
        <v>2397</v>
      </c>
      <c r="BY143" s="214">
        <v>2331</v>
      </c>
      <c r="BZ143" s="214">
        <v>1903</v>
      </c>
      <c r="CA143" s="214">
        <v>2062</v>
      </c>
      <c r="CB143" s="214">
        <v>1249</v>
      </c>
      <c r="CC143" s="214">
        <v>1244</v>
      </c>
      <c r="CD143" s="214">
        <v>1135</v>
      </c>
      <c r="CE143" s="214">
        <v>1354</v>
      </c>
      <c r="CF143" s="214">
        <v>1516</v>
      </c>
      <c r="CG143" s="214">
        <v>2543</v>
      </c>
      <c r="CH143" s="214">
        <v>694</v>
      </c>
      <c r="CI143" s="214">
        <v>1537</v>
      </c>
      <c r="CJ143" s="214">
        <v>2858</v>
      </c>
      <c r="CK143" s="214">
        <v>184</v>
      </c>
      <c r="CL143" s="214">
        <v>74</v>
      </c>
      <c r="CM143" s="214">
        <v>96</v>
      </c>
      <c r="CN143" s="214">
        <v>121</v>
      </c>
      <c r="CO143" s="214">
        <v>173</v>
      </c>
      <c r="CP143" s="214">
        <v>364</v>
      </c>
      <c r="CQ143" s="214">
        <v>429</v>
      </c>
      <c r="CR143" s="214">
        <v>473</v>
      </c>
      <c r="CS143" s="164">
        <v>38</v>
      </c>
      <c r="CT143" s="164"/>
      <c r="CU143" s="164"/>
      <c r="CV143" s="164"/>
      <c r="CW143" s="164"/>
      <c r="CX143" s="164"/>
      <c r="CY143" s="164"/>
      <c r="CZ143" s="164"/>
      <c r="DA143" s="164"/>
      <c r="DB143" s="164">
        <v>1231</v>
      </c>
      <c r="DC143" s="164"/>
      <c r="DD143" s="164">
        <v>0</v>
      </c>
      <c r="DE143" s="164">
        <v>853</v>
      </c>
      <c r="DF143" s="164">
        <v>0</v>
      </c>
      <c r="DG143" s="164"/>
      <c r="DH143" s="164"/>
      <c r="DI143" s="164"/>
      <c r="DJ143" s="164"/>
      <c r="DK143" s="164"/>
      <c r="DL143" s="164"/>
      <c r="DM143" s="164"/>
      <c r="DN143" s="164"/>
      <c r="DO143" s="164"/>
      <c r="DP143" s="164"/>
      <c r="DQ143" s="164"/>
      <c r="DR143" s="164"/>
      <c r="DS143" s="164"/>
      <c r="DT143" s="164"/>
      <c r="DU143" s="164"/>
      <c r="DV143" s="164"/>
      <c r="DW143" s="164"/>
      <c r="DX143" s="164"/>
      <c r="DY143" s="164"/>
      <c r="DZ143" s="164"/>
      <c r="EA143" s="164"/>
      <c r="EB143" s="164"/>
      <c r="EC143" s="164"/>
      <c r="ED143" s="164"/>
      <c r="EE143" s="164"/>
      <c r="EF143" s="164"/>
      <c r="EG143" s="164"/>
      <c r="EH143" s="164"/>
      <c r="EI143" s="164"/>
      <c r="EJ143" s="164"/>
      <c r="EK143" s="164"/>
      <c r="EL143" s="164"/>
      <c r="EM143" s="164"/>
      <c r="EN143" s="164"/>
      <c r="EO143" s="164"/>
      <c r="EP143" s="164"/>
      <c r="EQ143" s="164"/>
      <c r="ER143" s="164"/>
      <c r="ES143" s="164"/>
      <c r="ET143" s="164"/>
      <c r="EU143" s="164"/>
      <c r="EV143" s="164"/>
      <c r="EW143" s="164"/>
      <c r="EX143" s="164"/>
      <c r="EY143" s="164"/>
      <c r="EZ143" s="164"/>
      <c r="FA143" s="164"/>
      <c r="FB143" s="164"/>
      <c r="FC143" s="164"/>
      <c r="FD143" s="164"/>
      <c r="FE143" s="164"/>
      <c r="FF143" s="164"/>
      <c r="FG143" s="164"/>
      <c r="FH143" s="164"/>
      <c r="FI143" s="164"/>
      <c r="FJ143" s="164"/>
      <c r="FK143" s="43"/>
      <c r="FL143" s="43"/>
      <c r="FM143" s="43"/>
      <c r="FN143" s="75">
        <f t="shared" si="358"/>
        <v>16590</v>
      </c>
      <c r="FO143" s="76">
        <f t="shared" si="359"/>
        <v>21714</v>
      </c>
      <c r="FP143" s="76">
        <f t="shared" si="360"/>
        <v>28276</v>
      </c>
      <c r="FQ143" s="76">
        <f t="shared" si="361"/>
        <v>28753</v>
      </c>
      <c r="FR143" s="76">
        <f t="shared" si="362"/>
        <v>18723</v>
      </c>
      <c r="FS143" s="76">
        <f t="shared" si="363"/>
        <v>21356</v>
      </c>
      <c r="FT143" s="76">
        <f t="shared" si="364"/>
        <v>14728</v>
      </c>
      <c r="FU143" s="76">
        <f t="shared" si="365"/>
        <v>8718</v>
      </c>
      <c r="FV143" s="76">
        <f t="shared" si="366"/>
        <v>8809</v>
      </c>
      <c r="FW143" s="76">
        <f t="shared" si="367"/>
        <v>8131</v>
      </c>
      <c r="FX143" s="76">
        <f t="shared" si="368"/>
        <v>5646</v>
      </c>
      <c r="FY143" s="76">
        <f t="shared" si="369"/>
        <v>5885</v>
      </c>
      <c r="FZ143" s="76">
        <f t="shared" si="370"/>
        <v>5618</v>
      </c>
      <c r="GA143" s="76">
        <f t="shared" si="371"/>
        <v>5766</v>
      </c>
      <c r="GB143" s="76">
        <f t="shared" si="372"/>
        <v>4667</v>
      </c>
      <c r="GC143" s="76">
        <f t="shared" si="373"/>
        <v>7423</v>
      </c>
      <c r="GD143" s="76">
        <f t="shared" si="374"/>
        <v>5144</v>
      </c>
      <c r="GE143" s="76">
        <f t="shared" si="375"/>
        <v>5537</v>
      </c>
      <c r="GF143" s="76">
        <f t="shared" si="376"/>
        <v>3513</v>
      </c>
      <c r="GG143" s="76">
        <f t="shared" si="377"/>
        <v>5159</v>
      </c>
      <c r="GH143" s="76">
        <f t="shared" si="378"/>
        <v>4855</v>
      </c>
      <c r="GI143" s="76">
        <f t="shared" si="379"/>
        <v>5829</v>
      </c>
      <c r="GJ143" s="76">
        <f t="shared" si="380"/>
        <v>5423</v>
      </c>
      <c r="GK143" s="76">
        <f t="shared" si="381"/>
        <v>6772</v>
      </c>
      <c r="GL143" s="76">
        <f t="shared" si="382"/>
        <v>6032</v>
      </c>
      <c r="GM143" s="76">
        <f t="shared" si="383"/>
        <v>6296</v>
      </c>
      <c r="GN143" s="76">
        <f t="shared" si="384"/>
        <v>3628</v>
      </c>
      <c r="GO143" s="76">
        <f t="shared" si="385"/>
        <v>5413</v>
      </c>
      <c r="GP143" s="76">
        <f t="shared" si="386"/>
        <v>5089</v>
      </c>
      <c r="GQ143" s="76">
        <f t="shared" si="387"/>
        <v>354</v>
      </c>
      <c r="GR143" s="76">
        <f t="shared" si="388"/>
        <v>658</v>
      </c>
      <c r="GS143" s="76">
        <f t="shared" si="389"/>
        <v>940</v>
      </c>
      <c r="GT143" s="76">
        <f t="shared" si="390"/>
        <v>0</v>
      </c>
      <c r="GU143" s="76">
        <f t="shared" si="391"/>
        <v>0</v>
      </c>
      <c r="GV143" s="76">
        <f t="shared" si="392"/>
        <v>1231</v>
      </c>
      <c r="GW143" s="76">
        <f t="shared" si="393"/>
        <v>853</v>
      </c>
      <c r="GX143" s="76">
        <f t="shared" si="394"/>
        <v>0</v>
      </c>
      <c r="GY143" s="76">
        <f t="shared" si="395"/>
        <v>0</v>
      </c>
      <c r="GZ143" s="76">
        <f t="shared" si="396"/>
        <v>0</v>
      </c>
      <c r="HA143" s="76">
        <f t="shared" si="397"/>
        <v>0</v>
      </c>
      <c r="HB143" s="76">
        <f t="shared" si="398"/>
        <v>0</v>
      </c>
      <c r="HC143" s="76">
        <f t="shared" si="399"/>
        <v>0</v>
      </c>
      <c r="HD143" s="76">
        <f t="shared" si="400"/>
        <v>0</v>
      </c>
      <c r="HE143" s="76">
        <f>+SUM(EA143:EC143)</f>
        <v>0</v>
      </c>
      <c r="HF143" s="76">
        <f>+SUM(ED143:EF143)</f>
        <v>0</v>
      </c>
      <c r="HG143" s="76">
        <f>+SUM(EG143:EI143)</f>
        <v>0</v>
      </c>
      <c r="HH143" s="76">
        <f>+SUM(EJ143:EL143)</f>
        <v>0</v>
      </c>
      <c r="HI143" s="76">
        <f>+SUM(EM143:EO143)</f>
        <v>0</v>
      </c>
      <c r="HJ143" s="215">
        <f t="shared" si="401"/>
        <v>0</v>
      </c>
      <c r="HK143" s="215">
        <f t="shared" si="402"/>
        <v>0</v>
      </c>
      <c r="HL143" s="215">
        <f t="shared" si="403"/>
        <v>0</v>
      </c>
      <c r="HM143" s="215">
        <f t="shared" si="404"/>
        <v>0</v>
      </c>
      <c r="HN143" s="215">
        <f t="shared" si="405"/>
        <v>0</v>
      </c>
      <c r="HO143" s="215">
        <f t="shared" si="406"/>
        <v>0</v>
      </c>
      <c r="HP143" s="215">
        <f t="shared" si="407"/>
        <v>0</v>
      </c>
      <c r="HQ143" s="77"/>
      <c r="HR143" s="43"/>
      <c r="HS143" s="43"/>
      <c r="HT143" s="43"/>
      <c r="HU143" s="211">
        <f>SUM(B143:M143)</f>
        <v>95333</v>
      </c>
      <c r="HV143" s="211">
        <f>SUM(N143:Y143)</f>
        <v>63525</v>
      </c>
      <c r="HW143" s="211">
        <f>SUM(Z143:AK143)</f>
        <v>28471</v>
      </c>
      <c r="HX143" s="212">
        <f>SUM(AL143:AW143)</f>
        <v>23474</v>
      </c>
      <c r="HY143" s="58">
        <f>SUM(AX143:BI143)</f>
        <v>19353</v>
      </c>
      <c r="HZ143" s="58">
        <f>SUM(BJ143:BU143)</f>
        <v>22879</v>
      </c>
      <c r="IA143" s="58">
        <f>SUM(BV143:CG143)</f>
        <v>21369</v>
      </c>
      <c r="IB143" s="64">
        <f>SUM(CH143:CS143)</f>
        <v>7041</v>
      </c>
      <c r="IC143" s="64">
        <f>SUM(CT143:DE143)</f>
        <v>2084</v>
      </c>
      <c r="ID143" s="64">
        <f>SUM(DF143:DQ143)</f>
        <v>0</v>
      </c>
      <c r="IE143" s="64">
        <f>SUM(DR143:EC143)</f>
        <v>0</v>
      </c>
      <c r="IF143" s="64">
        <f>SUM(ED143:EO143)</f>
        <v>0</v>
      </c>
      <c r="IG143" s="64">
        <f>SUM(EP143:FA143)</f>
        <v>0</v>
      </c>
    </row>
    <row r="144" spans="1:241" outlineLevel="1" x14ac:dyDescent="0.3">
      <c r="A144" s="180" t="s">
        <v>171</v>
      </c>
      <c r="B144" s="87">
        <f t="shared" ref="B144:BM144" si="408">+SUM(B140:B143)</f>
        <v>19675</v>
      </c>
      <c r="C144" s="87">
        <f t="shared" si="408"/>
        <v>17271</v>
      </c>
      <c r="D144" s="87">
        <f t="shared" si="408"/>
        <v>15175</v>
      </c>
      <c r="E144" s="87">
        <f t="shared" si="408"/>
        <v>16595</v>
      </c>
      <c r="F144" s="87">
        <f t="shared" si="408"/>
        <v>21154</v>
      </c>
      <c r="G144" s="87">
        <f t="shared" si="408"/>
        <v>23026</v>
      </c>
      <c r="H144" s="87">
        <f t="shared" si="408"/>
        <v>20981</v>
      </c>
      <c r="I144" s="87">
        <f t="shared" si="408"/>
        <v>20142</v>
      </c>
      <c r="J144" s="87">
        <f t="shared" si="408"/>
        <v>20733</v>
      </c>
      <c r="K144" s="87">
        <f t="shared" si="408"/>
        <v>19996</v>
      </c>
      <c r="L144" s="87">
        <f t="shared" si="408"/>
        <v>20112</v>
      </c>
      <c r="M144" s="87">
        <f t="shared" si="408"/>
        <v>22438</v>
      </c>
      <c r="N144" s="87">
        <f t="shared" si="408"/>
        <v>17034</v>
      </c>
      <c r="O144" s="87">
        <f t="shared" si="408"/>
        <v>15891</v>
      </c>
      <c r="P144" s="87">
        <f t="shared" si="408"/>
        <v>16084</v>
      </c>
      <c r="Q144" s="87">
        <f t="shared" si="408"/>
        <v>18066</v>
      </c>
      <c r="R144" s="87">
        <f t="shared" si="408"/>
        <v>17188</v>
      </c>
      <c r="S144" s="87">
        <f t="shared" si="408"/>
        <v>17571</v>
      </c>
      <c r="T144" s="87">
        <f t="shared" si="408"/>
        <v>18918</v>
      </c>
      <c r="U144" s="87">
        <f t="shared" si="408"/>
        <v>14428</v>
      </c>
      <c r="V144" s="87">
        <f t="shared" si="408"/>
        <v>13252</v>
      </c>
      <c r="W144" s="87">
        <f t="shared" si="408"/>
        <v>13579</v>
      </c>
      <c r="X144" s="87">
        <f t="shared" si="408"/>
        <v>13524</v>
      </c>
      <c r="Y144" s="87">
        <f t="shared" si="408"/>
        <v>15309</v>
      </c>
      <c r="Z144" s="87">
        <f t="shared" si="408"/>
        <v>12428</v>
      </c>
      <c r="AA144" s="87">
        <f t="shared" si="408"/>
        <v>15109</v>
      </c>
      <c r="AB144" s="87">
        <f t="shared" si="408"/>
        <v>14747</v>
      </c>
      <c r="AC144" s="87">
        <f t="shared" si="408"/>
        <v>16617</v>
      </c>
      <c r="AD144" s="87">
        <f t="shared" si="408"/>
        <v>13656</v>
      </c>
      <c r="AE144" s="87">
        <f t="shared" si="408"/>
        <v>15683</v>
      </c>
      <c r="AF144" s="87">
        <f t="shared" si="408"/>
        <v>13650</v>
      </c>
      <c r="AG144" s="87">
        <f t="shared" si="408"/>
        <v>14775</v>
      </c>
      <c r="AH144" s="87">
        <f t="shared" si="408"/>
        <v>13026</v>
      </c>
      <c r="AI144" s="87">
        <f t="shared" si="408"/>
        <v>12638</v>
      </c>
      <c r="AJ144" s="87">
        <f t="shared" si="408"/>
        <v>13893</v>
      </c>
      <c r="AK144" s="87">
        <f t="shared" si="408"/>
        <v>15173</v>
      </c>
      <c r="AL144" s="87">
        <f t="shared" si="408"/>
        <v>14875</v>
      </c>
      <c r="AM144" s="87">
        <f t="shared" si="408"/>
        <v>14344</v>
      </c>
      <c r="AN144" s="87">
        <f t="shared" si="408"/>
        <v>13687</v>
      </c>
      <c r="AO144" s="87">
        <f t="shared" si="408"/>
        <v>15155</v>
      </c>
      <c r="AP144" s="87">
        <f t="shared" si="408"/>
        <v>14775</v>
      </c>
      <c r="AQ144" s="87">
        <f t="shared" si="408"/>
        <v>14113</v>
      </c>
      <c r="AR144" s="87">
        <f t="shared" si="408"/>
        <v>16351</v>
      </c>
      <c r="AS144" s="87">
        <f t="shared" si="408"/>
        <v>14673</v>
      </c>
      <c r="AT144" s="87">
        <f t="shared" si="408"/>
        <v>13415</v>
      </c>
      <c r="AU144" s="87">
        <f t="shared" si="408"/>
        <v>13591</v>
      </c>
      <c r="AV144" s="87">
        <f t="shared" si="408"/>
        <v>15596</v>
      </c>
      <c r="AW144" s="87">
        <f t="shared" si="408"/>
        <v>16960</v>
      </c>
      <c r="AX144" s="87">
        <f t="shared" si="408"/>
        <v>17324</v>
      </c>
      <c r="AY144" s="87">
        <f t="shared" si="408"/>
        <v>13851</v>
      </c>
      <c r="AZ144" s="87">
        <f t="shared" si="408"/>
        <v>13392</v>
      </c>
      <c r="BA144" s="87">
        <f t="shared" si="408"/>
        <v>17976</v>
      </c>
      <c r="BB144" s="87">
        <f t="shared" si="408"/>
        <v>15148</v>
      </c>
      <c r="BC144" s="87">
        <f t="shared" si="408"/>
        <v>16318</v>
      </c>
      <c r="BD144" s="87">
        <f t="shared" si="408"/>
        <v>15097</v>
      </c>
      <c r="BE144" s="87">
        <f t="shared" si="408"/>
        <v>13573</v>
      </c>
      <c r="BF144" s="87">
        <f t="shared" si="408"/>
        <v>10898</v>
      </c>
      <c r="BG144" s="87">
        <f t="shared" si="408"/>
        <v>16533</v>
      </c>
      <c r="BH144" s="87">
        <f t="shared" si="408"/>
        <v>16859</v>
      </c>
      <c r="BI144" s="87">
        <f t="shared" si="408"/>
        <v>14765</v>
      </c>
      <c r="BJ144" s="87">
        <f t="shared" si="408"/>
        <v>16123</v>
      </c>
      <c r="BK144" s="87">
        <f t="shared" si="408"/>
        <v>15167</v>
      </c>
      <c r="BL144" s="87">
        <f t="shared" si="408"/>
        <v>11957</v>
      </c>
      <c r="BM144" s="87">
        <f t="shared" si="408"/>
        <v>19350</v>
      </c>
      <c r="BN144" s="87">
        <f t="shared" ref="BN144:CL144" si="409">+SUM(BN140:BN143)</f>
        <v>16860</v>
      </c>
      <c r="BO144" s="87">
        <f t="shared" si="409"/>
        <v>16925</v>
      </c>
      <c r="BP144" s="87">
        <f t="shared" si="409"/>
        <v>15848</v>
      </c>
      <c r="BQ144" s="87">
        <f t="shared" si="409"/>
        <v>16198</v>
      </c>
      <c r="BR144" s="87">
        <f t="shared" si="409"/>
        <v>14313</v>
      </c>
      <c r="BS144" s="87">
        <f t="shared" si="409"/>
        <v>15363</v>
      </c>
      <c r="BT144" s="87">
        <f t="shared" si="409"/>
        <v>15953</v>
      </c>
      <c r="BU144" s="87">
        <f t="shared" si="409"/>
        <v>18157</v>
      </c>
      <c r="BV144" s="87">
        <f t="shared" si="409"/>
        <v>19185</v>
      </c>
      <c r="BW144" s="87">
        <f t="shared" si="409"/>
        <v>19673</v>
      </c>
      <c r="BX144" s="87">
        <f t="shared" si="409"/>
        <v>16220</v>
      </c>
      <c r="BY144" s="87">
        <f t="shared" si="409"/>
        <v>19889</v>
      </c>
      <c r="BZ144" s="87">
        <f t="shared" si="409"/>
        <v>17266</v>
      </c>
      <c r="CA144" s="87">
        <f t="shared" si="409"/>
        <v>18156</v>
      </c>
      <c r="CB144" s="87">
        <f t="shared" si="409"/>
        <v>16410</v>
      </c>
      <c r="CC144" s="87">
        <f t="shared" si="409"/>
        <v>16333</v>
      </c>
      <c r="CD144" s="87">
        <f t="shared" si="409"/>
        <v>18027</v>
      </c>
      <c r="CE144" s="87">
        <f t="shared" si="409"/>
        <v>17964</v>
      </c>
      <c r="CF144" s="87">
        <f t="shared" si="409"/>
        <v>17667</v>
      </c>
      <c r="CG144" s="87">
        <f t="shared" si="409"/>
        <v>20636</v>
      </c>
      <c r="CH144" s="87">
        <f t="shared" si="409"/>
        <v>13408</v>
      </c>
      <c r="CI144" s="87">
        <f t="shared" si="409"/>
        <v>14348</v>
      </c>
      <c r="CJ144" s="87">
        <f t="shared" si="409"/>
        <v>13187</v>
      </c>
      <c r="CK144" s="87">
        <f t="shared" si="409"/>
        <v>10804</v>
      </c>
      <c r="CL144" s="87">
        <f t="shared" si="409"/>
        <v>9089</v>
      </c>
      <c r="CM144" s="87">
        <v>10411</v>
      </c>
      <c r="CN144" s="87">
        <v>10653</v>
      </c>
      <c r="CO144" s="87">
        <v>10728</v>
      </c>
      <c r="CP144" s="87">
        <v>8408</v>
      </c>
      <c r="CQ144" s="87">
        <v>12992</v>
      </c>
      <c r="CR144" s="87">
        <v>11880</v>
      </c>
      <c r="CS144" s="88">
        <v>6216</v>
      </c>
      <c r="CT144" s="88"/>
      <c r="CU144" s="88">
        <v>1739</v>
      </c>
      <c r="CV144" s="88">
        <v>3919</v>
      </c>
      <c r="CW144" s="88">
        <v>8622</v>
      </c>
      <c r="CX144" s="88">
        <v>9359</v>
      </c>
      <c r="CY144" s="88">
        <v>11413</v>
      </c>
      <c r="CZ144" s="88">
        <v>13612</v>
      </c>
      <c r="DA144" s="88">
        <v>11424</v>
      </c>
      <c r="DB144" s="88">
        <f t="shared" ref="DB144:DC144" si="410">SUM(DB141:DB143)</f>
        <v>12578</v>
      </c>
      <c r="DC144" s="88">
        <f t="shared" si="410"/>
        <v>11816</v>
      </c>
      <c r="DD144" s="88">
        <v>11902</v>
      </c>
      <c r="DE144" s="88">
        <v>12457</v>
      </c>
      <c r="DF144" s="88">
        <v>11568</v>
      </c>
      <c r="DG144" s="88">
        <v>1351</v>
      </c>
      <c r="DH144" s="88">
        <v>9495</v>
      </c>
      <c r="DI144" s="88">
        <v>10305</v>
      </c>
      <c r="DJ144" s="88">
        <v>10853</v>
      </c>
      <c r="DK144" s="88">
        <v>8115</v>
      </c>
      <c r="DL144" s="88">
        <v>10412</v>
      </c>
      <c r="DM144" s="88">
        <v>9629</v>
      </c>
      <c r="DN144" s="88">
        <v>9411</v>
      </c>
      <c r="DO144" s="88">
        <v>10632</v>
      </c>
      <c r="DP144" s="88">
        <v>9290</v>
      </c>
      <c r="DQ144" s="88">
        <v>9438</v>
      </c>
      <c r="DR144" s="88">
        <v>11511</v>
      </c>
      <c r="DS144" s="88">
        <v>10736</v>
      </c>
      <c r="DT144" s="88">
        <v>10370</v>
      </c>
      <c r="DU144" s="88">
        <v>13239</v>
      </c>
      <c r="DV144" s="88">
        <v>12236</v>
      </c>
      <c r="DW144" s="88">
        <v>12903</v>
      </c>
      <c r="DX144" s="88">
        <v>8933</v>
      </c>
      <c r="DY144" s="88">
        <v>7309</v>
      </c>
      <c r="DZ144" s="88">
        <v>10693</v>
      </c>
      <c r="EA144" s="88">
        <v>11834</v>
      </c>
      <c r="EB144" s="88">
        <v>11489</v>
      </c>
      <c r="EC144" s="88">
        <v>12016</v>
      </c>
      <c r="ED144" s="88">
        <v>10508</v>
      </c>
      <c r="EE144" s="88">
        <v>12821</v>
      </c>
      <c r="EF144" s="88">
        <v>9357</v>
      </c>
      <c r="EG144" s="88">
        <v>12037</v>
      </c>
      <c r="EH144" s="88">
        <v>11859</v>
      </c>
      <c r="EI144" s="88">
        <v>11147</v>
      </c>
      <c r="EJ144" s="88">
        <v>12975</v>
      </c>
      <c r="EK144" s="88">
        <v>10226</v>
      </c>
      <c r="EL144" s="88">
        <v>10037</v>
      </c>
      <c r="EM144" s="88">
        <v>12019</v>
      </c>
      <c r="EN144" s="88">
        <v>12147</v>
      </c>
      <c r="EO144" s="88">
        <v>12019</v>
      </c>
      <c r="EP144" s="88">
        <v>12060</v>
      </c>
      <c r="EQ144" s="88">
        <v>10960</v>
      </c>
      <c r="ER144" s="88">
        <v>10771</v>
      </c>
      <c r="ES144" s="88">
        <v>11916</v>
      </c>
      <c r="ET144" s="88">
        <v>10985</v>
      </c>
      <c r="EU144" s="88">
        <v>11908</v>
      </c>
      <c r="EV144" s="88">
        <v>11653</v>
      </c>
      <c r="EW144" s="88">
        <v>10589</v>
      </c>
      <c r="EX144" s="88">
        <v>11678</v>
      </c>
      <c r="EY144" s="88">
        <v>11250</v>
      </c>
      <c r="EZ144" s="88">
        <v>11493</v>
      </c>
      <c r="FA144" s="88">
        <v>10409</v>
      </c>
      <c r="FB144" s="88">
        <v>11438</v>
      </c>
      <c r="FC144" s="88">
        <v>12327</v>
      </c>
      <c r="FD144" s="88">
        <v>9340</v>
      </c>
      <c r="FE144" s="88">
        <v>12341</v>
      </c>
      <c r="FF144" s="88">
        <v>10785</v>
      </c>
      <c r="FG144" s="88">
        <v>10035</v>
      </c>
      <c r="FH144" s="88">
        <v>13537</v>
      </c>
      <c r="FI144" s="88">
        <v>13200</v>
      </c>
      <c r="FJ144" s="88">
        <v>11899</v>
      </c>
      <c r="FK144" s="43"/>
      <c r="FL144" s="43"/>
      <c r="FM144" s="43"/>
      <c r="FN144" s="66">
        <f t="shared" si="358"/>
        <v>52121</v>
      </c>
      <c r="FO144" s="67">
        <f t="shared" si="359"/>
        <v>60775</v>
      </c>
      <c r="FP144" s="67">
        <f t="shared" si="360"/>
        <v>61856</v>
      </c>
      <c r="FQ144" s="67">
        <f t="shared" si="361"/>
        <v>62546</v>
      </c>
      <c r="FR144" s="67">
        <f t="shared" si="362"/>
        <v>49009</v>
      </c>
      <c r="FS144" s="67">
        <f t="shared" si="363"/>
        <v>52825</v>
      </c>
      <c r="FT144" s="67">
        <f t="shared" si="364"/>
        <v>46598</v>
      </c>
      <c r="FU144" s="67">
        <f t="shared" si="365"/>
        <v>42412</v>
      </c>
      <c r="FV144" s="67">
        <f t="shared" si="366"/>
        <v>42284</v>
      </c>
      <c r="FW144" s="67">
        <f t="shared" si="367"/>
        <v>45956</v>
      </c>
      <c r="FX144" s="67">
        <f t="shared" si="368"/>
        <v>41451</v>
      </c>
      <c r="FY144" s="67">
        <f t="shared" si="369"/>
        <v>41704</v>
      </c>
      <c r="FZ144" s="67">
        <f t="shared" si="370"/>
        <v>42906</v>
      </c>
      <c r="GA144" s="67">
        <f t="shared" si="371"/>
        <v>44043</v>
      </c>
      <c r="GB144" s="67">
        <f t="shared" si="372"/>
        <v>44439</v>
      </c>
      <c r="GC144" s="67">
        <f t="shared" si="373"/>
        <v>46147</v>
      </c>
      <c r="GD144" s="67">
        <f t="shared" si="374"/>
        <v>44567</v>
      </c>
      <c r="GE144" s="67">
        <f t="shared" si="375"/>
        <v>49442</v>
      </c>
      <c r="GF144" s="67">
        <f t="shared" si="376"/>
        <v>39568</v>
      </c>
      <c r="GG144" s="67">
        <f t="shared" si="377"/>
        <v>48157</v>
      </c>
      <c r="GH144" s="67">
        <f t="shared" si="378"/>
        <v>43247</v>
      </c>
      <c r="GI144" s="67">
        <f t="shared" si="379"/>
        <v>53135</v>
      </c>
      <c r="GJ144" s="67">
        <f t="shared" si="380"/>
        <v>46359</v>
      </c>
      <c r="GK144" s="67">
        <f t="shared" si="381"/>
        <v>49473</v>
      </c>
      <c r="GL144" s="67">
        <f t="shared" si="382"/>
        <v>55078</v>
      </c>
      <c r="GM144" s="67">
        <f t="shared" si="383"/>
        <v>55311</v>
      </c>
      <c r="GN144" s="67">
        <f t="shared" si="384"/>
        <v>50770</v>
      </c>
      <c r="GO144" s="67">
        <f t="shared" si="385"/>
        <v>56267</v>
      </c>
      <c r="GP144" s="67">
        <f t="shared" si="386"/>
        <v>40943</v>
      </c>
      <c r="GQ144" s="67">
        <f t="shared" si="387"/>
        <v>30304</v>
      </c>
      <c r="GR144" s="67">
        <f t="shared" si="388"/>
        <v>29789</v>
      </c>
      <c r="GS144" s="67">
        <f t="shared" si="389"/>
        <v>31088</v>
      </c>
      <c r="GT144" s="67">
        <f t="shared" si="390"/>
        <v>5658</v>
      </c>
      <c r="GU144" s="67">
        <f t="shared" si="391"/>
        <v>29394</v>
      </c>
      <c r="GV144" s="67">
        <f t="shared" si="392"/>
        <v>37614</v>
      </c>
      <c r="GW144" s="67">
        <f t="shared" si="393"/>
        <v>36175</v>
      </c>
      <c r="GX144" s="67">
        <f t="shared" si="394"/>
        <v>22414</v>
      </c>
      <c r="GY144" s="67">
        <f t="shared" si="395"/>
        <v>29273</v>
      </c>
      <c r="GZ144" s="67">
        <f t="shared" si="396"/>
        <v>29452</v>
      </c>
      <c r="HA144" s="67">
        <f t="shared" si="397"/>
        <v>29360</v>
      </c>
      <c r="HB144" s="67">
        <f t="shared" si="398"/>
        <v>32617</v>
      </c>
      <c r="HC144" s="67">
        <f t="shared" si="399"/>
        <v>38378</v>
      </c>
      <c r="HD144" s="67">
        <f t="shared" si="400"/>
        <v>26935</v>
      </c>
      <c r="HE144" s="67">
        <f>+SUM(EA144:EC144)</f>
        <v>35339</v>
      </c>
      <c r="HF144" s="67">
        <f>+SUM(ED144:EF144)</f>
        <v>32686</v>
      </c>
      <c r="HG144" s="67">
        <f>+SUM(EG144:EI144)</f>
        <v>35043</v>
      </c>
      <c r="HH144" s="67">
        <f>+SUM(EJ144:EL144)</f>
        <v>33238</v>
      </c>
      <c r="HI144" s="67">
        <f>+SUM(EM144:EO144)</f>
        <v>36185</v>
      </c>
      <c r="HJ144" s="210">
        <f t="shared" si="401"/>
        <v>33791</v>
      </c>
      <c r="HK144" s="210">
        <f t="shared" si="402"/>
        <v>34809</v>
      </c>
      <c r="HL144" s="210">
        <f t="shared" si="403"/>
        <v>33920</v>
      </c>
      <c r="HM144" s="210">
        <f t="shared" si="404"/>
        <v>33152</v>
      </c>
      <c r="HN144" s="210">
        <f t="shared" si="405"/>
        <v>33105</v>
      </c>
      <c r="HO144" s="210">
        <f t="shared" si="406"/>
        <v>33161</v>
      </c>
      <c r="HP144" s="210">
        <f t="shared" si="407"/>
        <v>38636</v>
      </c>
      <c r="HQ144" s="60"/>
      <c r="HR144" s="43"/>
      <c r="HS144" s="43"/>
      <c r="HT144" s="43"/>
      <c r="HU144" s="216">
        <f>SUM(B144:M144)</f>
        <v>237298</v>
      </c>
      <c r="HV144" s="216">
        <f>SUM(N144:Y144)</f>
        <v>190844</v>
      </c>
      <c r="HW144" s="216">
        <f>SUM(Z144:AK144)</f>
        <v>171395</v>
      </c>
      <c r="HX144" s="217">
        <f>SUM(AL144:AW144)</f>
        <v>177535</v>
      </c>
      <c r="HY144" s="72">
        <f>SUM(AX144:BI144)</f>
        <v>181734</v>
      </c>
      <c r="HZ144" s="72">
        <f>SUM(BJ144:BU144)</f>
        <v>192214</v>
      </c>
      <c r="IA144" s="72">
        <f>SUM(BV144:CG144)</f>
        <v>217426</v>
      </c>
      <c r="IB144" s="74">
        <f>SUM(CH144:CS144)</f>
        <v>132124</v>
      </c>
      <c r="IC144" s="74">
        <f>SUM(CT144:DE144)</f>
        <v>108841</v>
      </c>
      <c r="ID144" s="74">
        <f>SUM(DF144:DQ144)</f>
        <v>110499</v>
      </c>
      <c r="IE144" s="74">
        <f>SUM(DR144:EC144)</f>
        <v>133269</v>
      </c>
      <c r="IF144" s="74">
        <f>SUM(ED144:EO144)</f>
        <v>137152</v>
      </c>
      <c r="IG144" s="74">
        <f>SUM(EP144:FA144)</f>
        <v>135672</v>
      </c>
    </row>
    <row r="145" spans="1:241" outlineLevel="1" x14ac:dyDescent="0.3">
      <c r="A145" s="81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238"/>
      <c r="BL145" s="238"/>
      <c r="BM145" s="238"/>
      <c r="BN145" s="238"/>
      <c r="BO145" s="238"/>
      <c r="BP145" s="238"/>
      <c r="BQ145" s="238"/>
      <c r="BR145" s="238"/>
      <c r="BS145" s="238"/>
      <c r="BT145" s="238"/>
      <c r="BU145" s="238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43"/>
      <c r="FL145" s="43"/>
      <c r="FM145" s="43"/>
      <c r="FN145" s="75"/>
      <c r="FO145" s="76"/>
      <c r="FP145" s="76"/>
      <c r="FQ145" s="76"/>
      <c r="FR145" s="76"/>
      <c r="FS145" s="76"/>
      <c r="FT145" s="76"/>
      <c r="FU145" s="76"/>
      <c r="FV145" s="76"/>
      <c r="FW145" s="76"/>
      <c r="FX145" s="76"/>
      <c r="FY145" s="76"/>
      <c r="FZ145" s="76"/>
      <c r="GA145" s="76"/>
      <c r="GB145" s="76"/>
      <c r="GC145" s="76"/>
      <c r="GD145" s="76"/>
      <c r="GE145" s="76"/>
      <c r="GF145" s="76"/>
      <c r="GG145" s="76"/>
      <c r="GH145" s="76"/>
      <c r="GI145" s="76"/>
      <c r="GJ145" s="76"/>
      <c r="GK145" s="76"/>
      <c r="GL145" s="76"/>
      <c r="GM145" s="76"/>
      <c r="GN145" s="76"/>
      <c r="GO145" s="76"/>
      <c r="GP145" s="76"/>
      <c r="GQ145" s="76"/>
      <c r="GR145" s="76"/>
      <c r="GS145" s="76"/>
      <c r="GT145" s="76"/>
      <c r="GU145" s="76"/>
      <c r="GV145" s="76"/>
      <c r="GW145" s="76"/>
      <c r="GX145" s="76"/>
      <c r="GY145" s="76"/>
      <c r="GZ145" s="76"/>
      <c r="HA145" s="76"/>
      <c r="HB145" s="76"/>
      <c r="HC145" s="76"/>
      <c r="HD145" s="76"/>
      <c r="HE145" s="76"/>
      <c r="HF145" s="76"/>
      <c r="HG145" s="76"/>
      <c r="HH145" s="76"/>
      <c r="HI145" s="76"/>
      <c r="HJ145" s="215">
        <f t="shared" si="401"/>
        <v>0</v>
      </c>
      <c r="HK145" s="215">
        <f t="shared" si="402"/>
        <v>0</v>
      </c>
      <c r="HL145" s="215">
        <f t="shared" si="403"/>
        <v>0</v>
      </c>
      <c r="HM145" s="215">
        <f t="shared" si="404"/>
        <v>0</v>
      </c>
      <c r="HN145" s="215">
        <f t="shared" si="405"/>
        <v>0</v>
      </c>
      <c r="HO145" s="215">
        <f t="shared" si="406"/>
        <v>0</v>
      </c>
      <c r="HP145" s="215">
        <f t="shared" si="407"/>
        <v>0</v>
      </c>
      <c r="HQ145" s="77"/>
      <c r="HR145" s="43"/>
      <c r="HS145" s="43"/>
      <c r="HT145" s="43"/>
      <c r="HU145" s="211"/>
      <c r="HV145" s="211"/>
      <c r="HW145" s="211"/>
      <c r="HX145" s="212"/>
      <c r="HY145" s="58"/>
      <c r="HZ145" s="58"/>
      <c r="IA145" s="58"/>
      <c r="IB145" s="64"/>
      <c r="IC145" s="64"/>
      <c r="ID145" s="64"/>
      <c r="IE145" s="64"/>
      <c r="IF145" s="64"/>
      <c r="IG145" s="64"/>
    </row>
    <row r="146" spans="1:241" outlineLevel="1" x14ac:dyDescent="0.3">
      <c r="A146" s="82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220"/>
      <c r="BL146" s="220"/>
      <c r="BM146" s="220"/>
      <c r="BN146" s="220"/>
      <c r="BO146" s="220"/>
      <c r="BP146" s="220"/>
      <c r="BQ146" s="220"/>
      <c r="BR146" s="220"/>
      <c r="BS146" s="220"/>
      <c r="BT146" s="220"/>
      <c r="BU146" s="220"/>
      <c r="BV146" s="220">
        <v>298504</v>
      </c>
      <c r="BW146" s="220">
        <v>301238</v>
      </c>
      <c r="BX146" s="220">
        <v>273759</v>
      </c>
      <c r="BY146" s="220">
        <v>290960</v>
      </c>
      <c r="BZ146" s="220">
        <v>287186</v>
      </c>
      <c r="CA146" s="220">
        <v>292658</v>
      </c>
      <c r="CB146" s="220">
        <v>284224</v>
      </c>
      <c r="CC146" s="220">
        <v>266000</v>
      </c>
      <c r="CD146" s="220">
        <v>238692</v>
      </c>
      <c r="CE146" s="220">
        <v>280125</v>
      </c>
      <c r="CF146" s="220">
        <v>272284</v>
      </c>
      <c r="CG146" s="220">
        <v>291806</v>
      </c>
      <c r="CH146" s="220"/>
      <c r="CI146" s="220"/>
      <c r="CJ146" s="220"/>
      <c r="CK146" s="220"/>
      <c r="CL146" s="220"/>
      <c r="CM146" s="220"/>
      <c r="CN146" s="220"/>
      <c r="CO146" s="220"/>
      <c r="CP146" s="220"/>
      <c r="CQ146" s="220"/>
      <c r="CR146" s="220"/>
      <c r="CS146" s="184"/>
      <c r="CT146" s="184"/>
      <c r="CU146" s="184"/>
      <c r="CV146" s="184"/>
      <c r="CW146" s="184"/>
      <c r="CX146" s="184"/>
      <c r="CY146" s="184"/>
      <c r="CZ146" s="184"/>
      <c r="DA146" s="184"/>
      <c r="DB146" s="184"/>
      <c r="DC146" s="184"/>
      <c r="DD146" s="184">
        <v>0</v>
      </c>
      <c r="DE146" s="184">
        <v>0</v>
      </c>
      <c r="DF146" s="184"/>
      <c r="DG146" s="184"/>
      <c r="DH146" s="184"/>
      <c r="DI146" s="184"/>
      <c r="DJ146" s="184"/>
      <c r="DK146" s="184"/>
      <c r="DL146" s="184"/>
      <c r="DM146" s="184"/>
      <c r="DN146" s="184"/>
      <c r="DO146" s="184"/>
      <c r="DP146" s="184"/>
      <c r="DQ146" s="184"/>
      <c r="DR146" s="184"/>
      <c r="DS146" s="184"/>
      <c r="DT146" s="184"/>
      <c r="DU146" s="184"/>
      <c r="DV146" s="184"/>
      <c r="DW146" s="184"/>
      <c r="DX146" s="184"/>
      <c r="DY146" s="184"/>
      <c r="DZ146" s="184"/>
      <c r="EA146" s="184"/>
      <c r="EB146" s="184"/>
      <c r="EC146" s="184"/>
      <c r="ED146" s="184"/>
      <c r="EE146" s="184"/>
      <c r="EF146" s="184"/>
      <c r="EG146" s="184"/>
      <c r="EH146" s="184"/>
      <c r="EI146" s="184"/>
      <c r="EJ146" s="184"/>
      <c r="EK146" s="184"/>
      <c r="EL146" s="184"/>
      <c r="EM146" s="184"/>
      <c r="EN146" s="184"/>
      <c r="EO146" s="184"/>
      <c r="EP146" s="184"/>
      <c r="EQ146" s="184"/>
      <c r="ER146" s="184"/>
      <c r="ES146" s="184"/>
      <c r="ET146" s="184"/>
      <c r="EU146" s="184"/>
      <c r="EV146" s="184"/>
      <c r="EW146" s="184"/>
      <c r="EX146" s="184"/>
      <c r="EY146" s="184"/>
      <c r="EZ146" s="184"/>
      <c r="FA146" s="184"/>
      <c r="FB146" s="184"/>
      <c r="FC146" s="184"/>
      <c r="FD146" s="184"/>
      <c r="FE146" s="184"/>
      <c r="FF146" s="184"/>
      <c r="FG146" s="184"/>
      <c r="FH146" s="184"/>
      <c r="FI146" s="184"/>
      <c r="FJ146" s="184"/>
      <c r="FK146" s="43"/>
      <c r="FL146" s="43"/>
      <c r="FM146" s="43"/>
      <c r="FN146" s="66">
        <f t="shared" si="358"/>
        <v>0</v>
      </c>
      <c r="FO146" s="67">
        <f t="shared" si="359"/>
        <v>0</v>
      </c>
      <c r="FP146" s="67">
        <f t="shared" si="360"/>
        <v>0</v>
      </c>
      <c r="FQ146" s="67">
        <f t="shared" si="361"/>
        <v>0</v>
      </c>
      <c r="FR146" s="67">
        <f t="shared" si="362"/>
        <v>0</v>
      </c>
      <c r="FS146" s="67">
        <f t="shared" si="363"/>
        <v>0</v>
      </c>
      <c r="FT146" s="67">
        <f t="shared" si="364"/>
        <v>0</v>
      </c>
      <c r="FU146" s="67">
        <f t="shared" si="365"/>
        <v>0</v>
      </c>
      <c r="FV146" s="67">
        <f t="shared" si="366"/>
        <v>0</v>
      </c>
      <c r="FW146" s="67">
        <f t="shared" si="367"/>
        <v>0</v>
      </c>
      <c r="FX146" s="67">
        <f t="shared" si="368"/>
        <v>0</v>
      </c>
      <c r="FY146" s="67">
        <f t="shared" si="369"/>
        <v>0</v>
      </c>
      <c r="FZ146" s="67">
        <f t="shared" si="370"/>
        <v>0</v>
      </c>
      <c r="GA146" s="67">
        <f t="shared" si="371"/>
        <v>0</v>
      </c>
      <c r="GB146" s="67">
        <f t="shared" si="372"/>
        <v>0</v>
      </c>
      <c r="GC146" s="67">
        <f t="shared" si="373"/>
        <v>0</v>
      </c>
      <c r="GD146" s="67">
        <f t="shared" si="374"/>
        <v>0</v>
      </c>
      <c r="GE146" s="67">
        <f t="shared" si="375"/>
        <v>0</v>
      </c>
      <c r="GF146" s="67">
        <f t="shared" si="376"/>
        <v>0</v>
      </c>
      <c r="GG146" s="67">
        <f t="shared" si="377"/>
        <v>0</v>
      </c>
      <c r="GH146" s="67">
        <f t="shared" si="378"/>
        <v>0</v>
      </c>
      <c r="GI146" s="67">
        <f t="shared" si="379"/>
        <v>0</v>
      </c>
      <c r="GJ146" s="67">
        <f t="shared" si="380"/>
        <v>0</v>
      </c>
      <c r="GK146" s="67">
        <f t="shared" si="381"/>
        <v>0</v>
      </c>
      <c r="GL146" s="67">
        <f t="shared" si="382"/>
        <v>873501</v>
      </c>
      <c r="GM146" s="67">
        <f t="shared" si="383"/>
        <v>870804</v>
      </c>
      <c r="GN146" s="67">
        <f t="shared" si="384"/>
        <v>788916</v>
      </c>
      <c r="GO146" s="67">
        <f t="shared" si="385"/>
        <v>844215</v>
      </c>
      <c r="GP146" s="67">
        <f t="shared" si="386"/>
        <v>0</v>
      </c>
      <c r="GQ146" s="67">
        <f t="shared" si="387"/>
        <v>0</v>
      </c>
      <c r="GR146" s="67">
        <f t="shared" si="388"/>
        <v>0</v>
      </c>
      <c r="GS146" s="67">
        <f t="shared" si="389"/>
        <v>0</v>
      </c>
      <c r="GT146" s="67">
        <f t="shared" si="390"/>
        <v>0</v>
      </c>
      <c r="GU146" s="67">
        <f t="shared" si="391"/>
        <v>0</v>
      </c>
      <c r="GV146" s="67">
        <f t="shared" si="392"/>
        <v>0</v>
      </c>
      <c r="GW146" s="67">
        <f t="shared" si="393"/>
        <v>0</v>
      </c>
      <c r="GX146" s="67">
        <f t="shared" si="394"/>
        <v>0</v>
      </c>
      <c r="GY146" s="67">
        <f t="shared" si="395"/>
        <v>0</v>
      </c>
      <c r="GZ146" s="67">
        <f t="shared" si="396"/>
        <v>0</v>
      </c>
      <c r="HA146" s="67">
        <f t="shared" si="397"/>
        <v>0</v>
      </c>
      <c r="HB146" s="67">
        <f t="shared" si="398"/>
        <v>0</v>
      </c>
      <c r="HC146" s="67">
        <f t="shared" si="399"/>
        <v>0</v>
      </c>
      <c r="HD146" s="67">
        <f t="shared" si="400"/>
        <v>0</v>
      </c>
      <c r="HE146" s="67">
        <f>+SUM(EA146:EC146)</f>
        <v>0</v>
      </c>
      <c r="HF146" s="67">
        <f>+SUM(ED146:EF146)</f>
        <v>0</v>
      </c>
      <c r="HG146" s="67">
        <f>+SUM(EG146:EI146)</f>
        <v>0</v>
      </c>
      <c r="HH146" s="67">
        <f>+SUM(EJ146:EL146)</f>
        <v>0</v>
      </c>
      <c r="HI146" s="67">
        <f>+SUM(EM146:EO146)</f>
        <v>0</v>
      </c>
      <c r="HJ146" s="210">
        <f t="shared" si="401"/>
        <v>0</v>
      </c>
      <c r="HK146" s="210">
        <f t="shared" si="402"/>
        <v>0</v>
      </c>
      <c r="HL146" s="210">
        <f t="shared" si="403"/>
        <v>0</v>
      </c>
      <c r="HM146" s="210">
        <f t="shared" si="404"/>
        <v>0</v>
      </c>
      <c r="HN146" s="210">
        <f t="shared" si="405"/>
        <v>0</v>
      </c>
      <c r="HO146" s="210">
        <f t="shared" si="406"/>
        <v>0</v>
      </c>
      <c r="HP146" s="210">
        <f t="shared" si="407"/>
        <v>0</v>
      </c>
      <c r="HQ146" s="60"/>
      <c r="HR146" s="43"/>
      <c r="HS146" s="43"/>
      <c r="HT146" s="43"/>
      <c r="HU146" s="216">
        <f>SUM(B146:M146)</f>
        <v>0</v>
      </c>
      <c r="HV146" s="216">
        <f>SUM(N146:Y146)</f>
        <v>0</v>
      </c>
      <c r="HW146" s="216">
        <f>SUM(Z146:AK146)</f>
        <v>0</v>
      </c>
      <c r="HX146" s="217">
        <f>SUM(AL146:AW146)</f>
        <v>0</v>
      </c>
      <c r="HY146" s="72">
        <f>SUM(AX146:BI146)</f>
        <v>0</v>
      </c>
      <c r="HZ146" s="72">
        <f>SUM(BJ146:BU146)</f>
        <v>0</v>
      </c>
      <c r="IA146" s="72">
        <f>SUM(BV146:CG146)</f>
        <v>3377436</v>
      </c>
      <c r="IB146" s="74">
        <f>SUM(CH146:CS146)</f>
        <v>0</v>
      </c>
      <c r="IC146" s="74">
        <f>SUM(CT146:DE146)</f>
        <v>0</v>
      </c>
      <c r="ID146" s="74">
        <f>SUM(DF146:DQ146)</f>
        <v>0</v>
      </c>
      <c r="IE146" s="74">
        <f>SUM(DR146:EC146)</f>
        <v>0</v>
      </c>
      <c r="IF146" s="74">
        <f>SUM(ED146:EO146)</f>
        <v>0</v>
      </c>
      <c r="IG146" s="74">
        <f>SUM(EP146:FA146)</f>
        <v>0</v>
      </c>
    </row>
    <row r="147" spans="1:241" outlineLevel="1" x14ac:dyDescent="0.3">
      <c r="A147" s="81" t="s">
        <v>172</v>
      </c>
      <c r="B147" s="83">
        <f t="shared" ref="B147:BM147" si="411">+B111+B136+B144</f>
        <v>227037</v>
      </c>
      <c r="C147" s="83">
        <f t="shared" si="411"/>
        <v>221128</v>
      </c>
      <c r="D147" s="83">
        <f t="shared" si="411"/>
        <v>206693</v>
      </c>
      <c r="E147" s="83">
        <f t="shared" si="411"/>
        <v>203119</v>
      </c>
      <c r="F147" s="83">
        <f t="shared" si="411"/>
        <v>181921</v>
      </c>
      <c r="G147" s="83">
        <f t="shared" si="411"/>
        <v>226049</v>
      </c>
      <c r="H147" s="83">
        <f t="shared" si="411"/>
        <v>244072</v>
      </c>
      <c r="I147" s="83">
        <f t="shared" si="411"/>
        <v>224587</v>
      </c>
      <c r="J147" s="83">
        <f t="shared" si="411"/>
        <v>204851</v>
      </c>
      <c r="K147" s="83">
        <f t="shared" si="411"/>
        <v>242430</v>
      </c>
      <c r="L147" s="83">
        <f t="shared" si="411"/>
        <v>226484</v>
      </c>
      <c r="M147" s="83">
        <f t="shared" si="411"/>
        <v>256979</v>
      </c>
      <c r="N147" s="83">
        <f t="shared" si="411"/>
        <v>208386</v>
      </c>
      <c r="O147" s="83">
        <f t="shared" si="411"/>
        <v>201437</v>
      </c>
      <c r="P147" s="83">
        <f t="shared" si="411"/>
        <v>196732</v>
      </c>
      <c r="Q147" s="83">
        <f t="shared" si="411"/>
        <v>186239</v>
      </c>
      <c r="R147" s="83">
        <f t="shared" si="411"/>
        <v>190053</v>
      </c>
      <c r="S147" s="83">
        <f t="shared" si="411"/>
        <v>216031</v>
      </c>
      <c r="T147" s="83">
        <f t="shared" si="411"/>
        <v>239137</v>
      </c>
      <c r="U147" s="83">
        <f t="shared" si="411"/>
        <v>201520</v>
      </c>
      <c r="V147" s="83">
        <f t="shared" si="411"/>
        <v>186161</v>
      </c>
      <c r="W147" s="83">
        <f t="shared" si="411"/>
        <v>219809</v>
      </c>
      <c r="X147" s="83">
        <f t="shared" si="411"/>
        <v>217749</v>
      </c>
      <c r="Y147" s="83">
        <f t="shared" si="411"/>
        <v>238212</v>
      </c>
      <c r="Z147" s="83">
        <f t="shared" si="411"/>
        <v>188541</v>
      </c>
      <c r="AA147" s="83">
        <f t="shared" si="411"/>
        <v>207953</v>
      </c>
      <c r="AB147" s="83">
        <f t="shared" si="411"/>
        <v>218828</v>
      </c>
      <c r="AC147" s="83">
        <f t="shared" si="411"/>
        <v>199435</v>
      </c>
      <c r="AD147" s="83">
        <f t="shared" si="411"/>
        <v>213915</v>
      </c>
      <c r="AE147" s="83">
        <f t="shared" si="411"/>
        <v>223568</v>
      </c>
      <c r="AF147" s="83">
        <f t="shared" si="411"/>
        <v>221151</v>
      </c>
      <c r="AG147" s="83">
        <f t="shared" si="411"/>
        <v>212438</v>
      </c>
      <c r="AH147" s="83">
        <f t="shared" si="411"/>
        <v>209025</v>
      </c>
      <c r="AI147" s="83">
        <f t="shared" si="411"/>
        <v>230619</v>
      </c>
      <c r="AJ147" s="83">
        <f t="shared" si="411"/>
        <v>231165</v>
      </c>
      <c r="AK147" s="83">
        <f t="shared" si="411"/>
        <v>244395</v>
      </c>
      <c r="AL147" s="83">
        <f t="shared" si="411"/>
        <v>217949</v>
      </c>
      <c r="AM147" s="83">
        <f t="shared" si="411"/>
        <v>217671</v>
      </c>
      <c r="AN147" s="83">
        <f t="shared" si="411"/>
        <v>217682</v>
      </c>
      <c r="AO147" s="83">
        <f t="shared" si="411"/>
        <v>222368</v>
      </c>
      <c r="AP147" s="83">
        <f t="shared" si="411"/>
        <v>222476</v>
      </c>
      <c r="AQ147" s="83">
        <f t="shared" si="411"/>
        <v>232167</v>
      </c>
      <c r="AR147" s="83">
        <f t="shared" si="411"/>
        <v>268629</v>
      </c>
      <c r="AS147" s="83">
        <f t="shared" si="411"/>
        <v>236664</v>
      </c>
      <c r="AT147" s="83">
        <f t="shared" si="411"/>
        <v>230960</v>
      </c>
      <c r="AU147" s="83">
        <f t="shared" si="411"/>
        <v>232016</v>
      </c>
      <c r="AV147" s="83">
        <f t="shared" si="411"/>
        <v>234154</v>
      </c>
      <c r="AW147" s="83">
        <f t="shared" si="411"/>
        <v>256942</v>
      </c>
      <c r="AX147" s="83">
        <f t="shared" si="411"/>
        <v>242060</v>
      </c>
      <c r="AY147" s="83">
        <f t="shared" si="411"/>
        <v>231640</v>
      </c>
      <c r="AZ147" s="83">
        <f t="shared" si="411"/>
        <v>223454</v>
      </c>
      <c r="BA147" s="83">
        <f t="shared" si="411"/>
        <v>259685</v>
      </c>
      <c r="BB147" s="83">
        <f t="shared" si="411"/>
        <v>258722</v>
      </c>
      <c r="BC147" s="83">
        <f t="shared" si="411"/>
        <v>278428</v>
      </c>
      <c r="BD147" s="83">
        <f t="shared" si="411"/>
        <v>280677</v>
      </c>
      <c r="BE147" s="83">
        <f t="shared" si="411"/>
        <v>240979</v>
      </c>
      <c r="BF147" s="83">
        <f t="shared" si="411"/>
        <v>227824</v>
      </c>
      <c r="BG147" s="83">
        <f t="shared" si="411"/>
        <v>265320</v>
      </c>
      <c r="BH147" s="83">
        <f t="shared" si="411"/>
        <v>255359</v>
      </c>
      <c r="BI147" s="83">
        <f t="shared" si="411"/>
        <v>282519</v>
      </c>
      <c r="BJ147" s="83">
        <f t="shared" si="411"/>
        <v>277602</v>
      </c>
      <c r="BK147" s="83">
        <f t="shared" si="411"/>
        <v>251642</v>
      </c>
      <c r="BL147" s="83">
        <f t="shared" si="411"/>
        <v>198399</v>
      </c>
      <c r="BM147" s="83">
        <f t="shared" si="411"/>
        <v>298997</v>
      </c>
      <c r="BN147" s="83">
        <f t="shared" ref="BN147:DC147" si="412">+BN111+BN136+BN144</f>
        <v>294335</v>
      </c>
      <c r="BO147" s="83">
        <f t="shared" si="412"/>
        <v>309955</v>
      </c>
      <c r="BP147" s="83">
        <f t="shared" si="412"/>
        <v>279837</v>
      </c>
      <c r="BQ147" s="83">
        <f t="shared" si="412"/>
        <v>275417</v>
      </c>
      <c r="BR147" s="83">
        <f t="shared" si="412"/>
        <v>240254</v>
      </c>
      <c r="BS147" s="83">
        <f t="shared" si="412"/>
        <v>285477</v>
      </c>
      <c r="BT147" s="83">
        <f t="shared" si="412"/>
        <v>275329</v>
      </c>
      <c r="BU147" s="83">
        <f t="shared" si="412"/>
        <v>300722</v>
      </c>
      <c r="BV147" s="83">
        <f t="shared" si="412"/>
        <v>298504</v>
      </c>
      <c r="BW147" s="83">
        <f t="shared" si="412"/>
        <v>301238</v>
      </c>
      <c r="BX147" s="83">
        <f t="shared" si="412"/>
        <v>273759</v>
      </c>
      <c r="BY147" s="83">
        <f t="shared" si="412"/>
        <v>290960</v>
      </c>
      <c r="BZ147" s="83">
        <f t="shared" si="412"/>
        <v>287186</v>
      </c>
      <c r="CA147" s="83">
        <f t="shared" si="412"/>
        <v>292658</v>
      </c>
      <c r="CB147" s="83">
        <f t="shared" si="412"/>
        <v>284224</v>
      </c>
      <c r="CC147" s="83">
        <f t="shared" si="412"/>
        <v>266000</v>
      </c>
      <c r="CD147" s="83">
        <f t="shared" si="412"/>
        <v>238692</v>
      </c>
      <c r="CE147" s="83">
        <f t="shared" si="412"/>
        <v>280125</v>
      </c>
      <c r="CF147" s="83">
        <f t="shared" si="412"/>
        <v>272284</v>
      </c>
      <c r="CG147" s="83">
        <f t="shared" si="412"/>
        <v>291806</v>
      </c>
      <c r="CH147" s="83">
        <f t="shared" si="412"/>
        <v>247541</v>
      </c>
      <c r="CI147" s="83">
        <f t="shared" si="412"/>
        <v>239347</v>
      </c>
      <c r="CJ147" s="83">
        <f t="shared" si="412"/>
        <v>225732</v>
      </c>
      <c r="CK147" s="83">
        <f t="shared" si="412"/>
        <v>200790</v>
      </c>
      <c r="CL147" s="83">
        <f t="shared" si="412"/>
        <v>196524</v>
      </c>
      <c r="CM147" s="83">
        <f t="shared" si="412"/>
        <v>223317</v>
      </c>
      <c r="CN147" s="83">
        <f t="shared" si="412"/>
        <v>285027</v>
      </c>
      <c r="CO147" s="83">
        <f t="shared" si="412"/>
        <v>263773</v>
      </c>
      <c r="CP147" s="83">
        <f t="shared" si="412"/>
        <v>235786</v>
      </c>
      <c r="CQ147" s="83">
        <f t="shared" si="412"/>
        <v>262714</v>
      </c>
      <c r="CR147" s="83">
        <f t="shared" si="412"/>
        <v>251516</v>
      </c>
      <c r="CS147" s="84">
        <f t="shared" si="412"/>
        <v>140910</v>
      </c>
      <c r="CT147" s="84">
        <f t="shared" si="412"/>
        <v>0</v>
      </c>
      <c r="CU147" s="84">
        <f t="shared" si="412"/>
        <v>36668</v>
      </c>
      <c r="CV147" s="84">
        <f t="shared" si="412"/>
        <v>117036</v>
      </c>
      <c r="CW147" s="84">
        <f t="shared" si="412"/>
        <v>197791</v>
      </c>
      <c r="CX147" s="84">
        <f t="shared" si="412"/>
        <v>234499</v>
      </c>
      <c r="CY147" s="84">
        <f t="shared" si="412"/>
        <v>293227</v>
      </c>
      <c r="CZ147" s="84">
        <f t="shared" si="412"/>
        <v>333894</v>
      </c>
      <c r="DA147" s="84">
        <f t="shared" si="412"/>
        <v>286538</v>
      </c>
      <c r="DB147" s="84">
        <f t="shared" si="412"/>
        <v>277775</v>
      </c>
      <c r="DC147" s="84">
        <f t="shared" si="412"/>
        <v>303534</v>
      </c>
      <c r="DD147" s="84">
        <v>308604</v>
      </c>
      <c r="DE147" s="84">
        <v>321447</v>
      </c>
      <c r="DF147" s="84">
        <v>286729</v>
      </c>
      <c r="DG147" s="84">
        <v>103145</v>
      </c>
      <c r="DH147" s="84">
        <v>255744</v>
      </c>
      <c r="DI147" s="84">
        <v>294626</v>
      </c>
      <c r="DJ147" s="84">
        <v>260241</v>
      </c>
      <c r="DK147" s="84">
        <v>185799</v>
      </c>
      <c r="DL147" s="84">
        <v>251826</v>
      </c>
      <c r="DM147" s="84">
        <v>245406</v>
      </c>
      <c r="DN147" s="84">
        <v>254721</v>
      </c>
      <c r="DO147" s="84">
        <v>295067</v>
      </c>
      <c r="DP147" s="84">
        <v>302964</v>
      </c>
      <c r="DQ147" s="84">
        <v>321796</v>
      </c>
      <c r="DR147" s="84">
        <v>293171</v>
      </c>
      <c r="DS147" s="84">
        <v>294392</v>
      </c>
      <c r="DT147" s="84">
        <v>320985</v>
      </c>
      <c r="DU147" s="84">
        <v>341371</v>
      </c>
      <c r="DV147" s="84">
        <v>328380</v>
      </c>
      <c r="DW147" s="84">
        <v>355044</v>
      </c>
      <c r="DX147" s="84">
        <v>336333</v>
      </c>
      <c r="DY147" s="84">
        <v>322271</v>
      </c>
      <c r="DZ147" s="84">
        <v>275354</v>
      </c>
      <c r="EA147" s="84">
        <v>346083</v>
      </c>
      <c r="EB147" s="84">
        <v>334793</v>
      </c>
      <c r="EC147" s="84">
        <v>336077</v>
      </c>
      <c r="ED147" s="84">
        <v>331281</v>
      </c>
      <c r="EE147" s="84">
        <v>334249</v>
      </c>
      <c r="EF147" s="84">
        <v>327492</v>
      </c>
      <c r="EG147" s="84">
        <v>350151</v>
      </c>
      <c r="EH147" s="84">
        <v>359230</v>
      </c>
      <c r="EI147" s="84">
        <v>361718</v>
      </c>
      <c r="EJ147" s="84">
        <v>389720</v>
      </c>
      <c r="EK147" s="84">
        <v>334132</v>
      </c>
      <c r="EL147" s="84">
        <v>286391</v>
      </c>
      <c r="EM147" s="84">
        <v>393076</v>
      </c>
      <c r="EN147" s="84">
        <v>370789</v>
      </c>
      <c r="EO147" s="84">
        <v>368081</v>
      </c>
      <c r="EP147" s="84">
        <v>335631</v>
      </c>
      <c r="EQ147" s="84">
        <v>347495</v>
      </c>
      <c r="ER147" s="84">
        <v>337760</v>
      </c>
      <c r="ES147" s="84">
        <v>341512</v>
      </c>
      <c r="ET147" s="84">
        <v>352921</v>
      </c>
      <c r="EU147" s="84">
        <v>356754</v>
      </c>
      <c r="EV147" s="84">
        <v>393240</v>
      </c>
      <c r="EW147" s="84">
        <v>347522</v>
      </c>
      <c r="EX147" s="84">
        <v>314925</v>
      </c>
      <c r="EY147" s="84">
        <v>399385</v>
      </c>
      <c r="EZ147" s="84">
        <v>377295</v>
      </c>
      <c r="FA147" s="84">
        <v>381358</v>
      </c>
      <c r="FB147" s="84">
        <v>348847</v>
      </c>
      <c r="FC147" s="84">
        <v>344656</v>
      </c>
      <c r="FD147" s="84">
        <v>312849</v>
      </c>
      <c r="FE147" s="84">
        <v>340772</v>
      </c>
      <c r="FF147" s="184">
        <v>321840</v>
      </c>
      <c r="FG147" s="184">
        <v>372458</v>
      </c>
      <c r="FH147" s="184">
        <v>460739</v>
      </c>
      <c r="FI147" s="184">
        <v>412405</v>
      </c>
      <c r="FJ147" s="184">
        <v>399216</v>
      </c>
      <c r="FK147" s="43"/>
      <c r="FL147" s="43"/>
      <c r="FM147" s="43"/>
      <c r="FN147" s="75">
        <f t="shared" si="358"/>
        <v>654858</v>
      </c>
      <c r="FO147" s="76">
        <f t="shared" si="359"/>
        <v>611089</v>
      </c>
      <c r="FP147" s="76">
        <f t="shared" si="360"/>
        <v>673510</v>
      </c>
      <c r="FQ147" s="76">
        <f t="shared" si="361"/>
        <v>725893</v>
      </c>
      <c r="FR147" s="76">
        <f t="shared" si="362"/>
        <v>606555</v>
      </c>
      <c r="FS147" s="76">
        <f t="shared" si="363"/>
        <v>592323</v>
      </c>
      <c r="FT147" s="76">
        <f t="shared" si="364"/>
        <v>626818</v>
      </c>
      <c r="FU147" s="76">
        <f t="shared" si="365"/>
        <v>675770</v>
      </c>
      <c r="FV147" s="76">
        <f t="shared" si="366"/>
        <v>615322</v>
      </c>
      <c r="FW147" s="76">
        <f t="shared" si="367"/>
        <v>636918</v>
      </c>
      <c r="FX147" s="76">
        <f t="shared" si="368"/>
        <v>642614</v>
      </c>
      <c r="FY147" s="76">
        <f t="shared" si="369"/>
        <v>706179</v>
      </c>
      <c r="FZ147" s="76">
        <f t="shared" si="370"/>
        <v>653302</v>
      </c>
      <c r="GA147" s="76">
        <f t="shared" si="371"/>
        <v>677011</v>
      </c>
      <c r="GB147" s="76">
        <f t="shared" si="372"/>
        <v>736253</v>
      </c>
      <c r="GC147" s="76">
        <f t="shared" si="373"/>
        <v>723112</v>
      </c>
      <c r="GD147" s="76">
        <f t="shared" si="374"/>
        <v>697154</v>
      </c>
      <c r="GE147" s="76">
        <f t="shared" si="375"/>
        <v>796835</v>
      </c>
      <c r="GF147" s="76">
        <f t="shared" si="376"/>
        <v>749480</v>
      </c>
      <c r="GG147" s="76">
        <f t="shared" si="377"/>
        <v>803198</v>
      </c>
      <c r="GH147" s="76">
        <f t="shared" si="378"/>
        <v>727643</v>
      </c>
      <c r="GI147" s="76">
        <f t="shared" si="379"/>
        <v>903287</v>
      </c>
      <c r="GJ147" s="76">
        <f t="shared" si="380"/>
        <v>795508</v>
      </c>
      <c r="GK147" s="76">
        <f t="shared" si="381"/>
        <v>861528</v>
      </c>
      <c r="GL147" s="76">
        <f t="shared" si="382"/>
        <v>873501</v>
      </c>
      <c r="GM147" s="76">
        <f t="shared" si="383"/>
        <v>870804</v>
      </c>
      <c r="GN147" s="76">
        <f t="shared" si="384"/>
        <v>788916</v>
      </c>
      <c r="GO147" s="76">
        <f t="shared" si="385"/>
        <v>844215</v>
      </c>
      <c r="GP147" s="76">
        <f t="shared" si="386"/>
        <v>712620</v>
      </c>
      <c r="GQ147" s="76">
        <f t="shared" si="387"/>
        <v>620631</v>
      </c>
      <c r="GR147" s="76">
        <f t="shared" si="388"/>
        <v>784586</v>
      </c>
      <c r="GS147" s="76">
        <f t="shared" si="389"/>
        <v>655140</v>
      </c>
      <c r="GT147" s="76">
        <f t="shared" si="390"/>
        <v>153704</v>
      </c>
      <c r="GU147" s="76">
        <f t="shared" si="391"/>
        <v>725517</v>
      </c>
      <c r="GV147" s="76">
        <f t="shared" si="392"/>
        <v>898207</v>
      </c>
      <c r="GW147" s="76">
        <f t="shared" si="393"/>
        <v>933585</v>
      </c>
      <c r="GX147" s="76">
        <f t="shared" si="394"/>
        <v>645618</v>
      </c>
      <c r="GY147" s="76">
        <f t="shared" si="395"/>
        <v>740666</v>
      </c>
      <c r="GZ147" s="76">
        <f t="shared" si="396"/>
        <v>751953</v>
      </c>
      <c r="HA147" s="76">
        <f t="shared" si="397"/>
        <v>919827</v>
      </c>
      <c r="HB147" s="76">
        <f t="shared" si="398"/>
        <v>908548</v>
      </c>
      <c r="HC147" s="76">
        <f t="shared" si="399"/>
        <v>1024795</v>
      </c>
      <c r="HD147" s="76">
        <f t="shared" si="400"/>
        <v>933958</v>
      </c>
      <c r="HE147" s="76">
        <f>+SUM(EA147:EC147)</f>
        <v>1016953</v>
      </c>
      <c r="HF147" s="76">
        <f>+SUM(ED147:EF147)</f>
        <v>993022</v>
      </c>
      <c r="HG147" s="76">
        <f>+SUM(EG147:EI147)</f>
        <v>1071099</v>
      </c>
      <c r="HH147" s="76">
        <f>+SUM(EJ147:EL147)</f>
        <v>1010243</v>
      </c>
      <c r="HI147" s="76">
        <f>+SUM(EM147:EO147)</f>
        <v>1131946</v>
      </c>
      <c r="HJ147" s="215">
        <f t="shared" si="401"/>
        <v>1020886</v>
      </c>
      <c r="HK147" s="215">
        <f t="shared" si="402"/>
        <v>1051187</v>
      </c>
      <c r="HL147" s="215">
        <f t="shared" si="403"/>
        <v>1055687</v>
      </c>
      <c r="HM147" s="215">
        <f t="shared" si="404"/>
        <v>1158038</v>
      </c>
      <c r="HN147" s="215">
        <f t="shared" si="405"/>
        <v>1006352</v>
      </c>
      <c r="HO147" s="215">
        <f t="shared" si="406"/>
        <v>1035070</v>
      </c>
      <c r="HP147" s="215">
        <f t="shared" si="407"/>
        <v>1272360</v>
      </c>
      <c r="HQ147" s="77"/>
      <c r="HR147" s="43"/>
      <c r="HS147" s="43"/>
      <c r="HT147" s="43"/>
      <c r="HU147" s="211">
        <f>SUM(B147:M147)</f>
        <v>2665350</v>
      </c>
      <c r="HV147" s="211">
        <f>SUM(N147:Y147)</f>
        <v>2501466</v>
      </c>
      <c r="HW147" s="211">
        <f>SUM(Z147:AK147)</f>
        <v>2601033</v>
      </c>
      <c r="HX147" s="212">
        <f>SUM(AL147:AW147)</f>
        <v>2789678</v>
      </c>
      <c r="HY147" s="58">
        <f>SUM(AX147:BI147)</f>
        <v>3046667</v>
      </c>
      <c r="HZ147" s="58">
        <f>SUM(BJ147:BU147)</f>
        <v>3287966</v>
      </c>
      <c r="IA147" s="58">
        <f>SUM(BV147:CG147)</f>
        <v>3377436</v>
      </c>
      <c r="IB147" s="64">
        <f>SUM(CH147:CS147)</f>
        <v>2772977</v>
      </c>
      <c r="IC147" s="64">
        <f>SUM(CT147:DE147)</f>
        <v>2711013</v>
      </c>
      <c r="ID147" s="64">
        <f>SUM(DF147:DQ147)</f>
        <v>3058064</v>
      </c>
      <c r="IE147" s="64">
        <f>SUM(DR147:EC147)</f>
        <v>3884254</v>
      </c>
      <c r="IF147" s="64">
        <f>SUM(ED147:EO147)</f>
        <v>4206310</v>
      </c>
      <c r="IG147" s="64">
        <f>SUM(EP147:FA147)</f>
        <v>4285798</v>
      </c>
    </row>
    <row r="148" spans="1:241" outlineLevel="1" x14ac:dyDescent="0.3">
      <c r="A148" s="193"/>
      <c r="B148" s="239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  <c r="AA148" s="239"/>
      <c r="AB148" s="239"/>
      <c r="AC148" s="239"/>
      <c r="AD148" s="239"/>
      <c r="AE148" s="239"/>
      <c r="AF148" s="239"/>
      <c r="AG148" s="239"/>
      <c r="AH148" s="239"/>
      <c r="AI148" s="239"/>
      <c r="AJ148" s="239"/>
      <c r="AK148" s="239"/>
      <c r="AL148" s="239"/>
      <c r="AM148" s="239"/>
      <c r="AN148" s="239"/>
      <c r="AO148" s="239"/>
      <c r="AP148" s="239"/>
      <c r="AQ148" s="239"/>
      <c r="AR148" s="239"/>
      <c r="AS148" s="239"/>
      <c r="AT148" s="239"/>
      <c r="AU148" s="239"/>
      <c r="AV148" s="239"/>
      <c r="AW148" s="239"/>
      <c r="AX148" s="239"/>
      <c r="AY148" s="239"/>
      <c r="AZ148" s="239"/>
      <c r="BA148" s="239"/>
      <c r="BB148" s="239"/>
      <c r="BC148" s="239"/>
      <c r="BD148" s="239"/>
      <c r="BE148" s="239"/>
      <c r="BF148" s="239"/>
      <c r="BG148" s="239"/>
      <c r="BH148" s="239"/>
      <c r="BI148" s="239"/>
      <c r="BJ148" s="239"/>
      <c r="BK148" s="239"/>
      <c r="BL148" s="239"/>
      <c r="BM148" s="239"/>
      <c r="BN148" s="239"/>
      <c r="BO148" s="239"/>
      <c r="BP148" s="239"/>
      <c r="BQ148" s="239"/>
      <c r="BR148" s="239"/>
      <c r="BS148" s="239"/>
      <c r="BT148" s="239"/>
      <c r="BU148" s="239"/>
      <c r="BV148" s="239"/>
      <c r="BW148" s="239"/>
      <c r="BX148" s="239"/>
      <c r="BY148" s="239"/>
      <c r="BZ148" s="239"/>
      <c r="CA148" s="239"/>
      <c r="CB148" s="239"/>
      <c r="CC148" s="239"/>
      <c r="CD148" s="239"/>
      <c r="CE148" s="239"/>
      <c r="CF148" s="239"/>
      <c r="CG148" s="239"/>
      <c r="CH148" s="239"/>
      <c r="CI148" s="239"/>
      <c r="CJ148" s="239"/>
      <c r="CK148" s="239"/>
      <c r="CL148" s="239"/>
      <c r="CM148" s="239"/>
      <c r="CN148" s="239"/>
      <c r="CO148" s="239"/>
      <c r="CP148" s="239"/>
      <c r="CQ148" s="239"/>
      <c r="CR148" s="239"/>
      <c r="CS148" s="239"/>
      <c r="CT148" s="239"/>
      <c r="CU148" s="239"/>
      <c r="CV148" s="239"/>
      <c r="CW148" s="239"/>
      <c r="CX148" s="239"/>
      <c r="CY148" s="239"/>
      <c r="CZ148" s="239"/>
      <c r="DA148" s="239"/>
      <c r="DB148" s="239"/>
      <c r="DC148" s="239"/>
      <c r="DD148" s="239"/>
      <c r="DE148" s="239"/>
      <c r="DF148" s="239"/>
      <c r="DG148" s="239"/>
      <c r="DH148" s="239"/>
      <c r="DI148" s="239"/>
      <c r="DJ148" s="239"/>
      <c r="DK148" s="239"/>
      <c r="DL148" s="239"/>
      <c r="DM148" s="239"/>
      <c r="DN148" s="239"/>
      <c r="DO148" s="239"/>
      <c r="DP148" s="239"/>
      <c r="DQ148" s="239"/>
      <c r="DR148" s="239"/>
      <c r="DS148" s="239"/>
      <c r="DT148" s="239"/>
      <c r="DU148" s="239"/>
      <c r="DV148" s="239"/>
      <c r="DW148" s="239"/>
      <c r="DX148" s="239"/>
      <c r="DY148" s="239"/>
      <c r="DZ148" s="239"/>
      <c r="EA148" s="239"/>
      <c r="EB148" s="239"/>
      <c r="EC148" s="239"/>
      <c r="ED148" s="239"/>
      <c r="EE148" s="239"/>
      <c r="EF148" s="239"/>
      <c r="EG148" s="239"/>
      <c r="EH148" s="239"/>
      <c r="EI148" s="239"/>
      <c r="EJ148" s="239"/>
      <c r="EK148" s="239"/>
      <c r="EL148" s="239"/>
      <c r="EM148" s="239"/>
      <c r="EN148" s="239"/>
      <c r="EO148" s="239"/>
      <c r="EP148" s="239"/>
      <c r="EQ148" s="239"/>
      <c r="ER148" s="239"/>
      <c r="ES148" s="239"/>
      <c r="ET148" s="239"/>
      <c r="EU148" s="239"/>
      <c r="EV148" s="239"/>
      <c r="EW148" s="239"/>
      <c r="EX148" s="239"/>
      <c r="EY148" s="239"/>
      <c r="EZ148" s="239"/>
      <c r="FA148" s="239"/>
      <c r="FB148" s="239"/>
      <c r="FC148" s="239"/>
      <c r="FD148" s="239"/>
      <c r="FE148" s="239"/>
      <c r="FF148" s="239"/>
      <c r="FG148" s="239"/>
      <c r="FH148" s="239"/>
      <c r="FI148" s="239"/>
      <c r="FJ148" s="239"/>
      <c r="HU148" s="169"/>
      <c r="HV148" s="240"/>
      <c r="HW148" s="240"/>
      <c r="HX148" s="241"/>
      <c r="HY148" s="242"/>
      <c r="HZ148" s="242"/>
      <c r="IA148" s="242"/>
      <c r="IB148" s="243"/>
      <c r="IC148" s="243"/>
      <c r="ID148" s="243"/>
      <c r="IE148" s="243"/>
      <c r="IF148" s="243"/>
      <c r="IG148" s="243"/>
    </row>
    <row r="149" spans="1:241" outlineLevel="1" x14ac:dyDescent="0.3">
      <c r="A149" s="138" t="s">
        <v>173</v>
      </c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  <c r="BG149" s="140"/>
      <c r="BH149" s="140"/>
      <c r="BI149" s="140"/>
      <c r="BJ149" s="140"/>
      <c r="BK149" s="140"/>
      <c r="BL149" s="140"/>
      <c r="BM149" s="140"/>
      <c r="BN149" s="140"/>
      <c r="BO149" s="140"/>
      <c r="BP149" s="140"/>
      <c r="BQ149" s="140"/>
      <c r="BR149" s="140"/>
      <c r="BS149" s="140"/>
      <c r="BT149" s="140"/>
      <c r="BU149" s="140"/>
      <c r="BV149" s="140"/>
      <c r="BW149" s="140"/>
      <c r="BX149" s="140"/>
      <c r="BY149" s="140"/>
      <c r="BZ149" s="140"/>
      <c r="CA149" s="140"/>
      <c r="CB149" s="140"/>
      <c r="CC149" s="140"/>
      <c r="CD149" s="140"/>
      <c r="CE149" s="140"/>
      <c r="CF149" s="140"/>
      <c r="CG149" s="140"/>
      <c r="CH149" s="140"/>
      <c r="CI149" s="140"/>
      <c r="CJ149" s="140"/>
      <c r="CK149" s="140"/>
      <c r="CL149" s="140"/>
      <c r="CM149" s="140"/>
      <c r="CN149" s="140"/>
      <c r="CO149" s="140"/>
      <c r="CP149" s="140"/>
      <c r="CQ149" s="140"/>
      <c r="CR149" s="140"/>
      <c r="CS149" s="141"/>
      <c r="CT149" s="141"/>
      <c r="CU149" s="141"/>
      <c r="CV149" s="141"/>
      <c r="CW149" s="141"/>
      <c r="CX149" s="141"/>
      <c r="CY149" s="141"/>
      <c r="CZ149" s="141"/>
      <c r="DA149" s="141"/>
      <c r="DB149" s="141"/>
      <c r="DC149" s="141"/>
      <c r="DD149" s="141"/>
      <c r="DE149" s="141"/>
      <c r="DF149" s="141"/>
      <c r="DG149" s="141"/>
      <c r="DH149" s="141"/>
      <c r="DI149" s="141"/>
      <c r="DJ149" s="141"/>
      <c r="DK149" s="141"/>
      <c r="DL149" s="141"/>
      <c r="DM149" s="141"/>
      <c r="DN149" s="141"/>
      <c r="DO149" s="141"/>
      <c r="DP149" s="141"/>
      <c r="DQ149" s="141"/>
      <c r="DR149" s="141"/>
      <c r="DS149" s="141"/>
      <c r="DT149" s="141"/>
      <c r="DU149" s="141"/>
      <c r="DV149" s="141"/>
      <c r="DW149" s="141"/>
      <c r="DX149" s="141"/>
      <c r="DY149" s="141"/>
      <c r="DZ149" s="141"/>
      <c r="EA149" s="141"/>
      <c r="EB149" s="141"/>
      <c r="EC149" s="141"/>
      <c r="ED149" s="141"/>
      <c r="EE149" s="141"/>
      <c r="EF149" s="141"/>
      <c r="EG149" s="141"/>
      <c r="EH149" s="141"/>
      <c r="EI149" s="141"/>
      <c r="EJ149" s="141"/>
      <c r="EK149" s="141"/>
      <c r="EL149" s="141"/>
      <c r="EM149" s="141"/>
      <c r="EN149" s="141"/>
      <c r="EO149" s="141"/>
      <c r="EP149" s="141"/>
      <c r="EQ149" s="141"/>
      <c r="ER149" s="141"/>
      <c r="ES149" s="141"/>
      <c r="ET149" s="141"/>
      <c r="EU149" s="141"/>
      <c r="EV149" s="141"/>
      <c r="EW149" s="141"/>
      <c r="EX149" s="141"/>
      <c r="EY149" s="141"/>
      <c r="EZ149" s="141"/>
      <c r="FA149" s="141"/>
      <c r="FB149" s="141"/>
      <c r="FC149" s="141"/>
      <c r="FD149" s="141"/>
      <c r="FE149" s="141"/>
      <c r="FF149" s="141"/>
      <c r="FG149" s="141"/>
      <c r="FH149" s="141"/>
      <c r="FI149" s="141"/>
      <c r="FJ149" s="141"/>
      <c r="FN149" s="138"/>
      <c r="FO149" s="140"/>
      <c r="FP149" s="140"/>
      <c r="FQ149" s="140"/>
      <c r="FR149" s="140"/>
      <c r="FS149" s="140"/>
      <c r="FT149" s="140"/>
      <c r="FU149" s="140"/>
      <c r="FV149" s="140"/>
      <c r="FW149" s="140"/>
      <c r="FX149" s="140"/>
      <c r="FY149" s="140"/>
      <c r="FZ149" s="140"/>
      <c r="GA149" s="140"/>
      <c r="GB149" s="140"/>
      <c r="GC149" s="140"/>
      <c r="GD149" s="140"/>
      <c r="GE149" s="140"/>
      <c r="GF149" s="140"/>
      <c r="GG149" s="140"/>
      <c r="GH149" s="140"/>
      <c r="GI149" s="140"/>
      <c r="GJ149" s="140"/>
      <c r="GK149" s="140"/>
      <c r="GL149" s="140"/>
      <c r="GM149" s="140"/>
      <c r="GN149" s="140"/>
      <c r="GO149" s="140"/>
      <c r="GP149" s="140"/>
      <c r="GQ149" s="140"/>
      <c r="GR149" s="140"/>
      <c r="GS149" s="140"/>
      <c r="GT149" s="140"/>
      <c r="GU149" s="140"/>
      <c r="GV149" s="140"/>
      <c r="GW149" s="140"/>
      <c r="GX149" s="140"/>
      <c r="GY149" s="140"/>
      <c r="GZ149" s="140"/>
      <c r="HA149" s="140"/>
      <c r="HB149" s="140"/>
      <c r="HC149" s="140"/>
      <c r="HD149" s="140"/>
      <c r="HE149" s="140"/>
      <c r="HF149" s="140"/>
      <c r="HG149" s="140"/>
      <c r="HH149" s="140"/>
      <c r="HI149" s="140"/>
      <c r="HJ149" s="141"/>
      <c r="HK149" s="141"/>
      <c r="HL149" s="141"/>
      <c r="HM149" s="141"/>
      <c r="HN149" s="141"/>
      <c r="HO149" s="141"/>
      <c r="HP149" s="141"/>
      <c r="HQ149" s="141"/>
      <c r="HU149" s="169"/>
      <c r="HV149" s="169"/>
      <c r="HW149" s="169"/>
      <c r="HX149" s="170"/>
      <c r="HY149" s="160"/>
      <c r="HZ149" s="160"/>
      <c r="IA149" s="160"/>
      <c r="IB149" s="171"/>
      <c r="IC149" s="171"/>
      <c r="ID149" s="171"/>
      <c r="IE149" s="171"/>
      <c r="IF149" s="171"/>
      <c r="IG149" s="171"/>
    </row>
    <row r="150" spans="1:241" outlineLevel="2" x14ac:dyDescent="0.3">
      <c r="A150" s="144" t="s">
        <v>143</v>
      </c>
      <c r="B150" s="145">
        <v>8</v>
      </c>
      <c r="C150" s="145">
        <v>30</v>
      </c>
      <c r="D150" s="145">
        <v>1</v>
      </c>
      <c r="E150" s="145">
        <v>32</v>
      </c>
      <c r="F150" s="145">
        <v>0</v>
      </c>
      <c r="G150" s="145">
        <v>0</v>
      </c>
      <c r="H150" s="145">
        <v>16</v>
      </c>
      <c r="I150" s="145">
        <v>16</v>
      </c>
      <c r="J150" s="145">
        <v>0</v>
      </c>
      <c r="K150" s="145">
        <v>0</v>
      </c>
      <c r="L150" s="145">
        <v>20</v>
      </c>
      <c r="M150" s="145">
        <v>0</v>
      </c>
      <c r="N150" s="145">
        <v>0</v>
      </c>
      <c r="O150" s="145">
        <v>0</v>
      </c>
      <c r="P150" s="145">
        <v>0</v>
      </c>
      <c r="Q150" s="145">
        <v>0</v>
      </c>
      <c r="R150" s="145">
        <v>16</v>
      </c>
      <c r="S150" s="146">
        <v>19</v>
      </c>
      <c r="T150" s="146">
        <v>8</v>
      </c>
      <c r="U150" s="146">
        <v>0</v>
      </c>
      <c r="V150" s="146">
        <v>7</v>
      </c>
      <c r="W150" s="146">
        <v>0</v>
      </c>
      <c r="X150" s="146">
        <v>0</v>
      </c>
      <c r="Y150" s="146">
        <v>0</v>
      </c>
      <c r="Z150" s="146">
        <v>0</v>
      </c>
      <c r="AA150" s="146">
        <v>0</v>
      </c>
      <c r="AB150" s="146"/>
      <c r="AC150" s="146">
        <v>0</v>
      </c>
      <c r="AD150" s="146">
        <v>3</v>
      </c>
      <c r="AE150" s="146">
        <v>16</v>
      </c>
      <c r="AF150" s="146">
        <v>12</v>
      </c>
      <c r="AG150" s="146">
        <v>0</v>
      </c>
      <c r="AH150" s="146">
        <v>8</v>
      </c>
      <c r="AI150" s="146">
        <v>0</v>
      </c>
      <c r="AJ150" s="146">
        <v>0</v>
      </c>
      <c r="AK150" s="146">
        <v>0</v>
      </c>
      <c r="AL150" s="146">
        <v>28</v>
      </c>
      <c r="AM150" s="146">
        <v>0</v>
      </c>
      <c r="AN150" s="146"/>
      <c r="AO150" s="146">
        <v>0</v>
      </c>
      <c r="AP150" s="146">
        <v>0</v>
      </c>
      <c r="AQ150" s="146">
        <v>40</v>
      </c>
      <c r="AR150" s="146">
        <v>27</v>
      </c>
      <c r="AS150" s="131">
        <v>0</v>
      </c>
      <c r="AT150" s="146"/>
      <c r="AU150" s="146">
        <v>0</v>
      </c>
      <c r="AV150" s="146">
        <v>0</v>
      </c>
      <c r="AW150" s="146">
        <v>8</v>
      </c>
      <c r="AX150" s="146">
        <v>0</v>
      </c>
      <c r="AY150" s="146">
        <v>0</v>
      </c>
      <c r="AZ150" s="146">
        <v>0</v>
      </c>
      <c r="BA150" s="146">
        <v>0</v>
      </c>
      <c r="BB150" s="146">
        <v>71</v>
      </c>
      <c r="BC150" s="146">
        <v>64</v>
      </c>
      <c r="BD150" s="146">
        <v>0</v>
      </c>
      <c r="BE150" s="146">
        <v>0</v>
      </c>
      <c r="BF150" s="146">
        <v>0</v>
      </c>
      <c r="BG150" s="146">
        <v>0</v>
      </c>
      <c r="BH150" s="146">
        <v>0</v>
      </c>
      <c r="BI150" s="146">
        <v>0</v>
      </c>
      <c r="BJ150" s="146">
        <v>0</v>
      </c>
      <c r="BK150" s="147">
        <v>0</v>
      </c>
      <c r="BL150" s="147">
        <v>0</v>
      </c>
      <c r="BM150" s="147">
        <v>0</v>
      </c>
      <c r="BN150" s="147">
        <v>0</v>
      </c>
      <c r="BO150" s="147">
        <v>0</v>
      </c>
      <c r="BP150" s="147">
        <v>0</v>
      </c>
      <c r="BQ150" s="147">
        <v>0</v>
      </c>
      <c r="BR150" s="147">
        <v>0</v>
      </c>
      <c r="BS150" s="147">
        <v>0</v>
      </c>
      <c r="BT150" s="147">
        <v>0</v>
      </c>
      <c r="BU150" s="147">
        <v>0</v>
      </c>
      <c r="BV150" s="147">
        <v>0</v>
      </c>
      <c r="BW150" s="147">
        <v>0</v>
      </c>
      <c r="BX150" s="147">
        <v>0</v>
      </c>
      <c r="BY150" s="147">
        <v>0</v>
      </c>
      <c r="BZ150" s="147">
        <v>0</v>
      </c>
      <c r="CA150" s="147">
        <v>0</v>
      </c>
      <c r="CB150" s="147">
        <v>0</v>
      </c>
      <c r="CC150" s="147">
        <v>0</v>
      </c>
      <c r="CD150" s="147">
        <v>0</v>
      </c>
      <c r="CE150" s="147">
        <v>0</v>
      </c>
      <c r="CF150" s="147"/>
      <c r="CG150" s="147">
        <v>0</v>
      </c>
      <c r="CH150" s="147"/>
      <c r="CI150" s="147"/>
      <c r="CJ150" s="147"/>
      <c r="CK150" s="147"/>
      <c r="CL150" s="147"/>
      <c r="CM150" s="147">
        <v>0</v>
      </c>
      <c r="CN150" s="147">
        <v>0</v>
      </c>
      <c r="CO150" s="147">
        <v>0</v>
      </c>
      <c r="CP150" s="147"/>
      <c r="CQ150" s="147"/>
      <c r="CR150" s="147"/>
      <c r="CS150" s="148"/>
      <c r="CT150" s="148"/>
      <c r="CU150" s="148"/>
      <c r="CV150" s="148">
        <v>0</v>
      </c>
      <c r="CW150" s="148">
        <v>0</v>
      </c>
      <c r="CX150" s="148">
        <v>0</v>
      </c>
      <c r="CY150" s="148">
        <v>0</v>
      </c>
      <c r="CZ150" s="148">
        <v>0</v>
      </c>
      <c r="DA150" s="148">
        <v>0</v>
      </c>
      <c r="DB150" s="148">
        <v>0</v>
      </c>
      <c r="DC150" s="148">
        <v>0</v>
      </c>
      <c r="DD150" s="148">
        <v>0</v>
      </c>
      <c r="DE150" s="148">
        <v>0</v>
      </c>
      <c r="DF150" s="148">
        <v>0</v>
      </c>
      <c r="DG150" s="148">
        <v>0</v>
      </c>
      <c r="DH150" s="148"/>
      <c r="DI150" s="148"/>
      <c r="DJ150" s="148"/>
      <c r="DK150" s="148"/>
      <c r="DL150" s="148"/>
      <c r="DM150" s="148"/>
      <c r="DN150" s="148"/>
      <c r="DO150" s="148"/>
      <c r="DP150" s="148"/>
      <c r="DQ150" s="148"/>
      <c r="DR150" s="148"/>
      <c r="DS150" s="148"/>
      <c r="DT150" s="148"/>
      <c r="DU150" s="148"/>
      <c r="DV150" s="148"/>
      <c r="DW150" s="148"/>
      <c r="DX150" s="148"/>
      <c r="DY150" s="148"/>
      <c r="DZ150" s="148"/>
      <c r="EA150" s="148"/>
      <c r="EB150" s="148"/>
      <c r="EC150" s="148"/>
      <c r="ED150" s="148"/>
      <c r="EE150" s="148"/>
      <c r="EF150" s="148"/>
      <c r="EG150" s="148"/>
      <c r="EH150" s="148"/>
      <c r="EI150" s="148"/>
      <c r="EJ150" s="148"/>
      <c r="EK150" s="148"/>
      <c r="EL150" s="148"/>
      <c r="EM150" s="148"/>
      <c r="EN150" s="148"/>
      <c r="EO150" s="148"/>
      <c r="EP150" s="148"/>
      <c r="EQ150" s="148"/>
      <c r="ER150" s="148"/>
      <c r="ES150" s="148"/>
      <c r="ET150" s="148"/>
      <c r="EU150" s="148"/>
      <c r="EV150" s="148"/>
      <c r="EW150" s="148"/>
      <c r="EX150" s="148"/>
      <c r="EY150" s="148"/>
      <c r="EZ150" s="148"/>
      <c r="FA150" s="148"/>
      <c r="FB150" s="148"/>
      <c r="FC150" s="148"/>
      <c r="FD150" s="148"/>
      <c r="FE150" s="148"/>
      <c r="FF150" s="148"/>
      <c r="FG150" s="148"/>
      <c r="FH150" s="148"/>
      <c r="FI150" s="148"/>
      <c r="FJ150" s="148"/>
      <c r="FN150" s="151">
        <f t="shared" ref="FN150:FN165" si="413">+SUM(B150:D150)</f>
        <v>39</v>
      </c>
      <c r="FO150" s="152">
        <f t="shared" ref="FO150:FO165" si="414">+SUM(E150:G150)</f>
        <v>32</v>
      </c>
      <c r="FP150" s="152">
        <f t="shared" ref="FP150:FP165" si="415">+SUM(H150:J150)</f>
        <v>32</v>
      </c>
      <c r="FQ150" s="152">
        <f t="shared" ref="FQ150:FQ165" si="416">+SUM(K150:M150)</f>
        <v>20</v>
      </c>
      <c r="FR150" s="152">
        <f t="shared" ref="FR150:FR165" si="417">+SUM(N150:P150)</f>
        <v>0</v>
      </c>
      <c r="FS150" s="152">
        <f t="shared" ref="FS150:FS165" si="418">+SUM(Q150:S150)</f>
        <v>35</v>
      </c>
      <c r="FT150" s="152">
        <f t="shared" ref="FT150:FT165" si="419">+SUM(T150:V150)</f>
        <v>15</v>
      </c>
      <c r="FU150" s="152">
        <f t="shared" ref="FU150:FU165" si="420">+SUM(W150:Y150)</f>
        <v>0</v>
      </c>
      <c r="FV150" s="152">
        <f t="shared" ref="FV150:FV165" si="421">+SUM(Z150:AB150)</f>
        <v>0</v>
      </c>
      <c r="FW150" s="152">
        <f t="shared" ref="FW150:FW165" si="422">+SUM(AC150:AE150)</f>
        <v>19</v>
      </c>
      <c r="FX150" s="152">
        <f t="shared" ref="FX150:FX165" si="423">+SUM(AF150:AH150)</f>
        <v>20</v>
      </c>
      <c r="FY150" s="152">
        <f t="shared" ref="FY150:FY165" si="424">+SUM(AI150:AK150)</f>
        <v>0</v>
      </c>
      <c r="FZ150" s="152">
        <f t="shared" ref="FZ150:FZ165" si="425">+SUM(AL150:AN150)</f>
        <v>28</v>
      </c>
      <c r="GA150" s="152">
        <f t="shared" ref="GA150:GA165" si="426">+SUM(AO150:AQ150)</f>
        <v>40</v>
      </c>
      <c r="GB150" s="152">
        <f t="shared" ref="GB150:GB165" si="427">+SUM(AR150:AT150)</f>
        <v>27</v>
      </c>
      <c r="GC150" s="152">
        <f t="shared" ref="GC150:GC165" si="428">+SUM(AU150:AW150)</f>
        <v>8</v>
      </c>
      <c r="GD150" s="152">
        <f t="shared" ref="GD150:GD165" si="429">+SUM(AX150:AZ150)</f>
        <v>0</v>
      </c>
      <c r="GE150" s="152">
        <f t="shared" ref="GE150:GE165" si="430">+SUM(BA150:BC150)</f>
        <v>135</v>
      </c>
      <c r="GF150" s="152">
        <f t="shared" ref="GF150:GF165" si="431">+SUM(BD150:BF150)</f>
        <v>0</v>
      </c>
      <c r="GG150" s="152">
        <f t="shared" ref="GG150:GG165" si="432">+SUM(BG150:BI150)</f>
        <v>0</v>
      </c>
      <c r="GH150" s="152">
        <f t="shared" ref="GH150:GH165" si="433">+SUM(BJ150:BL150)</f>
        <v>0</v>
      </c>
      <c r="GI150" s="152">
        <f t="shared" ref="GI150:GI165" si="434">+SUM(BM150:BO150)</f>
        <v>0</v>
      </c>
      <c r="GJ150" s="152">
        <f t="shared" ref="GJ150:GJ165" si="435">+SUM(BP150:BR150)</f>
        <v>0</v>
      </c>
      <c r="GK150" s="152">
        <f t="shared" ref="GK150:GK165" si="436">+SUM(BS150:BU150)</f>
        <v>0</v>
      </c>
      <c r="GL150" s="152">
        <f t="shared" ref="GL150:GL165" si="437">+SUM(BV150:BX150)</f>
        <v>0</v>
      </c>
      <c r="GM150" s="152">
        <f t="shared" ref="GM150:GM165" si="438">+SUM(BY150:CA150)</f>
        <v>0</v>
      </c>
      <c r="GN150" s="152">
        <f t="shared" ref="GN150:GN165" si="439">+SUM(CB150:CD150)</f>
        <v>0</v>
      </c>
      <c r="GO150" s="152">
        <f t="shared" ref="GO150:GO165" si="440">+SUM(CE150:CG150)</f>
        <v>0</v>
      </c>
      <c r="GP150" s="152">
        <f t="shared" ref="GP150:GP165" si="441">+SUM(CH150:CJ150)</f>
        <v>0</v>
      </c>
      <c r="GQ150" s="152">
        <f t="shared" ref="GQ150:GQ165" si="442">+SUM(CK150:CM150)</f>
        <v>0</v>
      </c>
      <c r="GR150" s="152">
        <f t="shared" ref="GR150:GR165" si="443">+SUM(CN150:CP150)</f>
        <v>0</v>
      </c>
      <c r="GS150" s="152">
        <f t="shared" ref="GS150:GS165" si="444">+SUM(CQ150:CS150)</f>
        <v>0</v>
      </c>
      <c r="GT150" s="152">
        <f t="shared" ref="GT150:GT165" si="445">+SUM(CT150:CV150)</f>
        <v>0</v>
      </c>
      <c r="GU150" s="152">
        <f t="shared" ref="GU150:GU165" si="446">+SUM(CW150:CY150)</f>
        <v>0</v>
      </c>
      <c r="GV150" s="152">
        <f t="shared" ref="GV150:GV165" si="447">+SUM(CZ150:DB150)</f>
        <v>0</v>
      </c>
      <c r="GW150" s="152">
        <f t="shared" ref="GW150:GW165" si="448">+SUM(DC150:DE150)</f>
        <v>0</v>
      </c>
      <c r="GX150" s="152">
        <f t="shared" ref="GX150:GX165" si="449">+SUM(DF150:DH150)</f>
        <v>0</v>
      </c>
      <c r="GY150" s="152">
        <f t="shared" ref="GY150:GY165" si="450">+SUM(DI150:DK150)</f>
        <v>0</v>
      </c>
      <c r="GZ150" s="152">
        <f t="shared" ref="GZ150:GZ165" si="451">+SUM(DL150:DN150)</f>
        <v>0</v>
      </c>
      <c r="HA150" s="152">
        <f t="shared" ref="HA150:HA165" si="452">+SUM(DO150:DQ150)</f>
        <v>0</v>
      </c>
      <c r="HB150" s="152">
        <f t="shared" ref="HB150:HB165" si="453">+SUM(DR150:DT150)</f>
        <v>0</v>
      </c>
      <c r="HC150" s="152">
        <f t="shared" ref="HC150:HC165" si="454">+SUM(DU150:DW150)</f>
        <v>0</v>
      </c>
      <c r="HD150" s="152">
        <f t="shared" ref="HD150:HD165" si="455">+SUM(DX150:DZ150)</f>
        <v>0</v>
      </c>
      <c r="HE150" s="152">
        <f t="shared" ref="HE150:HE165" si="456">+SUM(EA150:EC150)</f>
        <v>0</v>
      </c>
      <c r="HF150" s="152">
        <f t="shared" ref="HF150:HF165" si="457">+SUM(ED150:EF150)</f>
        <v>0</v>
      </c>
      <c r="HG150" s="152">
        <f t="shared" ref="HG150:HG165" si="458">+SUM(EG150:EI150)</f>
        <v>0</v>
      </c>
      <c r="HH150" s="152">
        <f t="shared" ref="HH150:HH165" si="459">+SUM(EJ150:EL150)</f>
        <v>0</v>
      </c>
      <c r="HI150" s="152">
        <f t="shared" ref="HI150:HI165" si="460">+SUM(EM150:EO150)</f>
        <v>0</v>
      </c>
      <c r="HJ150" s="153">
        <f t="shared" ref="HJ150:HJ165" si="461">SUM(EP150:ER150)</f>
        <v>0</v>
      </c>
      <c r="HK150" s="153">
        <f t="shared" ref="HK150:HK165" si="462">SUM(ES150:EU150)</f>
        <v>0</v>
      </c>
      <c r="HL150" s="153">
        <f t="shared" ref="HL150:HL165" si="463">SUM(EV150:EX150)</f>
        <v>0</v>
      </c>
      <c r="HM150" s="153">
        <f t="shared" ref="HM150:HM165" si="464">SUM(EY150:FA150)</f>
        <v>0</v>
      </c>
      <c r="HN150" s="153">
        <f t="shared" ref="HN150:HN165" si="465">SUM(FB150:FD150)</f>
        <v>0</v>
      </c>
      <c r="HO150" s="153">
        <f t="shared" ref="HO150:HO165" si="466">SUM(FE150:FG150)</f>
        <v>0</v>
      </c>
      <c r="HP150" s="153">
        <f t="shared" ref="HP150:HP165" si="467">SUM(FH150:FJ150)</f>
        <v>0</v>
      </c>
      <c r="HQ150" s="101"/>
      <c r="HU150" s="155">
        <f t="shared" ref="HU150:HU200" si="468">SUM(B150:M150)</f>
        <v>123</v>
      </c>
      <c r="HV150" s="155">
        <f t="shared" ref="HV150:HV200" si="469">SUM(N150:Y150)</f>
        <v>50</v>
      </c>
      <c r="HW150" s="155">
        <f t="shared" ref="HW150:HW200" si="470">SUM(Z150:AK150)</f>
        <v>39</v>
      </c>
      <c r="HX150" s="156">
        <f t="shared" ref="HX150:HX200" si="471">SUM(AL150:AW150)</f>
        <v>103</v>
      </c>
      <c r="HY150" s="146">
        <f t="shared" ref="HY150:HY200" si="472">SUM(AX150:BI150)</f>
        <v>135</v>
      </c>
      <c r="HZ150" s="146">
        <f t="shared" ref="HZ150:HZ200" si="473">SUM(BJ150:BU150)</f>
        <v>0</v>
      </c>
      <c r="IA150" s="146">
        <f t="shared" ref="IA150:IA200" si="474">SUM(BV150:CG150)</f>
        <v>0</v>
      </c>
      <c r="IB150" s="157">
        <f t="shared" ref="IB150:IB200" si="475">SUM(CH150:CS150)</f>
        <v>0</v>
      </c>
      <c r="IC150" s="157">
        <f t="shared" ref="IC150:IC200" si="476">SUM(CT150:DE150)</f>
        <v>0</v>
      </c>
      <c r="ID150" s="157">
        <f t="shared" ref="ID150:ID200" si="477">SUM(DF150:DQ150)</f>
        <v>0</v>
      </c>
      <c r="IE150" s="157">
        <f t="shared" ref="IE150:IE200" si="478">SUM(DR150:EC150)</f>
        <v>0</v>
      </c>
      <c r="IF150" s="157">
        <f t="shared" ref="IF150:IF200" si="479">SUM(ED150:EO150)</f>
        <v>0</v>
      </c>
      <c r="IG150" s="157">
        <f t="shared" ref="IG150:IG200" si="480">SUM(EP150:FA150)</f>
        <v>0</v>
      </c>
    </row>
    <row r="151" spans="1:241" outlineLevel="2" x14ac:dyDescent="0.3">
      <c r="A151" s="158" t="s">
        <v>144</v>
      </c>
      <c r="B151" s="159">
        <v>2368</v>
      </c>
      <c r="C151" s="159">
        <v>1693</v>
      </c>
      <c r="D151" s="159">
        <v>1024</v>
      </c>
      <c r="E151" s="159">
        <v>2087</v>
      </c>
      <c r="F151" s="159">
        <v>2512</v>
      </c>
      <c r="G151" s="159">
        <v>1624</v>
      </c>
      <c r="H151" s="159">
        <v>3371</v>
      </c>
      <c r="I151" s="159">
        <v>4211</v>
      </c>
      <c r="J151" s="159">
        <v>4382</v>
      </c>
      <c r="K151" s="159">
        <v>1053</v>
      </c>
      <c r="L151" s="159">
        <v>2763</v>
      </c>
      <c r="M151" s="159">
        <v>2228</v>
      </c>
      <c r="N151" s="159">
        <v>3267</v>
      </c>
      <c r="O151" s="159">
        <v>1968</v>
      </c>
      <c r="P151" s="159">
        <v>1263</v>
      </c>
      <c r="Q151" s="159">
        <v>2563</v>
      </c>
      <c r="R151" s="159">
        <v>2278</v>
      </c>
      <c r="S151" s="160">
        <v>2151</v>
      </c>
      <c r="T151" s="160">
        <v>4267</v>
      </c>
      <c r="U151" s="160">
        <v>2566</v>
      </c>
      <c r="V151" s="160">
        <v>3270</v>
      </c>
      <c r="W151" s="160">
        <v>2059</v>
      </c>
      <c r="X151" s="160">
        <v>2341</v>
      </c>
      <c r="Y151" s="160">
        <v>2599</v>
      </c>
      <c r="Z151" s="160">
        <v>2500</v>
      </c>
      <c r="AA151" s="160">
        <v>1700</v>
      </c>
      <c r="AB151" s="160">
        <v>1365</v>
      </c>
      <c r="AC151" s="160">
        <v>2564</v>
      </c>
      <c r="AD151" s="160">
        <v>3292</v>
      </c>
      <c r="AE151" s="160">
        <v>2306</v>
      </c>
      <c r="AF151" s="160">
        <v>1170</v>
      </c>
      <c r="AG151" s="160">
        <v>1848</v>
      </c>
      <c r="AH151" s="160">
        <v>3365</v>
      </c>
      <c r="AI151" s="160">
        <v>1006</v>
      </c>
      <c r="AJ151" s="160">
        <v>1829</v>
      </c>
      <c r="AK151" s="160">
        <v>3580</v>
      </c>
      <c r="AL151" s="160">
        <v>3226</v>
      </c>
      <c r="AM151" s="160">
        <v>2136</v>
      </c>
      <c r="AN151" s="160">
        <v>762</v>
      </c>
      <c r="AO151" s="160">
        <v>1930</v>
      </c>
      <c r="AP151" s="160">
        <v>2373</v>
      </c>
      <c r="AQ151" s="160">
        <v>4715</v>
      </c>
      <c r="AR151" s="160">
        <v>1600</v>
      </c>
      <c r="AS151" s="161">
        <v>1111</v>
      </c>
      <c r="AT151" s="160">
        <v>1751</v>
      </c>
      <c r="AU151" s="160">
        <v>909</v>
      </c>
      <c r="AV151" s="160">
        <v>3514</v>
      </c>
      <c r="AW151" s="160">
        <v>3488</v>
      </c>
      <c r="AX151" s="160">
        <v>3760</v>
      </c>
      <c r="AY151" s="160">
        <v>3153</v>
      </c>
      <c r="AZ151" s="160">
        <v>4032</v>
      </c>
      <c r="BA151" s="160">
        <v>3949</v>
      </c>
      <c r="BB151" s="160">
        <v>9838</v>
      </c>
      <c r="BC151" s="160">
        <v>6735</v>
      </c>
      <c r="BD151" s="160">
        <v>7753</v>
      </c>
      <c r="BE151" s="160">
        <v>6303</v>
      </c>
      <c r="BF151" s="160">
        <v>11630</v>
      </c>
      <c r="BG151" s="160">
        <v>4695</v>
      </c>
      <c r="BH151" s="160">
        <v>8788</v>
      </c>
      <c r="BI151" s="160">
        <v>8294</v>
      </c>
      <c r="BJ151" s="160">
        <v>9719</v>
      </c>
      <c r="BK151" s="162">
        <v>9118</v>
      </c>
      <c r="BL151" s="162">
        <v>6027</v>
      </c>
      <c r="BM151" s="162">
        <v>8201</v>
      </c>
      <c r="BN151" s="162">
        <v>2143</v>
      </c>
      <c r="BO151" s="162">
        <v>7204</v>
      </c>
      <c r="BP151" s="162">
        <v>8748</v>
      </c>
      <c r="BQ151" s="162">
        <v>7035</v>
      </c>
      <c r="BR151" s="162">
        <v>10143</v>
      </c>
      <c r="BS151" s="162">
        <v>6339</v>
      </c>
      <c r="BT151" s="162">
        <v>8618</v>
      </c>
      <c r="BU151" s="162">
        <v>7254</v>
      </c>
      <c r="BV151" s="162">
        <v>573</v>
      </c>
      <c r="BW151" s="162">
        <v>7526</v>
      </c>
      <c r="BX151" s="162">
        <v>6748</v>
      </c>
      <c r="BY151" s="162">
        <v>8636</v>
      </c>
      <c r="BZ151" s="162">
        <v>5560</v>
      </c>
      <c r="CA151" s="162">
        <v>5889</v>
      </c>
      <c r="CB151" s="162">
        <v>5848</v>
      </c>
      <c r="CC151" s="162">
        <v>4622</v>
      </c>
      <c r="CD151" s="162">
        <v>8603</v>
      </c>
      <c r="CE151" s="162">
        <v>5243</v>
      </c>
      <c r="CF151" s="162">
        <v>2277</v>
      </c>
      <c r="CG151" s="162">
        <v>9730</v>
      </c>
      <c r="CH151" s="162">
        <v>3498</v>
      </c>
      <c r="CI151" s="162">
        <v>5944</v>
      </c>
      <c r="CJ151" s="162">
        <v>5101</v>
      </c>
      <c r="CK151" s="162">
        <v>4772</v>
      </c>
      <c r="CL151" s="162">
        <v>6840</v>
      </c>
      <c r="CM151" s="162">
        <v>7102</v>
      </c>
      <c r="CN151" s="162">
        <v>1995</v>
      </c>
      <c r="CO151" s="162">
        <v>2790</v>
      </c>
      <c r="CP151" s="162">
        <v>2538</v>
      </c>
      <c r="CQ151" s="176">
        <v>537</v>
      </c>
      <c r="CR151" s="162">
        <v>1435</v>
      </c>
      <c r="CS151" s="163">
        <v>495</v>
      </c>
      <c r="CT151" s="163"/>
      <c r="CU151" s="163">
        <v>0</v>
      </c>
      <c r="CV151" s="163">
        <v>782</v>
      </c>
      <c r="CW151" s="163">
        <v>0</v>
      </c>
      <c r="CX151" s="163">
        <v>2008</v>
      </c>
      <c r="CY151" s="163">
        <v>541</v>
      </c>
      <c r="CZ151" s="163">
        <v>61</v>
      </c>
      <c r="DA151" s="163">
        <v>0</v>
      </c>
      <c r="DB151" s="163">
        <v>6</v>
      </c>
      <c r="DC151" s="163">
        <v>720</v>
      </c>
      <c r="DD151" s="163">
        <v>114</v>
      </c>
      <c r="DE151" s="163">
        <v>591</v>
      </c>
      <c r="DF151" s="163">
        <v>519</v>
      </c>
      <c r="DG151" s="163">
        <v>0</v>
      </c>
      <c r="DH151" s="163">
        <v>518</v>
      </c>
      <c r="DI151" s="163">
        <v>606</v>
      </c>
      <c r="DJ151" s="163">
        <v>997</v>
      </c>
      <c r="DK151" s="163"/>
      <c r="DL151" s="163"/>
      <c r="DM151" s="163"/>
      <c r="DN151" s="163"/>
      <c r="DO151" s="163"/>
      <c r="DP151" s="163"/>
      <c r="DQ151" s="163"/>
      <c r="DR151" s="163"/>
      <c r="DS151" s="163"/>
      <c r="DT151" s="163"/>
      <c r="DU151" s="163"/>
      <c r="DV151" s="163"/>
      <c r="DW151" s="163"/>
      <c r="DX151" s="163"/>
      <c r="DY151" s="163"/>
      <c r="DZ151" s="163"/>
      <c r="EA151" s="163"/>
      <c r="EB151" s="163"/>
      <c r="EC151" s="163"/>
      <c r="ED151" s="163"/>
      <c r="EE151" s="163"/>
      <c r="EF151" s="163"/>
      <c r="EG151" s="163"/>
      <c r="EH151" s="163"/>
      <c r="EI151" s="163"/>
      <c r="EJ151" s="163"/>
      <c r="EK151" s="163"/>
      <c r="EL151" s="163"/>
      <c r="EM151" s="163"/>
      <c r="EN151" s="163"/>
      <c r="EO151" s="163"/>
      <c r="EP151" s="163"/>
      <c r="EQ151" s="163"/>
      <c r="ER151" s="163"/>
      <c r="ES151" s="163"/>
      <c r="ET151" s="163"/>
      <c r="EU151" s="163"/>
      <c r="EV151" s="163"/>
      <c r="EW151" s="163"/>
      <c r="EX151" s="163"/>
      <c r="EY151" s="163"/>
      <c r="EZ151" s="163"/>
      <c r="FA151" s="163"/>
      <c r="FB151" s="163"/>
      <c r="FC151" s="163"/>
      <c r="FD151" s="163"/>
      <c r="FE151" s="163"/>
      <c r="FF151" s="163"/>
      <c r="FG151" s="163"/>
      <c r="FH151" s="163"/>
      <c r="FI151" s="163"/>
      <c r="FJ151" s="163"/>
      <c r="FN151" s="165">
        <f t="shared" si="413"/>
        <v>5085</v>
      </c>
      <c r="FO151" s="166">
        <f t="shared" si="414"/>
        <v>6223</v>
      </c>
      <c r="FP151" s="166">
        <f t="shared" si="415"/>
        <v>11964</v>
      </c>
      <c r="FQ151" s="166">
        <f t="shared" si="416"/>
        <v>6044</v>
      </c>
      <c r="FR151" s="166">
        <f t="shared" si="417"/>
        <v>6498</v>
      </c>
      <c r="FS151" s="166">
        <f t="shared" si="418"/>
        <v>6992</v>
      </c>
      <c r="FT151" s="166">
        <f t="shared" si="419"/>
        <v>10103</v>
      </c>
      <c r="FU151" s="166">
        <f t="shared" si="420"/>
        <v>6999</v>
      </c>
      <c r="FV151" s="166">
        <f t="shared" si="421"/>
        <v>5565</v>
      </c>
      <c r="FW151" s="166">
        <f t="shared" si="422"/>
        <v>8162</v>
      </c>
      <c r="FX151" s="166">
        <f t="shared" si="423"/>
        <v>6383</v>
      </c>
      <c r="FY151" s="166">
        <f t="shared" si="424"/>
        <v>6415</v>
      </c>
      <c r="FZ151" s="166">
        <f t="shared" si="425"/>
        <v>6124</v>
      </c>
      <c r="GA151" s="166">
        <f t="shared" si="426"/>
        <v>9018</v>
      </c>
      <c r="GB151" s="166">
        <f t="shared" si="427"/>
        <v>4462</v>
      </c>
      <c r="GC151" s="166">
        <f t="shared" si="428"/>
        <v>7911</v>
      </c>
      <c r="GD151" s="166">
        <f t="shared" si="429"/>
        <v>10945</v>
      </c>
      <c r="GE151" s="166">
        <f t="shared" si="430"/>
        <v>20522</v>
      </c>
      <c r="GF151" s="166">
        <f t="shared" si="431"/>
        <v>25686</v>
      </c>
      <c r="GG151" s="166">
        <f t="shared" si="432"/>
        <v>21777</v>
      </c>
      <c r="GH151" s="166">
        <f t="shared" si="433"/>
        <v>24864</v>
      </c>
      <c r="GI151" s="166">
        <f t="shared" si="434"/>
        <v>17548</v>
      </c>
      <c r="GJ151" s="166">
        <f t="shared" si="435"/>
        <v>25926</v>
      </c>
      <c r="GK151" s="166">
        <f t="shared" si="436"/>
        <v>22211</v>
      </c>
      <c r="GL151" s="166">
        <f t="shared" si="437"/>
        <v>14847</v>
      </c>
      <c r="GM151" s="166">
        <f t="shared" si="438"/>
        <v>20085</v>
      </c>
      <c r="GN151" s="166">
        <f t="shared" si="439"/>
        <v>19073</v>
      </c>
      <c r="GO151" s="166">
        <f t="shared" si="440"/>
        <v>17250</v>
      </c>
      <c r="GP151" s="166">
        <f t="shared" si="441"/>
        <v>14543</v>
      </c>
      <c r="GQ151" s="166">
        <f t="shared" si="442"/>
        <v>18714</v>
      </c>
      <c r="GR151" s="166">
        <f t="shared" si="443"/>
        <v>7323</v>
      </c>
      <c r="GS151" s="166">
        <f t="shared" si="444"/>
        <v>2467</v>
      </c>
      <c r="GT151" s="166">
        <f t="shared" si="445"/>
        <v>782</v>
      </c>
      <c r="GU151" s="166">
        <f t="shared" si="446"/>
        <v>2549</v>
      </c>
      <c r="GV151" s="166">
        <f t="shared" si="447"/>
        <v>67</v>
      </c>
      <c r="GW151" s="166">
        <f t="shared" si="448"/>
        <v>1425</v>
      </c>
      <c r="GX151" s="166">
        <f t="shared" si="449"/>
        <v>1037</v>
      </c>
      <c r="GY151" s="166">
        <f t="shared" si="450"/>
        <v>1603</v>
      </c>
      <c r="GZ151" s="166">
        <f t="shared" si="451"/>
        <v>0</v>
      </c>
      <c r="HA151" s="166">
        <f t="shared" si="452"/>
        <v>0</v>
      </c>
      <c r="HB151" s="166">
        <f t="shared" si="453"/>
        <v>0</v>
      </c>
      <c r="HC151" s="166">
        <f t="shared" si="454"/>
        <v>0</v>
      </c>
      <c r="HD151" s="166">
        <f t="shared" si="455"/>
        <v>0</v>
      </c>
      <c r="HE151" s="166">
        <f t="shared" si="456"/>
        <v>0</v>
      </c>
      <c r="HF151" s="166">
        <f t="shared" si="457"/>
        <v>0</v>
      </c>
      <c r="HG151" s="166">
        <f t="shared" si="458"/>
        <v>0</v>
      </c>
      <c r="HH151" s="166">
        <f t="shared" si="459"/>
        <v>0</v>
      </c>
      <c r="HI151" s="166">
        <f t="shared" si="460"/>
        <v>0</v>
      </c>
      <c r="HJ151" s="167">
        <f t="shared" si="461"/>
        <v>0</v>
      </c>
      <c r="HK151" s="167">
        <f t="shared" si="462"/>
        <v>0</v>
      </c>
      <c r="HL151" s="167">
        <f t="shared" si="463"/>
        <v>0</v>
      </c>
      <c r="HM151" s="167">
        <f t="shared" si="464"/>
        <v>0</v>
      </c>
      <c r="HN151" s="167">
        <f t="shared" si="465"/>
        <v>0</v>
      </c>
      <c r="HO151" s="167">
        <f t="shared" si="466"/>
        <v>0</v>
      </c>
      <c r="HP151" s="167">
        <f t="shared" si="467"/>
        <v>0</v>
      </c>
      <c r="HQ151" s="168"/>
      <c r="HU151" s="169">
        <f t="shared" si="468"/>
        <v>29316</v>
      </c>
      <c r="HV151" s="169">
        <f t="shared" si="469"/>
        <v>30592</v>
      </c>
      <c r="HW151" s="169">
        <f t="shared" si="470"/>
        <v>26525</v>
      </c>
      <c r="HX151" s="170">
        <f t="shared" si="471"/>
        <v>27515</v>
      </c>
      <c r="HY151" s="160">
        <f t="shared" si="472"/>
        <v>78930</v>
      </c>
      <c r="HZ151" s="160">
        <f t="shared" si="473"/>
        <v>90549</v>
      </c>
      <c r="IA151" s="160">
        <f t="shared" si="474"/>
        <v>71255</v>
      </c>
      <c r="IB151" s="171">
        <f t="shared" si="475"/>
        <v>43047</v>
      </c>
      <c r="IC151" s="171">
        <f t="shared" si="476"/>
        <v>4823</v>
      </c>
      <c r="ID151" s="171">
        <f t="shared" si="477"/>
        <v>2640</v>
      </c>
      <c r="IE151" s="171">
        <f t="shared" si="478"/>
        <v>0</v>
      </c>
      <c r="IF151" s="171">
        <f t="shared" si="479"/>
        <v>0</v>
      </c>
      <c r="IG151" s="171">
        <f t="shared" si="480"/>
        <v>0</v>
      </c>
    </row>
    <row r="152" spans="1:241" outlineLevel="2" x14ac:dyDescent="0.3">
      <c r="A152" s="144" t="s">
        <v>145</v>
      </c>
      <c r="B152" s="145">
        <v>75</v>
      </c>
      <c r="C152" s="145">
        <v>21</v>
      </c>
      <c r="D152" s="145">
        <v>13</v>
      </c>
      <c r="E152" s="145">
        <v>28</v>
      </c>
      <c r="F152" s="145">
        <v>63</v>
      </c>
      <c r="G152" s="145">
        <v>4</v>
      </c>
      <c r="H152" s="145">
        <v>5</v>
      </c>
      <c r="I152" s="145">
        <v>8</v>
      </c>
      <c r="J152" s="145">
        <v>19</v>
      </c>
      <c r="K152" s="145">
        <v>0</v>
      </c>
      <c r="L152" s="145">
        <v>0</v>
      </c>
      <c r="M152" s="145">
        <v>0</v>
      </c>
      <c r="N152" s="145">
        <v>0</v>
      </c>
      <c r="O152" s="145">
        <v>0</v>
      </c>
      <c r="P152" s="145">
        <v>0</v>
      </c>
      <c r="Q152" s="145">
        <v>0</v>
      </c>
      <c r="R152" s="145">
        <v>0</v>
      </c>
      <c r="S152" s="146">
        <v>0</v>
      </c>
      <c r="T152" s="146">
        <v>0</v>
      </c>
      <c r="U152" s="146">
        <v>0</v>
      </c>
      <c r="V152" s="146">
        <v>0</v>
      </c>
      <c r="W152" s="146">
        <v>0</v>
      </c>
      <c r="X152" s="146">
        <v>0</v>
      </c>
      <c r="Y152" s="146">
        <v>0</v>
      </c>
      <c r="Z152" s="146">
        <v>0</v>
      </c>
      <c r="AA152" s="146">
        <v>0</v>
      </c>
      <c r="AB152" s="146">
        <v>7</v>
      </c>
      <c r="AC152" s="146">
        <v>6</v>
      </c>
      <c r="AD152" s="146">
        <v>0</v>
      </c>
      <c r="AE152" s="146">
        <v>0</v>
      </c>
      <c r="AF152" s="146">
        <v>160</v>
      </c>
      <c r="AG152" s="146">
        <v>150</v>
      </c>
      <c r="AH152" s="146">
        <v>483</v>
      </c>
      <c r="AI152" s="146">
        <v>257</v>
      </c>
      <c r="AJ152" s="146">
        <v>514</v>
      </c>
      <c r="AK152" s="146">
        <v>434</v>
      </c>
      <c r="AL152" s="146">
        <v>191</v>
      </c>
      <c r="AM152" s="146">
        <v>399</v>
      </c>
      <c r="AN152" s="146">
        <v>390</v>
      </c>
      <c r="AO152" s="146">
        <v>310</v>
      </c>
      <c r="AP152" s="146">
        <v>120</v>
      </c>
      <c r="AQ152" s="146">
        <v>1770</v>
      </c>
      <c r="AR152" s="146">
        <v>4973</v>
      </c>
      <c r="AS152" s="131">
        <v>3940</v>
      </c>
      <c r="AT152" s="146">
        <v>7165</v>
      </c>
      <c r="AU152" s="146">
        <v>5701</v>
      </c>
      <c r="AV152" s="146">
        <v>5131</v>
      </c>
      <c r="AW152" s="146">
        <v>6992</v>
      </c>
      <c r="AX152" s="146">
        <v>5537</v>
      </c>
      <c r="AY152" s="146">
        <v>1680</v>
      </c>
      <c r="AZ152" s="146">
        <v>2834</v>
      </c>
      <c r="BA152" s="146">
        <v>6909</v>
      </c>
      <c r="BB152" s="146">
        <v>7044</v>
      </c>
      <c r="BC152" s="146">
        <v>6643</v>
      </c>
      <c r="BD152" s="146">
        <v>5985</v>
      </c>
      <c r="BE152" s="146">
        <v>6181</v>
      </c>
      <c r="BF152" s="146">
        <v>7504</v>
      </c>
      <c r="BG152" s="146">
        <v>8004</v>
      </c>
      <c r="BH152" s="146">
        <v>6300</v>
      </c>
      <c r="BI152" s="146">
        <v>6146</v>
      </c>
      <c r="BJ152" s="146">
        <v>7667</v>
      </c>
      <c r="BK152" s="147">
        <v>8297</v>
      </c>
      <c r="BL152" s="147">
        <v>5305</v>
      </c>
      <c r="BM152" s="147">
        <v>7941</v>
      </c>
      <c r="BN152" s="147">
        <v>7609</v>
      </c>
      <c r="BO152" s="147">
        <v>8403</v>
      </c>
      <c r="BP152" s="147">
        <v>6516</v>
      </c>
      <c r="BQ152" s="147">
        <v>4884</v>
      </c>
      <c r="BR152" s="147">
        <v>4085</v>
      </c>
      <c r="BS152" s="147">
        <v>8239</v>
      </c>
      <c r="BT152" s="147">
        <v>7698</v>
      </c>
      <c r="BU152" s="147">
        <v>6496</v>
      </c>
      <c r="BV152" s="147">
        <v>7294</v>
      </c>
      <c r="BW152" s="147">
        <v>6801</v>
      </c>
      <c r="BX152" s="147">
        <v>6448</v>
      </c>
      <c r="BY152" s="147">
        <v>7217</v>
      </c>
      <c r="BZ152" s="147">
        <v>7221</v>
      </c>
      <c r="CA152" s="147">
        <v>5830</v>
      </c>
      <c r="CB152" s="147">
        <v>6371</v>
      </c>
      <c r="CC152" s="147">
        <v>4474</v>
      </c>
      <c r="CD152" s="147">
        <v>5406</v>
      </c>
      <c r="CE152" s="147">
        <v>7150</v>
      </c>
      <c r="CF152" s="147">
        <v>6674</v>
      </c>
      <c r="CG152" s="147">
        <v>6444</v>
      </c>
      <c r="CH152" s="147">
        <v>6605</v>
      </c>
      <c r="CI152" s="147">
        <v>7118</v>
      </c>
      <c r="CJ152" s="147">
        <v>6265</v>
      </c>
      <c r="CK152" s="147">
        <v>6854</v>
      </c>
      <c r="CL152" s="147">
        <v>7587</v>
      </c>
      <c r="CM152" s="173">
        <v>5667</v>
      </c>
      <c r="CN152" s="173">
        <v>5548</v>
      </c>
      <c r="CO152" s="173">
        <v>5000</v>
      </c>
      <c r="CP152" s="173">
        <v>4219</v>
      </c>
      <c r="CQ152" s="173">
        <v>6559</v>
      </c>
      <c r="CR152" s="147">
        <v>4991</v>
      </c>
      <c r="CS152" s="174">
        <v>3520</v>
      </c>
      <c r="CT152" s="174"/>
      <c r="CU152" s="174">
        <v>707</v>
      </c>
      <c r="CV152" s="174">
        <v>2479</v>
      </c>
      <c r="CW152" s="174">
        <v>4595</v>
      </c>
      <c r="CX152" s="174">
        <v>3859</v>
      </c>
      <c r="CY152" s="174">
        <v>4990</v>
      </c>
      <c r="CZ152" s="174">
        <v>5075</v>
      </c>
      <c r="DA152" s="174">
        <v>4109</v>
      </c>
      <c r="DB152" s="174">
        <v>2805</v>
      </c>
      <c r="DC152" s="174"/>
      <c r="DD152" s="174"/>
      <c r="DE152" s="174"/>
      <c r="DF152" s="174"/>
      <c r="DG152" s="174"/>
      <c r="DH152" s="174"/>
      <c r="DI152" s="174"/>
      <c r="DJ152" s="174"/>
      <c r="DK152" s="174"/>
      <c r="DL152" s="174"/>
      <c r="DM152" s="174"/>
      <c r="DN152" s="174"/>
      <c r="DO152" s="174"/>
      <c r="DP152" s="174"/>
      <c r="DQ152" s="174"/>
      <c r="DR152" s="174"/>
      <c r="DS152" s="174"/>
      <c r="DT152" s="174"/>
      <c r="DU152" s="174"/>
      <c r="DV152" s="174"/>
      <c r="DW152" s="174"/>
      <c r="DX152" s="174"/>
      <c r="DY152" s="174"/>
      <c r="DZ152" s="174"/>
      <c r="EA152" s="174"/>
      <c r="EB152" s="174"/>
      <c r="EC152" s="174"/>
      <c r="ED152" s="174"/>
      <c r="EE152" s="174"/>
      <c r="EF152" s="174"/>
      <c r="EG152" s="174"/>
      <c r="EH152" s="174"/>
      <c r="EI152" s="174"/>
      <c r="EJ152" s="174"/>
      <c r="EK152" s="174"/>
      <c r="EL152" s="174"/>
      <c r="EM152" s="174"/>
      <c r="EN152" s="174"/>
      <c r="EO152" s="174"/>
      <c r="EP152" s="174"/>
      <c r="EQ152" s="174"/>
      <c r="ER152" s="174"/>
      <c r="ES152" s="174"/>
      <c r="ET152" s="174"/>
      <c r="EU152" s="174"/>
      <c r="EV152" s="174"/>
      <c r="EW152" s="174"/>
      <c r="EX152" s="174"/>
      <c r="EY152" s="174"/>
      <c r="EZ152" s="174"/>
      <c r="FA152" s="174"/>
      <c r="FB152" s="174"/>
      <c r="FC152" s="174"/>
      <c r="FD152" s="174"/>
      <c r="FE152" s="174"/>
      <c r="FF152" s="174"/>
      <c r="FG152" s="174"/>
      <c r="FH152" s="174"/>
      <c r="FI152" s="174"/>
      <c r="FJ152" s="174"/>
      <c r="FN152" s="151">
        <f t="shared" si="413"/>
        <v>109</v>
      </c>
      <c r="FO152" s="152">
        <f t="shared" si="414"/>
        <v>95</v>
      </c>
      <c r="FP152" s="152">
        <f t="shared" si="415"/>
        <v>32</v>
      </c>
      <c r="FQ152" s="152">
        <f t="shared" si="416"/>
        <v>0</v>
      </c>
      <c r="FR152" s="152">
        <f t="shared" si="417"/>
        <v>0</v>
      </c>
      <c r="FS152" s="152">
        <f t="shared" si="418"/>
        <v>0</v>
      </c>
      <c r="FT152" s="152">
        <f t="shared" si="419"/>
        <v>0</v>
      </c>
      <c r="FU152" s="152">
        <f t="shared" si="420"/>
        <v>0</v>
      </c>
      <c r="FV152" s="152">
        <f t="shared" si="421"/>
        <v>7</v>
      </c>
      <c r="FW152" s="152">
        <f t="shared" si="422"/>
        <v>6</v>
      </c>
      <c r="FX152" s="152">
        <f t="shared" si="423"/>
        <v>793</v>
      </c>
      <c r="FY152" s="152">
        <f t="shared" si="424"/>
        <v>1205</v>
      </c>
      <c r="FZ152" s="152">
        <f t="shared" si="425"/>
        <v>980</v>
      </c>
      <c r="GA152" s="152">
        <f t="shared" si="426"/>
        <v>2200</v>
      </c>
      <c r="GB152" s="152">
        <f t="shared" si="427"/>
        <v>16078</v>
      </c>
      <c r="GC152" s="152">
        <f t="shared" si="428"/>
        <v>17824</v>
      </c>
      <c r="GD152" s="152">
        <f t="shared" si="429"/>
        <v>10051</v>
      </c>
      <c r="GE152" s="152">
        <f t="shared" si="430"/>
        <v>20596</v>
      </c>
      <c r="GF152" s="152">
        <f t="shared" si="431"/>
        <v>19670</v>
      </c>
      <c r="GG152" s="152">
        <f t="shared" si="432"/>
        <v>20450</v>
      </c>
      <c r="GH152" s="152">
        <f t="shared" si="433"/>
        <v>21269</v>
      </c>
      <c r="GI152" s="152">
        <f t="shared" si="434"/>
        <v>23953</v>
      </c>
      <c r="GJ152" s="152">
        <f t="shared" si="435"/>
        <v>15485</v>
      </c>
      <c r="GK152" s="152">
        <f t="shared" si="436"/>
        <v>22433</v>
      </c>
      <c r="GL152" s="152">
        <f t="shared" si="437"/>
        <v>20543</v>
      </c>
      <c r="GM152" s="152">
        <f t="shared" si="438"/>
        <v>20268</v>
      </c>
      <c r="GN152" s="152">
        <f t="shared" si="439"/>
        <v>16251</v>
      </c>
      <c r="GO152" s="152">
        <f t="shared" si="440"/>
        <v>20268</v>
      </c>
      <c r="GP152" s="152">
        <f t="shared" si="441"/>
        <v>19988</v>
      </c>
      <c r="GQ152" s="152">
        <f t="shared" si="442"/>
        <v>20108</v>
      </c>
      <c r="GR152" s="152">
        <f t="shared" si="443"/>
        <v>14767</v>
      </c>
      <c r="GS152" s="152">
        <f t="shared" si="444"/>
        <v>15070</v>
      </c>
      <c r="GT152" s="152">
        <f t="shared" si="445"/>
        <v>3186</v>
      </c>
      <c r="GU152" s="152">
        <f t="shared" si="446"/>
        <v>13444</v>
      </c>
      <c r="GV152" s="152">
        <f t="shared" si="447"/>
        <v>11989</v>
      </c>
      <c r="GW152" s="152">
        <f t="shared" si="448"/>
        <v>0</v>
      </c>
      <c r="GX152" s="152">
        <f t="shared" si="449"/>
        <v>0</v>
      </c>
      <c r="GY152" s="152">
        <f t="shared" si="450"/>
        <v>0</v>
      </c>
      <c r="GZ152" s="152">
        <f t="shared" si="451"/>
        <v>0</v>
      </c>
      <c r="HA152" s="152">
        <f t="shared" si="452"/>
        <v>0</v>
      </c>
      <c r="HB152" s="152">
        <f t="shared" si="453"/>
        <v>0</v>
      </c>
      <c r="HC152" s="152">
        <f t="shared" si="454"/>
        <v>0</v>
      </c>
      <c r="HD152" s="152">
        <f t="shared" si="455"/>
        <v>0</v>
      </c>
      <c r="HE152" s="152">
        <f t="shared" si="456"/>
        <v>0</v>
      </c>
      <c r="HF152" s="152">
        <f t="shared" si="457"/>
        <v>0</v>
      </c>
      <c r="HG152" s="152">
        <f t="shared" si="458"/>
        <v>0</v>
      </c>
      <c r="HH152" s="152">
        <f t="shared" si="459"/>
        <v>0</v>
      </c>
      <c r="HI152" s="152">
        <f t="shared" si="460"/>
        <v>0</v>
      </c>
      <c r="HJ152" s="153">
        <f t="shared" si="461"/>
        <v>0</v>
      </c>
      <c r="HK152" s="153">
        <f t="shared" si="462"/>
        <v>0</v>
      </c>
      <c r="HL152" s="153">
        <f t="shared" si="463"/>
        <v>0</v>
      </c>
      <c r="HM152" s="153">
        <f t="shared" si="464"/>
        <v>0</v>
      </c>
      <c r="HN152" s="153">
        <f t="shared" si="465"/>
        <v>0</v>
      </c>
      <c r="HO152" s="153">
        <f t="shared" si="466"/>
        <v>0</v>
      </c>
      <c r="HP152" s="153">
        <f t="shared" si="467"/>
        <v>0</v>
      </c>
      <c r="HQ152" s="101"/>
      <c r="HU152" s="155">
        <f t="shared" si="468"/>
        <v>236</v>
      </c>
      <c r="HV152" s="155">
        <f t="shared" si="469"/>
        <v>0</v>
      </c>
      <c r="HW152" s="155">
        <f t="shared" si="470"/>
        <v>2011</v>
      </c>
      <c r="HX152" s="156">
        <f t="shared" si="471"/>
        <v>37082</v>
      </c>
      <c r="HY152" s="146">
        <f t="shared" si="472"/>
        <v>70767</v>
      </c>
      <c r="HZ152" s="146">
        <f t="shared" si="473"/>
        <v>83140</v>
      </c>
      <c r="IA152" s="146">
        <f t="shared" si="474"/>
        <v>77330</v>
      </c>
      <c r="IB152" s="157">
        <f t="shared" si="475"/>
        <v>69933</v>
      </c>
      <c r="IC152" s="157">
        <f t="shared" si="476"/>
        <v>28619</v>
      </c>
      <c r="ID152" s="157">
        <f t="shared" si="477"/>
        <v>0</v>
      </c>
      <c r="IE152" s="157">
        <f t="shared" si="478"/>
        <v>0</v>
      </c>
      <c r="IF152" s="157">
        <f t="shared" si="479"/>
        <v>0</v>
      </c>
      <c r="IG152" s="157">
        <f t="shared" si="480"/>
        <v>0</v>
      </c>
    </row>
    <row r="153" spans="1:241" outlineLevel="2" x14ac:dyDescent="0.3">
      <c r="A153" s="158" t="s">
        <v>147</v>
      </c>
      <c r="B153" s="159">
        <v>0</v>
      </c>
      <c r="C153" s="159">
        <v>0</v>
      </c>
      <c r="D153" s="159">
        <v>0</v>
      </c>
      <c r="E153" s="159">
        <v>0</v>
      </c>
      <c r="F153" s="159">
        <v>0</v>
      </c>
      <c r="G153" s="159">
        <v>0</v>
      </c>
      <c r="H153" s="159">
        <v>0</v>
      </c>
      <c r="I153" s="159">
        <v>0</v>
      </c>
      <c r="J153" s="159">
        <v>0</v>
      </c>
      <c r="K153" s="159">
        <v>0</v>
      </c>
      <c r="L153" s="159">
        <v>0</v>
      </c>
      <c r="M153" s="159">
        <v>0</v>
      </c>
      <c r="N153" s="159">
        <v>0</v>
      </c>
      <c r="O153" s="159">
        <v>0</v>
      </c>
      <c r="P153" s="159">
        <v>0</v>
      </c>
      <c r="Q153" s="159">
        <v>0</v>
      </c>
      <c r="R153" s="159">
        <v>0</v>
      </c>
      <c r="S153" s="160">
        <v>0</v>
      </c>
      <c r="T153" s="160">
        <v>0</v>
      </c>
      <c r="U153" s="160">
        <v>2</v>
      </c>
      <c r="V153" s="160">
        <v>2</v>
      </c>
      <c r="W153" s="160">
        <v>0</v>
      </c>
      <c r="X153" s="160">
        <v>0</v>
      </c>
      <c r="Y153" s="160">
        <v>0</v>
      </c>
      <c r="Z153" s="160">
        <v>0</v>
      </c>
      <c r="AA153" s="160" t="s">
        <v>146</v>
      </c>
      <c r="AB153" s="160">
        <v>0</v>
      </c>
      <c r="AC153" s="160">
        <v>0</v>
      </c>
      <c r="AD153" s="160">
        <v>0</v>
      </c>
      <c r="AE153" s="160"/>
      <c r="AF153" s="160">
        <v>0</v>
      </c>
      <c r="AG153" s="160">
        <v>0</v>
      </c>
      <c r="AH153" s="160">
        <v>0</v>
      </c>
      <c r="AI153" s="160">
        <v>0</v>
      </c>
      <c r="AJ153" s="160">
        <v>0</v>
      </c>
      <c r="AK153" s="160">
        <v>0</v>
      </c>
      <c r="AL153" s="160">
        <v>0</v>
      </c>
      <c r="AM153" s="160">
        <v>0</v>
      </c>
      <c r="AN153" s="160"/>
      <c r="AO153" s="160">
        <v>0</v>
      </c>
      <c r="AP153" s="160">
        <v>0</v>
      </c>
      <c r="AQ153" s="160" t="s">
        <v>146</v>
      </c>
      <c r="AR153" s="160" t="s">
        <v>146</v>
      </c>
      <c r="AS153" s="161"/>
      <c r="AT153" s="160">
        <v>0</v>
      </c>
      <c r="AU153" s="160" t="s">
        <v>146</v>
      </c>
      <c r="AV153" s="160" t="s">
        <v>146</v>
      </c>
      <c r="AW153" s="160" t="s">
        <v>146</v>
      </c>
      <c r="AX153" s="244"/>
      <c r="AY153" s="244"/>
      <c r="AZ153" s="244"/>
      <c r="BA153" s="244"/>
      <c r="BB153" s="160"/>
      <c r="BC153" s="160"/>
      <c r="BD153" s="160"/>
      <c r="BE153" s="160"/>
      <c r="BF153" s="160"/>
      <c r="BG153" s="160"/>
      <c r="BH153" s="160"/>
      <c r="BI153" s="160"/>
      <c r="BJ153" s="160"/>
      <c r="BK153" s="162"/>
      <c r="BL153" s="162"/>
      <c r="BM153" s="162"/>
      <c r="BN153" s="162"/>
      <c r="BO153" s="162"/>
      <c r="BP153" s="162"/>
      <c r="BQ153" s="162"/>
      <c r="BR153" s="162"/>
      <c r="BS153" s="162"/>
      <c r="BT153" s="162"/>
      <c r="BU153" s="162"/>
      <c r="BV153" s="162"/>
      <c r="BW153" s="162"/>
      <c r="BX153" s="162"/>
      <c r="BY153" s="162"/>
      <c r="BZ153" s="162"/>
      <c r="CA153" s="162"/>
      <c r="CB153" s="162"/>
      <c r="CC153" s="162"/>
      <c r="CD153" s="162"/>
      <c r="CE153" s="162"/>
      <c r="CF153" s="162"/>
      <c r="CG153" s="162"/>
      <c r="CH153" s="162"/>
      <c r="CI153" s="162"/>
      <c r="CJ153" s="162"/>
      <c r="CK153" s="162"/>
      <c r="CL153" s="176"/>
      <c r="CM153" s="176"/>
      <c r="CN153" s="176"/>
      <c r="CO153" s="176"/>
      <c r="CP153" s="176"/>
      <c r="CQ153" s="176"/>
      <c r="CR153" s="176"/>
      <c r="CS153" s="177"/>
      <c r="CT153" s="177"/>
      <c r="CU153" s="177"/>
      <c r="CV153" s="177"/>
      <c r="CW153" s="177"/>
      <c r="CX153" s="177"/>
      <c r="CY153" s="177"/>
      <c r="CZ153" s="177"/>
      <c r="DA153" s="177"/>
      <c r="DB153" s="177"/>
      <c r="DC153" s="177"/>
      <c r="DD153" s="177"/>
      <c r="DE153" s="177"/>
      <c r="DF153" s="177"/>
      <c r="DG153" s="177"/>
      <c r="DH153" s="177"/>
      <c r="DI153" s="177"/>
      <c r="DJ153" s="177"/>
      <c r="DK153" s="177"/>
      <c r="DL153" s="177"/>
      <c r="DM153" s="177"/>
      <c r="DN153" s="177"/>
      <c r="DO153" s="177"/>
      <c r="DP153" s="177"/>
      <c r="DQ153" s="177"/>
      <c r="DR153" s="177"/>
      <c r="DS153" s="177"/>
      <c r="DT153" s="177"/>
      <c r="DU153" s="177"/>
      <c r="DV153" s="177"/>
      <c r="DW153" s="177"/>
      <c r="DX153" s="177"/>
      <c r="DY153" s="177"/>
      <c r="DZ153" s="177"/>
      <c r="EA153" s="177"/>
      <c r="EB153" s="177"/>
      <c r="EC153" s="177"/>
      <c r="ED153" s="177"/>
      <c r="EE153" s="177"/>
      <c r="EF153" s="177"/>
      <c r="EG153" s="177"/>
      <c r="EH153" s="177"/>
      <c r="EI153" s="177"/>
      <c r="EJ153" s="177"/>
      <c r="EK153" s="177"/>
      <c r="EL153" s="177"/>
      <c r="EM153" s="177"/>
      <c r="EN153" s="177"/>
      <c r="EO153" s="177"/>
      <c r="EP153" s="177"/>
      <c r="EQ153" s="177"/>
      <c r="ER153" s="177"/>
      <c r="ES153" s="177"/>
      <c r="ET153" s="177"/>
      <c r="EU153" s="177"/>
      <c r="EV153" s="177"/>
      <c r="EW153" s="177"/>
      <c r="EX153" s="177"/>
      <c r="EY153" s="177"/>
      <c r="EZ153" s="177"/>
      <c r="FA153" s="177"/>
      <c r="FB153" s="177"/>
      <c r="FC153" s="177"/>
      <c r="FD153" s="177"/>
      <c r="FE153" s="177"/>
      <c r="FF153" s="177"/>
      <c r="FG153" s="177"/>
      <c r="FH153" s="177"/>
      <c r="FI153" s="177"/>
      <c r="FJ153" s="177"/>
      <c r="FN153" s="165">
        <f t="shared" si="413"/>
        <v>0</v>
      </c>
      <c r="FO153" s="166">
        <f t="shared" si="414"/>
        <v>0</v>
      </c>
      <c r="FP153" s="166">
        <f t="shared" si="415"/>
        <v>0</v>
      </c>
      <c r="FQ153" s="166">
        <f t="shared" si="416"/>
        <v>0</v>
      </c>
      <c r="FR153" s="166">
        <f t="shared" si="417"/>
        <v>0</v>
      </c>
      <c r="FS153" s="166">
        <f t="shared" si="418"/>
        <v>0</v>
      </c>
      <c r="FT153" s="166">
        <f t="shared" si="419"/>
        <v>4</v>
      </c>
      <c r="FU153" s="166">
        <f t="shared" si="420"/>
        <v>0</v>
      </c>
      <c r="FV153" s="166">
        <f t="shared" si="421"/>
        <v>0</v>
      </c>
      <c r="FW153" s="166">
        <f t="shared" si="422"/>
        <v>0</v>
      </c>
      <c r="FX153" s="166">
        <f t="shared" si="423"/>
        <v>0</v>
      </c>
      <c r="FY153" s="166">
        <f t="shared" si="424"/>
        <v>0</v>
      </c>
      <c r="FZ153" s="166">
        <f t="shared" si="425"/>
        <v>0</v>
      </c>
      <c r="GA153" s="166">
        <f t="shared" si="426"/>
        <v>0</v>
      </c>
      <c r="GB153" s="166">
        <f t="shared" si="427"/>
        <v>0</v>
      </c>
      <c r="GC153" s="166">
        <f t="shared" si="428"/>
        <v>0</v>
      </c>
      <c r="GD153" s="166">
        <f t="shared" si="429"/>
        <v>0</v>
      </c>
      <c r="GE153" s="166">
        <f t="shared" si="430"/>
        <v>0</v>
      </c>
      <c r="GF153" s="166">
        <f t="shared" si="431"/>
        <v>0</v>
      </c>
      <c r="GG153" s="166">
        <f t="shared" si="432"/>
        <v>0</v>
      </c>
      <c r="GH153" s="166">
        <f t="shared" si="433"/>
        <v>0</v>
      </c>
      <c r="GI153" s="166">
        <f t="shared" si="434"/>
        <v>0</v>
      </c>
      <c r="GJ153" s="166">
        <f t="shared" si="435"/>
        <v>0</v>
      </c>
      <c r="GK153" s="166">
        <f t="shared" si="436"/>
        <v>0</v>
      </c>
      <c r="GL153" s="166">
        <f t="shared" si="437"/>
        <v>0</v>
      </c>
      <c r="GM153" s="166">
        <f t="shared" si="438"/>
        <v>0</v>
      </c>
      <c r="GN153" s="166">
        <f t="shared" si="439"/>
        <v>0</v>
      </c>
      <c r="GO153" s="166">
        <f t="shared" si="440"/>
        <v>0</v>
      </c>
      <c r="GP153" s="166">
        <f t="shared" si="441"/>
        <v>0</v>
      </c>
      <c r="GQ153" s="166">
        <f t="shared" si="442"/>
        <v>0</v>
      </c>
      <c r="GR153" s="166">
        <f t="shared" si="443"/>
        <v>0</v>
      </c>
      <c r="GS153" s="166">
        <f t="shared" si="444"/>
        <v>0</v>
      </c>
      <c r="GT153" s="166">
        <f t="shared" si="445"/>
        <v>0</v>
      </c>
      <c r="GU153" s="166">
        <f t="shared" si="446"/>
        <v>0</v>
      </c>
      <c r="GV153" s="166">
        <f t="shared" si="447"/>
        <v>0</v>
      </c>
      <c r="GW153" s="166">
        <f t="shared" si="448"/>
        <v>0</v>
      </c>
      <c r="GX153" s="166">
        <f t="shared" si="449"/>
        <v>0</v>
      </c>
      <c r="GY153" s="166">
        <f t="shared" si="450"/>
        <v>0</v>
      </c>
      <c r="GZ153" s="166">
        <f t="shared" si="451"/>
        <v>0</v>
      </c>
      <c r="HA153" s="166">
        <f t="shared" si="452"/>
        <v>0</v>
      </c>
      <c r="HB153" s="166">
        <f t="shared" si="453"/>
        <v>0</v>
      </c>
      <c r="HC153" s="166">
        <f t="shared" si="454"/>
        <v>0</v>
      </c>
      <c r="HD153" s="166">
        <f t="shared" si="455"/>
        <v>0</v>
      </c>
      <c r="HE153" s="166">
        <f t="shared" si="456"/>
        <v>0</v>
      </c>
      <c r="HF153" s="166">
        <f t="shared" si="457"/>
        <v>0</v>
      </c>
      <c r="HG153" s="166">
        <f t="shared" si="458"/>
        <v>0</v>
      </c>
      <c r="HH153" s="166">
        <f t="shared" si="459"/>
        <v>0</v>
      </c>
      <c r="HI153" s="166">
        <f t="shared" si="460"/>
        <v>0</v>
      </c>
      <c r="HJ153" s="167">
        <f t="shared" si="461"/>
        <v>0</v>
      </c>
      <c r="HK153" s="167">
        <f t="shared" si="462"/>
        <v>0</v>
      </c>
      <c r="HL153" s="167">
        <f t="shared" si="463"/>
        <v>0</v>
      </c>
      <c r="HM153" s="167">
        <f t="shared" si="464"/>
        <v>0</v>
      </c>
      <c r="HN153" s="167">
        <f t="shared" si="465"/>
        <v>0</v>
      </c>
      <c r="HO153" s="167">
        <f t="shared" si="466"/>
        <v>0</v>
      </c>
      <c r="HP153" s="167">
        <f t="shared" si="467"/>
        <v>0</v>
      </c>
      <c r="HQ153" s="168"/>
      <c r="HU153" s="169">
        <f t="shared" si="468"/>
        <v>0</v>
      </c>
      <c r="HV153" s="169">
        <f t="shared" si="469"/>
        <v>4</v>
      </c>
      <c r="HW153" s="169">
        <f t="shared" si="470"/>
        <v>0</v>
      </c>
      <c r="HX153" s="170">
        <f t="shared" si="471"/>
        <v>0</v>
      </c>
      <c r="HY153" s="160">
        <f t="shared" si="472"/>
        <v>0</v>
      </c>
      <c r="HZ153" s="160">
        <f t="shared" si="473"/>
        <v>0</v>
      </c>
      <c r="IA153" s="160">
        <f t="shared" si="474"/>
        <v>0</v>
      </c>
      <c r="IB153" s="171">
        <f t="shared" si="475"/>
        <v>0</v>
      </c>
      <c r="IC153" s="171">
        <f t="shared" si="476"/>
        <v>0</v>
      </c>
      <c r="ID153" s="171">
        <f t="shared" si="477"/>
        <v>0</v>
      </c>
      <c r="IE153" s="171">
        <f t="shared" si="478"/>
        <v>0</v>
      </c>
      <c r="IF153" s="171">
        <f t="shared" si="479"/>
        <v>0</v>
      </c>
      <c r="IG153" s="171">
        <f t="shared" si="480"/>
        <v>0</v>
      </c>
    </row>
    <row r="154" spans="1:241" outlineLevel="2" x14ac:dyDescent="0.3">
      <c r="A154" s="144" t="s">
        <v>148</v>
      </c>
      <c r="B154" s="145">
        <v>44</v>
      </c>
      <c r="C154" s="145">
        <v>53</v>
      </c>
      <c r="D154" s="145">
        <v>19</v>
      </c>
      <c r="E154" s="145">
        <v>5</v>
      </c>
      <c r="F154" s="145">
        <v>20</v>
      </c>
      <c r="G154" s="145">
        <v>89</v>
      </c>
      <c r="H154" s="145">
        <v>420</v>
      </c>
      <c r="I154" s="145">
        <v>326</v>
      </c>
      <c r="J154" s="145">
        <v>422</v>
      </c>
      <c r="K154" s="145">
        <v>359</v>
      </c>
      <c r="L154" s="145">
        <v>508</v>
      </c>
      <c r="M154" s="145">
        <v>345</v>
      </c>
      <c r="N154" s="145">
        <v>182</v>
      </c>
      <c r="O154" s="145">
        <v>738</v>
      </c>
      <c r="P154" s="145">
        <v>761</v>
      </c>
      <c r="Q154" s="145">
        <v>35</v>
      </c>
      <c r="R154" s="145">
        <v>556</v>
      </c>
      <c r="S154" s="146">
        <v>692</v>
      </c>
      <c r="T154" s="146">
        <v>364</v>
      </c>
      <c r="U154" s="146">
        <v>804</v>
      </c>
      <c r="V154" s="146">
        <v>7</v>
      </c>
      <c r="W154" s="146">
        <v>76</v>
      </c>
      <c r="X154" s="146">
        <v>252</v>
      </c>
      <c r="Y154" s="146">
        <v>587</v>
      </c>
      <c r="Z154" s="146">
        <v>401</v>
      </c>
      <c r="AA154" s="146">
        <v>518</v>
      </c>
      <c r="AB154" s="146">
        <v>739</v>
      </c>
      <c r="AC154" s="146">
        <v>857</v>
      </c>
      <c r="AD154" s="146">
        <v>267</v>
      </c>
      <c r="AE154" s="146">
        <v>193</v>
      </c>
      <c r="AF154" s="146">
        <v>235</v>
      </c>
      <c r="AG154" s="146">
        <v>830</v>
      </c>
      <c r="AH154" s="146">
        <v>455</v>
      </c>
      <c r="AI154" s="146">
        <v>1165</v>
      </c>
      <c r="AJ154" s="146">
        <v>974</v>
      </c>
      <c r="AK154" s="146">
        <v>680</v>
      </c>
      <c r="AL154" s="146">
        <v>853</v>
      </c>
      <c r="AM154" s="146">
        <v>578</v>
      </c>
      <c r="AN154" s="146">
        <v>280</v>
      </c>
      <c r="AO154" s="146">
        <v>565</v>
      </c>
      <c r="AP154" s="146">
        <v>518</v>
      </c>
      <c r="AQ154" s="146">
        <v>657</v>
      </c>
      <c r="AR154" s="146">
        <v>74</v>
      </c>
      <c r="AS154" s="131">
        <v>60</v>
      </c>
      <c r="AT154" s="146">
        <v>304</v>
      </c>
      <c r="AU154" s="146">
        <v>365</v>
      </c>
      <c r="AV154" s="146">
        <v>485</v>
      </c>
      <c r="AW154" s="146">
        <v>193</v>
      </c>
      <c r="AX154" s="146">
        <v>434</v>
      </c>
      <c r="AY154" s="146">
        <v>544</v>
      </c>
      <c r="AZ154" s="146">
        <v>353</v>
      </c>
      <c r="BA154" s="146">
        <v>120</v>
      </c>
      <c r="BB154" s="146">
        <v>240</v>
      </c>
      <c r="BC154" s="146">
        <v>248</v>
      </c>
      <c r="BD154" s="146">
        <v>292</v>
      </c>
      <c r="BE154" s="146">
        <v>369</v>
      </c>
      <c r="BF154" s="146">
        <v>330</v>
      </c>
      <c r="BG154" s="146">
        <v>802</v>
      </c>
      <c r="BH154" s="146">
        <v>388</v>
      </c>
      <c r="BI154" s="146">
        <v>54</v>
      </c>
      <c r="BJ154" s="146">
        <v>380</v>
      </c>
      <c r="BK154" s="147">
        <v>218</v>
      </c>
      <c r="BL154" s="147">
        <v>300</v>
      </c>
      <c r="BM154" s="147">
        <v>172</v>
      </c>
      <c r="BN154" s="147">
        <v>380</v>
      </c>
      <c r="BO154" s="147">
        <v>242</v>
      </c>
      <c r="BP154" s="147">
        <v>292</v>
      </c>
      <c r="BQ154" s="147">
        <v>164</v>
      </c>
      <c r="BR154" s="147">
        <v>571</v>
      </c>
      <c r="BS154" s="147">
        <v>240</v>
      </c>
      <c r="BT154" s="147">
        <v>468</v>
      </c>
      <c r="BU154" s="147">
        <v>347</v>
      </c>
      <c r="BV154" s="147">
        <v>288</v>
      </c>
      <c r="BW154" s="147">
        <v>320</v>
      </c>
      <c r="BX154" s="147">
        <v>297</v>
      </c>
      <c r="BY154" s="147">
        <v>408</v>
      </c>
      <c r="BZ154" s="147">
        <v>473</v>
      </c>
      <c r="CA154" s="147">
        <v>352</v>
      </c>
      <c r="CB154" s="147">
        <v>391</v>
      </c>
      <c r="CC154" s="147">
        <v>285</v>
      </c>
      <c r="CD154" s="147">
        <v>227</v>
      </c>
      <c r="CE154" s="147">
        <v>90</v>
      </c>
      <c r="CF154" s="147">
        <v>0</v>
      </c>
      <c r="CG154" s="147">
        <v>32</v>
      </c>
      <c r="CH154" s="147">
        <v>180</v>
      </c>
      <c r="CI154" s="147">
        <v>268</v>
      </c>
      <c r="CJ154" s="147">
        <v>92</v>
      </c>
      <c r="CK154" s="147">
        <v>60</v>
      </c>
      <c r="CL154" s="147">
        <v>90</v>
      </c>
      <c r="CM154" s="147">
        <v>791</v>
      </c>
      <c r="CN154" s="147">
        <v>573</v>
      </c>
      <c r="CO154" s="147">
        <v>60</v>
      </c>
      <c r="CP154" s="147">
        <v>178</v>
      </c>
      <c r="CQ154" s="147">
        <v>122</v>
      </c>
      <c r="CR154" s="147">
        <v>0</v>
      </c>
      <c r="CS154" s="148">
        <v>0</v>
      </c>
      <c r="CT154" s="148"/>
      <c r="CU154" s="148">
        <v>0</v>
      </c>
      <c r="CV154" s="148">
        <v>0</v>
      </c>
      <c r="CW154" s="148">
        <v>67</v>
      </c>
      <c r="CX154" s="148">
        <v>113</v>
      </c>
      <c r="CY154" s="148">
        <v>50</v>
      </c>
      <c r="CZ154" s="148">
        <v>30</v>
      </c>
      <c r="DA154" s="148">
        <v>5</v>
      </c>
      <c r="DB154" s="148">
        <v>635</v>
      </c>
      <c r="DC154" s="148">
        <v>1170</v>
      </c>
      <c r="DD154" s="148">
        <v>870</v>
      </c>
      <c r="DE154" s="148">
        <v>969</v>
      </c>
      <c r="DF154" s="148">
        <v>753</v>
      </c>
      <c r="DG154" s="148">
        <v>330</v>
      </c>
      <c r="DH154" s="148">
        <v>1048</v>
      </c>
      <c r="DI154" s="148">
        <v>888</v>
      </c>
      <c r="DJ154" s="148">
        <v>2256</v>
      </c>
      <c r="DK154" s="148">
        <v>2874</v>
      </c>
      <c r="DL154" s="148">
        <v>1671</v>
      </c>
      <c r="DM154" s="148">
        <v>1447</v>
      </c>
      <c r="DN154" s="148">
        <v>1069</v>
      </c>
      <c r="DO154" s="148">
        <v>1692</v>
      </c>
      <c r="DP154" s="148">
        <v>2295</v>
      </c>
      <c r="DQ154" s="148">
        <v>2116</v>
      </c>
      <c r="DR154" s="148">
        <v>2031</v>
      </c>
      <c r="DS154" s="148">
        <v>1996</v>
      </c>
      <c r="DT154" s="148">
        <v>2323</v>
      </c>
      <c r="DU154" s="148">
        <v>2102</v>
      </c>
      <c r="DV154" s="148">
        <v>2348</v>
      </c>
      <c r="DW154" s="148">
        <v>2239</v>
      </c>
      <c r="DX154" s="148">
        <v>1590</v>
      </c>
      <c r="DY154" s="148">
        <v>700</v>
      </c>
      <c r="DZ154" s="148">
        <v>1366</v>
      </c>
      <c r="EA154" s="148">
        <v>1329</v>
      </c>
      <c r="EB154" s="148">
        <v>854</v>
      </c>
      <c r="EC154" s="148">
        <v>3120</v>
      </c>
      <c r="ED154" s="148">
        <v>2097</v>
      </c>
      <c r="EE154" s="148">
        <v>587</v>
      </c>
      <c r="EF154" s="148">
        <v>2108</v>
      </c>
      <c r="EG154" s="148">
        <v>1112</v>
      </c>
      <c r="EH154" s="148">
        <v>2185</v>
      </c>
      <c r="EI154" s="148">
        <v>1310</v>
      </c>
      <c r="EJ154" s="148">
        <v>3659</v>
      </c>
      <c r="EK154" s="148">
        <v>2981</v>
      </c>
      <c r="EL154" s="148">
        <v>3620</v>
      </c>
      <c r="EM154" s="148">
        <v>1669</v>
      </c>
      <c r="EN154" s="148">
        <v>2326</v>
      </c>
      <c r="EO154" s="148">
        <v>3396</v>
      </c>
      <c r="EP154" s="148">
        <v>4016</v>
      </c>
      <c r="EQ154" s="148">
        <v>2470</v>
      </c>
      <c r="ER154" s="148">
        <v>864</v>
      </c>
      <c r="ES154" s="148">
        <v>268</v>
      </c>
      <c r="ET154" s="148">
        <v>1202</v>
      </c>
      <c r="EU154" s="148">
        <v>398</v>
      </c>
      <c r="EV154" s="148">
        <v>379</v>
      </c>
      <c r="EW154" s="148">
        <v>1620</v>
      </c>
      <c r="EX154" s="148">
        <v>1164</v>
      </c>
      <c r="EY154" s="148">
        <v>863</v>
      </c>
      <c r="EZ154" s="148">
        <v>394</v>
      </c>
      <c r="FA154" s="148">
        <v>1424</v>
      </c>
      <c r="FB154" s="148">
        <v>531</v>
      </c>
      <c r="FC154" s="148">
        <v>843</v>
      </c>
      <c r="FD154" s="148">
        <v>0</v>
      </c>
      <c r="FE154" s="148">
        <v>1212</v>
      </c>
      <c r="FF154" s="148">
        <v>1561</v>
      </c>
      <c r="FG154" s="148">
        <v>1453</v>
      </c>
      <c r="FH154" s="148">
        <v>1515</v>
      </c>
      <c r="FI154" s="148">
        <v>1084</v>
      </c>
      <c r="FJ154" s="148">
        <v>1737</v>
      </c>
      <c r="FN154" s="151">
        <f t="shared" si="413"/>
        <v>116</v>
      </c>
      <c r="FO154" s="152">
        <f t="shared" si="414"/>
        <v>114</v>
      </c>
      <c r="FP154" s="152">
        <f t="shared" si="415"/>
        <v>1168</v>
      </c>
      <c r="FQ154" s="152">
        <f t="shared" si="416"/>
        <v>1212</v>
      </c>
      <c r="FR154" s="152">
        <f t="shared" si="417"/>
        <v>1681</v>
      </c>
      <c r="FS154" s="152">
        <f t="shared" si="418"/>
        <v>1283</v>
      </c>
      <c r="FT154" s="152">
        <f t="shared" si="419"/>
        <v>1175</v>
      </c>
      <c r="FU154" s="152">
        <f t="shared" si="420"/>
        <v>915</v>
      </c>
      <c r="FV154" s="152">
        <f t="shared" si="421"/>
        <v>1658</v>
      </c>
      <c r="FW154" s="152">
        <f t="shared" si="422"/>
        <v>1317</v>
      </c>
      <c r="FX154" s="152">
        <f t="shared" si="423"/>
        <v>1520</v>
      </c>
      <c r="FY154" s="152">
        <f t="shared" si="424"/>
        <v>2819</v>
      </c>
      <c r="FZ154" s="152">
        <f t="shared" si="425"/>
        <v>1711</v>
      </c>
      <c r="GA154" s="152">
        <f t="shared" si="426"/>
        <v>1740</v>
      </c>
      <c r="GB154" s="152">
        <f t="shared" si="427"/>
        <v>438</v>
      </c>
      <c r="GC154" s="152">
        <f t="shared" si="428"/>
        <v>1043</v>
      </c>
      <c r="GD154" s="152">
        <f t="shared" si="429"/>
        <v>1331</v>
      </c>
      <c r="GE154" s="152">
        <f t="shared" si="430"/>
        <v>608</v>
      </c>
      <c r="GF154" s="152">
        <f t="shared" si="431"/>
        <v>991</v>
      </c>
      <c r="GG154" s="152">
        <f t="shared" si="432"/>
        <v>1244</v>
      </c>
      <c r="GH154" s="152">
        <f t="shared" si="433"/>
        <v>898</v>
      </c>
      <c r="GI154" s="152">
        <f t="shared" si="434"/>
        <v>794</v>
      </c>
      <c r="GJ154" s="152">
        <f t="shared" si="435"/>
        <v>1027</v>
      </c>
      <c r="GK154" s="152">
        <f t="shared" si="436"/>
        <v>1055</v>
      </c>
      <c r="GL154" s="152">
        <f t="shared" si="437"/>
        <v>905</v>
      </c>
      <c r="GM154" s="152">
        <f t="shared" si="438"/>
        <v>1233</v>
      </c>
      <c r="GN154" s="152">
        <f t="shared" si="439"/>
        <v>903</v>
      </c>
      <c r="GO154" s="152">
        <f t="shared" si="440"/>
        <v>122</v>
      </c>
      <c r="GP154" s="152">
        <f t="shared" si="441"/>
        <v>540</v>
      </c>
      <c r="GQ154" s="152">
        <f t="shared" si="442"/>
        <v>941</v>
      </c>
      <c r="GR154" s="152">
        <f t="shared" si="443"/>
        <v>811</v>
      </c>
      <c r="GS154" s="152">
        <f t="shared" si="444"/>
        <v>122</v>
      </c>
      <c r="GT154" s="152">
        <f t="shared" si="445"/>
        <v>0</v>
      </c>
      <c r="GU154" s="152">
        <f t="shared" si="446"/>
        <v>230</v>
      </c>
      <c r="GV154" s="152">
        <f t="shared" si="447"/>
        <v>670</v>
      </c>
      <c r="GW154" s="152">
        <f t="shared" si="448"/>
        <v>3009</v>
      </c>
      <c r="GX154" s="152">
        <f t="shared" si="449"/>
        <v>2131</v>
      </c>
      <c r="GY154" s="152">
        <f t="shared" si="450"/>
        <v>6018</v>
      </c>
      <c r="GZ154" s="152">
        <f t="shared" si="451"/>
        <v>4187</v>
      </c>
      <c r="HA154" s="152">
        <f t="shared" si="452"/>
        <v>6103</v>
      </c>
      <c r="HB154" s="152">
        <f t="shared" si="453"/>
        <v>6350</v>
      </c>
      <c r="HC154" s="152">
        <f t="shared" si="454"/>
        <v>6689</v>
      </c>
      <c r="HD154" s="152">
        <f t="shared" si="455"/>
        <v>3656</v>
      </c>
      <c r="HE154" s="152">
        <f t="shared" si="456"/>
        <v>5303</v>
      </c>
      <c r="HF154" s="152">
        <f t="shared" si="457"/>
        <v>4792</v>
      </c>
      <c r="HG154" s="152">
        <f t="shared" si="458"/>
        <v>4607</v>
      </c>
      <c r="HH154" s="152">
        <f t="shared" si="459"/>
        <v>10260</v>
      </c>
      <c r="HI154" s="152">
        <f t="shared" si="460"/>
        <v>7391</v>
      </c>
      <c r="HJ154" s="153">
        <f t="shared" si="461"/>
        <v>7350</v>
      </c>
      <c r="HK154" s="153">
        <f t="shared" si="462"/>
        <v>1868</v>
      </c>
      <c r="HL154" s="153">
        <f t="shared" si="463"/>
        <v>3163</v>
      </c>
      <c r="HM154" s="153">
        <f t="shared" si="464"/>
        <v>2681</v>
      </c>
      <c r="HN154" s="153">
        <f t="shared" si="465"/>
        <v>1374</v>
      </c>
      <c r="HO154" s="153">
        <f t="shared" si="466"/>
        <v>4226</v>
      </c>
      <c r="HP154" s="153">
        <f t="shared" si="467"/>
        <v>4336</v>
      </c>
      <c r="HQ154" s="101"/>
      <c r="HU154" s="155">
        <f t="shared" si="468"/>
        <v>2610</v>
      </c>
      <c r="HV154" s="155">
        <f t="shared" si="469"/>
        <v>5054</v>
      </c>
      <c r="HW154" s="155">
        <f t="shared" si="470"/>
        <v>7314</v>
      </c>
      <c r="HX154" s="156">
        <f t="shared" si="471"/>
        <v>4932</v>
      </c>
      <c r="HY154" s="146">
        <f t="shared" si="472"/>
        <v>4174</v>
      </c>
      <c r="HZ154" s="146">
        <f t="shared" si="473"/>
        <v>3774</v>
      </c>
      <c r="IA154" s="146">
        <f t="shared" si="474"/>
        <v>3163</v>
      </c>
      <c r="IB154" s="157">
        <f t="shared" si="475"/>
        <v>2414</v>
      </c>
      <c r="IC154" s="157">
        <f t="shared" si="476"/>
        <v>3909</v>
      </c>
      <c r="ID154" s="157">
        <f t="shared" si="477"/>
        <v>18439</v>
      </c>
      <c r="IE154" s="157">
        <f t="shared" si="478"/>
        <v>21998</v>
      </c>
      <c r="IF154" s="157">
        <f t="shared" si="479"/>
        <v>27050</v>
      </c>
      <c r="IG154" s="157">
        <f t="shared" si="480"/>
        <v>15062</v>
      </c>
    </row>
    <row r="155" spans="1:241" outlineLevel="2" x14ac:dyDescent="0.3">
      <c r="A155" s="158" t="s">
        <v>149</v>
      </c>
      <c r="B155" s="159">
        <v>19536</v>
      </c>
      <c r="C155" s="159">
        <v>23659</v>
      </c>
      <c r="D155" s="159">
        <v>23904</v>
      </c>
      <c r="E155" s="159">
        <v>25260</v>
      </c>
      <c r="F155" s="159">
        <v>18629</v>
      </c>
      <c r="G155" s="159">
        <v>22706</v>
      </c>
      <c r="H155" s="159">
        <v>23006</v>
      </c>
      <c r="I155" s="159">
        <v>21011</v>
      </c>
      <c r="J155" s="159">
        <v>21136</v>
      </c>
      <c r="K155" s="159">
        <v>17722</v>
      </c>
      <c r="L155" s="159">
        <v>20663</v>
      </c>
      <c r="M155" s="159">
        <v>22579</v>
      </c>
      <c r="N155" s="159">
        <v>24550</v>
      </c>
      <c r="O155" s="159">
        <v>24754</v>
      </c>
      <c r="P155" s="159">
        <v>24057</v>
      </c>
      <c r="Q155" s="159">
        <v>22739</v>
      </c>
      <c r="R155" s="159">
        <v>24008</v>
      </c>
      <c r="S155" s="160">
        <v>20816</v>
      </c>
      <c r="T155" s="160">
        <v>14210</v>
      </c>
      <c r="U155" s="160">
        <v>16180</v>
      </c>
      <c r="V155" s="160">
        <v>20733</v>
      </c>
      <c r="W155" s="160">
        <v>12008</v>
      </c>
      <c r="X155" s="160">
        <v>12500</v>
      </c>
      <c r="Y155" s="160">
        <v>16705</v>
      </c>
      <c r="Z155" s="160">
        <v>14974</v>
      </c>
      <c r="AA155" s="160">
        <v>15513</v>
      </c>
      <c r="AB155" s="160">
        <v>17004</v>
      </c>
      <c r="AC155" s="160">
        <v>18739</v>
      </c>
      <c r="AD155" s="160">
        <v>14361</v>
      </c>
      <c r="AE155" s="160">
        <v>16430</v>
      </c>
      <c r="AF155" s="160">
        <v>18009</v>
      </c>
      <c r="AG155" s="160">
        <v>18779</v>
      </c>
      <c r="AH155" s="160">
        <v>26887</v>
      </c>
      <c r="AI155" s="160">
        <v>10003</v>
      </c>
      <c r="AJ155" s="160">
        <v>10307</v>
      </c>
      <c r="AK155" s="160">
        <v>10215</v>
      </c>
      <c r="AL155" s="160">
        <v>12904</v>
      </c>
      <c r="AM155" s="160">
        <v>15064</v>
      </c>
      <c r="AN155" s="160">
        <v>15764</v>
      </c>
      <c r="AO155" s="160">
        <v>13902</v>
      </c>
      <c r="AP155" s="160">
        <v>13557</v>
      </c>
      <c r="AQ155" s="160">
        <v>12331</v>
      </c>
      <c r="AR155" s="160">
        <v>13074</v>
      </c>
      <c r="AS155" s="161">
        <v>11891</v>
      </c>
      <c r="AT155" s="160">
        <v>15860</v>
      </c>
      <c r="AU155" s="160">
        <v>4335</v>
      </c>
      <c r="AV155" s="160">
        <v>6585</v>
      </c>
      <c r="AW155" s="160">
        <v>7512</v>
      </c>
      <c r="AX155" s="160">
        <v>9854</v>
      </c>
      <c r="AY155" s="160">
        <v>10448</v>
      </c>
      <c r="AZ155" s="160">
        <v>10845</v>
      </c>
      <c r="BA155" s="160">
        <v>9158</v>
      </c>
      <c r="BB155" s="160">
        <v>10758</v>
      </c>
      <c r="BC155" s="160">
        <v>11951</v>
      </c>
      <c r="BD155" s="160">
        <v>10597</v>
      </c>
      <c r="BE155" s="160">
        <v>12013</v>
      </c>
      <c r="BF155" s="160">
        <v>12262</v>
      </c>
      <c r="BG155" s="160">
        <v>6499</v>
      </c>
      <c r="BH155" s="160">
        <v>8006</v>
      </c>
      <c r="BI155" s="160">
        <v>7122</v>
      </c>
      <c r="BJ155" s="160">
        <v>7278</v>
      </c>
      <c r="BK155" s="162">
        <v>9629</v>
      </c>
      <c r="BL155" s="162">
        <v>8093</v>
      </c>
      <c r="BM155" s="162">
        <f>7758-4411</f>
        <v>3347</v>
      </c>
      <c r="BN155" s="162">
        <v>8362</v>
      </c>
      <c r="BO155" s="162">
        <v>7876</v>
      </c>
      <c r="BP155" s="162">
        <v>8913</v>
      </c>
      <c r="BQ155" s="162">
        <v>9135</v>
      </c>
      <c r="BR155" s="162">
        <v>16679</v>
      </c>
      <c r="BS155" s="162">
        <v>7583</v>
      </c>
      <c r="BT155" s="162">
        <v>7249</v>
      </c>
      <c r="BU155" s="162">
        <v>8978</v>
      </c>
      <c r="BV155" s="162">
        <v>9526</v>
      </c>
      <c r="BW155" s="162">
        <v>9354</v>
      </c>
      <c r="BX155" s="162">
        <v>11873</v>
      </c>
      <c r="BY155" s="162">
        <v>12319</v>
      </c>
      <c r="BZ155" s="162">
        <v>11903</v>
      </c>
      <c r="CA155" s="162">
        <v>12482</v>
      </c>
      <c r="CB155" s="162">
        <v>10545</v>
      </c>
      <c r="CC155" s="162">
        <v>10418</v>
      </c>
      <c r="CD155" s="162">
        <v>7642</v>
      </c>
      <c r="CE155" s="162">
        <v>7427</v>
      </c>
      <c r="CF155" s="162">
        <v>8272</v>
      </c>
      <c r="CG155" s="162">
        <v>13036</v>
      </c>
      <c r="CH155" s="162">
        <v>13753</v>
      </c>
      <c r="CI155" s="162">
        <v>13674</v>
      </c>
      <c r="CJ155" s="162">
        <v>12465</v>
      </c>
      <c r="CK155" s="162">
        <v>13624</v>
      </c>
      <c r="CL155" s="162">
        <v>12766</v>
      </c>
      <c r="CM155" s="162">
        <v>13155</v>
      </c>
      <c r="CN155" s="162">
        <v>10668</v>
      </c>
      <c r="CO155" s="162">
        <v>11911</v>
      </c>
      <c r="CP155" s="162">
        <v>8092</v>
      </c>
      <c r="CQ155" s="162">
        <v>5785</v>
      </c>
      <c r="CR155" s="162">
        <v>3290</v>
      </c>
      <c r="CS155" s="163">
        <v>3077</v>
      </c>
      <c r="CT155" s="163"/>
      <c r="CU155" s="163">
        <v>5245</v>
      </c>
      <c r="CV155" s="163">
        <v>5323</v>
      </c>
      <c r="CW155" s="163">
        <v>2454</v>
      </c>
      <c r="CX155" s="163">
        <v>5500</v>
      </c>
      <c r="CY155" s="163">
        <v>6369</v>
      </c>
      <c r="CZ155" s="163">
        <v>8769</v>
      </c>
      <c r="DA155" s="163">
        <v>6982</v>
      </c>
      <c r="DB155" s="163">
        <v>13224</v>
      </c>
      <c r="DC155" s="163">
        <v>6093</v>
      </c>
      <c r="DD155" s="163">
        <v>6418</v>
      </c>
      <c r="DE155" s="163">
        <v>7470</v>
      </c>
      <c r="DF155" s="163">
        <v>6135</v>
      </c>
      <c r="DG155" s="163">
        <v>4678</v>
      </c>
      <c r="DH155" s="163">
        <v>9088</v>
      </c>
      <c r="DI155" s="163">
        <v>8693</v>
      </c>
      <c r="DJ155" s="163">
        <v>9235</v>
      </c>
      <c r="DK155" s="163">
        <v>8658</v>
      </c>
      <c r="DL155" s="163">
        <v>4288</v>
      </c>
      <c r="DM155" s="163">
        <v>6788</v>
      </c>
      <c r="DN155" s="163">
        <v>10598</v>
      </c>
      <c r="DO155" s="163">
        <v>6560</v>
      </c>
      <c r="DP155" s="163">
        <v>6267</v>
      </c>
      <c r="DQ155" s="163">
        <v>7513</v>
      </c>
      <c r="DR155" s="163">
        <v>8061</v>
      </c>
      <c r="DS155" s="163">
        <v>6415</v>
      </c>
      <c r="DT155" s="163">
        <v>10374</v>
      </c>
      <c r="DU155" s="163">
        <v>10502</v>
      </c>
      <c r="DV155" s="163">
        <v>9070</v>
      </c>
      <c r="DW155" s="163">
        <v>9421</v>
      </c>
      <c r="DX155" s="163">
        <v>6991</v>
      </c>
      <c r="DY155" s="163">
        <v>11852</v>
      </c>
      <c r="DZ155" s="163">
        <v>13651</v>
      </c>
      <c r="EA155" s="163">
        <v>7452</v>
      </c>
      <c r="EB155" s="163">
        <v>5822</v>
      </c>
      <c r="EC155" s="163">
        <v>7325</v>
      </c>
      <c r="ED155" s="163">
        <v>6206</v>
      </c>
      <c r="EE155" s="163">
        <v>8955</v>
      </c>
      <c r="EF155" s="163">
        <v>12703</v>
      </c>
      <c r="EG155" s="163">
        <v>13375</v>
      </c>
      <c r="EH155" s="163">
        <v>14016</v>
      </c>
      <c r="EI155" s="163">
        <v>14084</v>
      </c>
      <c r="EJ155" s="163">
        <v>11543</v>
      </c>
      <c r="EK155" s="163">
        <v>14045</v>
      </c>
      <c r="EL155" s="163">
        <v>12257</v>
      </c>
      <c r="EM155" s="163">
        <v>9344</v>
      </c>
      <c r="EN155" s="163">
        <v>8756</v>
      </c>
      <c r="EO155" s="163">
        <v>10683</v>
      </c>
      <c r="EP155" s="163">
        <v>11096</v>
      </c>
      <c r="EQ155" s="163">
        <v>11555</v>
      </c>
      <c r="ER155" s="163">
        <v>12230</v>
      </c>
      <c r="ES155" s="163">
        <v>12297</v>
      </c>
      <c r="ET155" s="163">
        <v>11109</v>
      </c>
      <c r="EU155" s="163">
        <v>11320</v>
      </c>
      <c r="EV155" s="163">
        <v>12033</v>
      </c>
      <c r="EW155" s="163">
        <v>10605</v>
      </c>
      <c r="EX155" s="163">
        <v>10644</v>
      </c>
      <c r="EY155" s="163">
        <v>10214</v>
      </c>
      <c r="EZ155" s="163">
        <v>9471</v>
      </c>
      <c r="FA155" s="163">
        <v>12646</v>
      </c>
      <c r="FB155" s="163">
        <v>13785</v>
      </c>
      <c r="FC155" s="163">
        <v>12416</v>
      </c>
      <c r="FD155" s="163">
        <v>14699</v>
      </c>
      <c r="FE155" s="163">
        <v>13126</v>
      </c>
      <c r="FF155" s="163">
        <v>13481</v>
      </c>
      <c r="FG155" s="163">
        <v>16464</v>
      </c>
      <c r="FH155" s="163">
        <v>13831</v>
      </c>
      <c r="FI155" s="163">
        <v>14469</v>
      </c>
      <c r="FJ155" s="163">
        <v>14275</v>
      </c>
      <c r="FN155" s="165">
        <f t="shared" si="413"/>
        <v>67099</v>
      </c>
      <c r="FO155" s="166">
        <f t="shared" si="414"/>
        <v>66595</v>
      </c>
      <c r="FP155" s="166">
        <f t="shared" si="415"/>
        <v>65153</v>
      </c>
      <c r="FQ155" s="166">
        <f t="shared" si="416"/>
        <v>60964</v>
      </c>
      <c r="FR155" s="166">
        <f t="shared" si="417"/>
        <v>73361</v>
      </c>
      <c r="FS155" s="166">
        <f t="shared" si="418"/>
        <v>67563</v>
      </c>
      <c r="FT155" s="166">
        <f t="shared" si="419"/>
        <v>51123</v>
      </c>
      <c r="FU155" s="166">
        <f t="shared" si="420"/>
        <v>41213</v>
      </c>
      <c r="FV155" s="166">
        <f t="shared" si="421"/>
        <v>47491</v>
      </c>
      <c r="FW155" s="166">
        <f t="shared" si="422"/>
        <v>49530</v>
      </c>
      <c r="FX155" s="166">
        <f t="shared" si="423"/>
        <v>63675</v>
      </c>
      <c r="FY155" s="166">
        <f t="shared" si="424"/>
        <v>30525</v>
      </c>
      <c r="FZ155" s="166">
        <f t="shared" si="425"/>
        <v>43732</v>
      </c>
      <c r="GA155" s="166">
        <f t="shared" si="426"/>
        <v>39790</v>
      </c>
      <c r="GB155" s="166">
        <f t="shared" si="427"/>
        <v>40825</v>
      </c>
      <c r="GC155" s="166">
        <f t="shared" si="428"/>
        <v>18432</v>
      </c>
      <c r="GD155" s="166">
        <f t="shared" si="429"/>
        <v>31147</v>
      </c>
      <c r="GE155" s="166">
        <f t="shared" si="430"/>
        <v>31867</v>
      </c>
      <c r="GF155" s="166">
        <f t="shared" si="431"/>
        <v>34872</v>
      </c>
      <c r="GG155" s="166">
        <f t="shared" si="432"/>
        <v>21627</v>
      </c>
      <c r="GH155" s="166">
        <f t="shared" si="433"/>
        <v>25000</v>
      </c>
      <c r="GI155" s="166">
        <f t="shared" si="434"/>
        <v>19585</v>
      </c>
      <c r="GJ155" s="166">
        <f t="shared" si="435"/>
        <v>34727</v>
      </c>
      <c r="GK155" s="166">
        <f t="shared" si="436"/>
        <v>23810</v>
      </c>
      <c r="GL155" s="166">
        <f t="shared" si="437"/>
        <v>30753</v>
      </c>
      <c r="GM155" s="166">
        <f t="shared" si="438"/>
        <v>36704</v>
      </c>
      <c r="GN155" s="166">
        <f t="shared" si="439"/>
        <v>28605</v>
      </c>
      <c r="GO155" s="166">
        <f t="shared" si="440"/>
        <v>28735</v>
      </c>
      <c r="GP155" s="166">
        <f t="shared" si="441"/>
        <v>39892</v>
      </c>
      <c r="GQ155" s="166">
        <f t="shared" si="442"/>
        <v>39545</v>
      </c>
      <c r="GR155" s="166">
        <f t="shared" si="443"/>
        <v>30671</v>
      </c>
      <c r="GS155" s="166">
        <f t="shared" si="444"/>
        <v>12152</v>
      </c>
      <c r="GT155" s="166">
        <f t="shared" si="445"/>
        <v>10568</v>
      </c>
      <c r="GU155" s="166">
        <f t="shared" si="446"/>
        <v>14323</v>
      </c>
      <c r="GV155" s="166">
        <f t="shared" si="447"/>
        <v>28975</v>
      </c>
      <c r="GW155" s="166">
        <f t="shared" si="448"/>
        <v>19981</v>
      </c>
      <c r="GX155" s="166">
        <f t="shared" si="449"/>
        <v>19901</v>
      </c>
      <c r="GY155" s="166">
        <f t="shared" si="450"/>
        <v>26586</v>
      </c>
      <c r="GZ155" s="166">
        <f t="shared" si="451"/>
        <v>21674</v>
      </c>
      <c r="HA155" s="166">
        <f t="shared" si="452"/>
        <v>20340</v>
      </c>
      <c r="HB155" s="166">
        <f t="shared" si="453"/>
        <v>24850</v>
      </c>
      <c r="HC155" s="166">
        <f t="shared" si="454"/>
        <v>28993</v>
      </c>
      <c r="HD155" s="166">
        <f t="shared" si="455"/>
        <v>32494</v>
      </c>
      <c r="HE155" s="166">
        <f t="shared" si="456"/>
        <v>20599</v>
      </c>
      <c r="HF155" s="166">
        <f t="shared" si="457"/>
        <v>27864</v>
      </c>
      <c r="HG155" s="166">
        <f t="shared" si="458"/>
        <v>41475</v>
      </c>
      <c r="HH155" s="166">
        <f t="shared" si="459"/>
        <v>37845</v>
      </c>
      <c r="HI155" s="166">
        <f t="shared" si="460"/>
        <v>28783</v>
      </c>
      <c r="HJ155" s="167">
        <f t="shared" si="461"/>
        <v>34881</v>
      </c>
      <c r="HK155" s="167">
        <f t="shared" si="462"/>
        <v>34726</v>
      </c>
      <c r="HL155" s="167">
        <f t="shared" si="463"/>
        <v>33282</v>
      </c>
      <c r="HM155" s="167">
        <f t="shared" si="464"/>
        <v>32331</v>
      </c>
      <c r="HN155" s="167">
        <f t="shared" si="465"/>
        <v>40900</v>
      </c>
      <c r="HO155" s="167">
        <f t="shared" si="466"/>
        <v>43071</v>
      </c>
      <c r="HP155" s="167">
        <f t="shared" si="467"/>
        <v>42575</v>
      </c>
      <c r="HQ155" s="168"/>
      <c r="HU155" s="169">
        <f t="shared" si="468"/>
        <v>259811</v>
      </c>
      <c r="HV155" s="169">
        <f t="shared" si="469"/>
        <v>233260</v>
      </c>
      <c r="HW155" s="169">
        <f t="shared" si="470"/>
        <v>191221</v>
      </c>
      <c r="HX155" s="170">
        <f t="shared" si="471"/>
        <v>142779</v>
      </c>
      <c r="HY155" s="160">
        <f t="shared" si="472"/>
        <v>119513</v>
      </c>
      <c r="HZ155" s="160">
        <f t="shared" si="473"/>
        <v>103122</v>
      </c>
      <c r="IA155" s="160">
        <f t="shared" si="474"/>
        <v>124797</v>
      </c>
      <c r="IB155" s="171">
        <f t="shared" si="475"/>
        <v>122260</v>
      </c>
      <c r="IC155" s="171">
        <f t="shared" si="476"/>
        <v>73847</v>
      </c>
      <c r="ID155" s="171">
        <f t="shared" si="477"/>
        <v>88501</v>
      </c>
      <c r="IE155" s="171">
        <f t="shared" si="478"/>
        <v>106936</v>
      </c>
      <c r="IF155" s="171">
        <f t="shared" si="479"/>
        <v>135967</v>
      </c>
      <c r="IG155" s="171">
        <f t="shared" si="480"/>
        <v>135220</v>
      </c>
    </row>
    <row r="156" spans="1:241" outlineLevel="2" x14ac:dyDescent="0.3">
      <c r="A156" s="144" t="s">
        <v>150</v>
      </c>
      <c r="B156" s="145">
        <v>0</v>
      </c>
      <c r="C156" s="145">
        <v>0</v>
      </c>
      <c r="D156" s="145">
        <v>0</v>
      </c>
      <c r="E156" s="145">
        <v>0</v>
      </c>
      <c r="F156" s="145">
        <v>0</v>
      </c>
      <c r="G156" s="145">
        <v>0</v>
      </c>
      <c r="H156" s="145">
        <v>0</v>
      </c>
      <c r="I156" s="145">
        <v>0</v>
      </c>
      <c r="J156" s="145">
        <v>0</v>
      </c>
      <c r="K156" s="145">
        <v>0</v>
      </c>
      <c r="L156" s="145">
        <v>0</v>
      </c>
      <c r="M156" s="145">
        <v>0</v>
      </c>
      <c r="N156" s="145">
        <v>0</v>
      </c>
      <c r="O156" s="145">
        <v>0</v>
      </c>
      <c r="P156" s="145">
        <v>0</v>
      </c>
      <c r="Q156" s="145">
        <v>0</v>
      </c>
      <c r="R156" s="145">
        <v>0</v>
      </c>
      <c r="S156" s="146">
        <v>0</v>
      </c>
      <c r="T156" s="146">
        <v>0</v>
      </c>
      <c r="U156" s="146">
        <v>0</v>
      </c>
      <c r="V156" s="146">
        <v>0</v>
      </c>
      <c r="W156" s="146">
        <v>0</v>
      </c>
      <c r="X156" s="146">
        <v>0</v>
      </c>
      <c r="Y156" s="146">
        <v>0</v>
      </c>
      <c r="Z156" s="146">
        <v>0</v>
      </c>
      <c r="AA156" s="146">
        <v>0</v>
      </c>
      <c r="AB156" s="146">
        <v>0</v>
      </c>
      <c r="AC156" s="146">
        <v>0</v>
      </c>
      <c r="AD156" s="146">
        <v>0</v>
      </c>
      <c r="AE156" s="146"/>
      <c r="AF156" s="146">
        <v>0</v>
      </c>
      <c r="AG156" s="146">
        <v>0</v>
      </c>
      <c r="AH156" s="146">
        <v>0</v>
      </c>
      <c r="AI156" s="146">
        <v>0</v>
      </c>
      <c r="AJ156" s="146">
        <v>0</v>
      </c>
      <c r="AK156" s="146">
        <v>0</v>
      </c>
      <c r="AL156" s="146">
        <v>0</v>
      </c>
      <c r="AM156" s="146">
        <v>0</v>
      </c>
      <c r="AN156" s="146"/>
      <c r="AO156" s="146">
        <v>0</v>
      </c>
      <c r="AP156" s="146">
        <v>0</v>
      </c>
      <c r="AQ156" s="146">
        <v>0</v>
      </c>
      <c r="AR156" s="146">
        <v>0</v>
      </c>
      <c r="AS156" s="131">
        <v>0</v>
      </c>
      <c r="AT156" s="146">
        <v>0</v>
      </c>
      <c r="AU156" s="146">
        <v>0</v>
      </c>
      <c r="AV156" s="146">
        <v>0</v>
      </c>
      <c r="AW156" s="146">
        <v>0</v>
      </c>
      <c r="AX156" s="146">
        <v>0</v>
      </c>
      <c r="AY156" s="146">
        <v>0</v>
      </c>
      <c r="AZ156" s="146">
        <v>0</v>
      </c>
      <c r="BA156" s="146">
        <v>0</v>
      </c>
      <c r="BB156" s="146">
        <v>0</v>
      </c>
      <c r="BC156" s="146">
        <v>0</v>
      </c>
      <c r="BD156" s="146">
        <v>0</v>
      </c>
      <c r="BE156" s="146">
        <v>0</v>
      </c>
      <c r="BF156" s="146">
        <v>0</v>
      </c>
      <c r="BG156" s="146"/>
      <c r="BH156" s="146">
        <v>0</v>
      </c>
      <c r="BI156" s="146">
        <v>0</v>
      </c>
      <c r="BJ156" s="146">
        <v>0</v>
      </c>
      <c r="BK156" s="147">
        <v>0</v>
      </c>
      <c r="BL156" s="147">
        <v>0</v>
      </c>
      <c r="BM156" s="147">
        <v>0</v>
      </c>
      <c r="BN156" s="147">
        <v>0</v>
      </c>
      <c r="BO156" s="147">
        <v>0</v>
      </c>
      <c r="BP156" s="147">
        <v>0</v>
      </c>
      <c r="BQ156" s="147">
        <v>0</v>
      </c>
      <c r="BR156" s="147">
        <v>0</v>
      </c>
      <c r="BS156" s="147">
        <v>0</v>
      </c>
      <c r="BT156" s="147">
        <v>0</v>
      </c>
      <c r="BU156" s="147">
        <v>0</v>
      </c>
      <c r="BV156" s="147">
        <v>0</v>
      </c>
      <c r="BW156" s="147">
        <v>0</v>
      </c>
      <c r="BX156" s="147">
        <v>0</v>
      </c>
      <c r="BY156" s="147">
        <v>0</v>
      </c>
      <c r="BZ156" s="147">
        <v>6</v>
      </c>
      <c r="CA156" s="147">
        <v>0</v>
      </c>
      <c r="CB156" s="147">
        <v>0</v>
      </c>
      <c r="CC156" s="147">
        <v>10</v>
      </c>
      <c r="CD156" s="147">
        <v>0</v>
      </c>
      <c r="CE156" s="147">
        <v>0</v>
      </c>
      <c r="CF156" s="147"/>
      <c r="CG156" s="147">
        <v>0</v>
      </c>
      <c r="CH156" s="147">
        <v>0</v>
      </c>
      <c r="CI156" s="147">
        <v>0</v>
      </c>
      <c r="CJ156" s="147">
        <v>0</v>
      </c>
      <c r="CK156" s="147"/>
      <c r="CL156" s="147">
        <v>0</v>
      </c>
      <c r="CM156" s="147">
        <v>0</v>
      </c>
      <c r="CN156" s="147">
        <v>0</v>
      </c>
      <c r="CO156" s="147">
        <v>0</v>
      </c>
      <c r="CP156" s="147">
        <v>0</v>
      </c>
      <c r="CQ156" s="147">
        <v>0</v>
      </c>
      <c r="CR156" s="147">
        <v>0</v>
      </c>
      <c r="CS156" s="148">
        <v>0</v>
      </c>
      <c r="CT156" s="148"/>
      <c r="CU156" s="148">
        <v>0</v>
      </c>
      <c r="CV156" s="148">
        <v>6</v>
      </c>
      <c r="CW156" s="148">
        <v>0</v>
      </c>
      <c r="CX156" s="148">
        <v>0</v>
      </c>
      <c r="CY156" s="148">
        <v>0</v>
      </c>
      <c r="CZ156" s="148">
        <v>0</v>
      </c>
      <c r="DA156" s="148">
        <v>0</v>
      </c>
      <c r="DB156" s="148">
        <v>0</v>
      </c>
      <c r="DC156" s="148">
        <v>0</v>
      </c>
      <c r="DD156" s="148">
        <v>0</v>
      </c>
      <c r="DE156" s="148">
        <v>0</v>
      </c>
      <c r="DF156" s="148"/>
      <c r="DG156" s="148"/>
      <c r="DH156" s="148"/>
      <c r="DI156" s="148"/>
      <c r="DJ156" s="148"/>
      <c r="DK156" s="148"/>
      <c r="DL156" s="148">
        <v>2</v>
      </c>
      <c r="DM156" s="148">
        <v>0</v>
      </c>
      <c r="DN156" s="148">
        <v>0</v>
      </c>
      <c r="DO156" s="148">
        <v>0</v>
      </c>
      <c r="DP156" s="148">
        <v>0</v>
      </c>
      <c r="DQ156" s="148">
        <v>0</v>
      </c>
      <c r="DR156" s="148">
        <v>0</v>
      </c>
      <c r="DS156" s="148">
        <v>0</v>
      </c>
      <c r="DT156" s="148">
        <v>0</v>
      </c>
      <c r="DU156" s="148">
        <v>0</v>
      </c>
      <c r="DV156" s="148">
        <v>0</v>
      </c>
      <c r="DW156" s="148">
        <v>0</v>
      </c>
      <c r="DX156" s="148">
        <v>0</v>
      </c>
      <c r="DY156" s="148">
        <v>0</v>
      </c>
      <c r="DZ156" s="148">
        <v>0</v>
      </c>
      <c r="EA156" s="148">
        <v>0</v>
      </c>
      <c r="EB156" s="148">
        <v>0</v>
      </c>
      <c r="EC156" s="148">
        <v>0</v>
      </c>
      <c r="ED156" s="148">
        <v>0</v>
      </c>
      <c r="EE156" s="148">
        <v>0</v>
      </c>
      <c r="EF156" s="148"/>
      <c r="EG156" s="148"/>
      <c r="EH156" s="148"/>
      <c r="EI156" s="148"/>
      <c r="EJ156" s="148"/>
      <c r="EK156" s="148"/>
      <c r="EL156" s="148"/>
      <c r="EM156" s="148"/>
      <c r="EN156" s="148"/>
      <c r="EO156" s="148"/>
      <c r="EP156" s="148"/>
      <c r="EQ156" s="148"/>
      <c r="ER156" s="148"/>
      <c r="ES156" s="148"/>
      <c r="ET156" s="148"/>
      <c r="EU156" s="148"/>
      <c r="EV156" s="148"/>
      <c r="EW156" s="148"/>
      <c r="EX156" s="148"/>
      <c r="EY156" s="148"/>
      <c r="EZ156" s="148"/>
      <c r="FA156" s="148"/>
      <c r="FB156" s="148"/>
      <c r="FC156" s="148"/>
      <c r="FD156" s="148"/>
      <c r="FE156" s="148"/>
      <c r="FF156" s="148"/>
      <c r="FG156" s="148"/>
      <c r="FH156" s="148"/>
      <c r="FI156" s="148"/>
      <c r="FJ156" s="148"/>
      <c r="FN156" s="151">
        <f t="shared" si="413"/>
        <v>0</v>
      </c>
      <c r="FO156" s="152">
        <f t="shared" si="414"/>
        <v>0</v>
      </c>
      <c r="FP156" s="152">
        <f t="shared" si="415"/>
        <v>0</v>
      </c>
      <c r="FQ156" s="152">
        <f t="shared" si="416"/>
        <v>0</v>
      </c>
      <c r="FR156" s="152">
        <f t="shared" si="417"/>
        <v>0</v>
      </c>
      <c r="FS156" s="152">
        <f t="shared" si="418"/>
        <v>0</v>
      </c>
      <c r="FT156" s="152">
        <f t="shared" si="419"/>
        <v>0</v>
      </c>
      <c r="FU156" s="152">
        <f t="shared" si="420"/>
        <v>0</v>
      </c>
      <c r="FV156" s="152">
        <f t="shared" si="421"/>
        <v>0</v>
      </c>
      <c r="FW156" s="152">
        <f t="shared" si="422"/>
        <v>0</v>
      </c>
      <c r="FX156" s="152">
        <f t="shared" si="423"/>
        <v>0</v>
      </c>
      <c r="FY156" s="152">
        <f t="shared" si="424"/>
        <v>0</v>
      </c>
      <c r="FZ156" s="152">
        <f t="shared" si="425"/>
        <v>0</v>
      </c>
      <c r="GA156" s="152">
        <f t="shared" si="426"/>
        <v>0</v>
      </c>
      <c r="GB156" s="152">
        <f t="shared" si="427"/>
        <v>0</v>
      </c>
      <c r="GC156" s="152">
        <f t="shared" si="428"/>
        <v>0</v>
      </c>
      <c r="GD156" s="152">
        <f t="shared" si="429"/>
        <v>0</v>
      </c>
      <c r="GE156" s="152">
        <f t="shared" si="430"/>
        <v>0</v>
      </c>
      <c r="GF156" s="152">
        <f t="shared" si="431"/>
        <v>0</v>
      </c>
      <c r="GG156" s="152">
        <f t="shared" si="432"/>
        <v>0</v>
      </c>
      <c r="GH156" s="152">
        <f t="shared" si="433"/>
        <v>0</v>
      </c>
      <c r="GI156" s="152">
        <f t="shared" si="434"/>
        <v>0</v>
      </c>
      <c r="GJ156" s="152">
        <f t="shared" si="435"/>
        <v>0</v>
      </c>
      <c r="GK156" s="152">
        <f t="shared" si="436"/>
        <v>0</v>
      </c>
      <c r="GL156" s="152">
        <f t="shared" si="437"/>
        <v>0</v>
      </c>
      <c r="GM156" s="152">
        <f t="shared" si="438"/>
        <v>6</v>
      </c>
      <c r="GN156" s="152">
        <f t="shared" si="439"/>
        <v>10</v>
      </c>
      <c r="GO156" s="152">
        <f t="shared" si="440"/>
        <v>0</v>
      </c>
      <c r="GP156" s="152">
        <f t="shared" si="441"/>
        <v>0</v>
      </c>
      <c r="GQ156" s="152">
        <f t="shared" si="442"/>
        <v>0</v>
      </c>
      <c r="GR156" s="152">
        <f t="shared" si="443"/>
        <v>0</v>
      </c>
      <c r="GS156" s="152">
        <f t="shared" si="444"/>
        <v>0</v>
      </c>
      <c r="GT156" s="152">
        <f t="shared" si="445"/>
        <v>6</v>
      </c>
      <c r="GU156" s="152">
        <f t="shared" si="446"/>
        <v>0</v>
      </c>
      <c r="GV156" s="152">
        <f t="shared" si="447"/>
        <v>0</v>
      </c>
      <c r="GW156" s="152">
        <f t="shared" si="448"/>
        <v>0</v>
      </c>
      <c r="GX156" s="152">
        <f t="shared" si="449"/>
        <v>0</v>
      </c>
      <c r="GY156" s="152">
        <f t="shared" si="450"/>
        <v>0</v>
      </c>
      <c r="GZ156" s="152">
        <f t="shared" si="451"/>
        <v>2</v>
      </c>
      <c r="HA156" s="152">
        <f t="shared" si="452"/>
        <v>0</v>
      </c>
      <c r="HB156" s="152">
        <f t="shared" si="453"/>
        <v>0</v>
      </c>
      <c r="HC156" s="152">
        <f t="shared" si="454"/>
        <v>0</v>
      </c>
      <c r="HD156" s="152">
        <f t="shared" si="455"/>
        <v>0</v>
      </c>
      <c r="HE156" s="152">
        <f t="shared" si="456"/>
        <v>0</v>
      </c>
      <c r="HF156" s="152">
        <f t="shared" si="457"/>
        <v>0</v>
      </c>
      <c r="HG156" s="152">
        <f t="shared" si="458"/>
        <v>0</v>
      </c>
      <c r="HH156" s="152">
        <f t="shared" si="459"/>
        <v>0</v>
      </c>
      <c r="HI156" s="152">
        <f t="shared" si="460"/>
        <v>0</v>
      </c>
      <c r="HJ156" s="153">
        <f t="shared" si="461"/>
        <v>0</v>
      </c>
      <c r="HK156" s="153">
        <f t="shared" si="462"/>
        <v>0</v>
      </c>
      <c r="HL156" s="153">
        <f t="shared" si="463"/>
        <v>0</v>
      </c>
      <c r="HM156" s="153">
        <f t="shared" si="464"/>
        <v>0</v>
      </c>
      <c r="HN156" s="153">
        <f t="shared" si="465"/>
        <v>0</v>
      </c>
      <c r="HO156" s="153">
        <f t="shared" si="466"/>
        <v>0</v>
      </c>
      <c r="HP156" s="153">
        <f t="shared" si="467"/>
        <v>0</v>
      </c>
      <c r="HQ156" s="101"/>
      <c r="HU156" s="155">
        <f t="shared" si="468"/>
        <v>0</v>
      </c>
      <c r="HV156" s="155">
        <f t="shared" si="469"/>
        <v>0</v>
      </c>
      <c r="HW156" s="155">
        <f t="shared" si="470"/>
        <v>0</v>
      </c>
      <c r="HX156" s="156">
        <f t="shared" si="471"/>
        <v>0</v>
      </c>
      <c r="HY156" s="146">
        <f t="shared" si="472"/>
        <v>0</v>
      </c>
      <c r="HZ156" s="146">
        <f t="shared" si="473"/>
        <v>0</v>
      </c>
      <c r="IA156" s="146">
        <f t="shared" si="474"/>
        <v>16</v>
      </c>
      <c r="IB156" s="157">
        <f t="shared" si="475"/>
        <v>0</v>
      </c>
      <c r="IC156" s="157">
        <f t="shared" si="476"/>
        <v>6</v>
      </c>
      <c r="ID156" s="157">
        <f t="shared" si="477"/>
        <v>2</v>
      </c>
      <c r="IE156" s="157">
        <f t="shared" si="478"/>
        <v>0</v>
      </c>
      <c r="IF156" s="157">
        <f t="shared" si="479"/>
        <v>0</v>
      </c>
      <c r="IG156" s="157">
        <f t="shared" si="480"/>
        <v>0</v>
      </c>
    </row>
    <row r="157" spans="1:241" outlineLevel="2" x14ac:dyDescent="0.3">
      <c r="A157" s="158" t="s">
        <v>151</v>
      </c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  <c r="AE157" s="160"/>
      <c r="AF157" s="160"/>
      <c r="AG157" s="160"/>
      <c r="AH157" s="160"/>
      <c r="AI157" s="160"/>
      <c r="AJ157" s="160"/>
      <c r="AK157" s="160"/>
      <c r="AL157" s="160"/>
      <c r="AM157" s="160"/>
      <c r="AN157" s="160"/>
      <c r="AO157" s="160"/>
      <c r="AP157" s="160"/>
      <c r="AQ157" s="160"/>
      <c r="AR157" s="160"/>
      <c r="AS157" s="161"/>
      <c r="AT157" s="160"/>
      <c r="AU157" s="160"/>
      <c r="AV157" s="160"/>
      <c r="AW157" s="160"/>
      <c r="AX157" s="160"/>
      <c r="AY157" s="160"/>
      <c r="AZ157" s="160"/>
      <c r="BA157" s="160"/>
      <c r="BB157" s="160"/>
      <c r="BC157" s="160"/>
      <c r="BD157" s="160"/>
      <c r="BE157" s="160"/>
      <c r="BF157" s="160"/>
      <c r="BG157" s="160"/>
      <c r="BH157" s="160"/>
      <c r="BI157" s="160"/>
      <c r="BJ157" s="160"/>
      <c r="BK157" s="162"/>
      <c r="BL157" s="162"/>
      <c r="BM157" s="162"/>
      <c r="BN157" s="162"/>
      <c r="BO157" s="162"/>
      <c r="BP157" s="162"/>
      <c r="BQ157" s="162"/>
      <c r="BR157" s="162">
        <v>30</v>
      </c>
      <c r="BS157" s="162">
        <v>0</v>
      </c>
      <c r="BT157" s="162">
        <v>15</v>
      </c>
      <c r="BU157" s="162">
        <v>-15</v>
      </c>
      <c r="BV157" s="162">
        <v>0</v>
      </c>
      <c r="BW157" s="162">
        <v>0</v>
      </c>
      <c r="BX157" s="162">
        <v>16</v>
      </c>
      <c r="BY157" s="162">
        <v>31</v>
      </c>
      <c r="BZ157" s="162">
        <v>0</v>
      </c>
      <c r="CA157" s="162">
        <v>24</v>
      </c>
      <c r="CB157" s="162">
        <v>0</v>
      </c>
      <c r="CC157" s="162">
        <v>16</v>
      </c>
      <c r="CD157" s="162">
        <v>0</v>
      </c>
      <c r="CE157" s="162">
        <v>16</v>
      </c>
      <c r="CF157" s="162">
        <v>0</v>
      </c>
      <c r="CG157" s="162">
        <v>32</v>
      </c>
      <c r="CH157" s="162">
        <v>16</v>
      </c>
      <c r="CI157" s="162">
        <v>16</v>
      </c>
      <c r="CJ157" s="162">
        <v>14</v>
      </c>
      <c r="CK157" s="162"/>
      <c r="CL157" s="162">
        <v>16</v>
      </c>
      <c r="CM157" s="162">
        <v>0</v>
      </c>
      <c r="CN157" s="162">
        <v>8</v>
      </c>
      <c r="CO157" s="162">
        <v>0</v>
      </c>
      <c r="CP157" s="162">
        <v>8</v>
      </c>
      <c r="CQ157" s="162">
        <v>0</v>
      </c>
      <c r="CR157" s="162">
        <v>8</v>
      </c>
      <c r="CS157" s="163">
        <v>16</v>
      </c>
      <c r="CT157" s="163"/>
      <c r="CU157" s="163">
        <v>0</v>
      </c>
      <c r="CV157" s="163">
        <v>16</v>
      </c>
      <c r="CW157" s="163">
        <v>0</v>
      </c>
      <c r="CX157" s="163">
        <v>0</v>
      </c>
      <c r="CY157" s="163">
        <v>0</v>
      </c>
      <c r="CZ157" s="163">
        <v>0</v>
      </c>
      <c r="DA157" s="163">
        <v>0</v>
      </c>
      <c r="DB157" s="163">
        <v>0</v>
      </c>
      <c r="DC157" s="163">
        <v>0</v>
      </c>
      <c r="DD157" s="163">
        <v>0</v>
      </c>
      <c r="DE157" s="163">
        <v>0</v>
      </c>
      <c r="DF157" s="163"/>
      <c r="DG157" s="163"/>
      <c r="DH157" s="163"/>
      <c r="DI157" s="163"/>
      <c r="DJ157" s="163"/>
      <c r="DK157" s="163"/>
      <c r="DL157" s="163"/>
      <c r="DM157" s="163">
        <v>0</v>
      </c>
      <c r="DN157" s="163">
        <v>0</v>
      </c>
      <c r="DO157" s="163">
        <v>0</v>
      </c>
      <c r="DP157" s="163">
        <v>0</v>
      </c>
      <c r="DQ157" s="163">
        <v>0</v>
      </c>
      <c r="DR157" s="163">
        <v>0</v>
      </c>
      <c r="DS157" s="163">
        <v>0</v>
      </c>
      <c r="DT157" s="163">
        <v>0</v>
      </c>
      <c r="DU157" s="163">
        <v>0</v>
      </c>
      <c r="DV157" s="163">
        <v>0</v>
      </c>
      <c r="DW157" s="163">
        <v>0</v>
      </c>
      <c r="DX157" s="163">
        <v>0</v>
      </c>
      <c r="DY157" s="163">
        <v>0</v>
      </c>
      <c r="DZ157" s="163">
        <v>0</v>
      </c>
      <c r="EA157" s="163">
        <v>0</v>
      </c>
      <c r="EB157" s="163">
        <v>0</v>
      </c>
      <c r="EC157" s="163">
        <v>0</v>
      </c>
      <c r="ED157" s="163">
        <v>0</v>
      </c>
      <c r="EE157" s="163">
        <v>0</v>
      </c>
      <c r="EF157" s="163"/>
      <c r="EG157" s="163"/>
      <c r="EH157" s="163"/>
      <c r="EI157" s="163"/>
      <c r="EJ157" s="163"/>
      <c r="EK157" s="163"/>
      <c r="EL157" s="163"/>
      <c r="EM157" s="163"/>
      <c r="EN157" s="163"/>
      <c r="EO157" s="163"/>
      <c r="EP157" s="163"/>
      <c r="EQ157" s="163"/>
      <c r="ER157" s="163"/>
      <c r="ES157" s="163"/>
      <c r="ET157" s="163"/>
      <c r="EU157" s="163"/>
      <c r="EV157" s="163"/>
      <c r="EW157" s="163"/>
      <c r="EX157" s="163"/>
      <c r="EY157" s="163"/>
      <c r="EZ157" s="163"/>
      <c r="FA157" s="163"/>
      <c r="FB157" s="163"/>
      <c r="FC157" s="163"/>
      <c r="FD157" s="163"/>
      <c r="FE157" s="163"/>
      <c r="FF157" s="163"/>
      <c r="FG157" s="163"/>
      <c r="FH157" s="163"/>
      <c r="FI157" s="163"/>
      <c r="FJ157" s="163"/>
      <c r="FN157" s="165">
        <f t="shared" si="413"/>
        <v>0</v>
      </c>
      <c r="FO157" s="166">
        <f t="shared" si="414"/>
        <v>0</v>
      </c>
      <c r="FP157" s="166">
        <f t="shared" si="415"/>
        <v>0</v>
      </c>
      <c r="FQ157" s="166">
        <f t="shared" si="416"/>
        <v>0</v>
      </c>
      <c r="FR157" s="166">
        <f t="shared" si="417"/>
        <v>0</v>
      </c>
      <c r="FS157" s="166">
        <f t="shared" si="418"/>
        <v>0</v>
      </c>
      <c r="FT157" s="166">
        <f t="shared" si="419"/>
        <v>0</v>
      </c>
      <c r="FU157" s="166">
        <f t="shared" si="420"/>
        <v>0</v>
      </c>
      <c r="FV157" s="166">
        <f t="shared" si="421"/>
        <v>0</v>
      </c>
      <c r="FW157" s="166">
        <f t="shared" si="422"/>
        <v>0</v>
      </c>
      <c r="FX157" s="166">
        <f t="shared" si="423"/>
        <v>0</v>
      </c>
      <c r="FY157" s="166">
        <f t="shared" si="424"/>
        <v>0</v>
      </c>
      <c r="FZ157" s="166">
        <f t="shared" si="425"/>
        <v>0</v>
      </c>
      <c r="GA157" s="166">
        <f t="shared" si="426"/>
        <v>0</v>
      </c>
      <c r="GB157" s="166">
        <f t="shared" si="427"/>
        <v>0</v>
      </c>
      <c r="GC157" s="166">
        <f t="shared" si="428"/>
        <v>0</v>
      </c>
      <c r="GD157" s="166">
        <f t="shared" si="429"/>
        <v>0</v>
      </c>
      <c r="GE157" s="166">
        <f t="shared" si="430"/>
        <v>0</v>
      </c>
      <c r="GF157" s="166">
        <f t="shared" si="431"/>
        <v>0</v>
      </c>
      <c r="GG157" s="166">
        <f t="shared" si="432"/>
        <v>0</v>
      </c>
      <c r="GH157" s="166">
        <f t="shared" si="433"/>
        <v>0</v>
      </c>
      <c r="GI157" s="166">
        <f t="shared" si="434"/>
        <v>0</v>
      </c>
      <c r="GJ157" s="166">
        <f t="shared" si="435"/>
        <v>30</v>
      </c>
      <c r="GK157" s="166">
        <f t="shared" si="436"/>
        <v>0</v>
      </c>
      <c r="GL157" s="166">
        <f t="shared" si="437"/>
        <v>16</v>
      </c>
      <c r="GM157" s="166">
        <f t="shared" si="438"/>
        <v>55</v>
      </c>
      <c r="GN157" s="166">
        <f t="shared" si="439"/>
        <v>16</v>
      </c>
      <c r="GO157" s="166">
        <f t="shared" si="440"/>
        <v>48</v>
      </c>
      <c r="GP157" s="166">
        <f t="shared" si="441"/>
        <v>46</v>
      </c>
      <c r="GQ157" s="166">
        <f t="shared" si="442"/>
        <v>16</v>
      </c>
      <c r="GR157" s="166">
        <f t="shared" si="443"/>
        <v>16</v>
      </c>
      <c r="GS157" s="166">
        <f t="shared" si="444"/>
        <v>24</v>
      </c>
      <c r="GT157" s="166">
        <f t="shared" si="445"/>
        <v>16</v>
      </c>
      <c r="GU157" s="166">
        <f t="shared" si="446"/>
        <v>0</v>
      </c>
      <c r="GV157" s="166">
        <f t="shared" si="447"/>
        <v>0</v>
      </c>
      <c r="GW157" s="166">
        <f t="shared" si="448"/>
        <v>0</v>
      </c>
      <c r="GX157" s="166">
        <f t="shared" si="449"/>
        <v>0</v>
      </c>
      <c r="GY157" s="166">
        <f t="shared" si="450"/>
        <v>0</v>
      </c>
      <c r="GZ157" s="166">
        <f t="shared" si="451"/>
        <v>0</v>
      </c>
      <c r="HA157" s="166">
        <f t="shared" si="452"/>
        <v>0</v>
      </c>
      <c r="HB157" s="166">
        <f t="shared" si="453"/>
        <v>0</v>
      </c>
      <c r="HC157" s="166">
        <f t="shared" si="454"/>
        <v>0</v>
      </c>
      <c r="HD157" s="166">
        <f t="shared" si="455"/>
        <v>0</v>
      </c>
      <c r="HE157" s="166">
        <f t="shared" si="456"/>
        <v>0</v>
      </c>
      <c r="HF157" s="166">
        <f t="shared" si="457"/>
        <v>0</v>
      </c>
      <c r="HG157" s="166">
        <f t="shared" si="458"/>
        <v>0</v>
      </c>
      <c r="HH157" s="166">
        <f t="shared" si="459"/>
        <v>0</v>
      </c>
      <c r="HI157" s="166">
        <f t="shared" si="460"/>
        <v>0</v>
      </c>
      <c r="HJ157" s="167">
        <f t="shared" si="461"/>
        <v>0</v>
      </c>
      <c r="HK157" s="167">
        <f t="shared" si="462"/>
        <v>0</v>
      </c>
      <c r="HL157" s="167">
        <f t="shared" si="463"/>
        <v>0</v>
      </c>
      <c r="HM157" s="167">
        <f t="shared" si="464"/>
        <v>0</v>
      </c>
      <c r="HN157" s="167">
        <f t="shared" si="465"/>
        <v>0</v>
      </c>
      <c r="HO157" s="167">
        <f t="shared" si="466"/>
        <v>0</v>
      </c>
      <c r="HP157" s="167">
        <f t="shared" si="467"/>
        <v>0</v>
      </c>
      <c r="HQ157" s="168"/>
      <c r="HU157" s="169">
        <f t="shared" si="468"/>
        <v>0</v>
      </c>
      <c r="HV157" s="169">
        <f t="shared" si="469"/>
        <v>0</v>
      </c>
      <c r="HW157" s="169">
        <f t="shared" si="470"/>
        <v>0</v>
      </c>
      <c r="HX157" s="170">
        <f t="shared" si="471"/>
        <v>0</v>
      </c>
      <c r="HY157" s="160">
        <f t="shared" si="472"/>
        <v>0</v>
      </c>
      <c r="HZ157" s="160">
        <f t="shared" si="473"/>
        <v>30</v>
      </c>
      <c r="IA157" s="160">
        <f t="shared" si="474"/>
        <v>135</v>
      </c>
      <c r="IB157" s="171">
        <f t="shared" si="475"/>
        <v>102</v>
      </c>
      <c r="IC157" s="171">
        <f t="shared" si="476"/>
        <v>16</v>
      </c>
      <c r="ID157" s="171">
        <f t="shared" si="477"/>
        <v>0</v>
      </c>
      <c r="IE157" s="171">
        <f t="shared" si="478"/>
        <v>0</v>
      </c>
      <c r="IF157" s="171">
        <f t="shared" si="479"/>
        <v>0</v>
      </c>
      <c r="IG157" s="171">
        <f t="shared" si="480"/>
        <v>0</v>
      </c>
    </row>
    <row r="158" spans="1:241" outlineLevel="2" x14ac:dyDescent="0.3">
      <c r="A158" s="144" t="s">
        <v>152</v>
      </c>
      <c r="B158" s="145">
        <v>10027</v>
      </c>
      <c r="C158" s="145">
        <v>9363</v>
      </c>
      <c r="D158" s="145">
        <v>12906</v>
      </c>
      <c r="E158" s="145">
        <v>11107</v>
      </c>
      <c r="F158" s="145">
        <v>3891</v>
      </c>
      <c r="G158" s="145">
        <v>5044</v>
      </c>
      <c r="H158" s="145">
        <v>7024</v>
      </c>
      <c r="I158" s="145">
        <v>12213</v>
      </c>
      <c r="J158" s="145">
        <v>12916</v>
      </c>
      <c r="K158" s="145">
        <v>11035</v>
      </c>
      <c r="L158" s="145">
        <v>11486</v>
      </c>
      <c r="M158" s="145">
        <v>11845</v>
      </c>
      <c r="N158" s="145">
        <v>6737</v>
      </c>
      <c r="O158" s="145">
        <v>6726</v>
      </c>
      <c r="P158" s="145">
        <v>7380</v>
      </c>
      <c r="Q158" s="145">
        <v>8078</v>
      </c>
      <c r="R158" s="145">
        <v>11166</v>
      </c>
      <c r="S158" s="146">
        <v>14404</v>
      </c>
      <c r="T158" s="146">
        <v>8929</v>
      </c>
      <c r="U158" s="146">
        <v>6561</v>
      </c>
      <c r="V158" s="146">
        <v>4211</v>
      </c>
      <c r="W158" s="146">
        <v>5753</v>
      </c>
      <c r="X158" s="146">
        <v>9245</v>
      </c>
      <c r="Y158" s="146">
        <v>10642</v>
      </c>
      <c r="Z158" s="146">
        <v>6867</v>
      </c>
      <c r="AA158" s="146">
        <v>9580</v>
      </c>
      <c r="AB158" s="146">
        <v>10532</v>
      </c>
      <c r="AC158" s="146">
        <v>10407</v>
      </c>
      <c r="AD158" s="146">
        <v>10955</v>
      </c>
      <c r="AE158" s="146">
        <v>9207</v>
      </c>
      <c r="AF158" s="146">
        <v>6073</v>
      </c>
      <c r="AG158" s="146">
        <v>8822</v>
      </c>
      <c r="AH158" s="146">
        <v>10552</v>
      </c>
      <c r="AI158" s="146">
        <v>10143</v>
      </c>
      <c r="AJ158" s="146">
        <v>9446</v>
      </c>
      <c r="AK158" s="146">
        <v>7006</v>
      </c>
      <c r="AL158" s="146">
        <v>9931</v>
      </c>
      <c r="AM158" s="146">
        <v>11554</v>
      </c>
      <c r="AN158" s="146">
        <v>11465</v>
      </c>
      <c r="AO158" s="146">
        <v>10647</v>
      </c>
      <c r="AP158" s="146">
        <v>10358</v>
      </c>
      <c r="AQ158" s="146">
        <v>7247</v>
      </c>
      <c r="AR158" s="146">
        <v>12213</v>
      </c>
      <c r="AS158" s="131">
        <v>8965</v>
      </c>
      <c r="AT158" s="146">
        <v>6719</v>
      </c>
      <c r="AU158" s="146">
        <v>6467</v>
      </c>
      <c r="AV158" s="146">
        <v>8551</v>
      </c>
      <c r="AW158" s="146">
        <v>10016</v>
      </c>
      <c r="AX158" s="146">
        <v>8801</v>
      </c>
      <c r="AY158" s="146">
        <v>9247</v>
      </c>
      <c r="AZ158" s="146">
        <v>6045</v>
      </c>
      <c r="BA158" s="146">
        <v>9993</v>
      </c>
      <c r="BB158" s="146">
        <v>9943</v>
      </c>
      <c r="BC158" s="146">
        <v>9974</v>
      </c>
      <c r="BD158" s="146">
        <v>8901</v>
      </c>
      <c r="BE158" s="146">
        <v>8204</v>
      </c>
      <c r="BF158" s="146">
        <v>9917</v>
      </c>
      <c r="BG158" s="146">
        <v>8635</v>
      </c>
      <c r="BH158" s="146">
        <v>8525</v>
      </c>
      <c r="BI158" s="146">
        <v>10557</v>
      </c>
      <c r="BJ158" s="146">
        <v>6436</v>
      </c>
      <c r="BK158" s="147">
        <v>5939</v>
      </c>
      <c r="BL158" s="147">
        <v>12290</v>
      </c>
      <c r="BM158" s="147">
        <v>10950</v>
      </c>
      <c r="BN158" s="147">
        <v>11298</v>
      </c>
      <c r="BO158" s="147">
        <v>10387</v>
      </c>
      <c r="BP158" s="147">
        <v>9584</v>
      </c>
      <c r="BQ158" s="147">
        <v>8145</v>
      </c>
      <c r="BR158" s="147">
        <v>10258</v>
      </c>
      <c r="BS158" s="147">
        <v>9640</v>
      </c>
      <c r="BT158" s="147">
        <v>10978</v>
      </c>
      <c r="BU158" s="147">
        <v>11055</v>
      </c>
      <c r="BV158" s="147">
        <v>6998</v>
      </c>
      <c r="BW158" s="147">
        <v>7977</v>
      </c>
      <c r="BX158" s="147">
        <v>8695</v>
      </c>
      <c r="BY158" s="147">
        <v>9548</v>
      </c>
      <c r="BZ158" s="147">
        <v>9740</v>
      </c>
      <c r="CA158" s="147">
        <v>8083</v>
      </c>
      <c r="CB158" s="147">
        <v>7675</v>
      </c>
      <c r="CC158" s="147">
        <v>7151</v>
      </c>
      <c r="CD158" s="147">
        <v>6413</v>
      </c>
      <c r="CE158" s="147">
        <v>8548</v>
      </c>
      <c r="CF158" s="147">
        <v>8668</v>
      </c>
      <c r="CG158" s="147">
        <v>9614</v>
      </c>
      <c r="CH158" s="147">
        <v>8806</v>
      </c>
      <c r="CI158" s="147">
        <v>8126</v>
      </c>
      <c r="CJ158" s="147">
        <v>8839</v>
      </c>
      <c r="CK158" s="147">
        <v>8507</v>
      </c>
      <c r="CL158" s="147">
        <v>8060</v>
      </c>
      <c r="CM158" s="147">
        <v>6497</v>
      </c>
      <c r="CN158" s="147">
        <v>8346</v>
      </c>
      <c r="CO158" s="147">
        <v>6189</v>
      </c>
      <c r="CP158" s="147">
        <v>7015</v>
      </c>
      <c r="CQ158" s="147">
        <v>8852</v>
      </c>
      <c r="CR158" s="147">
        <v>9464</v>
      </c>
      <c r="CS158" s="148">
        <v>4483</v>
      </c>
      <c r="CT158" s="148"/>
      <c r="CU158" s="148">
        <v>4288</v>
      </c>
      <c r="CV158" s="148">
        <v>4093</v>
      </c>
      <c r="CW158" s="148">
        <v>6430</v>
      </c>
      <c r="CX158" s="148">
        <v>7187</v>
      </c>
      <c r="CY158" s="148">
        <v>7385</v>
      </c>
      <c r="CZ158" s="148">
        <v>8822</v>
      </c>
      <c r="DA158" s="148">
        <v>8376</v>
      </c>
      <c r="DB158" s="148">
        <v>9110</v>
      </c>
      <c r="DC158" s="148">
        <v>9690</v>
      </c>
      <c r="DD158" s="148">
        <v>9207</v>
      </c>
      <c r="DE158" s="148">
        <v>9542</v>
      </c>
      <c r="DF158" s="148">
        <v>13256</v>
      </c>
      <c r="DG158" s="148">
        <v>9174</v>
      </c>
      <c r="DH158" s="148">
        <v>13471</v>
      </c>
      <c r="DI158" s="148">
        <v>16057</v>
      </c>
      <c r="DJ158" s="148">
        <v>15706</v>
      </c>
      <c r="DK158" s="148">
        <v>13138</v>
      </c>
      <c r="DL158" s="148">
        <v>17054</v>
      </c>
      <c r="DM158" s="148">
        <v>16851</v>
      </c>
      <c r="DN158" s="148">
        <v>16783</v>
      </c>
      <c r="DO158" s="148">
        <v>13330</v>
      </c>
      <c r="DP158" s="148">
        <v>19127</v>
      </c>
      <c r="DQ158" s="148">
        <v>19929</v>
      </c>
      <c r="DR158" s="148">
        <v>15205</v>
      </c>
      <c r="DS158" s="148">
        <v>20467</v>
      </c>
      <c r="DT158" s="148">
        <v>18050</v>
      </c>
      <c r="DU158" s="148">
        <v>16608</v>
      </c>
      <c r="DV158" s="148">
        <v>12452</v>
      </c>
      <c r="DW158" s="148">
        <v>14770</v>
      </c>
      <c r="DX158" s="148">
        <v>18669</v>
      </c>
      <c r="DY158" s="148">
        <v>18158</v>
      </c>
      <c r="DZ158" s="148">
        <v>20568</v>
      </c>
      <c r="EA158" s="148">
        <v>15666</v>
      </c>
      <c r="EB158" s="148">
        <v>13468</v>
      </c>
      <c r="EC158" s="148">
        <v>22024</v>
      </c>
      <c r="ED158" s="148">
        <v>13125</v>
      </c>
      <c r="EE158" s="148">
        <v>20651</v>
      </c>
      <c r="EF158" s="148">
        <v>15949</v>
      </c>
      <c r="EG158" s="148">
        <v>17189</v>
      </c>
      <c r="EH158" s="148">
        <v>17378</v>
      </c>
      <c r="EI158" s="148">
        <v>17383</v>
      </c>
      <c r="EJ158" s="148">
        <v>13595</v>
      </c>
      <c r="EK158" s="148">
        <v>13844</v>
      </c>
      <c r="EL158" s="148">
        <v>18801</v>
      </c>
      <c r="EM158" s="148">
        <v>14463</v>
      </c>
      <c r="EN158" s="148">
        <v>16939</v>
      </c>
      <c r="EO158" s="148">
        <v>16109</v>
      </c>
      <c r="EP158" s="148">
        <v>13282</v>
      </c>
      <c r="EQ158" s="148">
        <v>7917</v>
      </c>
      <c r="ER158" s="148">
        <v>15002</v>
      </c>
      <c r="ES158" s="148">
        <v>9551</v>
      </c>
      <c r="ET158" s="148">
        <v>11403</v>
      </c>
      <c r="EU158" s="148">
        <v>13355</v>
      </c>
      <c r="EV158" s="148">
        <v>16681</v>
      </c>
      <c r="EW158" s="148">
        <v>14972</v>
      </c>
      <c r="EX158" s="148">
        <v>19123</v>
      </c>
      <c r="EY158" s="148">
        <v>12747</v>
      </c>
      <c r="EZ158" s="148">
        <v>12926</v>
      </c>
      <c r="FA158" s="148">
        <v>17106</v>
      </c>
      <c r="FB158" s="148">
        <v>11272</v>
      </c>
      <c r="FC158" s="148">
        <v>13829</v>
      </c>
      <c r="FD158" s="148">
        <v>17924</v>
      </c>
      <c r="FE158" s="148">
        <v>17035</v>
      </c>
      <c r="FF158" s="148">
        <v>21702</v>
      </c>
      <c r="FG158" s="148">
        <v>18694</v>
      </c>
      <c r="FH158" s="148">
        <v>16210</v>
      </c>
      <c r="FI158" s="148">
        <v>18692</v>
      </c>
      <c r="FJ158" s="148">
        <v>12373</v>
      </c>
      <c r="FN158" s="151">
        <f t="shared" si="413"/>
        <v>32296</v>
      </c>
      <c r="FO158" s="152">
        <f t="shared" si="414"/>
        <v>20042</v>
      </c>
      <c r="FP158" s="152">
        <f t="shared" si="415"/>
        <v>32153</v>
      </c>
      <c r="FQ158" s="152">
        <f t="shared" si="416"/>
        <v>34366</v>
      </c>
      <c r="FR158" s="152">
        <f t="shared" si="417"/>
        <v>20843</v>
      </c>
      <c r="FS158" s="152">
        <f t="shared" si="418"/>
        <v>33648</v>
      </c>
      <c r="FT158" s="152">
        <f t="shared" si="419"/>
        <v>19701</v>
      </c>
      <c r="FU158" s="152">
        <f t="shared" si="420"/>
        <v>25640</v>
      </c>
      <c r="FV158" s="152">
        <f t="shared" si="421"/>
        <v>26979</v>
      </c>
      <c r="FW158" s="152">
        <f t="shared" si="422"/>
        <v>30569</v>
      </c>
      <c r="FX158" s="152">
        <f t="shared" si="423"/>
        <v>25447</v>
      </c>
      <c r="FY158" s="152">
        <f t="shared" si="424"/>
        <v>26595</v>
      </c>
      <c r="FZ158" s="152">
        <f t="shared" si="425"/>
        <v>32950</v>
      </c>
      <c r="GA158" s="152">
        <f t="shared" si="426"/>
        <v>28252</v>
      </c>
      <c r="GB158" s="152">
        <f t="shared" si="427"/>
        <v>27897</v>
      </c>
      <c r="GC158" s="152">
        <f t="shared" si="428"/>
        <v>25034</v>
      </c>
      <c r="GD158" s="152">
        <f t="shared" si="429"/>
        <v>24093</v>
      </c>
      <c r="GE158" s="152">
        <f t="shared" si="430"/>
        <v>29910</v>
      </c>
      <c r="GF158" s="152">
        <f t="shared" si="431"/>
        <v>27022</v>
      </c>
      <c r="GG158" s="152">
        <f t="shared" si="432"/>
        <v>27717</v>
      </c>
      <c r="GH158" s="152">
        <f t="shared" si="433"/>
        <v>24665</v>
      </c>
      <c r="GI158" s="152">
        <f t="shared" si="434"/>
        <v>32635</v>
      </c>
      <c r="GJ158" s="152">
        <f t="shared" si="435"/>
        <v>27987</v>
      </c>
      <c r="GK158" s="152">
        <f t="shared" si="436"/>
        <v>31673</v>
      </c>
      <c r="GL158" s="152">
        <f t="shared" si="437"/>
        <v>23670</v>
      </c>
      <c r="GM158" s="152">
        <f t="shared" si="438"/>
        <v>27371</v>
      </c>
      <c r="GN158" s="152">
        <f t="shared" si="439"/>
        <v>21239</v>
      </c>
      <c r="GO158" s="152">
        <f t="shared" si="440"/>
        <v>26830</v>
      </c>
      <c r="GP158" s="152">
        <f t="shared" si="441"/>
        <v>25771</v>
      </c>
      <c r="GQ158" s="152">
        <f t="shared" si="442"/>
        <v>23064</v>
      </c>
      <c r="GR158" s="152">
        <f t="shared" si="443"/>
        <v>21550</v>
      </c>
      <c r="GS158" s="152">
        <f t="shared" si="444"/>
        <v>22799</v>
      </c>
      <c r="GT158" s="152">
        <f t="shared" si="445"/>
        <v>8381</v>
      </c>
      <c r="GU158" s="152">
        <f t="shared" si="446"/>
        <v>21002</v>
      </c>
      <c r="GV158" s="152">
        <f t="shared" si="447"/>
        <v>26308</v>
      </c>
      <c r="GW158" s="152">
        <f t="shared" si="448"/>
        <v>28439</v>
      </c>
      <c r="GX158" s="152">
        <f t="shared" si="449"/>
        <v>35901</v>
      </c>
      <c r="GY158" s="152">
        <f t="shared" si="450"/>
        <v>44901</v>
      </c>
      <c r="GZ158" s="152">
        <f t="shared" si="451"/>
        <v>50688</v>
      </c>
      <c r="HA158" s="152">
        <f t="shared" si="452"/>
        <v>52386</v>
      </c>
      <c r="HB158" s="152">
        <f t="shared" si="453"/>
        <v>53722</v>
      </c>
      <c r="HC158" s="152">
        <f t="shared" si="454"/>
        <v>43830</v>
      </c>
      <c r="HD158" s="152">
        <f t="shared" si="455"/>
        <v>57395</v>
      </c>
      <c r="HE158" s="152">
        <f t="shared" si="456"/>
        <v>51158</v>
      </c>
      <c r="HF158" s="152">
        <f t="shared" si="457"/>
        <v>49725</v>
      </c>
      <c r="HG158" s="152">
        <f t="shared" si="458"/>
        <v>51950</v>
      </c>
      <c r="HH158" s="152">
        <f t="shared" si="459"/>
        <v>46240</v>
      </c>
      <c r="HI158" s="152">
        <f t="shared" si="460"/>
        <v>47511</v>
      </c>
      <c r="HJ158" s="153">
        <f t="shared" si="461"/>
        <v>36201</v>
      </c>
      <c r="HK158" s="153">
        <f t="shared" si="462"/>
        <v>34309</v>
      </c>
      <c r="HL158" s="153">
        <f t="shared" si="463"/>
        <v>50776</v>
      </c>
      <c r="HM158" s="153">
        <f t="shared" si="464"/>
        <v>42779</v>
      </c>
      <c r="HN158" s="153">
        <f t="shared" si="465"/>
        <v>43025</v>
      </c>
      <c r="HO158" s="153">
        <f t="shared" si="466"/>
        <v>57431</v>
      </c>
      <c r="HP158" s="153">
        <f t="shared" si="467"/>
        <v>47275</v>
      </c>
      <c r="HQ158" s="101"/>
      <c r="HU158" s="155">
        <f t="shared" si="468"/>
        <v>118857</v>
      </c>
      <c r="HV158" s="155">
        <f t="shared" si="469"/>
        <v>99832</v>
      </c>
      <c r="HW158" s="155">
        <f t="shared" si="470"/>
        <v>109590</v>
      </c>
      <c r="HX158" s="156">
        <f t="shared" si="471"/>
        <v>114133</v>
      </c>
      <c r="HY158" s="146">
        <f t="shared" si="472"/>
        <v>108742</v>
      </c>
      <c r="HZ158" s="146">
        <f t="shared" si="473"/>
        <v>116960</v>
      </c>
      <c r="IA158" s="146">
        <f t="shared" si="474"/>
        <v>99110</v>
      </c>
      <c r="IB158" s="157">
        <f t="shared" si="475"/>
        <v>93184</v>
      </c>
      <c r="IC158" s="157">
        <f t="shared" si="476"/>
        <v>84130</v>
      </c>
      <c r="ID158" s="157">
        <f t="shared" si="477"/>
        <v>183876</v>
      </c>
      <c r="IE158" s="157">
        <f t="shared" si="478"/>
        <v>206105</v>
      </c>
      <c r="IF158" s="157">
        <f t="shared" si="479"/>
        <v>195426</v>
      </c>
      <c r="IG158" s="157">
        <f t="shared" si="480"/>
        <v>164065</v>
      </c>
    </row>
    <row r="159" spans="1:241" outlineLevel="2" x14ac:dyDescent="0.3">
      <c r="A159" s="158" t="s">
        <v>154</v>
      </c>
      <c r="B159" s="159">
        <v>1310</v>
      </c>
      <c r="C159" s="159">
        <v>8157</v>
      </c>
      <c r="D159" s="159">
        <v>12864</v>
      </c>
      <c r="E159" s="159">
        <v>6127</v>
      </c>
      <c r="F159" s="159">
        <v>7516</v>
      </c>
      <c r="G159" s="159">
        <v>10043</v>
      </c>
      <c r="H159" s="159">
        <v>5882</v>
      </c>
      <c r="I159" s="159">
        <v>11721</v>
      </c>
      <c r="J159" s="159">
        <v>8793</v>
      </c>
      <c r="K159" s="159">
        <v>8454</v>
      </c>
      <c r="L159" s="159">
        <v>7945</v>
      </c>
      <c r="M159" s="159">
        <v>10159</v>
      </c>
      <c r="N159" s="159">
        <v>2871</v>
      </c>
      <c r="O159" s="159">
        <v>7623</v>
      </c>
      <c r="P159" s="159">
        <v>3283</v>
      </c>
      <c r="Q159" s="159">
        <v>14455</v>
      </c>
      <c r="R159" s="159">
        <v>10537</v>
      </c>
      <c r="S159" s="160">
        <v>10883</v>
      </c>
      <c r="T159" s="160">
        <v>9190</v>
      </c>
      <c r="U159" s="160">
        <v>10979</v>
      </c>
      <c r="V159" s="160">
        <v>14403</v>
      </c>
      <c r="W159" s="160">
        <v>10707</v>
      </c>
      <c r="X159" s="160">
        <v>10959</v>
      </c>
      <c r="Y159" s="160">
        <v>10223</v>
      </c>
      <c r="Z159" s="160">
        <v>3523</v>
      </c>
      <c r="AA159" s="160">
        <v>6922</v>
      </c>
      <c r="AB159" s="160">
        <v>9869</v>
      </c>
      <c r="AC159" s="160">
        <v>11008</v>
      </c>
      <c r="AD159" s="160">
        <v>9249</v>
      </c>
      <c r="AE159" s="160">
        <v>15063</v>
      </c>
      <c r="AF159" s="160">
        <v>9456</v>
      </c>
      <c r="AG159" s="160">
        <v>10485</v>
      </c>
      <c r="AH159" s="160">
        <v>11747</v>
      </c>
      <c r="AI159" s="160">
        <v>10024</v>
      </c>
      <c r="AJ159" s="160">
        <v>11634</v>
      </c>
      <c r="AK159" s="160">
        <v>11286</v>
      </c>
      <c r="AL159" s="160">
        <v>6204</v>
      </c>
      <c r="AM159" s="160">
        <v>9769</v>
      </c>
      <c r="AN159" s="160">
        <v>3233</v>
      </c>
      <c r="AO159" s="160">
        <v>13793</v>
      </c>
      <c r="AP159" s="160">
        <v>10669</v>
      </c>
      <c r="AQ159" s="160">
        <v>10036</v>
      </c>
      <c r="AR159" s="160">
        <v>8825</v>
      </c>
      <c r="AS159" s="161">
        <v>8523</v>
      </c>
      <c r="AT159" s="160">
        <v>8733</v>
      </c>
      <c r="AU159" s="160">
        <v>8892</v>
      </c>
      <c r="AV159" s="160">
        <v>13053</v>
      </c>
      <c r="AW159" s="160">
        <v>9730</v>
      </c>
      <c r="AX159" s="160">
        <v>6259</v>
      </c>
      <c r="AY159" s="160">
        <v>6810</v>
      </c>
      <c r="AZ159" s="160">
        <v>7638</v>
      </c>
      <c r="BA159" s="160">
        <v>7595</v>
      </c>
      <c r="BB159" s="160">
        <v>8984</v>
      </c>
      <c r="BC159" s="160">
        <v>11805</v>
      </c>
      <c r="BD159" s="160">
        <v>9930</v>
      </c>
      <c r="BE159" s="160">
        <v>7838</v>
      </c>
      <c r="BF159" s="160">
        <v>11270</v>
      </c>
      <c r="BG159" s="160">
        <v>5725</v>
      </c>
      <c r="BH159" s="160">
        <v>11154</v>
      </c>
      <c r="BI159" s="160">
        <v>12852</v>
      </c>
      <c r="BJ159" s="160">
        <v>5940</v>
      </c>
      <c r="BK159" s="162">
        <v>3957</v>
      </c>
      <c r="BL159" s="162">
        <v>3365</v>
      </c>
      <c r="BM159" s="162">
        <v>4317</v>
      </c>
      <c r="BN159" s="162">
        <v>6914</v>
      </c>
      <c r="BO159" s="162">
        <v>6379</v>
      </c>
      <c r="BP159" s="162">
        <v>3590</v>
      </c>
      <c r="BQ159" s="162">
        <v>5674</v>
      </c>
      <c r="BR159" s="162">
        <v>4836</v>
      </c>
      <c r="BS159" s="162">
        <v>5187</v>
      </c>
      <c r="BT159" s="162">
        <v>6327</v>
      </c>
      <c r="BU159" s="162">
        <v>9466</v>
      </c>
      <c r="BV159" s="162">
        <v>995</v>
      </c>
      <c r="BW159" s="162">
        <v>4728</v>
      </c>
      <c r="BX159" s="162">
        <v>3800</v>
      </c>
      <c r="BY159" s="162">
        <v>4818</v>
      </c>
      <c r="BZ159" s="162">
        <v>5519</v>
      </c>
      <c r="CA159" s="162">
        <v>7146</v>
      </c>
      <c r="CB159" s="162">
        <v>4408</v>
      </c>
      <c r="CC159" s="162">
        <v>4945</v>
      </c>
      <c r="CD159" s="162">
        <v>5390</v>
      </c>
      <c r="CE159" s="162">
        <v>3352</v>
      </c>
      <c r="CF159" s="162">
        <v>4749</v>
      </c>
      <c r="CG159" s="162">
        <v>5710</v>
      </c>
      <c r="CH159" s="162">
        <v>3613</v>
      </c>
      <c r="CI159" s="162">
        <v>4343</v>
      </c>
      <c r="CJ159" s="162">
        <v>2907</v>
      </c>
      <c r="CK159" s="162">
        <v>6912</v>
      </c>
      <c r="CL159" s="162">
        <v>7481</v>
      </c>
      <c r="CM159" s="162">
        <v>7552</v>
      </c>
      <c r="CN159" s="162">
        <v>7149</v>
      </c>
      <c r="CO159" s="162">
        <v>8515</v>
      </c>
      <c r="CP159" s="162">
        <v>10715</v>
      </c>
      <c r="CQ159" s="162">
        <v>4593</v>
      </c>
      <c r="CR159" s="162">
        <v>6773</v>
      </c>
      <c r="CS159" s="163">
        <v>7236</v>
      </c>
      <c r="CT159" s="163"/>
      <c r="CU159" s="163">
        <v>0</v>
      </c>
      <c r="CV159" s="163">
        <v>2080</v>
      </c>
      <c r="CW159" s="163">
        <v>2306</v>
      </c>
      <c r="CX159" s="163">
        <v>2388</v>
      </c>
      <c r="CY159" s="163">
        <v>86</v>
      </c>
      <c r="CZ159" s="163">
        <v>50</v>
      </c>
      <c r="DA159" s="163">
        <v>2358</v>
      </c>
      <c r="DB159" s="163">
        <v>7954</v>
      </c>
      <c r="DC159" s="163">
        <v>4083</v>
      </c>
      <c r="DD159" s="163">
        <v>4714</v>
      </c>
      <c r="DE159" s="163">
        <v>5094</v>
      </c>
      <c r="DF159" s="163">
        <v>1842</v>
      </c>
      <c r="DG159" s="163">
        <v>6</v>
      </c>
      <c r="DH159" s="163">
        <v>4611</v>
      </c>
      <c r="DI159" s="163">
        <v>3212</v>
      </c>
      <c r="DJ159" s="163">
        <v>526</v>
      </c>
      <c r="DK159" s="163">
        <v>4188</v>
      </c>
      <c r="DL159" s="163">
        <v>2359</v>
      </c>
      <c r="DM159" s="163">
        <v>2379</v>
      </c>
      <c r="DN159" s="163">
        <v>3319</v>
      </c>
      <c r="DO159" s="163">
        <v>927</v>
      </c>
      <c r="DP159" s="163">
        <v>3117</v>
      </c>
      <c r="DQ159" s="163">
        <v>4296</v>
      </c>
      <c r="DR159" s="163">
        <v>1220</v>
      </c>
      <c r="DS159" s="163">
        <v>5062</v>
      </c>
      <c r="DT159" s="163">
        <v>4170</v>
      </c>
      <c r="DU159" s="163">
        <v>3884</v>
      </c>
      <c r="DV159" s="163">
        <v>4646</v>
      </c>
      <c r="DW159" s="163">
        <v>3979</v>
      </c>
      <c r="DX159" s="163">
        <v>4570</v>
      </c>
      <c r="DY159" s="163">
        <v>4262</v>
      </c>
      <c r="DZ159" s="163">
        <v>4675</v>
      </c>
      <c r="EA159" s="163">
        <v>3257</v>
      </c>
      <c r="EB159" s="163">
        <v>3765</v>
      </c>
      <c r="EC159" s="163">
        <v>5451</v>
      </c>
      <c r="ED159" s="163">
        <v>592</v>
      </c>
      <c r="EE159" s="163">
        <v>1451</v>
      </c>
      <c r="EF159" s="163">
        <v>2838</v>
      </c>
      <c r="EG159" s="163">
        <v>3613</v>
      </c>
      <c r="EH159" s="163">
        <v>1323</v>
      </c>
      <c r="EI159" s="163">
        <v>7361</v>
      </c>
      <c r="EJ159" s="163">
        <v>2987</v>
      </c>
      <c r="EK159" s="163">
        <v>2044</v>
      </c>
      <c r="EL159" s="163">
        <v>3596</v>
      </c>
      <c r="EM159" s="163">
        <v>1732</v>
      </c>
      <c r="EN159" s="163">
        <v>2204</v>
      </c>
      <c r="EO159" s="163">
        <v>3918</v>
      </c>
      <c r="EP159" s="163">
        <v>561</v>
      </c>
      <c r="EQ159" s="163">
        <v>2635</v>
      </c>
      <c r="ER159" s="163">
        <v>5970</v>
      </c>
      <c r="ES159" s="163">
        <v>4334</v>
      </c>
      <c r="ET159" s="163">
        <v>7401</v>
      </c>
      <c r="EU159" s="163">
        <v>5863</v>
      </c>
      <c r="EV159" s="163">
        <v>2441</v>
      </c>
      <c r="EW159" s="163">
        <v>5351</v>
      </c>
      <c r="EX159" s="163">
        <v>6988</v>
      </c>
      <c r="EY159" s="163">
        <v>635</v>
      </c>
      <c r="EZ159" s="163"/>
      <c r="FA159" s="163"/>
      <c r="FB159" s="163"/>
      <c r="FC159" s="163">
        <v>3674</v>
      </c>
      <c r="FD159" s="163">
        <v>2033</v>
      </c>
      <c r="FE159" s="163">
        <v>2086</v>
      </c>
      <c r="FF159" s="163">
        <v>1092</v>
      </c>
      <c r="FG159" s="163">
        <v>4494</v>
      </c>
      <c r="FH159" s="163">
        <v>1952</v>
      </c>
      <c r="FI159" s="163">
        <v>3354</v>
      </c>
      <c r="FJ159" s="163">
        <v>4202</v>
      </c>
      <c r="FN159" s="165">
        <f t="shared" si="413"/>
        <v>22331</v>
      </c>
      <c r="FO159" s="166">
        <f t="shared" si="414"/>
        <v>23686</v>
      </c>
      <c r="FP159" s="166">
        <f t="shared" si="415"/>
        <v>26396</v>
      </c>
      <c r="FQ159" s="166">
        <f t="shared" si="416"/>
        <v>26558</v>
      </c>
      <c r="FR159" s="166">
        <f t="shared" si="417"/>
        <v>13777</v>
      </c>
      <c r="FS159" s="166">
        <f t="shared" si="418"/>
        <v>35875</v>
      </c>
      <c r="FT159" s="166">
        <f t="shared" si="419"/>
        <v>34572</v>
      </c>
      <c r="FU159" s="166">
        <f t="shared" si="420"/>
        <v>31889</v>
      </c>
      <c r="FV159" s="166">
        <f t="shared" si="421"/>
        <v>20314</v>
      </c>
      <c r="FW159" s="166">
        <f t="shared" si="422"/>
        <v>35320</v>
      </c>
      <c r="FX159" s="166">
        <f t="shared" si="423"/>
        <v>31688</v>
      </c>
      <c r="FY159" s="166">
        <f t="shared" si="424"/>
        <v>32944</v>
      </c>
      <c r="FZ159" s="166">
        <f t="shared" si="425"/>
        <v>19206</v>
      </c>
      <c r="GA159" s="166">
        <f t="shared" si="426"/>
        <v>34498</v>
      </c>
      <c r="GB159" s="166">
        <f t="shared" si="427"/>
        <v>26081</v>
      </c>
      <c r="GC159" s="166">
        <f t="shared" si="428"/>
        <v>31675</v>
      </c>
      <c r="GD159" s="166">
        <f t="shared" si="429"/>
        <v>20707</v>
      </c>
      <c r="GE159" s="166">
        <f t="shared" si="430"/>
        <v>28384</v>
      </c>
      <c r="GF159" s="166">
        <f t="shared" si="431"/>
        <v>29038</v>
      </c>
      <c r="GG159" s="166">
        <f t="shared" si="432"/>
        <v>29731</v>
      </c>
      <c r="GH159" s="166">
        <f t="shared" si="433"/>
        <v>13262</v>
      </c>
      <c r="GI159" s="166">
        <f t="shared" si="434"/>
        <v>17610</v>
      </c>
      <c r="GJ159" s="166">
        <f t="shared" si="435"/>
        <v>14100</v>
      </c>
      <c r="GK159" s="166">
        <f t="shared" si="436"/>
        <v>20980</v>
      </c>
      <c r="GL159" s="166">
        <f t="shared" si="437"/>
        <v>9523</v>
      </c>
      <c r="GM159" s="166">
        <f t="shared" si="438"/>
        <v>17483</v>
      </c>
      <c r="GN159" s="166">
        <f t="shared" si="439"/>
        <v>14743</v>
      </c>
      <c r="GO159" s="166">
        <f t="shared" si="440"/>
        <v>13811</v>
      </c>
      <c r="GP159" s="166">
        <f t="shared" si="441"/>
        <v>10863</v>
      </c>
      <c r="GQ159" s="166">
        <f t="shared" si="442"/>
        <v>21945</v>
      </c>
      <c r="GR159" s="166">
        <f t="shared" si="443"/>
        <v>26379</v>
      </c>
      <c r="GS159" s="166">
        <f t="shared" si="444"/>
        <v>18602</v>
      </c>
      <c r="GT159" s="166">
        <f t="shared" si="445"/>
        <v>2080</v>
      </c>
      <c r="GU159" s="166">
        <f t="shared" si="446"/>
        <v>4780</v>
      </c>
      <c r="GV159" s="166">
        <f t="shared" si="447"/>
        <v>10362</v>
      </c>
      <c r="GW159" s="166">
        <f t="shared" si="448"/>
        <v>13891</v>
      </c>
      <c r="GX159" s="166">
        <f t="shared" si="449"/>
        <v>6459</v>
      </c>
      <c r="GY159" s="166">
        <f t="shared" si="450"/>
        <v>7926</v>
      </c>
      <c r="GZ159" s="166">
        <f t="shared" si="451"/>
        <v>8057</v>
      </c>
      <c r="HA159" s="166">
        <f t="shared" si="452"/>
        <v>8340</v>
      </c>
      <c r="HB159" s="166">
        <f t="shared" si="453"/>
        <v>10452</v>
      </c>
      <c r="HC159" s="166">
        <f t="shared" si="454"/>
        <v>12509</v>
      </c>
      <c r="HD159" s="166">
        <f t="shared" si="455"/>
        <v>13507</v>
      </c>
      <c r="HE159" s="166">
        <f t="shared" si="456"/>
        <v>12473</v>
      </c>
      <c r="HF159" s="166">
        <f t="shared" si="457"/>
        <v>4881</v>
      </c>
      <c r="HG159" s="166">
        <f t="shared" si="458"/>
        <v>12297</v>
      </c>
      <c r="HH159" s="166">
        <f t="shared" si="459"/>
        <v>8627</v>
      </c>
      <c r="HI159" s="166">
        <f t="shared" si="460"/>
        <v>7854</v>
      </c>
      <c r="HJ159" s="167">
        <f t="shared" si="461"/>
        <v>9166</v>
      </c>
      <c r="HK159" s="167">
        <f t="shared" si="462"/>
        <v>17598</v>
      </c>
      <c r="HL159" s="167">
        <f t="shared" si="463"/>
        <v>14780</v>
      </c>
      <c r="HM159" s="167">
        <f t="shared" si="464"/>
        <v>635</v>
      </c>
      <c r="HN159" s="167">
        <f t="shared" si="465"/>
        <v>5707</v>
      </c>
      <c r="HO159" s="167">
        <f t="shared" si="466"/>
        <v>7672</v>
      </c>
      <c r="HP159" s="167">
        <f t="shared" si="467"/>
        <v>9508</v>
      </c>
      <c r="HQ159" s="168"/>
      <c r="HU159" s="169">
        <f t="shared" si="468"/>
        <v>98971</v>
      </c>
      <c r="HV159" s="169">
        <f t="shared" si="469"/>
        <v>116113</v>
      </c>
      <c r="HW159" s="169">
        <f t="shared" si="470"/>
        <v>120266</v>
      </c>
      <c r="HX159" s="170">
        <f t="shared" si="471"/>
        <v>111460</v>
      </c>
      <c r="HY159" s="160">
        <f t="shared" si="472"/>
        <v>107860</v>
      </c>
      <c r="HZ159" s="160">
        <f t="shared" si="473"/>
        <v>65952</v>
      </c>
      <c r="IA159" s="160">
        <f t="shared" si="474"/>
        <v>55560</v>
      </c>
      <c r="IB159" s="171">
        <f t="shared" si="475"/>
        <v>77789</v>
      </c>
      <c r="IC159" s="171">
        <f t="shared" si="476"/>
        <v>31113</v>
      </c>
      <c r="ID159" s="171">
        <f t="shared" si="477"/>
        <v>30782</v>
      </c>
      <c r="IE159" s="171">
        <f t="shared" si="478"/>
        <v>48941</v>
      </c>
      <c r="IF159" s="171">
        <f t="shared" si="479"/>
        <v>33659</v>
      </c>
      <c r="IG159" s="171">
        <f t="shared" si="480"/>
        <v>42179</v>
      </c>
    </row>
    <row r="160" spans="1:241" outlineLevel="2" x14ac:dyDescent="0.3">
      <c r="A160" s="144" t="s">
        <v>155</v>
      </c>
      <c r="B160" s="145">
        <v>0</v>
      </c>
      <c r="C160" s="145">
        <v>0</v>
      </c>
      <c r="D160" s="145">
        <v>0</v>
      </c>
      <c r="E160" s="145">
        <v>0</v>
      </c>
      <c r="F160" s="145">
        <v>0</v>
      </c>
      <c r="G160" s="145">
        <v>0</v>
      </c>
      <c r="H160" s="145">
        <v>0</v>
      </c>
      <c r="I160" s="145">
        <v>0</v>
      </c>
      <c r="J160" s="145">
        <v>0</v>
      </c>
      <c r="K160" s="145">
        <v>0</v>
      </c>
      <c r="L160" s="145">
        <v>0</v>
      </c>
      <c r="M160" s="145">
        <v>0</v>
      </c>
      <c r="N160" s="145">
        <v>0</v>
      </c>
      <c r="O160" s="145">
        <v>0</v>
      </c>
      <c r="P160" s="145">
        <v>0</v>
      </c>
      <c r="Q160" s="145">
        <v>0</v>
      </c>
      <c r="R160" s="145">
        <v>0</v>
      </c>
      <c r="S160" s="146">
        <v>0</v>
      </c>
      <c r="T160" s="146">
        <v>0</v>
      </c>
      <c r="U160" s="146">
        <v>0</v>
      </c>
      <c r="V160" s="146">
        <v>0</v>
      </c>
      <c r="W160" s="146">
        <v>0</v>
      </c>
      <c r="X160" s="146">
        <v>0</v>
      </c>
      <c r="Y160" s="146">
        <v>0</v>
      </c>
      <c r="Z160" s="146">
        <v>0</v>
      </c>
      <c r="AA160" s="146">
        <v>0</v>
      </c>
      <c r="AB160" s="146">
        <v>0</v>
      </c>
      <c r="AC160" s="146">
        <v>0</v>
      </c>
      <c r="AD160" s="146">
        <v>0</v>
      </c>
      <c r="AE160" s="146"/>
      <c r="AF160" s="146">
        <v>0</v>
      </c>
      <c r="AG160" s="146">
        <v>0</v>
      </c>
      <c r="AH160" s="146">
        <v>0</v>
      </c>
      <c r="AI160" s="146"/>
      <c r="AJ160" s="146">
        <v>0</v>
      </c>
      <c r="AK160" s="146">
        <v>0</v>
      </c>
      <c r="AL160" s="146"/>
      <c r="AM160" s="146">
        <v>0</v>
      </c>
      <c r="AN160" s="146"/>
      <c r="AO160" s="146">
        <v>0</v>
      </c>
      <c r="AP160" s="146">
        <v>0</v>
      </c>
      <c r="AQ160" s="146">
        <v>0</v>
      </c>
      <c r="AR160" s="146">
        <v>0</v>
      </c>
      <c r="AS160" s="131">
        <v>0</v>
      </c>
      <c r="AT160" s="146">
        <v>0</v>
      </c>
      <c r="AU160" s="146">
        <v>0</v>
      </c>
      <c r="AV160" s="146">
        <v>37</v>
      </c>
      <c r="AW160" s="146">
        <v>37</v>
      </c>
      <c r="AX160" s="146">
        <v>98</v>
      </c>
      <c r="AY160" s="146">
        <v>151</v>
      </c>
      <c r="AZ160" s="146">
        <v>161</v>
      </c>
      <c r="BA160" s="146">
        <v>766</v>
      </c>
      <c r="BB160" s="146">
        <v>1275</v>
      </c>
      <c r="BC160" s="146">
        <v>1236</v>
      </c>
      <c r="BD160" s="146">
        <v>1337</v>
      </c>
      <c r="BE160" s="146">
        <v>1628</v>
      </c>
      <c r="BF160" s="146">
        <v>787</v>
      </c>
      <c r="BG160" s="146">
        <v>655</v>
      </c>
      <c r="BH160" s="146">
        <v>590</v>
      </c>
      <c r="BI160" s="146">
        <v>1161</v>
      </c>
      <c r="BJ160" s="146">
        <v>1036</v>
      </c>
      <c r="BK160" s="147">
        <v>1071</v>
      </c>
      <c r="BL160" s="147">
        <v>934</v>
      </c>
      <c r="BM160" s="147">
        <v>932</v>
      </c>
      <c r="BN160" s="147">
        <v>961</v>
      </c>
      <c r="BO160" s="147">
        <v>892</v>
      </c>
      <c r="BP160" s="147">
        <v>912</v>
      </c>
      <c r="BQ160" s="147">
        <v>780</v>
      </c>
      <c r="BR160" s="147">
        <v>596</v>
      </c>
      <c r="BS160" s="147">
        <v>395</v>
      </c>
      <c r="BT160" s="147">
        <v>198</v>
      </c>
      <c r="BU160" s="147">
        <v>1225</v>
      </c>
      <c r="BV160" s="147">
        <v>695</v>
      </c>
      <c r="BW160" s="147">
        <v>1542</v>
      </c>
      <c r="BX160" s="147">
        <v>1495</v>
      </c>
      <c r="BY160" s="147">
        <v>1170</v>
      </c>
      <c r="BZ160" s="147">
        <v>1195</v>
      </c>
      <c r="CA160" s="147">
        <v>792</v>
      </c>
      <c r="CB160" s="147">
        <v>929</v>
      </c>
      <c r="CC160" s="147">
        <v>889</v>
      </c>
      <c r="CD160" s="147">
        <v>952</v>
      </c>
      <c r="CE160" s="147">
        <v>370</v>
      </c>
      <c r="CF160" s="147">
        <v>419</v>
      </c>
      <c r="CG160" s="147">
        <v>750</v>
      </c>
      <c r="CH160" s="147">
        <v>1116</v>
      </c>
      <c r="CI160" s="147">
        <v>1052</v>
      </c>
      <c r="CJ160" s="147">
        <v>755</v>
      </c>
      <c r="CK160" s="147">
        <v>1520</v>
      </c>
      <c r="CL160" s="147">
        <v>1650</v>
      </c>
      <c r="CM160" s="147">
        <v>789</v>
      </c>
      <c r="CN160" s="147">
        <v>909</v>
      </c>
      <c r="CO160" s="147">
        <v>1681</v>
      </c>
      <c r="CP160" s="147">
        <v>1871</v>
      </c>
      <c r="CQ160" s="147">
        <v>574</v>
      </c>
      <c r="CR160" s="147">
        <v>1254</v>
      </c>
      <c r="CS160" s="148">
        <v>1141</v>
      </c>
      <c r="CT160" s="148"/>
      <c r="CU160" s="148">
        <v>0</v>
      </c>
      <c r="CV160" s="148">
        <v>0</v>
      </c>
      <c r="CW160" s="148">
        <v>114</v>
      </c>
      <c r="CX160" s="148">
        <v>655</v>
      </c>
      <c r="CY160" s="148">
        <v>127</v>
      </c>
      <c r="CZ160" s="148">
        <v>42</v>
      </c>
      <c r="DA160" s="148">
        <v>679</v>
      </c>
      <c r="DB160" s="148">
        <v>736</v>
      </c>
      <c r="DC160" s="148">
        <v>532</v>
      </c>
      <c r="DD160" s="148">
        <v>755</v>
      </c>
      <c r="DE160" s="148">
        <v>674</v>
      </c>
      <c r="DF160" s="148">
        <v>608</v>
      </c>
      <c r="DG160" s="148">
        <v>73</v>
      </c>
      <c r="DH160" s="148">
        <v>1595</v>
      </c>
      <c r="DI160" s="148">
        <v>588</v>
      </c>
      <c r="DJ160" s="148">
        <v>109</v>
      </c>
      <c r="DK160" s="148">
        <v>2436</v>
      </c>
      <c r="DL160" s="148">
        <v>250</v>
      </c>
      <c r="DM160" s="148">
        <v>1269</v>
      </c>
      <c r="DN160" s="148">
        <v>1567</v>
      </c>
      <c r="DO160" s="148">
        <v>412</v>
      </c>
      <c r="DP160" s="148">
        <v>504</v>
      </c>
      <c r="DQ160" s="148">
        <v>723</v>
      </c>
      <c r="DR160" s="148">
        <v>250</v>
      </c>
      <c r="DS160" s="148">
        <v>1010</v>
      </c>
      <c r="DT160" s="148">
        <v>837</v>
      </c>
      <c r="DU160" s="148">
        <v>1466</v>
      </c>
      <c r="DV160" s="148">
        <v>1063</v>
      </c>
      <c r="DW160" s="148">
        <v>793</v>
      </c>
      <c r="DX160" s="148">
        <v>450</v>
      </c>
      <c r="DY160" s="148">
        <v>850</v>
      </c>
      <c r="DZ160" s="148">
        <v>695</v>
      </c>
      <c r="EA160" s="148">
        <v>923</v>
      </c>
      <c r="EB160" s="148">
        <v>543</v>
      </c>
      <c r="EC160" s="148">
        <v>1417</v>
      </c>
      <c r="ED160" s="148">
        <v>45</v>
      </c>
      <c r="EE160" s="148">
        <v>1054</v>
      </c>
      <c r="EF160" s="148">
        <v>205</v>
      </c>
      <c r="EG160" s="148">
        <v>445</v>
      </c>
      <c r="EH160" s="148">
        <v>1828</v>
      </c>
      <c r="EI160" s="148">
        <v>47</v>
      </c>
      <c r="EJ160" s="148">
        <v>26</v>
      </c>
      <c r="EK160" s="148">
        <v>20</v>
      </c>
      <c r="EL160" s="148">
        <v>8</v>
      </c>
      <c r="EM160" s="148">
        <v>34</v>
      </c>
      <c r="EN160" s="148">
        <v>79</v>
      </c>
      <c r="EO160" s="148">
        <v>181</v>
      </c>
      <c r="EP160" s="148"/>
      <c r="EQ160" s="148">
        <v>30</v>
      </c>
      <c r="ER160" s="148">
        <v>835</v>
      </c>
      <c r="ES160" s="148">
        <v>40</v>
      </c>
      <c r="ET160" s="148">
        <v>1126</v>
      </c>
      <c r="EU160" s="148">
        <v>1262</v>
      </c>
      <c r="EV160" s="148">
        <v>0</v>
      </c>
      <c r="EW160" s="148">
        <v>467</v>
      </c>
      <c r="EX160" s="148">
        <v>1321</v>
      </c>
      <c r="EY160" s="148">
        <v>339</v>
      </c>
      <c r="EZ160" s="148">
        <v>2</v>
      </c>
      <c r="FA160" s="148">
        <v>567</v>
      </c>
      <c r="FB160" s="148">
        <v>238</v>
      </c>
      <c r="FC160" s="148">
        <v>430</v>
      </c>
      <c r="FD160" s="148">
        <v>466</v>
      </c>
      <c r="FE160" s="148">
        <v>916</v>
      </c>
      <c r="FF160" s="148">
        <v>935</v>
      </c>
      <c r="FG160" s="148">
        <v>90</v>
      </c>
      <c r="FH160" s="148">
        <v>787</v>
      </c>
      <c r="FI160" s="148">
        <v>658</v>
      </c>
      <c r="FJ160" s="148">
        <v>989</v>
      </c>
      <c r="FN160" s="151">
        <f t="shared" si="413"/>
        <v>0</v>
      </c>
      <c r="FO160" s="152">
        <f t="shared" si="414"/>
        <v>0</v>
      </c>
      <c r="FP160" s="152">
        <f t="shared" si="415"/>
        <v>0</v>
      </c>
      <c r="FQ160" s="152">
        <f t="shared" si="416"/>
        <v>0</v>
      </c>
      <c r="FR160" s="152">
        <f t="shared" si="417"/>
        <v>0</v>
      </c>
      <c r="FS160" s="152">
        <f t="shared" si="418"/>
        <v>0</v>
      </c>
      <c r="FT160" s="152">
        <f t="shared" si="419"/>
        <v>0</v>
      </c>
      <c r="FU160" s="152">
        <f t="shared" si="420"/>
        <v>0</v>
      </c>
      <c r="FV160" s="152">
        <f t="shared" si="421"/>
        <v>0</v>
      </c>
      <c r="FW160" s="152">
        <f t="shared" si="422"/>
        <v>0</v>
      </c>
      <c r="FX160" s="152">
        <f t="shared" si="423"/>
        <v>0</v>
      </c>
      <c r="FY160" s="152">
        <f t="shared" si="424"/>
        <v>0</v>
      </c>
      <c r="FZ160" s="152">
        <f t="shared" si="425"/>
        <v>0</v>
      </c>
      <c r="GA160" s="152">
        <f t="shared" si="426"/>
        <v>0</v>
      </c>
      <c r="GB160" s="152">
        <f t="shared" si="427"/>
        <v>0</v>
      </c>
      <c r="GC160" s="152">
        <f t="shared" si="428"/>
        <v>74</v>
      </c>
      <c r="GD160" s="152">
        <f t="shared" si="429"/>
        <v>410</v>
      </c>
      <c r="GE160" s="152">
        <f t="shared" si="430"/>
        <v>3277</v>
      </c>
      <c r="GF160" s="152">
        <f t="shared" si="431"/>
        <v>3752</v>
      </c>
      <c r="GG160" s="152">
        <f t="shared" si="432"/>
        <v>2406</v>
      </c>
      <c r="GH160" s="152">
        <f t="shared" si="433"/>
        <v>3041</v>
      </c>
      <c r="GI160" s="152">
        <f t="shared" si="434"/>
        <v>2785</v>
      </c>
      <c r="GJ160" s="152">
        <f t="shared" si="435"/>
        <v>2288</v>
      </c>
      <c r="GK160" s="152">
        <f t="shared" si="436"/>
        <v>1818</v>
      </c>
      <c r="GL160" s="152">
        <f t="shared" si="437"/>
        <v>3732</v>
      </c>
      <c r="GM160" s="152">
        <f t="shared" si="438"/>
        <v>3157</v>
      </c>
      <c r="GN160" s="152">
        <f t="shared" si="439"/>
        <v>2770</v>
      </c>
      <c r="GO160" s="152">
        <f t="shared" si="440"/>
        <v>1539</v>
      </c>
      <c r="GP160" s="152">
        <f t="shared" si="441"/>
        <v>2923</v>
      </c>
      <c r="GQ160" s="152">
        <f t="shared" si="442"/>
        <v>3959</v>
      </c>
      <c r="GR160" s="152">
        <f t="shared" si="443"/>
        <v>4461</v>
      </c>
      <c r="GS160" s="152">
        <f t="shared" si="444"/>
        <v>2969</v>
      </c>
      <c r="GT160" s="152">
        <f t="shared" si="445"/>
        <v>0</v>
      </c>
      <c r="GU160" s="152">
        <f t="shared" si="446"/>
        <v>896</v>
      </c>
      <c r="GV160" s="152">
        <f t="shared" si="447"/>
        <v>1457</v>
      </c>
      <c r="GW160" s="152">
        <f t="shared" si="448"/>
        <v>1961</v>
      </c>
      <c r="GX160" s="152">
        <f t="shared" si="449"/>
        <v>2276</v>
      </c>
      <c r="GY160" s="152">
        <f t="shared" si="450"/>
        <v>3133</v>
      </c>
      <c r="GZ160" s="152">
        <f t="shared" si="451"/>
        <v>3086</v>
      </c>
      <c r="HA160" s="152">
        <f t="shared" si="452"/>
        <v>1639</v>
      </c>
      <c r="HB160" s="152">
        <f t="shared" si="453"/>
        <v>2097</v>
      </c>
      <c r="HC160" s="152">
        <f t="shared" si="454"/>
        <v>3322</v>
      </c>
      <c r="HD160" s="152">
        <f t="shared" si="455"/>
        <v>1995</v>
      </c>
      <c r="HE160" s="152">
        <f t="shared" si="456"/>
        <v>2883</v>
      </c>
      <c r="HF160" s="152">
        <f t="shared" si="457"/>
        <v>1304</v>
      </c>
      <c r="HG160" s="152">
        <f t="shared" si="458"/>
        <v>2320</v>
      </c>
      <c r="HH160" s="152">
        <f t="shared" si="459"/>
        <v>54</v>
      </c>
      <c r="HI160" s="152">
        <f t="shared" si="460"/>
        <v>294</v>
      </c>
      <c r="HJ160" s="153">
        <f t="shared" si="461"/>
        <v>865</v>
      </c>
      <c r="HK160" s="153">
        <f t="shared" si="462"/>
        <v>2428</v>
      </c>
      <c r="HL160" s="153">
        <f t="shared" si="463"/>
        <v>1788</v>
      </c>
      <c r="HM160" s="153">
        <f t="shared" si="464"/>
        <v>908</v>
      </c>
      <c r="HN160" s="153">
        <f t="shared" si="465"/>
        <v>1134</v>
      </c>
      <c r="HO160" s="153">
        <f t="shared" si="466"/>
        <v>1941</v>
      </c>
      <c r="HP160" s="153">
        <f t="shared" si="467"/>
        <v>2434</v>
      </c>
      <c r="HQ160" s="101"/>
      <c r="HU160" s="155">
        <f t="shared" si="468"/>
        <v>0</v>
      </c>
      <c r="HV160" s="155">
        <f t="shared" si="469"/>
        <v>0</v>
      </c>
      <c r="HW160" s="155">
        <f t="shared" si="470"/>
        <v>0</v>
      </c>
      <c r="HX160" s="156">
        <f t="shared" si="471"/>
        <v>74</v>
      </c>
      <c r="HY160" s="146">
        <f t="shared" si="472"/>
        <v>9845</v>
      </c>
      <c r="HZ160" s="146">
        <f t="shared" si="473"/>
        <v>9932</v>
      </c>
      <c r="IA160" s="146">
        <f t="shared" si="474"/>
        <v>11198</v>
      </c>
      <c r="IB160" s="157">
        <f t="shared" si="475"/>
        <v>14312</v>
      </c>
      <c r="IC160" s="157">
        <f t="shared" si="476"/>
        <v>4314</v>
      </c>
      <c r="ID160" s="157">
        <f t="shared" si="477"/>
        <v>10134</v>
      </c>
      <c r="IE160" s="157">
        <f t="shared" si="478"/>
        <v>10297</v>
      </c>
      <c r="IF160" s="157">
        <f t="shared" si="479"/>
        <v>3972</v>
      </c>
      <c r="IG160" s="157">
        <f t="shared" si="480"/>
        <v>5989</v>
      </c>
    </row>
    <row r="161" spans="1:241" outlineLevel="2" x14ac:dyDescent="0.3">
      <c r="A161" s="158" t="s">
        <v>156</v>
      </c>
      <c r="B161" s="159">
        <v>0</v>
      </c>
      <c r="C161" s="159">
        <v>0</v>
      </c>
      <c r="D161" s="159">
        <v>0</v>
      </c>
      <c r="E161" s="159">
        <v>0</v>
      </c>
      <c r="F161" s="159">
        <v>0</v>
      </c>
      <c r="G161" s="159">
        <v>0</v>
      </c>
      <c r="H161" s="159">
        <v>0</v>
      </c>
      <c r="I161" s="159">
        <v>0</v>
      </c>
      <c r="J161" s="159">
        <v>0</v>
      </c>
      <c r="K161" s="159">
        <v>0</v>
      </c>
      <c r="L161" s="159">
        <v>0</v>
      </c>
      <c r="M161" s="159">
        <v>0</v>
      </c>
      <c r="N161" s="159">
        <v>0</v>
      </c>
      <c r="O161" s="159">
        <v>0</v>
      </c>
      <c r="P161" s="159">
        <v>0</v>
      </c>
      <c r="Q161" s="159">
        <v>0</v>
      </c>
      <c r="R161" s="159">
        <v>0</v>
      </c>
      <c r="S161" s="160">
        <v>0</v>
      </c>
      <c r="T161" s="160">
        <v>0</v>
      </c>
      <c r="U161" s="160">
        <v>0</v>
      </c>
      <c r="V161" s="160">
        <v>0</v>
      </c>
      <c r="W161" s="160">
        <v>0</v>
      </c>
      <c r="X161" s="160">
        <v>0</v>
      </c>
      <c r="Y161" s="160">
        <v>0</v>
      </c>
      <c r="Z161" s="160">
        <v>0</v>
      </c>
      <c r="AA161" s="160">
        <v>0</v>
      </c>
      <c r="AB161" s="160">
        <v>0</v>
      </c>
      <c r="AC161" s="160">
        <v>0</v>
      </c>
      <c r="AD161" s="160">
        <v>0</v>
      </c>
      <c r="AE161" s="160"/>
      <c r="AF161" s="160">
        <v>0</v>
      </c>
      <c r="AG161" s="160">
        <v>0</v>
      </c>
      <c r="AH161" s="160">
        <v>0</v>
      </c>
      <c r="AI161" s="160"/>
      <c r="AJ161" s="160">
        <v>0</v>
      </c>
      <c r="AK161" s="160">
        <v>0</v>
      </c>
      <c r="AL161" s="160"/>
      <c r="AM161" s="160">
        <v>0</v>
      </c>
      <c r="AN161" s="160"/>
      <c r="AO161" s="160">
        <v>0</v>
      </c>
      <c r="AP161" s="160">
        <v>0</v>
      </c>
      <c r="AQ161" s="160">
        <v>0</v>
      </c>
      <c r="AR161" s="160">
        <v>0</v>
      </c>
      <c r="AS161" s="161">
        <v>0</v>
      </c>
      <c r="AT161" s="160">
        <v>0</v>
      </c>
      <c r="AU161" s="160">
        <v>0</v>
      </c>
      <c r="AV161" s="160">
        <v>0</v>
      </c>
      <c r="AW161" s="160">
        <v>0</v>
      </c>
      <c r="AX161" s="160">
        <v>0</v>
      </c>
      <c r="AY161" s="160">
        <v>0</v>
      </c>
      <c r="AZ161" s="160">
        <v>0</v>
      </c>
      <c r="BA161" s="160">
        <v>0</v>
      </c>
      <c r="BB161" s="160">
        <v>0</v>
      </c>
      <c r="BC161" s="160">
        <v>0</v>
      </c>
      <c r="BD161" s="160">
        <v>0</v>
      </c>
      <c r="BE161" s="160">
        <v>0</v>
      </c>
      <c r="BF161" s="160">
        <v>0</v>
      </c>
      <c r="BG161" s="160">
        <v>0</v>
      </c>
      <c r="BH161" s="160">
        <v>0</v>
      </c>
      <c r="BI161" s="160">
        <v>0</v>
      </c>
      <c r="BJ161" s="160">
        <v>0</v>
      </c>
      <c r="BK161" s="162">
        <v>0</v>
      </c>
      <c r="BL161" s="162">
        <v>0</v>
      </c>
      <c r="BM161" s="162">
        <v>0</v>
      </c>
      <c r="BN161" s="162">
        <v>0</v>
      </c>
      <c r="BO161" s="162">
        <v>0</v>
      </c>
      <c r="BP161" s="162">
        <v>0</v>
      </c>
      <c r="BQ161" s="162">
        <v>0</v>
      </c>
      <c r="BR161" s="162">
        <v>0</v>
      </c>
      <c r="BS161" s="162">
        <v>0</v>
      </c>
      <c r="BT161" s="162">
        <v>0</v>
      </c>
      <c r="BU161" s="162">
        <v>0</v>
      </c>
      <c r="BV161" s="162">
        <v>0</v>
      </c>
      <c r="BW161" s="162">
        <v>0</v>
      </c>
      <c r="BX161" s="162">
        <v>0</v>
      </c>
      <c r="BY161" s="162">
        <v>0</v>
      </c>
      <c r="BZ161" s="162">
        <v>0</v>
      </c>
      <c r="CA161" s="162">
        <v>0</v>
      </c>
      <c r="CB161" s="162">
        <v>0</v>
      </c>
      <c r="CC161" s="162">
        <v>0</v>
      </c>
      <c r="CD161" s="162">
        <v>0</v>
      </c>
      <c r="CE161" s="162">
        <v>0</v>
      </c>
      <c r="CF161" s="162">
        <v>0</v>
      </c>
      <c r="CG161" s="162">
        <v>0</v>
      </c>
      <c r="CH161" s="162">
        <v>0</v>
      </c>
      <c r="CI161" s="162">
        <v>0</v>
      </c>
      <c r="CJ161" s="162">
        <v>0</v>
      </c>
      <c r="CK161" s="162"/>
      <c r="CL161" s="162"/>
      <c r="CM161" s="162">
        <v>0</v>
      </c>
      <c r="CN161" s="162">
        <v>0</v>
      </c>
      <c r="CO161" s="162">
        <v>0</v>
      </c>
      <c r="CP161" s="162">
        <v>0</v>
      </c>
      <c r="CQ161" s="162">
        <v>0</v>
      </c>
      <c r="CR161" s="162">
        <v>0</v>
      </c>
      <c r="CS161" s="163">
        <v>0</v>
      </c>
      <c r="CT161" s="163"/>
      <c r="CU161" s="163">
        <v>0</v>
      </c>
      <c r="CV161" s="163">
        <v>0</v>
      </c>
      <c r="CW161" s="163">
        <v>12</v>
      </c>
      <c r="CX161" s="163">
        <v>0</v>
      </c>
      <c r="CY161" s="163">
        <v>0</v>
      </c>
      <c r="CZ161" s="163">
        <v>0</v>
      </c>
      <c r="DA161" s="163">
        <v>0</v>
      </c>
      <c r="DB161" s="163">
        <v>0</v>
      </c>
      <c r="DC161" s="163">
        <v>0</v>
      </c>
      <c r="DD161" s="163">
        <v>0</v>
      </c>
      <c r="DE161" s="163">
        <v>0</v>
      </c>
      <c r="DF161" s="163">
        <v>0</v>
      </c>
      <c r="DG161" s="163"/>
      <c r="DH161" s="163"/>
      <c r="DI161" s="163"/>
      <c r="DJ161" s="163"/>
      <c r="DK161" s="163"/>
      <c r="DL161" s="163"/>
      <c r="DM161" s="163"/>
      <c r="DN161" s="163"/>
      <c r="DO161" s="163"/>
      <c r="DP161" s="163"/>
      <c r="DQ161" s="163"/>
      <c r="DR161" s="163"/>
      <c r="DS161" s="163"/>
      <c r="DT161" s="163"/>
      <c r="DU161" s="163"/>
      <c r="DV161" s="163"/>
      <c r="DW161" s="163"/>
      <c r="DX161" s="163"/>
      <c r="DY161" s="163"/>
      <c r="DZ161" s="163"/>
      <c r="EA161" s="163"/>
      <c r="EB161" s="163"/>
      <c r="EC161" s="163"/>
      <c r="ED161" s="163"/>
      <c r="EE161" s="163">
        <v>9</v>
      </c>
      <c r="EF161" s="163"/>
      <c r="EG161" s="163"/>
      <c r="EH161" s="163">
        <v>3</v>
      </c>
      <c r="EI161" s="163">
        <v>0</v>
      </c>
      <c r="EJ161" s="163"/>
      <c r="EK161" s="163">
        <v>5</v>
      </c>
      <c r="EL161" s="163"/>
      <c r="EM161" s="163">
        <v>5</v>
      </c>
      <c r="EN161" s="163"/>
      <c r="EO161" s="163">
        <v>3</v>
      </c>
      <c r="EP161" s="163"/>
      <c r="EQ161" s="163">
        <v>10</v>
      </c>
      <c r="ER161" s="163"/>
      <c r="ES161" s="163"/>
      <c r="ET161" s="163">
        <v>3</v>
      </c>
      <c r="EU161" s="163"/>
      <c r="EV161" s="163"/>
      <c r="EW161" s="163">
        <v>6</v>
      </c>
      <c r="EX161" s="163">
        <v>6</v>
      </c>
      <c r="EY161" s="163"/>
      <c r="EZ161" s="163">
        <v>5</v>
      </c>
      <c r="FA161" s="163"/>
      <c r="FB161" s="163"/>
      <c r="FC161" s="163"/>
      <c r="FD161" s="163">
        <v>3</v>
      </c>
      <c r="FE161" s="163"/>
      <c r="FF161" s="163"/>
      <c r="FG161" s="163">
        <v>5</v>
      </c>
      <c r="FH161" s="163"/>
      <c r="FI161" s="163">
        <v>3</v>
      </c>
      <c r="FJ161" s="163"/>
      <c r="FN161" s="165">
        <f t="shared" si="413"/>
        <v>0</v>
      </c>
      <c r="FO161" s="166">
        <f t="shared" si="414"/>
        <v>0</v>
      </c>
      <c r="FP161" s="166">
        <f t="shared" si="415"/>
        <v>0</v>
      </c>
      <c r="FQ161" s="166">
        <f t="shared" si="416"/>
        <v>0</v>
      </c>
      <c r="FR161" s="166">
        <f t="shared" si="417"/>
        <v>0</v>
      </c>
      <c r="FS161" s="166">
        <f t="shared" si="418"/>
        <v>0</v>
      </c>
      <c r="FT161" s="166">
        <f t="shared" si="419"/>
        <v>0</v>
      </c>
      <c r="FU161" s="166">
        <f t="shared" si="420"/>
        <v>0</v>
      </c>
      <c r="FV161" s="166">
        <f t="shared" si="421"/>
        <v>0</v>
      </c>
      <c r="FW161" s="166">
        <f t="shared" si="422"/>
        <v>0</v>
      </c>
      <c r="FX161" s="166">
        <f t="shared" si="423"/>
        <v>0</v>
      </c>
      <c r="FY161" s="166">
        <f t="shared" si="424"/>
        <v>0</v>
      </c>
      <c r="FZ161" s="166">
        <f t="shared" si="425"/>
        <v>0</v>
      </c>
      <c r="GA161" s="166">
        <f t="shared" si="426"/>
        <v>0</v>
      </c>
      <c r="GB161" s="166">
        <f t="shared" si="427"/>
        <v>0</v>
      </c>
      <c r="GC161" s="166">
        <f t="shared" si="428"/>
        <v>0</v>
      </c>
      <c r="GD161" s="166">
        <f t="shared" si="429"/>
        <v>0</v>
      </c>
      <c r="GE161" s="166">
        <f t="shared" si="430"/>
        <v>0</v>
      </c>
      <c r="GF161" s="166">
        <f t="shared" si="431"/>
        <v>0</v>
      </c>
      <c r="GG161" s="166">
        <f t="shared" si="432"/>
        <v>0</v>
      </c>
      <c r="GH161" s="166">
        <f t="shared" si="433"/>
        <v>0</v>
      </c>
      <c r="GI161" s="166">
        <f t="shared" si="434"/>
        <v>0</v>
      </c>
      <c r="GJ161" s="166">
        <f t="shared" si="435"/>
        <v>0</v>
      </c>
      <c r="GK161" s="166">
        <f t="shared" si="436"/>
        <v>0</v>
      </c>
      <c r="GL161" s="166">
        <f t="shared" si="437"/>
        <v>0</v>
      </c>
      <c r="GM161" s="166">
        <f t="shared" si="438"/>
        <v>0</v>
      </c>
      <c r="GN161" s="166">
        <f t="shared" si="439"/>
        <v>0</v>
      </c>
      <c r="GO161" s="166">
        <f t="shared" si="440"/>
        <v>0</v>
      </c>
      <c r="GP161" s="166">
        <f t="shared" si="441"/>
        <v>0</v>
      </c>
      <c r="GQ161" s="166">
        <f t="shared" si="442"/>
        <v>0</v>
      </c>
      <c r="GR161" s="166">
        <f t="shared" si="443"/>
        <v>0</v>
      </c>
      <c r="GS161" s="166">
        <f t="shared" si="444"/>
        <v>0</v>
      </c>
      <c r="GT161" s="166">
        <f t="shared" si="445"/>
        <v>0</v>
      </c>
      <c r="GU161" s="166">
        <f t="shared" si="446"/>
        <v>12</v>
      </c>
      <c r="GV161" s="166">
        <f t="shared" si="447"/>
        <v>0</v>
      </c>
      <c r="GW161" s="166">
        <f t="shared" si="448"/>
        <v>0</v>
      </c>
      <c r="GX161" s="166">
        <f t="shared" si="449"/>
        <v>0</v>
      </c>
      <c r="GY161" s="166">
        <f t="shared" si="450"/>
        <v>0</v>
      </c>
      <c r="GZ161" s="166">
        <f t="shared" si="451"/>
        <v>0</v>
      </c>
      <c r="HA161" s="166">
        <f t="shared" si="452"/>
        <v>0</v>
      </c>
      <c r="HB161" s="166">
        <f t="shared" si="453"/>
        <v>0</v>
      </c>
      <c r="HC161" s="166">
        <f t="shared" si="454"/>
        <v>0</v>
      </c>
      <c r="HD161" s="166">
        <f t="shared" si="455"/>
        <v>0</v>
      </c>
      <c r="HE161" s="166">
        <f t="shared" si="456"/>
        <v>0</v>
      </c>
      <c r="HF161" s="166">
        <f t="shared" si="457"/>
        <v>9</v>
      </c>
      <c r="HG161" s="166">
        <f t="shared" si="458"/>
        <v>3</v>
      </c>
      <c r="HH161" s="166">
        <f t="shared" si="459"/>
        <v>5</v>
      </c>
      <c r="HI161" s="166">
        <f t="shared" si="460"/>
        <v>8</v>
      </c>
      <c r="HJ161" s="167">
        <f t="shared" si="461"/>
        <v>10</v>
      </c>
      <c r="HK161" s="167">
        <f t="shared" si="462"/>
        <v>3</v>
      </c>
      <c r="HL161" s="167">
        <f t="shared" si="463"/>
        <v>12</v>
      </c>
      <c r="HM161" s="167">
        <f t="shared" si="464"/>
        <v>5</v>
      </c>
      <c r="HN161" s="167">
        <f t="shared" si="465"/>
        <v>3</v>
      </c>
      <c r="HO161" s="167">
        <f t="shared" si="466"/>
        <v>5</v>
      </c>
      <c r="HP161" s="167">
        <f t="shared" si="467"/>
        <v>3</v>
      </c>
      <c r="HQ161" s="168"/>
      <c r="HU161" s="169">
        <f t="shared" si="468"/>
        <v>0</v>
      </c>
      <c r="HV161" s="169">
        <f t="shared" si="469"/>
        <v>0</v>
      </c>
      <c r="HW161" s="169">
        <f t="shared" si="470"/>
        <v>0</v>
      </c>
      <c r="HX161" s="170">
        <f t="shared" si="471"/>
        <v>0</v>
      </c>
      <c r="HY161" s="160">
        <f t="shared" si="472"/>
        <v>0</v>
      </c>
      <c r="HZ161" s="160">
        <f t="shared" si="473"/>
        <v>0</v>
      </c>
      <c r="IA161" s="160">
        <f t="shared" si="474"/>
        <v>0</v>
      </c>
      <c r="IB161" s="171">
        <f t="shared" si="475"/>
        <v>0</v>
      </c>
      <c r="IC161" s="171">
        <f t="shared" si="476"/>
        <v>12</v>
      </c>
      <c r="ID161" s="171">
        <f t="shared" si="477"/>
        <v>0</v>
      </c>
      <c r="IE161" s="171">
        <f t="shared" si="478"/>
        <v>0</v>
      </c>
      <c r="IF161" s="171">
        <f t="shared" si="479"/>
        <v>25</v>
      </c>
      <c r="IG161" s="171">
        <f t="shared" si="480"/>
        <v>30</v>
      </c>
    </row>
    <row r="162" spans="1:241" outlineLevel="2" x14ac:dyDescent="0.3">
      <c r="A162" s="144" t="s">
        <v>157</v>
      </c>
      <c r="B162" s="145">
        <v>475</v>
      </c>
      <c r="C162" s="145">
        <v>372</v>
      </c>
      <c r="D162" s="145">
        <v>549</v>
      </c>
      <c r="E162" s="145">
        <v>575</v>
      </c>
      <c r="F162" s="145">
        <v>647</v>
      </c>
      <c r="G162" s="145">
        <v>661</v>
      </c>
      <c r="H162" s="145">
        <v>197</v>
      </c>
      <c r="I162" s="145">
        <v>354</v>
      </c>
      <c r="J162" s="145">
        <v>378</v>
      </c>
      <c r="K162" s="145">
        <v>416</v>
      </c>
      <c r="L162" s="145">
        <v>491</v>
      </c>
      <c r="M162" s="145">
        <v>543</v>
      </c>
      <c r="N162" s="145">
        <v>763</v>
      </c>
      <c r="O162" s="145">
        <v>738</v>
      </c>
      <c r="P162" s="145">
        <v>485</v>
      </c>
      <c r="Q162" s="145">
        <v>624</v>
      </c>
      <c r="R162" s="145">
        <v>800</v>
      </c>
      <c r="S162" s="146">
        <v>365</v>
      </c>
      <c r="T162" s="146">
        <v>454</v>
      </c>
      <c r="U162" s="146">
        <v>312</v>
      </c>
      <c r="V162" s="146">
        <v>115</v>
      </c>
      <c r="W162" s="146">
        <v>353</v>
      </c>
      <c r="X162" s="146">
        <v>339</v>
      </c>
      <c r="Y162" s="146">
        <v>359</v>
      </c>
      <c r="Z162" s="146">
        <v>292</v>
      </c>
      <c r="AA162" s="146">
        <v>111</v>
      </c>
      <c r="AB162" s="146">
        <v>235</v>
      </c>
      <c r="AC162" s="146">
        <v>246</v>
      </c>
      <c r="AD162" s="146">
        <v>237</v>
      </c>
      <c r="AE162" s="146">
        <v>288</v>
      </c>
      <c r="AF162" s="146">
        <v>187</v>
      </c>
      <c r="AG162" s="146">
        <v>283</v>
      </c>
      <c r="AH162" s="146">
        <v>101</v>
      </c>
      <c r="AI162" s="146">
        <v>176</v>
      </c>
      <c r="AJ162" s="146">
        <v>120</v>
      </c>
      <c r="AK162" s="146">
        <v>236</v>
      </c>
      <c r="AL162" s="146">
        <v>80</v>
      </c>
      <c r="AM162" s="146">
        <v>147</v>
      </c>
      <c r="AN162" s="146">
        <v>241</v>
      </c>
      <c r="AO162" s="146">
        <v>228</v>
      </c>
      <c r="AP162" s="146">
        <v>490</v>
      </c>
      <c r="AQ162" s="146">
        <v>481</v>
      </c>
      <c r="AR162" s="146">
        <v>361</v>
      </c>
      <c r="AS162" s="131">
        <v>82</v>
      </c>
      <c r="AT162" s="146">
        <v>238</v>
      </c>
      <c r="AU162" s="146">
        <v>272</v>
      </c>
      <c r="AV162" s="146">
        <v>304</v>
      </c>
      <c r="AW162" s="146">
        <v>340</v>
      </c>
      <c r="AX162" s="146">
        <v>169</v>
      </c>
      <c r="AY162" s="146">
        <v>138</v>
      </c>
      <c r="AZ162" s="146">
        <v>102</v>
      </c>
      <c r="BA162" s="146">
        <v>190</v>
      </c>
      <c r="BB162" s="146">
        <v>503</v>
      </c>
      <c r="BC162" s="146">
        <v>284</v>
      </c>
      <c r="BD162" s="146">
        <v>268</v>
      </c>
      <c r="BE162" s="146">
        <v>222</v>
      </c>
      <c r="BF162" s="146">
        <v>197</v>
      </c>
      <c r="BG162" s="146">
        <v>123</v>
      </c>
      <c r="BH162" s="146">
        <v>133</v>
      </c>
      <c r="BI162" s="146">
        <v>268</v>
      </c>
      <c r="BJ162" s="146">
        <v>77</v>
      </c>
      <c r="BK162" s="147">
        <v>46</v>
      </c>
      <c r="BL162" s="147">
        <v>125</v>
      </c>
      <c r="BM162" s="147">
        <v>121</v>
      </c>
      <c r="BN162" s="147">
        <v>93</v>
      </c>
      <c r="BO162" s="147">
        <v>95</v>
      </c>
      <c r="BP162" s="147">
        <v>72</v>
      </c>
      <c r="BQ162" s="147">
        <v>152</v>
      </c>
      <c r="BR162" s="147">
        <v>114</v>
      </c>
      <c r="BS162" s="147">
        <v>69</v>
      </c>
      <c r="BT162" s="147">
        <v>39</v>
      </c>
      <c r="BU162" s="147">
        <v>115</v>
      </c>
      <c r="BV162" s="147">
        <v>19</v>
      </c>
      <c r="BW162" s="147">
        <v>9</v>
      </c>
      <c r="BX162" s="147">
        <v>81</v>
      </c>
      <c r="BY162" s="147">
        <v>17</v>
      </c>
      <c r="BZ162" s="147">
        <v>88</v>
      </c>
      <c r="CA162" s="147">
        <v>30</v>
      </c>
      <c r="CB162" s="147">
        <v>70</v>
      </c>
      <c r="CC162" s="147">
        <v>51</v>
      </c>
      <c r="CD162" s="147">
        <v>79</v>
      </c>
      <c r="CE162" s="147">
        <v>83</v>
      </c>
      <c r="CF162" s="147">
        <v>42</v>
      </c>
      <c r="CG162" s="147">
        <v>113</v>
      </c>
      <c r="CH162" s="147">
        <v>22</v>
      </c>
      <c r="CI162" s="147">
        <v>32</v>
      </c>
      <c r="CJ162" s="147">
        <v>40</v>
      </c>
      <c r="CK162" s="147">
        <v>45</v>
      </c>
      <c r="CL162" s="147">
        <v>61</v>
      </c>
      <c r="CM162" s="147">
        <v>73</v>
      </c>
      <c r="CN162" s="147">
        <v>21</v>
      </c>
      <c r="CO162" s="147">
        <v>25</v>
      </c>
      <c r="CP162" s="147">
        <v>20</v>
      </c>
      <c r="CQ162" s="147">
        <v>28</v>
      </c>
      <c r="CR162" s="147">
        <v>18</v>
      </c>
      <c r="CS162" s="148">
        <v>24</v>
      </c>
      <c r="CT162" s="148"/>
      <c r="CU162" s="148">
        <v>0</v>
      </c>
      <c r="CV162" s="148"/>
      <c r="CW162" s="148" t="s">
        <v>146</v>
      </c>
      <c r="CX162" s="148" t="s">
        <v>146</v>
      </c>
      <c r="CY162" s="148" t="s">
        <v>146</v>
      </c>
      <c r="CZ162" s="148" t="s">
        <v>146</v>
      </c>
      <c r="DA162" s="148" t="s">
        <v>146</v>
      </c>
      <c r="DB162" s="148" t="s">
        <v>146</v>
      </c>
      <c r="DC162" s="148" t="s">
        <v>146</v>
      </c>
      <c r="DD162" s="148" t="s">
        <v>146</v>
      </c>
      <c r="DE162" s="148" t="s">
        <v>146</v>
      </c>
      <c r="DF162" s="148"/>
      <c r="DG162" s="148"/>
      <c r="DH162" s="148"/>
      <c r="DI162" s="148"/>
      <c r="DJ162" s="148"/>
      <c r="DK162" s="148"/>
      <c r="DL162" s="148"/>
      <c r="DM162" s="148"/>
      <c r="DN162" s="148"/>
      <c r="DO162" s="148"/>
      <c r="DP162" s="148"/>
      <c r="DQ162" s="148"/>
      <c r="DR162" s="148"/>
      <c r="DS162" s="148"/>
      <c r="DT162" s="148"/>
      <c r="DU162" s="148"/>
      <c r="DV162" s="148"/>
      <c r="DW162" s="148"/>
      <c r="DX162" s="148"/>
      <c r="DY162" s="148"/>
      <c r="DZ162" s="148"/>
      <c r="EA162" s="148"/>
      <c r="EB162" s="148"/>
      <c r="EC162" s="148"/>
      <c r="ED162" s="148"/>
      <c r="EE162" s="148"/>
      <c r="EF162" s="148"/>
      <c r="EG162" s="148"/>
      <c r="EH162" s="148"/>
      <c r="EI162" s="148"/>
      <c r="EJ162" s="148"/>
      <c r="EK162" s="148"/>
      <c r="EL162" s="148"/>
      <c r="EM162" s="148"/>
      <c r="EN162" s="148"/>
      <c r="EO162" s="148"/>
      <c r="EP162" s="148"/>
      <c r="EQ162" s="148"/>
      <c r="ER162" s="148"/>
      <c r="ES162" s="148"/>
      <c r="ET162" s="148"/>
      <c r="EU162" s="148"/>
      <c r="EV162" s="148"/>
      <c r="EW162" s="148"/>
      <c r="EX162" s="148"/>
      <c r="EY162" s="148"/>
      <c r="EZ162" s="148"/>
      <c r="FA162" s="148"/>
      <c r="FB162" s="148"/>
      <c r="FC162" s="148"/>
      <c r="FD162" s="148"/>
      <c r="FE162" s="148"/>
      <c r="FF162" s="148"/>
      <c r="FG162" s="148"/>
      <c r="FH162" s="148"/>
      <c r="FI162" s="148"/>
      <c r="FJ162" s="148"/>
      <c r="FN162" s="151">
        <f t="shared" si="413"/>
        <v>1396</v>
      </c>
      <c r="FO162" s="152">
        <f t="shared" si="414"/>
        <v>1883</v>
      </c>
      <c r="FP162" s="152">
        <f t="shared" si="415"/>
        <v>929</v>
      </c>
      <c r="FQ162" s="152">
        <f t="shared" si="416"/>
        <v>1450</v>
      </c>
      <c r="FR162" s="152">
        <f t="shared" si="417"/>
        <v>1986</v>
      </c>
      <c r="FS162" s="152">
        <f t="shared" si="418"/>
        <v>1789</v>
      </c>
      <c r="FT162" s="152">
        <f t="shared" si="419"/>
        <v>881</v>
      </c>
      <c r="FU162" s="152">
        <f t="shared" si="420"/>
        <v>1051</v>
      </c>
      <c r="FV162" s="152">
        <f t="shared" si="421"/>
        <v>638</v>
      </c>
      <c r="FW162" s="152">
        <f t="shared" si="422"/>
        <v>771</v>
      </c>
      <c r="FX162" s="152">
        <f t="shared" si="423"/>
        <v>571</v>
      </c>
      <c r="FY162" s="152">
        <f t="shared" si="424"/>
        <v>532</v>
      </c>
      <c r="FZ162" s="152">
        <f t="shared" si="425"/>
        <v>468</v>
      </c>
      <c r="GA162" s="152">
        <f t="shared" si="426"/>
        <v>1199</v>
      </c>
      <c r="GB162" s="152">
        <f t="shared" si="427"/>
        <v>681</v>
      </c>
      <c r="GC162" s="152">
        <f t="shared" si="428"/>
        <v>916</v>
      </c>
      <c r="GD162" s="152">
        <f t="shared" si="429"/>
        <v>409</v>
      </c>
      <c r="GE162" s="152">
        <f t="shared" si="430"/>
        <v>977</v>
      </c>
      <c r="GF162" s="152">
        <f t="shared" si="431"/>
        <v>687</v>
      </c>
      <c r="GG162" s="152">
        <f t="shared" si="432"/>
        <v>524</v>
      </c>
      <c r="GH162" s="152">
        <f t="shared" si="433"/>
        <v>248</v>
      </c>
      <c r="GI162" s="152">
        <f t="shared" si="434"/>
        <v>309</v>
      </c>
      <c r="GJ162" s="152">
        <f t="shared" si="435"/>
        <v>338</v>
      </c>
      <c r="GK162" s="152">
        <f t="shared" si="436"/>
        <v>223</v>
      </c>
      <c r="GL162" s="152">
        <f t="shared" si="437"/>
        <v>109</v>
      </c>
      <c r="GM162" s="152">
        <f t="shared" si="438"/>
        <v>135</v>
      </c>
      <c r="GN162" s="152">
        <f t="shared" si="439"/>
        <v>200</v>
      </c>
      <c r="GO162" s="152">
        <f t="shared" si="440"/>
        <v>238</v>
      </c>
      <c r="GP162" s="152">
        <f t="shared" si="441"/>
        <v>94</v>
      </c>
      <c r="GQ162" s="152">
        <f t="shared" si="442"/>
        <v>179</v>
      </c>
      <c r="GR162" s="152">
        <f t="shared" si="443"/>
        <v>66</v>
      </c>
      <c r="GS162" s="152">
        <f t="shared" si="444"/>
        <v>70</v>
      </c>
      <c r="GT162" s="152">
        <f t="shared" si="445"/>
        <v>0</v>
      </c>
      <c r="GU162" s="152">
        <f t="shared" si="446"/>
        <v>0</v>
      </c>
      <c r="GV162" s="152">
        <f t="shared" si="447"/>
        <v>0</v>
      </c>
      <c r="GW162" s="152">
        <f t="shared" si="448"/>
        <v>0</v>
      </c>
      <c r="GX162" s="152">
        <f t="shared" si="449"/>
        <v>0</v>
      </c>
      <c r="GY162" s="152">
        <f t="shared" si="450"/>
        <v>0</v>
      </c>
      <c r="GZ162" s="152">
        <f t="shared" si="451"/>
        <v>0</v>
      </c>
      <c r="HA162" s="152">
        <f t="shared" si="452"/>
        <v>0</v>
      </c>
      <c r="HB162" s="152">
        <f t="shared" si="453"/>
        <v>0</v>
      </c>
      <c r="HC162" s="152">
        <f t="shared" si="454"/>
        <v>0</v>
      </c>
      <c r="HD162" s="152">
        <f t="shared" si="455"/>
        <v>0</v>
      </c>
      <c r="HE162" s="152">
        <f t="shared" si="456"/>
        <v>0</v>
      </c>
      <c r="HF162" s="152">
        <f t="shared" si="457"/>
        <v>0</v>
      </c>
      <c r="HG162" s="152">
        <f t="shared" si="458"/>
        <v>0</v>
      </c>
      <c r="HH162" s="152">
        <f t="shared" si="459"/>
        <v>0</v>
      </c>
      <c r="HI162" s="152">
        <f t="shared" si="460"/>
        <v>0</v>
      </c>
      <c r="HJ162" s="153">
        <f t="shared" si="461"/>
        <v>0</v>
      </c>
      <c r="HK162" s="153">
        <f t="shared" si="462"/>
        <v>0</v>
      </c>
      <c r="HL162" s="153">
        <f t="shared" si="463"/>
        <v>0</v>
      </c>
      <c r="HM162" s="153">
        <f t="shared" si="464"/>
        <v>0</v>
      </c>
      <c r="HN162" s="153">
        <f t="shared" si="465"/>
        <v>0</v>
      </c>
      <c r="HO162" s="153">
        <f t="shared" si="466"/>
        <v>0</v>
      </c>
      <c r="HP162" s="153">
        <f t="shared" si="467"/>
        <v>0</v>
      </c>
      <c r="HQ162" s="101"/>
      <c r="HU162" s="155">
        <f t="shared" si="468"/>
        <v>5658</v>
      </c>
      <c r="HV162" s="155">
        <f t="shared" si="469"/>
        <v>5707</v>
      </c>
      <c r="HW162" s="155">
        <f t="shared" si="470"/>
        <v>2512</v>
      </c>
      <c r="HX162" s="156">
        <f t="shared" si="471"/>
        <v>3264</v>
      </c>
      <c r="HY162" s="146">
        <f t="shared" si="472"/>
        <v>2597</v>
      </c>
      <c r="HZ162" s="146">
        <f t="shared" si="473"/>
        <v>1118</v>
      </c>
      <c r="IA162" s="146">
        <f t="shared" si="474"/>
        <v>682</v>
      </c>
      <c r="IB162" s="157">
        <f t="shared" si="475"/>
        <v>409</v>
      </c>
      <c r="IC162" s="157">
        <f t="shared" si="476"/>
        <v>0</v>
      </c>
      <c r="ID162" s="157">
        <f t="shared" si="477"/>
        <v>0</v>
      </c>
      <c r="IE162" s="157">
        <f t="shared" si="478"/>
        <v>0</v>
      </c>
      <c r="IF162" s="157">
        <f t="shared" si="479"/>
        <v>0</v>
      </c>
      <c r="IG162" s="157">
        <f t="shared" si="480"/>
        <v>0</v>
      </c>
    </row>
    <row r="163" spans="1:241" outlineLevel="2" x14ac:dyDescent="0.3">
      <c r="A163" s="158" t="s">
        <v>158</v>
      </c>
      <c r="B163" s="159">
        <v>3639</v>
      </c>
      <c r="C163" s="159">
        <v>1693</v>
      </c>
      <c r="D163" s="159">
        <v>2440</v>
      </c>
      <c r="E163" s="159">
        <v>1488</v>
      </c>
      <c r="F163" s="159">
        <v>2230</v>
      </c>
      <c r="G163" s="159">
        <v>2176</v>
      </c>
      <c r="H163" s="159">
        <v>1759</v>
      </c>
      <c r="I163" s="159">
        <v>1005</v>
      </c>
      <c r="J163" s="159">
        <v>2307</v>
      </c>
      <c r="K163" s="159">
        <v>1791</v>
      </c>
      <c r="L163" s="159">
        <v>1223</v>
      </c>
      <c r="M163" s="159">
        <v>1691</v>
      </c>
      <c r="N163" s="159">
        <v>1449</v>
      </c>
      <c r="O163" s="159">
        <v>2479</v>
      </c>
      <c r="P163" s="159">
        <v>2795</v>
      </c>
      <c r="Q163" s="159">
        <v>2955</v>
      </c>
      <c r="R163" s="159">
        <v>3212</v>
      </c>
      <c r="S163" s="160">
        <v>3780</v>
      </c>
      <c r="T163" s="160">
        <v>2414</v>
      </c>
      <c r="U163" s="160">
        <v>2540</v>
      </c>
      <c r="V163" s="160">
        <v>1974</v>
      </c>
      <c r="W163" s="160">
        <v>1530</v>
      </c>
      <c r="X163" s="160">
        <v>1184</v>
      </c>
      <c r="Y163" s="160">
        <v>954</v>
      </c>
      <c r="Z163" s="160">
        <v>765</v>
      </c>
      <c r="AA163" s="160">
        <v>1397</v>
      </c>
      <c r="AB163" s="160">
        <v>1384</v>
      </c>
      <c r="AC163" s="160">
        <v>1924</v>
      </c>
      <c r="AD163" s="160">
        <v>1169</v>
      </c>
      <c r="AE163" s="160">
        <v>1500</v>
      </c>
      <c r="AF163" s="160">
        <v>1160</v>
      </c>
      <c r="AG163" s="160">
        <v>1959</v>
      </c>
      <c r="AH163" s="160">
        <v>1888</v>
      </c>
      <c r="AI163" s="160">
        <v>1704</v>
      </c>
      <c r="AJ163" s="160">
        <v>1467</v>
      </c>
      <c r="AK163" s="160">
        <v>1290</v>
      </c>
      <c r="AL163" s="160">
        <v>1330</v>
      </c>
      <c r="AM163" s="160">
        <v>1448</v>
      </c>
      <c r="AN163" s="160">
        <v>1917</v>
      </c>
      <c r="AO163" s="160">
        <v>1629</v>
      </c>
      <c r="AP163" s="160">
        <v>1386</v>
      </c>
      <c r="AQ163" s="160">
        <v>1252</v>
      </c>
      <c r="AR163" s="160">
        <v>1198</v>
      </c>
      <c r="AS163" s="161">
        <v>1110</v>
      </c>
      <c r="AT163" s="160">
        <v>441</v>
      </c>
      <c r="AU163" s="160">
        <v>738</v>
      </c>
      <c r="AV163" s="160">
        <v>903</v>
      </c>
      <c r="AW163" s="160">
        <v>1370</v>
      </c>
      <c r="AX163" s="160">
        <v>978</v>
      </c>
      <c r="AY163" s="160">
        <v>989</v>
      </c>
      <c r="AZ163" s="160">
        <v>1352</v>
      </c>
      <c r="BA163" s="160">
        <v>1337</v>
      </c>
      <c r="BB163" s="160">
        <v>1235</v>
      </c>
      <c r="BC163" s="160">
        <v>1095</v>
      </c>
      <c r="BD163" s="160">
        <v>974</v>
      </c>
      <c r="BE163" s="160">
        <v>1284</v>
      </c>
      <c r="BF163" s="160">
        <v>1342</v>
      </c>
      <c r="BG163" s="160">
        <v>916</v>
      </c>
      <c r="BH163" s="160">
        <v>570</v>
      </c>
      <c r="BI163" s="160">
        <v>636</v>
      </c>
      <c r="BJ163" s="160">
        <v>1109</v>
      </c>
      <c r="BK163" s="162">
        <v>1427</v>
      </c>
      <c r="BL163" s="162">
        <v>1655</v>
      </c>
      <c r="BM163" s="162">
        <v>1708</v>
      </c>
      <c r="BN163" s="162">
        <v>1068</v>
      </c>
      <c r="BO163" s="162">
        <v>1340</v>
      </c>
      <c r="BP163" s="162">
        <v>1602</v>
      </c>
      <c r="BQ163" s="162">
        <v>686</v>
      </c>
      <c r="BR163" s="162">
        <v>825</v>
      </c>
      <c r="BS163" s="162">
        <v>938</v>
      </c>
      <c r="BT163" s="162">
        <v>841</v>
      </c>
      <c r="BU163" s="162">
        <v>998</v>
      </c>
      <c r="BV163" s="162">
        <v>834</v>
      </c>
      <c r="BW163" s="162">
        <v>836</v>
      </c>
      <c r="BX163" s="162">
        <v>1014</v>
      </c>
      <c r="BY163" s="162">
        <v>747</v>
      </c>
      <c r="BZ163" s="162">
        <v>481</v>
      </c>
      <c r="CA163" s="162">
        <v>566</v>
      </c>
      <c r="CB163" s="162">
        <v>645</v>
      </c>
      <c r="CC163" s="162">
        <v>669</v>
      </c>
      <c r="CD163" s="162">
        <v>653</v>
      </c>
      <c r="CE163" s="162">
        <v>846</v>
      </c>
      <c r="CF163" s="162">
        <v>737</v>
      </c>
      <c r="CG163" s="162">
        <v>844</v>
      </c>
      <c r="CH163" s="162">
        <v>1301</v>
      </c>
      <c r="CI163" s="162">
        <v>928</v>
      </c>
      <c r="CJ163" s="162">
        <v>804</v>
      </c>
      <c r="CK163" s="162">
        <v>872</v>
      </c>
      <c r="CL163" s="162">
        <v>843</v>
      </c>
      <c r="CM163" s="162">
        <v>708</v>
      </c>
      <c r="CN163" s="162">
        <v>744</v>
      </c>
      <c r="CO163" s="162">
        <v>929</v>
      </c>
      <c r="CP163" s="162">
        <v>1227</v>
      </c>
      <c r="CQ163" s="162">
        <v>1322</v>
      </c>
      <c r="CR163" s="162">
        <v>1004</v>
      </c>
      <c r="CS163" s="163">
        <v>999</v>
      </c>
      <c r="CT163" s="163"/>
      <c r="CU163" s="163"/>
      <c r="CV163" s="163">
        <v>0</v>
      </c>
      <c r="CW163" s="163">
        <v>0</v>
      </c>
      <c r="CX163" s="163">
        <v>0</v>
      </c>
      <c r="CY163" s="163">
        <v>0</v>
      </c>
      <c r="CZ163" s="163">
        <v>0</v>
      </c>
      <c r="DA163" s="163">
        <v>0</v>
      </c>
      <c r="DB163" s="163">
        <v>0</v>
      </c>
      <c r="DC163" s="163">
        <v>0</v>
      </c>
      <c r="DD163" s="163">
        <v>0</v>
      </c>
      <c r="DE163" s="163">
        <v>0</v>
      </c>
      <c r="DF163" s="163"/>
      <c r="DG163" s="163"/>
      <c r="DH163" s="163"/>
      <c r="DI163" s="163"/>
      <c r="DJ163" s="163"/>
      <c r="DK163" s="163"/>
      <c r="DL163" s="163"/>
      <c r="DM163" s="163"/>
      <c r="DN163" s="163"/>
      <c r="DO163" s="163"/>
      <c r="DP163" s="163"/>
      <c r="DQ163" s="163"/>
      <c r="DR163" s="163"/>
      <c r="DS163" s="163"/>
      <c r="DT163" s="163"/>
      <c r="DU163" s="163"/>
      <c r="DV163" s="163"/>
      <c r="DW163" s="163"/>
      <c r="DX163" s="163"/>
      <c r="DY163" s="163"/>
      <c r="DZ163" s="163"/>
      <c r="EA163" s="163"/>
      <c r="EB163" s="163"/>
      <c r="EC163" s="163"/>
      <c r="ED163" s="163"/>
      <c r="EE163" s="163"/>
      <c r="EF163" s="163"/>
      <c r="EG163" s="163"/>
      <c r="EH163" s="163"/>
      <c r="EI163" s="163"/>
      <c r="EJ163" s="163"/>
      <c r="EK163" s="163"/>
      <c r="EL163" s="163"/>
      <c r="EM163" s="163"/>
      <c r="EN163" s="163"/>
      <c r="EO163" s="163"/>
      <c r="EP163" s="163"/>
      <c r="EQ163" s="163"/>
      <c r="ER163" s="163"/>
      <c r="ES163" s="163"/>
      <c r="ET163" s="163">
        <v>0</v>
      </c>
      <c r="EU163" s="163"/>
      <c r="EV163" s="163"/>
      <c r="EW163" s="163"/>
      <c r="EX163" s="163"/>
      <c r="EY163" s="163"/>
      <c r="EZ163" s="163"/>
      <c r="FA163" s="163"/>
      <c r="FB163" s="163"/>
      <c r="FC163" s="163"/>
      <c r="FD163" s="163"/>
      <c r="FE163" s="163"/>
      <c r="FF163" s="163"/>
      <c r="FG163" s="163"/>
      <c r="FH163" s="163"/>
      <c r="FI163" s="163"/>
      <c r="FJ163" s="163"/>
      <c r="FN163" s="165">
        <f t="shared" si="413"/>
        <v>7772</v>
      </c>
      <c r="FO163" s="166">
        <f t="shared" si="414"/>
        <v>5894</v>
      </c>
      <c r="FP163" s="166">
        <f t="shared" si="415"/>
        <v>5071</v>
      </c>
      <c r="FQ163" s="166">
        <f t="shared" si="416"/>
        <v>4705</v>
      </c>
      <c r="FR163" s="166">
        <f t="shared" si="417"/>
        <v>6723</v>
      </c>
      <c r="FS163" s="166">
        <f t="shared" si="418"/>
        <v>9947</v>
      </c>
      <c r="FT163" s="166">
        <f t="shared" si="419"/>
        <v>6928</v>
      </c>
      <c r="FU163" s="166">
        <f t="shared" si="420"/>
        <v>3668</v>
      </c>
      <c r="FV163" s="166">
        <f t="shared" si="421"/>
        <v>3546</v>
      </c>
      <c r="FW163" s="166">
        <f t="shared" si="422"/>
        <v>4593</v>
      </c>
      <c r="FX163" s="166">
        <f t="shared" si="423"/>
        <v>5007</v>
      </c>
      <c r="FY163" s="166">
        <f t="shared" si="424"/>
        <v>4461</v>
      </c>
      <c r="FZ163" s="166">
        <f t="shared" si="425"/>
        <v>4695</v>
      </c>
      <c r="GA163" s="166">
        <f t="shared" si="426"/>
        <v>4267</v>
      </c>
      <c r="GB163" s="166">
        <f t="shared" si="427"/>
        <v>2749</v>
      </c>
      <c r="GC163" s="166">
        <f t="shared" si="428"/>
        <v>3011</v>
      </c>
      <c r="GD163" s="166">
        <f t="shared" si="429"/>
        <v>3319</v>
      </c>
      <c r="GE163" s="166">
        <f t="shared" si="430"/>
        <v>3667</v>
      </c>
      <c r="GF163" s="166">
        <f t="shared" si="431"/>
        <v>3600</v>
      </c>
      <c r="GG163" s="166">
        <f t="shared" si="432"/>
        <v>2122</v>
      </c>
      <c r="GH163" s="166">
        <f t="shared" si="433"/>
        <v>4191</v>
      </c>
      <c r="GI163" s="166">
        <f t="shared" si="434"/>
        <v>4116</v>
      </c>
      <c r="GJ163" s="166">
        <f t="shared" si="435"/>
        <v>3113</v>
      </c>
      <c r="GK163" s="166">
        <f t="shared" si="436"/>
        <v>2777</v>
      </c>
      <c r="GL163" s="166">
        <f t="shared" si="437"/>
        <v>2684</v>
      </c>
      <c r="GM163" s="166">
        <f t="shared" si="438"/>
        <v>1794</v>
      </c>
      <c r="GN163" s="166">
        <f t="shared" si="439"/>
        <v>1967</v>
      </c>
      <c r="GO163" s="166">
        <f t="shared" si="440"/>
        <v>2427</v>
      </c>
      <c r="GP163" s="166">
        <f t="shared" si="441"/>
        <v>3033</v>
      </c>
      <c r="GQ163" s="166">
        <f t="shared" si="442"/>
        <v>2423</v>
      </c>
      <c r="GR163" s="166">
        <f t="shared" si="443"/>
        <v>2900</v>
      </c>
      <c r="GS163" s="166">
        <f t="shared" si="444"/>
        <v>3325</v>
      </c>
      <c r="GT163" s="166">
        <f t="shared" si="445"/>
        <v>0</v>
      </c>
      <c r="GU163" s="166">
        <f t="shared" si="446"/>
        <v>0</v>
      </c>
      <c r="GV163" s="166">
        <f t="shared" si="447"/>
        <v>0</v>
      </c>
      <c r="GW163" s="166">
        <f t="shared" si="448"/>
        <v>0</v>
      </c>
      <c r="GX163" s="166">
        <f t="shared" si="449"/>
        <v>0</v>
      </c>
      <c r="GY163" s="166">
        <f t="shared" si="450"/>
        <v>0</v>
      </c>
      <c r="GZ163" s="166">
        <f t="shared" si="451"/>
        <v>0</v>
      </c>
      <c r="HA163" s="166">
        <f t="shared" si="452"/>
        <v>0</v>
      </c>
      <c r="HB163" s="166">
        <f t="shared" si="453"/>
        <v>0</v>
      </c>
      <c r="HC163" s="166">
        <f t="shared" si="454"/>
        <v>0</v>
      </c>
      <c r="HD163" s="166">
        <f t="shared" si="455"/>
        <v>0</v>
      </c>
      <c r="HE163" s="166">
        <f t="shared" si="456"/>
        <v>0</v>
      </c>
      <c r="HF163" s="166">
        <f t="shared" si="457"/>
        <v>0</v>
      </c>
      <c r="HG163" s="166">
        <f t="shared" si="458"/>
        <v>0</v>
      </c>
      <c r="HH163" s="166">
        <f t="shared" si="459"/>
        <v>0</v>
      </c>
      <c r="HI163" s="166">
        <f t="shared" si="460"/>
        <v>0</v>
      </c>
      <c r="HJ163" s="167">
        <f t="shared" si="461"/>
        <v>0</v>
      </c>
      <c r="HK163" s="167">
        <f t="shared" si="462"/>
        <v>0</v>
      </c>
      <c r="HL163" s="167">
        <f t="shared" si="463"/>
        <v>0</v>
      </c>
      <c r="HM163" s="167">
        <f t="shared" si="464"/>
        <v>0</v>
      </c>
      <c r="HN163" s="167">
        <f t="shared" si="465"/>
        <v>0</v>
      </c>
      <c r="HO163" s="167">
        <f t="shared" si="466"/>
        <v>0</v>
      </c>
      <c r="HP163" s="167">
        <f t="shared" si="467"/>
        <v>0</v>
      </c>
      <c r="HQ163" s="168"/>
      <c r="HU163" s="169">
        <f t="shared" si="468"/>
        <v>23442</v>
      </c>
      <c r="HV163" s="169">
        <f t="shared" si="469"/>
        <v>27266</v>
      </c>
      <c r="HW163" s="169">
        <f t="shared" si="470"/>
        <v>17607</v>
      </c>
      <c r="HX163" s="170">
        <f t="shared" si="471"/>
        <v>14722</v>
      </c>
      <c r="HY163" s="160">
        <f t="shared" si="472"/>
        <v>12708</v>
      </c>
      <c r="HZ163" s="160">
        <f t="shared" si="473"/>
        <v>14197</v>
      </c>
      <c r="IA163" s="160">
        <f t="shared" si="474"/>
        <v>8872</v>
      </c>
      <c r="IB163" s="171">
        <f t="shared" si="475"/>
        <v>11681</v>
      </c>
      <c r="IC163" s="171">
        <f t="shared" si="476"/>
        <v>0</v>
      </c>
      <c r="ID163" s="171">
        <f t="shared" si="477"/>
        <v>0</v>
      </c>
      <c r="IE163" s="171">
        <f t="shared" si="478"/>
        <v>0</v>
      </c>
      <c r="IF163" s="171">
        <f t="shared" si="479"/>
        <v>0</v>
      </c>
      <c r="IG163" s="171">
        <f t="shared" si="480"/>
        <v>0</v>
      </c>
    </row>
    <row r="164" spans="1:241" outlineLevel="2" x14ac:dyDescent="0.3">
      <c r="A164" s="144" t="s">
        <v>160</v>
      </c>
      <c r="B164" s="145">
        <v>190</v>
      </c>
      <c r="C164" s="145">
        <v>204</v>
      </c>
      <c r="D164" s="145">
        <v>264</v>
      </c>
      <c r="E164" s="145">
        <v>473</v>
      </c>
      <c r="F164" s="145">
        <v>497</v>
      </c>
      <c r="G164" s="145">
        <v>712</v>
      </c>
      <c r="H164" s="145">
        <v>809</v>
      </c>
      <c r="I164" s="145">
        <v>508</v>
      </c>
      <c r="J164" s="145">
        <v>768</v>
      </c>
      <c r="K164" s="145">
        <v>99</v>
      </c>
      <c r="L164" s="145">
        <v>698</v>
      </c>
      <c r="M164" s="145">
        <v>628</v>
      </c>
      <c r="N164" s="145">
        <v>818</v>
      </c>
      <c r="O164" s="145">
        <v>1113</v>
      </c>
      <c r="P164" s="145">
        <v>2575</v>
      </c>
      <c r="Q164" s="145">
        <v>1443</v>
      </c>
      <c r="R164" s="145">
        <v>3579</v>
      </c>
      <c r="S164" s="146">
        <v>676</v>
      </c>
      <c r="T164" s="146">
        <v>2700</v>
      </c>
      <c r="U164" s="146">
        <v>1611</v>
      </c>
      <c r="V164" s="146">
        <v>3829</v>
      </c>
      <c r="W164" s="146">
        <v>3378</v>
      </c>
      <c r="X164" s="146">
        <v>5322</v>
      </c>
      <c r="Y164" s="146">
        <v>5544</v>
      </c>
      <c r="Z164" s="146">
        <v>5827</v>
      </c>
      <c r="AA164" s="146">
        <v>5850</v>
      </c>
      <c r="AB164" s="146">
        <v>4901</v>
      </c>
      <c r="AC164" s="146">
        <v>2747</v>
      </c>
      <c r="AD164" s="146">
        <v>7057</v>
      </c>
      <c r="AE164" s="146">
        <v>5857</v>
      </c>
      <c r="AF164" s="146">
        <v>7001</v>
      </c>
      <c r="AG164" s="146">
        <v>5715</v>
      </c>
      <c r="AH164" s="146">
        <v>4921</v>
      </c>
      <c r="AI164" s="146">
        <v>7307</v>
      </c>
      <c r="AJ164" s="146">
        <v>3523</v>
      </c>
      <c r="AK164" s="146">
        <v>4288</v>
      </c>
      <c r="AL164" s="146">
        <v>8068</v>
      </c>
      <c r="AM164" s="146">
        <v>3920</v>
      </c>
      <c r="AN164" s="146">
        <v>1905</v>
      </c>
      <c r="AO164" s="146">
        <v>8715</v>
      </c>
      <c r="AP164" s="146">
        <v>7108</v>
      </c>
      <c r="AQ164" s="146">
        <v>6429</v>
      </c>
      <c r="AR164" s="146">
        <v>5053</v>
      </c>
      <c r="AS164" s="146">
        <v>4708</v>
      </c>
      <c r="AT164" s="146">
        <v>9257</v>
      </c>
      <c r="AU164" s="146">
        <v>6230</v>
      </c>
      <c r="AV164" s="146">
        <v>6831</v>
      </c>
      <c r="AW164" s="146">
        <v>7765</v>
      </c>
      <c r="AX164" s="146">
        <v>7868</v>
      </c>
      <c r="AY164" s="146">
        <v>6816</v>
      </c>
      <c r="AZ164" s="146">
        <v>7554</v>
      </c>
      <c r="BA164" s="146">
        <v>7223</v>
      </c>
      <c r="BB164" s="146">
        <v>7538</v>
      </c>
      <c r="BC164" s="146">
        <v>6115</v>
      </c>
      <c r="BD164" s="146">
        <v>8817</v>
      </c>
      <c r="BE164" s="146">
        <v>4622</v>
      </c>
      <c r="BF164" s="146">
        <v>8454</v>
      </c>
      <c r="BG164" s="146">
        <v>4889</v>
      </c>
      <c r="BH164" s="146">
        <v>6167</v>
      </c>
      <c r="BI164" s="146">
        <v>10789</v>
      </c>
      <c r="BJ164" s="146">
        <v>7666</v>
      </c>
      <c r="BK164" s="147">
        <v>10477</v>
      </c>
      <c r="BL164" s="147">
        <v>8597</v>
      </c>
      <c r="BM164" s="147">
        <v>8964</v>
      </c>
      <c r="BN164" s="147">
        <v>6469</v>
      </c>
      <c r="BO164" s="147">
        <v>8237</v>
      </c>
      <c r="BP164" s="147">
        <v>6071</v>
      </c>
      <c r="BQ164" s="147">
        <v>7474</v>
      </c>
      <c r="BR164" s="147">
        <v>7722</v>
      </c>
      <c r="BS164" s="147">
        <v>4769</v>
      </c>
      <c r="BT164" s="147">
        <v>4769</v>
      </c>
      <c r="BU164" s="147">
        <v>8110</v>
      </c>
      <c r="BV164" s="147">
        <v>9708</v>
      </c>
      <c r="BW164" s="147">
        <v>5811</v>
      </c>
      <c r="BX164" s="147">
        <v>5869</v>
      </c>
      <c r="BY164" s="147">
        <v>4417</v>
      </c>
      <c r="BZ164" s="147">
        <v>4433</v>
      </c>
      <c r="CA164" s="147">
        <v>5961</v>
      </c>
      <c r="CB164" s="147">
        <v>3216</v>
      </c>
      <c r="CC164" s="147">
        <v>1145</v>
      </c>
      <c r="CD164" s="147">
        <v>5957</v>
      </c>
      <c r="CE164" s="147">
        <v>4576</v>
      </c>
      <c r="CF164" s="147">
        <v>4991</v>
      </c>
      <c r="CG164" s="147">
        <v>5716</v>
      </c>
      <c r="CH164" s="147">
        <v>6029</v>
      </c>
      <c r="CI164" s="147">
        <v>6946</v>
      </c>
      <c r="CJ164" s="147">
        <v>5536</v>
      </c>
      <c r="CK164" s="147">
        <v>6214</v>
      </c>
      <c r="CL164" s="147">
        <v>7705</v>
      </c>
      <c r="CM164" s="147">
        <v>5478</v>
      </c>
      <c r="CN164" s="147">
        <v>1990</v>
      </c>
      <c r="CO164" s="147">
        <v>2290</v>
      </c>
      <c r="CP164" s="147">
        <v>4833</v>
      </c>
      <c r="CQ164" s="147">
        <v>1648</v>
      </c>
      <c r="CR164" s="147">
        <v>6945</v>
      </c>
      <c r="CS164" s="148">
        <v>3</v>
      </c>
      <c r="CT164" s="148"/>
      <c r="CU164" s="148">
        <v>1002</v>
      </c>
      <c r="CV164" s="148">
        <v>3122</v>
      </c>
      <c r="CW164" s="148">
        <v>6828</v>
      </c>
      <c r="CX164" s="148">
        <v>1977</v>
      </c>
      <c r="CY164" s="148">
        <v>2533</v>
      </c>
      <c r="CZ164" s="148">
        <v>6427</v>
      </c>
      <c r="DA164" s="148">
        <v>2062</v>
      </c>
      <c r="DB164" s="148">
        <v>1684</v>
      </c>
      <c r="DC164" s="148">
        <v>2703</v>
      </c>
      <c r="DD164" s="148">
        <v>1152</v>
      </c>
      <c r="DE164" s="148">
        <v>1569</v>
      </c>
      <c r="DF164" s="148">
        <v>1637</v>
      </c>
      <c r="DG164" s="148">
        <v>5412</v>
      </c>
      <c r="DH164" s="148">
        <v>4517</v>
      </c>
      <c r="DI164" s="148">
        <v>4889</v>
      </c>
      <c r="DJ164" s="148">
        <v>3418</v>
      </c>
      <c r="DK164" s="148">
        <v>4214</v>
      </c>
      <c r="DL164" s="148">
        <v>1015</v>
      </c>
      <c r="DM164" s="148">
        <v>1180</v>
      </c>
      <c r="DN164" s="148">
        <v>3514</v>
      </c>
      <c r="DO164" s="148">
        <v>2305</v>
      </c>
      <c r="DP164" s="148">
        <v>2205</v>
      </c>
      <c r="DQ164" s="148">
        <v>5876</v>
      </c>
      <c r="DR164" s="148">
        <v>2684</v>
      </c>
      <c r="DS164" s="148">
        <v>2874</v>
      </c>
      <c r="DT164" s="148">
        <v>1317</v>
      </c>
      <c r="DU164" s="148">
        <v>1077</v>
      </c>
      <c r="DV164" s="148">
        <v>830</v>
      </c>
      <c r="DW164" s="148">
        <v>5</v>
      </c>
      <c r="DX164" s="148">
        <v>775</v>
      </c>
      <c r="DY164" s="148">
        <v>1777</v>
      </c>
      <c r="DZ164" s="148">
        <v>2939</v>
      </c>
      <c r="EA164" s="148">
        <v>2375</v>
      </c>
      <c r="EB164" s="148">
        <v>755</v>
      </c>
      <c r="EC164" s="148">
        <v>1771</v>
      </c>
      <c r="ED164" s="148">
        <v>881</v>
      </c>
      <c r="EE164" s="148">
        <v>3099</v>
      </c>
      <c r="EF164" s="148">
        <v>2181</v>
      </c>
      <c r="EG164" s="148">
        <v>2902</v>
      </c>
      <c r="EH164" s="148">
        <v>3194</v>
      </c>
      <c r="EI164" s="148">
        <v>1202</v>
      </c>
      <c r="EJ164" s="148">
        <v>3357</v>
      </c>
      <c r="EK164" s="148">
        <v>3284</v>
      </c>
      <c r="EL164" s="148">
        <v>4637</v>
      </c>
      <c r="EM164" s="148">
        <v>2565</v>
      </c>
      <c r="EN164" s="148">
        <v>1136</v>
      </c>
      <c r="EO164" s="148">
        <v>3121</v>
      </c>
      <c r="EP164" s="148">
        <v>1313</v>
      </c>
      <c r="EQ164" s="148">
        <v>4185</v>
      </c>
      <c r="ER164" s="148">
        <v>6349</v>
      </c>
      <c r="ES164" s="148">
        <v>6694</v>
      </c>
      <c r="ET164" s="148">
        <v>2969</v>
      </c>
      <c r="EU164" s="148">
        <v>3223</v>
      </c>
      <c r="EV164" s="148"/>
      <c r="EW164" s="148">
        <v>1238</v>
      </c>
      <c r="EX164" s="148">
        <v>2489</v>
      </c>
      <c r="EY164" s="148">
        <v>1192</v>
      </c>
      <c r="EZ164" s="148">
        <v>1450</v>
      </c>
      <c r="FA164" s="148">
        <v>3538</v>
      </c>
      <c r="FB164" s="148">
        <v>2121</v>
      </c>
      <c r="FC164" s="148">
        <v>2710</v>
      </c>
      <c r="FD164" s="148">
        <v>6246</v>
      </c>
      <c r="FE164" s="148">
        <v>1809</v>
      </c>
      <c r="FF164" s="148">
        <v>4879</v>
      </c>
      <c r="FG164" s="148">
        <v>2515</v>
      </c>
      <c r="FH164" s="148"/>
      <c r="FI164" s="148">
        <v>2259</v>
      </c>
      <c r="FJ164" s="148">
        <v>212</v>
      </c>
      <c r="FN164" s="151">
        <f t="shared" si="413"/>
        <v>658</v>
      </c>
      <c r="FO164" s="152">
        <f t="shared" si="414"/>
        <v>1682</v>
      </c>
      <c r="FP164" s="152">
        <f t="shared" si="415"/>
        <v>2085</v>
      </c>
      <c r="FQ164" s="152">
        <f t="shared" si="416"/>
        <v>1425</v>
      </c>
      <c r="FR164" s="152">
        <f t="shared" si="417"/>
        <v>4506</v>
      </c>
      <c r="FS164" s="152">
        <f t="shared" si="418"/>
        <v>5698</v>
      </c>
      <c r="FT164" s="152">
        <f t="shared" si="419"/>
        <v>8140</v>
      </c>
      <c r="FU164" s="152">
        <f t="shared" si="420"/>
        <v>14244</v>
      </c>
      <c r="FV164" s="152">
        <f t="shared" si="421"/>
        <v>16578</v>
      </c>
      <c r="FW164" s="152">
        <f t="shared" si="422"/>
        <v>15661</v>
      </c>
      <c r="FX164" s="152">
        <f t="shared" si="423"/>
        <v>17637</v>
      </c>
      <c r="FY164" s="152">
        <f t="shared" si="424"/>
        <v>15118</v>
      </c>
      <c r="FZ164" s="152">
        <f t="shared" si="425"/>
        <v>13893</v>
      </c>
      <c r="GA164" s="152">
        <f t="shared" si="426"/>
        <v>22252</v>
      </c>
      <c r="GB164" s="152">
        <f t="shared" si="427"/>
        <v>19018</v>
      </c>
      <c r="GC164" s="152">
        <f t="shared" si="428"/>
        <v>20826</v>
      </c>
      <c r="GD164" s="152">
        <f t="shared" si="429"/>
        <v>22238</v>
      </c>
      <c r="GE164" s="152">
        <f t="shared" si="430"/>
        <v>20876</v>
      </c>
      <c r="GF164" s="152">
        <f t="shared" si="431"/>
        <v>21893</v>
      </c>
      <c r="GG164" s="152">
        <f t="shared" si="432"/>
        <v>21845</v>
      </c>
      <c r="GH164" s="152">
        <f t="shared" si="433"/>
        <v>26740</v>
      </c>
      <c r="GI164" s="152">
        <f t="shared" si="434"/>
        <v>23670</v>
      </c>
      <c r="GJ164" s="152">
        <f t="shared" si="435"/>
        <v>21267</v>
      </c>
      <c r="GK164" s="152">
        <f t="shared" si="436"/>
        <v>17648</v>
      </c>
      <c r="GL164" s="152">
        <f t="shared" si="437"/>
        <v>21388</v>
      </c>
      <c r="GM164" s="152">
        <f t="shared" si="438"/>
        <v>14811</v>
      </c>
      <c r="GN164" s="152">
        <f t="shared" si="439"/>
        <v>10318</v>
      </c>
      <c r="GO164" s="152">
        <f t="shared" si="440"/>
        <v>15283</v>
      </c>
      <c r="GP164" s="152">
        <f t="shared" si="441"/>
        <v>18511</v>
      </c>
      <c r="GQ164" s="152">
        <f t="shared" si="442"/>
        <v>19397</v>
      </c>
      <c r="GR164" s="152">
        <f t="shared" si="443"/>
        <v>9113</v>
      </c>
      <c r="GS164" s="152">
        <f t="shared" si="444"/>
        <v>8596</v>
      </c>
      <c r="GT164" s="152">
        <f t="shared" si="445"/>
        <v>4124</v>
      </c>
      <c r="GU164" s="152">
        <f t="shared" si="446"/>
        <v>11338</v>
      </c>
      <c r="GV164" s="152">
        <f t="shared" si="447"/>
        <v>10173</v>
      </c>
      <c r="GW164" s="152">
        <f t="shared" si="448"/>
        <v>5424</v>
      </c>
      <c r="GX164" s="152">
        <f t="shared" si="449"/>
        <v>11566</v>
      </c>
      <c r="GY164" s="152">
        <f t="shared" si="450"/>
        <v>12521</v>
      </c>
      <c r="GZ164" s="152">
        <f t="shared" si="451"/>
        <v>5709</v>
      </c>
      <c r="HA164" s="152">
        <f t="shared" si="452"/>
        <v>10386</v>
      </c>
      <c r="HB164" s="152">
        <f t="shared" si="453"/>
        <v>6875</v>
      </c>
      <c r="HC164" s="152">
        <f t="shared" si="454"/>
        <v>1912</v>
      </c>
      <c r="HD164" s="152">
        <f t="shared" si="455"/>
        <v>5491</v>
      </c>
      <c r="HE164" s="152">
        <f t="shared" si="456"/>
        <v>4901</v>
      </c>
      <c r="HF164" s="152">
        <f t="shared" si="457"/>
        <v>6161</v>
      </c>
      <c r="HG164" s="152">
        <f t="shared" si="458"/>
        <v>7298</v>
      </c>
      <c r="HH164" s="152">
        <f t="shared" si="459"/>
        <v>11278</v>
      </c>
      <c r="HI164" s="152">
        <f t="shared" si="460"/>
        <v>6822</v>
      </c>
      <c r="HJ164" s="153">
        <f t="shared" si="461"/>
        <v>11847</v>
      </c>
      <c r="HK164" s="153">
        <f t="shared" si="462"/>
        <v>12886</v>
      </c>
      <c r="HL164" s="153">
        <f t="shared" si="463"/>
        <v>3727</v>
      </c>
      <c r="HM164" s="153">
        <f t="shared" si="464"/>
        <v>6180</v>
      </c>
      <c r="HN164" s="153">
        <f t="shared" si="465"/>
        <v>11077</v>
      </c>
      <c r="HO164" s="153">
        <f t="shared" si="466"/>
        <v>9203</v>
      </c>
      <c r="HP164" s="153">
        <f t="shared" si="467"/>
        <v>2471</v>
      </c>
      <c r="HQ164" s="101"/>
      <c r="HU164" s="155">
        <f t="shared" si="468"/>
        <v>5850</v>
      </c>
      <c r="HV164" s="155">
        <f t="shared" si="469"/>
        <v>32588</v>
      </c>
      <c r="HW164" s="155">
        <f t="shared" si="470"/>
        <v>64994</v>
      </c>
      <c r="HX164" s="156">
        <f t="shared" si="471"/>
        <v>75989</v>
      </c>
      <c r="HY164" s="146">
        <f t="shared" si="472"/>
        <v>86852</v>
      </c>
      <c r="HZ164" s="146">
        <f t="shared" si="473"/>
        <v>89325</v>
      </c>
      <c r="IA164" s="146">
        <f t="shared" si="474"/>
        <v>61800</v>
      </c>
      <c r="IB164" s="157">
        <f t="shared" si="475"/>
        <v>55617</v>
      </c>
      <c r="IC164" s="157">
        <f t="shared" si="476"/>
        <v>31059</v>
      </c>
      <c r="ID164" s="157">
        <f t="shared" si="477"/>
        <v>40182</v>
      </c>
      <c r="IE164" s="157">
        <f t="shared" si="478"/>
        <v>19179</v>
      </c>
      <c r="IF164" s="157">
        <f t="shared" si="479"/>
        <v>31559</v>
      </c>
      <c r="IG164" s="157">
        <f t="shared" si="480"/>
        <v>34640</v>
      </c>
    </row>
    <row r="165" spans="1:241" outlineLevel="1" x14ac:dyDescent="0.3">
      <c r="A165" s="245" t="s">
        <v>174</v>
      </c>
      <c r="B165" s="179">
        <f t="shared" ref="B165:BM165" si="481">+SUM(B150:B164)</f>
        <v>37672</v>
      </c>
      <c r="C165" s="179">
        <f t="shared" si="481"/>
        <v>45245</v>
      </c>
      <c r="D165" s="179">
        <f t="shared" si="481"/>
        <v>53984</v>
      </c>
      <c r="E165" s="179">
        <f t="shared" si="481"/>
        <v>47182</v>
      </c>
      <c r="F165" s="179">
        <f t="shared" si="481"/>
        <v>36005</v>
      </c>
      <c r="G165" s="179">
        <f t="shared" si="481"/>
        <v>43059</v>
      </c>
      <c r="H165" s="179">
        <f t="shared" si="481"/>
        <v>42489</v>
      </c>
      <c r="I165" s="179">
        <f t="shared" si="481"/>
        <v>51373</v>
      </c>
      <c r="J165" s="179">
        <f t="shared" si="481"/>
        <v>51121</v>
      </c>
      <c r="K165" s="179">
        <f t="shared" si="481"/>
        <v>40929</v>
      </c>
      <c r="L165" s="179">
        <f t="shared" si="481"/>
        <v>45797</v>
      </c>
      <c r="M165" s="179">
        <f t="shared" si="481"/>
        <v>50018</v>
      </c>
      <c r="N165" s="179">
        <f t="shared" si="481"/>
        <v>40637</v>
      </c>
      <c r="O165" s="179">
        <f t="shared" si="481"/>
        <v>46139</v>
      </c>
      <c r="P165" s="179">
        <f t="shared" si="481"/>
        <v>42599</v>
      </c>
      <c r="Q165" s="179">
        <f t="shared" si="481"/>
        <v>52892</v>
      </c>
      <c r="R165" s="179">
        <f t="shared" si="481"/>
        <v>56152</v>
      </c>
      <c r="S165" s="179">
        <f t="shared" si="481"/>
        <v>53786</v>
      </c>
      <c r="T165" s="179">
        <f t="shared" si="481"/>
        <v>42536</v>
      </c>
      <c r="U165" s="179">
        <f t="shared" si="481"/>
        <v>41555</v>
      </c>
      <c r="V165" s="179">
        <f t="shared" si="481"/>
        <v>48551</v>
      </c>
      <c r="W165" s="179">
        <f t="shared" si="481"/>
        <v>35864</v>
      </c>
      <c r="X165" s="179">
        <f t="shared" si="481"/>
        <v>42142</v>
      </c>
      <c r="Y165" s="179">
        <f t="shared" si="481"/>
        <v>47613</v>
      </c>
      <c r="Z165" s="179">
        <f t="shared" si="481"/>
        <v>35149</v>
      </c>
      <c r="AA165" s="179">
        <f t="shared" si="481"/>
        <v>41591</v>
      </c>
      <c r="AB165" s="179">
        <f t="shared" si="481"/>
        <v>46036</v>
      </c>
      <c r="AC165" s="179">
        <f t="shared" si="481"/>
        <v>48498</v>
      </c>
      <c r="AD165" s="179">
        <f t="shared" si="481"/>
        <v>46590</v>
      </c>
      <c r="AE165" s="179">
        <f t="shared" si="481"/>
        <v>50860</v>
      </c>
      <c r="AF165" s="179">
        <f t="shared" si="481"/>
        <v>43463</v>
      </c>
      <c r="AG165" s="179">
        <f t="shared" si="481"/>
        <v>48871</v>
      </c>
      <c r="AH165" s="179">
        <f t="shared" si="481"/>
        <v>60407</v>
      </c>
      <c r="AI165" s="179">
        <f t="shared" si="481"/>
        <v>41785</v>
      </c>
      <c r="AJ165" s="179">
        <f t="shared" si="481"/>
        <v>39814</v>
      </c>
      <c r="AK165" s="179">
        <f t="shared" si="481"/>
        <v>39015</v>
      </c>
      <c r="AL165" s="179">
        <f t="shared" si="481"/>
        <v>42815</v>
      </c>
      <c r="AM165" s="179">
        <f t="shared" si="481"/>
        <v>45015</v>
      </c>
      <c r="AN165" s="179">
        <f t="shared" si="481"/>
        <v>35957</v>
      </c>
      <c r="AO165" s="179">
        <f t="shared" si="481"/>
        <v>51719</v>
      </c>
      <c r="AP165" s="179">
        <f t="shared" si="481"/>
        <v>46579</v>
      </c>
      <c r="AQ165" s="179">
        <f t="shared" si="481"/>
        <v>44958</v>
      </c>
      <c r="AR165" s="179">
        <f t="shared" si="481"/>
        <v>47398</v>
      </c>
      <c r="AS165" s="179">
        <f t="shared" si="481"/>
        <v>40390</v>
      </c>
      <c r="AT165" s="179">
        <f t="shared" si="481"/>
        <v>50468</v>
      </c>
      <c r="AU165" s="179">
        <f t="shared" si="481"/>
        <v>33909</v>
      </c>
      <c r="AV165" s="179">
        <f t="shared" si="481"/>
        <v>45394</v>
      </c>
      <c r="AW165" s="179">
        <f t="shared" si="481"/>
        <v>47451</v>
      </c>
      <c r="AX165" s="179">
        <f t="shared" si="481"/>
        <v>43758</v>
      </c>
      <c r="AY165" s="179">
        <f t="shared" si="481"/>
        <v>39976</v>
      </c>
      <c r="AZ165" s="179">
        <f t="shared" si="481"/>
        <v>40916</v>
      </c>
      <c r="BA165" s="179">
        <f t="shared" si="481"/>
        <v>47240</v>
      </c>
      <c r="BB165" s="179">
        <f t="shared" si="481"/>
        <v>57429</v>
      </c>
      <c r="BC165" s="179">
        <f t="shared" si="481"/>
        <v>56150</v>
      </c>
      <c r="BD165" s="179">
        <f t="shared" si="481"/>
        <v>54854</v>
      </c>
      <c r="BE165" s="179">
        <f t="shared" si="481"/>
        <v>48664</v>
      </c>
      <c r="BF165" s="179">
        <f t="shared" si="481"/>
        <v>63693</v>
      </c>
      <c r="BG165" s="179">
        <f t="shared" si="481"/>
        <v>40943</v>
      </c>
      <c r="BH165" s="179">
        <f t="shared" si="481"/>
        <v>50621</v>
      </c>
      <c r="BI165" s="179">
        <f t="shared" si="481"/>
        <v>57879</v>
      </c>
      <c r="BJ165" s="179">
        <f t="shared" si="481"/>
        <v>47308</v>
      </c>
      <c r="BK165" s="179">
        <f t="shared" si="481"/>
        <v>50179</v>
      </c>
      <c r="BL165" s="179">
        <f t="shared" si="481"/>
        <v>46691</v>
      </c>
      <c r="BM165" s="179">
        <f t="shared" si="481"/>
        <v>46653</v>
      </c>
      <c r="BN165" s="179">
        <f t="shared" ref="BN165:CF165" si="482">+SUM(BN150:BN164)</f>
        <v>45297</v>
      </c>
      <c r="BO165" s="179">
        <f t="shared" si="482"/>
        <v>51055</v>
      </c>
      <c r="BP165" s="179">
        <f t="shared" si="482"/>
        <v>46300</v>
      </c>
      <c r="BQ165" s="179">
        <f t="shared" si="482"/>
        <v>44129</v>
      </c>
      <c r="BR165" s="179">
        <f t="shared" si="482"/>
        <v>55859</v>
      </c>
      <c r="BS165" s="179">
        <f t="shared" si="482"/>
        <v>43399</v>
      </c>
      <c r="BT165" s="179">
        <f t="shared" si="482"/>
        <v>47200</v>
      </c>
      <c r="BU165" s="179">
        <f t="shared" si="482"/>
        <v>54029</v>
      </c>
      <c r="BV165" s="179">
        <f t="shared" si="482"/>
        <v>36930</v>
      </c>
      <c r="BW165" s="179">
        <f t="shared" si="482"/>
        <v>44904</v>
      </c>
      <c r="BX165" s="179">
        <f t="shared" si="482"/>
        <v>46336</v>
      </c>
      <c r="BY165" s="179">
        <f t="shared" si="482"/>
        <v>49328</v>
      </c>
      <c r="BZ165" s="179">
        <f t="shared" si="482"/>
        <v>46619</v>
      </c>
      <c r="CA165" s="179">
        <f t="shared" si="482"/>
        <v>47155</v>
      </c>
      <c r="CB165" s="179">
        <f t="shared" si="482"/>
        <v>40098</v>
      </c>
      <c r="CC165" s="179">
        <f t="shared" si="482"/>
        <v>34675</v>
      </c>
      <c r="CD165" s="179">
        <f t="shared" si="482"/>
        <v>41322</v>
      </c>
      <c r="CE165" s="179">
        <f t="shared" si="482"/>
        <v>37701</v>
      </c>
      <c r="CF165" s="179">
        <f t="shared" si="482"/>
        <v>36829</v>
      </c>
      <c r="CG165" s="179">
        <v>52021</v>
      </c>
      <c r="CH165" s="179">
        <f t="shared" ref="CH165:CK165" si="483">+SUM(CH150:CH164)</f>
        <v>44939</v>
      </c>
      <c r="CI165" s="179">
        <f t="shared" si="483"/>
        <v>48447</v>
      </c>
      <c r="CJ165" s="179">
        <f t="shared" si="483"/>
        <v>42818</v>
      </c>
      <c r="CK165" s="179">
        <f t="shared" si="483"/>
        <v>49380</v>
      </c>
      <c r="CL165" s="246">
        <v>53099</v>
      </c>
      <c r="CM165" s="246">
        <v>47812</v>
      </c>
      <c r="CN165" s="246">
        <v>37951</v>
      </c>
      <c r="CO165" s="246">
        <v>39390</v>
      </c>
      <c r="CP165" s="246">
        <v>40716</v>
      </c>
      <c r="CQ165" s="246">
        <v>30020</v>
      </c>
      <c r="CR165" s="179">
        <v>35182</v>
      </c>
      <c r="CS165" s="247">
        <v>20994</v>
      </c>
      <c r="CT165" s="247"/>
      <c r="CU165" s="247">
        <v>11242</v>
      </c>
      <c r="CV165" s="247">
        <v>17901</v>
      </c>
      <c r="CW165" s="247">
        <v>22806</v>
      </c>
      <c r="CX165" s="247">
        <v>23687</v>
      </c>
      <c r="CY165" s="247">
        <v>22081</v>
      </c>
      <c r="CZ165" s="247">
        <v>29276</v>
      </c>
      <c r="DA165" s="247">
        <v>24571</v>
      </c>
      <c r="DB165" s="247">
        <f>SUM(DB150:DB164)</f>
        <v>36154</v>
      </c>
      <c r="DC165" s="247">
        <f>SUM(DC150:DC164)</f>
        <v>24991</v>
      </c>
      <c r="DD165" s="247">
        <v>23230</v>
      </c>
      <c r="DE165" s="247">
        <v>25909</v>
      </c>
      <c r="DF165" s="247">
        <v>24750</v>
      </c>
      <c r="DG165" s="247">
        <v>19673</v>
      </c>
      <c r="DH165" s="247">
        <v>34848</v>
      </c>
      <c r="DI165" s="247">
        <v>34933</v>
      </c>
      <c r="DJ165" s="247">
        <v>32247</v>
      </c>
      <c r="DK165" s="247">
        <v>35508</v>
      </c>
      <c r="DL165" s="247">
        <v>26639</v>
      </c>
      <c r="DM165" s="247">
        <v>29914</v>
      </c>
      <c r="DN165" s="247">
        <v>36850</v>
      </c>
      <c r="DO165" s="247">
        <v>25226</v>
      </c>
      <c r="DP165" s="247">
        <v>33515</v>
      </c>
      <c r="DQ165" s="247">
        <v>40453</v>
      </c>
      <c r="DR165" s="247">
        <v>29451</v>
      </c>
      <c r="DS165" s="247">
        <v>37824</v>
      </c>
      <c r="DT165" s="247">
        <v>37071</v>
      </c>
      <c r="DU165" s="247">
        <v>35639</v>
      </c>
      <c r="DV165" s="247">
        <v>30409</v>
      </c>
      <c r="DW165" s="247">
        <v>31207</v>
      </c>
      <c r="DX165" s="247">
        <v>33045</v>
      </c>
      <c r="DY165" s="247">
        <v>37599</v>
      </c>
      <c r="DZ165" s="247">
        <v>43894</v>
      </c>
      <c r="EA165" s="247">
        <v>31002</v>
      </c>
      <c r="EB165" s="247">
        <v>25207</v>
      </c>
      <c r="EC165" s="247">
        <v>41108</v>
      </c>
      <c r="ED165" s="247">
        <v>22946</v>
      </c>
      <c r="EE165" s="247">
        <v>35806</v>
      </c>
      <c r="EF165" s="247">
        <v>35984</v>
      </c>
      <c r="EG165" s="247">
        <v>38636</v>
      </c>
      <c r="EH165" s="247">
        <v>39927</v>
      </c>
      <c r="EI165" s="247">
        <v>41387</v>
      </c>
      <c r="EJ165" s="247">
        <v>35167</v>
      </c>
      <c r="EK165" s="247">
        <v>36223</v>
      </c>
      <c r="EL165" s="247">
        <v>42919</v>
      </c>
      <c r="EM165" s="247">
        <v>29812</v>
      </c>
      <c r="EN165" s="247">
        <v>31440</v>
      </c>
      <c r="EO165" s="247">
        <v>37411</v>
      </c>
      <c r="EP165" s="247">
        <v>30268</v>
      </c>
      <c r="EQ165" s="247">
        <v>28802</v>
      </c>
      <c r="ER165" s="247">
        <v>41250</v>
      </c>
      <c r="ES165" s="247">
        <v>33184</v>
      </c>
      <c r="ET165" s="247">
        <v>35213</v>
      </c>
      <c r="EU165" s="247">
        <v>35421</v>
      </c>
      <c r="EV165" s="247">
        <v>31534</v>
      </c>
      <c r="EW165" s="247">
        <v>34259</v>
      </c>
      <c r="EX165" s="247">
        <v>41735</v>
      </c>
      <c r="EY165" s="247">
        <v>25990</v>
      </c>
      <c r="EZ165" s="247">
        <v>24248</v>
      </c>
      <c r="FA165" s="247">
        <v>35281</v>
      </c>
      <c r="FB165" s="247">
        <v>27947</v>
      </c>
      <c r="FC165" s="247">
        <v>33902</v>
      </c>
      <c r="FD165" s="247">
        <v>41371</v>
      </c>
      <c r="FE165" s="247">
        <v>36184</v>
      </c>
      <c r="FF165" s="247">
        <v>43650</v>
      </c>
      <c r="FG165" s="247">
        <v>43715</v>
      </c>
      <c r="FH165" s="247">
        <v>34295</v>
      </c>
      <c r="FI165" s="247">
        <v>40519</v>
      </c>
      <c r="FJ165" s="247">
        <v>33788</v>
      </c>
      <c r="FN165" s="165">
        <f t="shared" si="413"/>
        <v>136901</v>
      </c>
      <c r="FO165" s="166">
        <f t="shared" si="414"/>
        <v>126246</v>
      </c>
      <c r="FP165" s="166">
        <f t="shared" si="415"/>
        <v>144983</v>
      </c>
      <c r="FQ165" s="166">
        <f t="shared" si="416"/>
        <v>136744</v>
      </c>
      <c r="FR165" s="166">
        <f t="shared" si="417"/>
        <v>129375</v>
      </c>
      <c r="FS165" s="166">
        <f t="shared" si="418"/>
        <v>162830</v>
      </c>
      <c r="FT165" s="166">
        <f t="shared" si="419"/>
        <v>132642</v>
      </c>
      <c r="FU165" s="166">
        <f t="shared" si="420"/>
        <v>125619</v>
      </c>
      <c r="FV165" s="166">
        <f t="shared" si="421"/>
        <v>122776</v>
      </c>
      <c r="FW165" s="166">
        <f t="shared" si="422"/>
        <v>145948</v>
      </c>
      <c r="FX165" s="166">
        <f t="shared" si="423"/>
        <v>152741</v>
      </c>
      <c r="FY165" s="166">
        <f t="shared" si="424"/>
        <v>120614</v>
      </c>
      <c r="FZ165" s="166">
        <f t="shared" si="425"/>
        <v>123787</v>
      </c>
      <c r="GA165" s="166">
        <f t="shared" si="426"/>
        <v>143256</v>
      </c>
      <c r="GB165" s="166">
        <f t="shared" si="427"/>
        <v>138256</v>
      </c>
      <c r="GC165" s="166">
        <f t="shared" si="428"/>
        <v>126754</v>
      </c>
      <c r="GD165" s="166">
        <f t="shared" si="429"/>
        <v>124650</v>
      </c>
      <c r="GE165" s="166">
        <f t="shared" si="430"/>
        <v>160819</v>
      </c>
      <c r="GF165" s="166">
        <f t="shared" si="431"/>
        <v>167211</v>
      </c>
      <c r="GG165" s="166">
        <f t="shared" si="432"/>
        <v>149443</v>
      </c>
      <c r="GH165" s="166">
        <f t="shared" si="433"/>
        <v>144178</v>
      </c>
      <c r="GI165" s="166">
        <f t="shared" si="434"/>
        <v>143005</v>
      </c>
      <c r="GJ165" s="166">
        <f t="shared" si="435"/>
        <v>146288</v>
      </c>
      <c r="GK165" s="166">
        <f t="shared" si="436"/>
        <v>144628</v>
      </c>
      <c r="GL165" s="166">
        <f t="shared" si="437"/>
        <v>128170</v>
      </c>
      <c r="GM165" s="166">
        <f t="shared" si="438"/>
        <v>143102</v>
      </c>
      <c r="GN165" s="166">
        <f t="shared" si="439"/>
        <v>116095</v>
      </c>
      <c r="GO165" s="166">
        <f t="shared" si="440"/>
        <v>126551</v>
      </c>
      <c r="GP165" s="166">
        <f t="shared" si="441"/>
        <v>136204</v>
      </c>
      <c r="GQ165" s="166">
        <f t="shared" si="442"/>
        <v>150291</v>
      </c>
      <c r="GR165" s="166">
        <f t="shared" si="443"/>
        <v>118057</v>
      </c>
      <c r="GS165" s="166">
        <f t="shared" si="444"/>
        <v>86196</v>
      </c>
      <c r="GT165" s="166">
        <f t="shared" si="445"/>
        <v>29143</v>
      </c>
      <c r="GU165" s="166">
        <f t="shared" si="446"/>
        <v>68574</v>
      </c>
      <c r="GV165" s="166">
        <f t="shared" si="447"/>
        <v>90001</v>
      </c>
      <c r="GW165" s="166">
        <f t="shared" si="448"/>
        <v>74130</v>
      </c>
      <c r="GX165" s="166">
        <f t="shared" si="449"/>
        <v>79271</v>
      </c>
      <c r="GY165" s="166">
        <f t="shared" si="450"/>
        <v>102688</v>
      </c>
      <c r="GZ165" s="166">
        <f t="shared" si="451"/>
        <v>93403</v>
      </c>
      <c r="HA165" s="166">
        <f t="shared" si="452"/>
        <v>99194</v>
      </c>
      <c r="HB165" s="166">
        <f t="shared" si="453"/>
        <v>104346</v>
      </c>
      <c r="HC165" s="166">
        <f t="shared" si="454"/>
        <v>97255</v>
      </c>
      <c r="HD165" s="166">
        <f t="shared" si="455"/>
        <v>114538</v>
      </c>
      <c r="HE165" s="166">
        <f t="shared" si="456"/>
        <v>97317</v>
      </c>
      <c r="HF165" s="166">
        <f t="shared" si="457"/>
        <v>94736</v>
      </c>
      <c r="HG165" s="166">
        <f t="shared" si="458"/>
        <v>119950</v>
      </c>
      <c r="HH165" s="166">
        <f t="shared" si="459"/>
        <v>114309</v>
      </c>
      <c r="HI165" s="166">
        <f t="shared" si="460"/>
        <v>98663</v>
      </c>
      <c r="HJ165" s="167">
        <f t="shared" si="461"/>
        <v>100320</v>
      </c>
      <c r="HK165" s="167">
        <f t="shared" si="462"/>
        <v>103818</v>
      </c>
      <c r="HL165" s="167">
        <f t="shared" si="463"/>
        <v>107528</v>
      </c>
      <c r="HM165" s="167">
        <f t="shared" si="464"/>
        <v>85519</v>
      </c>
      <c r="HN165" s="167">
        <f t="shared" si="465"/>
        <v>103220</v>
      </c>
      <c r="HO165" s="167">
        <f t="shared" si="466"/>
        <v>123549</v>
      </c>
      <c r="HP165" s="167">
        <f t="shared" si="467"/>
        <v>108602</v>
      </c>
      <c r="HQ165" s="168"/>
      <c r="HU165" s="169">
        <f t="shared" si="468"/>
        <v>544874</v>
      </c>
      <c r="HV165" s="169">
        <f t="shared" si="469"/>
        <v>550466</v>
      </c>
      <c r="HW165" s="169">
        <f t="shared" si="470"/>
        <v>542079</v>
      </c>
      <c r="HX165" s="170">
        <f t="shared" si="471"/>
        <v>532053</v>
      </c>
      <c r="HY165" s="160">
        <f t="shared" si="472"/>
        <v>602123</v>
      </c>
      <c r="HZ165" s="160">
        <f t="shared" si="473"/>
        <v>578099</v>
      </c>
      <c r="IA165" s="160">
        <f t="shared" si="474"/>
        <v>513918</v>
      </c>
      <c r="IB165" s="171">
        <f t="shared" si="475"/>
        <v>490748</v>
      </c>
      <c r="IC165" s="171">
        <f t="shared" si="476"/>
        <v>261848</v>
      </c>
      <c r="ID165" s="171">
        <f t="shared" si="477"/>
        <v>374556</v>
      </c>
      <c r="IE165" s="171">
        <f t="shared" si="478"/>
        <v>413456</v>
      </c>
      <c r="IF165" s="171">
        <f t="shared" si="479"/>
        <v>427658</v>
      </c>
      <c r="IG165" s="171">
        <f t="shared" si="480"/>
        <v>397185</v>
      </c>
    </row>
    <row r="166" spans="1:241" outlineLevel="1" x14ac:dyDescent="0.3">
      <c r="A166" s="248"/>
      <c r="B166" s="249"/>
      <c r="C166" s="249"/>
      <c r="D166" s="249"/>
      <c r="E166" s="249"/>
      <c r="F166" s="249"/>
      <c r="G166" s="249"/>
      <c r="H166" s="249"/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249"/>
      <c r="V166" s="249"/>
      <c r="W166" s="249"/>
      <c r="X166" s="249"/>
      <c r="Y166" s="249"/>
      <c r="Z166" s="249"/>
      <c r="AA166" s="249"/>
      <c r="AB166" s="249"/>
      <c r="AC166" s="249"/>
      <c r="AD166" s="249"/>
      <c r="AE166" s="249"/>
      <c r="AF166" s="249"/>
      <c r="AG166" s="249"/>
      <c r="AH166" s="249"/>
      <c r="AI166" s="249"/>
      <c r="AJ166" s="249"/>
      <c r="AK166" s="249"/>
      <c r="AL166" s="249"/>
      <c r="AM166" s="249"/>
      <c r="AN166" s="249"/>
      <c r="AO166" s="249"/>
      <c r="AP166" s="249"/>
      <c r="AQ166" s="249"/>
      <c r="AR166" s="249"/>
      <c r="AS166" s="249"/>
      <c r="AT166" s="249"/>
      <c r="AU166" s="249"/>
      <c r="AV166" s="249"/>
      <c r="AW166" s="249"/>
      <c r="AX166" s="249"/>
      <c r="AY166" s="249"/>
      <c r="AZ166" s="249"/>
      <c r="BA166" s="249"/>
      <c r="BB166" s="249"/>
      <c r="BC166" s="249"/>
      <c r="BD166" s="249"/>
      <c r="BE166" s="249"/>
      <c r="BF166" s="249"/>
      <c r="BG166" s="249"/>
      <c r="BH166" s="249"/>
      <c r="BI166" s="249"/>
      <c r="BJ166" s="249"/>
      <c r="BK166" s="250"/>
      <c r="BL166" s="250"/>
      <c r="BM166" s="250"/>
      <c r="BN166" s="250"/>
      <c r="BO166" s="250"/>
      <c r="BP166" s="250"/>
      <c r="BQ166" s="250"/>
      <c r="BR166" s="250"/>
      <c r="BS166" s="250"/>
      <c r="BT166" s="250"/>
      <c r="BU166" s="250"/>
      <c r="BV166" s="250"/>
      <c r="BW166" s="250"/>
      <c r="BX166" s="250"/>
      <c r="BY166" s="250"/>
      <c r="BZ166" s="250"/>
      <c r="CA166" s="250"/>
      <c r="CB166" s="250"/>
      <c r="CC166" s="250"/>
      <c r="CD166" s="250"/>
      <c r="CE166" s="250"/>
      <c r="CF166" s="250"/>
      <c r="CG166" s="250"/>
      <c r="CH166" s="250"/>
      <c r="CI166" s="250"/>
      <c r="CJ166" s="250"/>
      <c r="CK166" s="250"/>
      <c r="CL166" s="250"/>
      <c r="CM166" s="250"/>
      <c r="CN166" s="250"/>
      <c r="CO166" s="250"/>
      <c r="CP166" s="250"/>
      <c r="CQ166" s="250"/>
      <c r="CR166" s="250"/>
      <c r="CS166" s="250"/>
      <c r="CT166" s="250"/>
      <c r="CU166" s="250"/>
      <c r="CV166" s="250"/>
      <c r="CW166" s="250"/>
      <c r="CX166" s="250"/>
      <c r="CY166" s="250"/>
      <c r="CZ166" s="250"/>
      <c r="DA166" s="250"/>
      <c r="DB166" s="250"/>
      <c r="DC166" s="250"/>
      <c r="DD166" s="250"/>
      <c r="DE166" s="250"/>
      <c r="DF166" s="250"/>
      <c r="DG166" s="250"/>
      <c r="DH166" s="250"/>
      <c r="DI166" s="250"/>
      <c r="DJ166" s="250"/>
      <c r="DK166" s="250"/>
      <c r="DL166" s="250"/>
      <c r="DM166" s="250"/>
      <c r="DN166" s="250"/>
      <c r="DO166" s="250"/>
      <c r="DP166" s="250"/>
      <c r="DQ166" s="250"/>
      <c r="DR166" s="250"/>
      <c r="DS166" s="250"/>
      <c r="DT166" s="250"/>
      <c r="DU166" s="250"/>
      <c r="DV166" s="250"/>
      <c r="DW166" s="250"/>
      <c r="DX166" s="250"/>
      <c r="DY166" s="250"/>
      <c r="DZ166" s="250"/>
      <c r="EA166" s="250"/>
      <c r="EB166" s="250"/>
      <c r="EC166" s="250"/>
      <c r="ED166" s="250"/>
      <c r="EE166" s="250"/>
      <c r="EF166" s="250"/>
      <c r="EG166" s="250"/>
      <c r="EH166" s="250"/>
      <c r="EI166" s="250"/>
      <c r="EJ166" s="250"/>
      <c r="EK166" s="250"/>
      <c r="EL166" s="250"/>
      <c r="EM166" s="250"/>
      <c r="EN166" s="250"/>
      <c r="EO166" s="250"/>
      <c r="EP166" s="250"/>
      <c r="EQ166" s="250"/>
      <c r="ER166" s="250"/>
      <c r="ES166" s="250"/>
      <c r="ET166" s="250"/>
      <c r="EU166" s="250"/>
      <c r="EV166" s="250"/>
      <c r="EW166" s="250"/>
      <c r="EX166" s="250"/>
      <c r="EY166" s="250"/>
      <c r="EZ166" s="250"/>
      <c r="FA166" s="250"/>
      <c r="FB166" s="250"/>
      <c r="FC166" s="250"/>
      <c r="FD166" s="250"/>
      <c r="FE166" s="250"/>
      <c r="FF166" s="250"/>
      <c r="FG166" s="250"/>
      <c r="FH166" s="250"/>
      <c r="FI166" s="250"/>
      <c r="FJ166" s="250"/>
      <c r="HU166" s="155">
        <f t="shared" si="468"/>
        <v>0</v>
      </c>
      <c r="HV166" s="155">
        <f t="shared" si="469"/>
        <v>0</v>
      </c>
      <c r="HW166" s="155">
        <f t="shared" si="470"/>
        <v>0</v>
      </c>
      <c r="HX166" s="156">
        <f t="shared" si="471"/>
        <v>0</v>
      </c>
      <c r="HY166" s="146">
        <f t="shared" si="472"/>
        <v>0</v>
      </c>
      <c r="HZ166" s="146">
        <f t="shared" si="473"/>
        <v>0</v>
      </c>
      <c r="IA166" s="146">
        <f t="shared" si="474"/>
        <v>0</v>
      </c>
      <c r="IB166" s="157">
        <f t="shared" si="475"/>
        <v>0</v>
      </c>
      <c r="IC166" s="157">
        <f t="shared" si="476"/>
        <v>0</v>
      </c>
      <c r="ID166" s="157">
        <f t="shared" si="477"/>
        <v>0</v>
      </c>
      <c r="IE166" s="157">
        <f t="shared" si="478"/>
        <v>0</v>
      </c>
      <c r="IF166" s="157">
        <f t="shared" si="479"/>
        <v>0</v>
      </c>
      <c r="IG166" s="157">
        <f t="shared" si="480"/>
        <v>0</v>
      </c>
    </row>
    <row r="167" spans="1:241" outlineLevel="1" x14ac:dyDescent="0.3">
      <c r="A167" s="248"/>
      <c r="B167" s="249"/>
      <c r="C167" s="249"/>
      <c r="D167" s="249"/>
      <c r="E167" s="249"/>
      <c r="F167" s="249"/>
      <c r="G167" s="249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  <c r="Y167" s="249"/>
      <c r="Z167" s="249"/>
      <c r="AA167" s="249"/>
      <c r="AB167" s="249"/>
      <c r="AC167" s="249"/>
      <c r="AD167" s="249"/>
      <c r="AE167" s="249"/>
      <c r="AF167" s="249"/>
      <c r="AG167" s="249"/>
      <c r="AH167" s="249"/>
      <c r="AI167" s="249"/>
      <c r="AJ167" s="249"/>
      <c r="AK167" s="249"/>
      <c r="AL167" s="249"/>
      <c r="AM167" s="249"/>
      <c r="AN167" s="249"/>
      <c r="AO167" s="249"/>
      <c r="AP167" s="249"/>
      <c r="AQ167" s="249"/>
      <c r="AR167" s="249"/>
      <c r="AS167" s="249"/>
      <c r="AT167" s="249"/>
      <c r="AU167" s="249"/>
      <c r="AV167" s="249"/>
      <c r="AW167" s="249"/>
      <c r="AX167" s="249"/>
      <c r="AY167" s="249"/>
      <c r="AZ167" s="249"/>
      <c r="BA167" s="249"/>
      <c r="BB167" s="249"/>
      <c r="BC167" s="249"/>
      <c r="BD167" s="249"/>
      <c r="BE167" s="249"/>
      <c r="BF167" s="249"/>
      <c r="BG167" s="249"/>
      <c r="BH167" s="249"/>
      <c r="BI167" s="249"/>
      <c r="BJ167" s="249"/>
      <c r="BK167" s="250"/>
      <c r="BL167" s="250"/>
      <c r="BM167" s="250"/>
      <c r="BN167" s="250"/>
      <c r="BO167" s="250"/>
      <c r="BP167" s="250"/>
      <c r="BQ167" s="250"/>
      <c r="BR167" s="250"/>
      <c r="BS167" s="250"/>
      <c r="BT167" s="250"/>
      <c r="BU167" s="250"/>
      <c r="BV167" s="250"/>
      <c r="BW167" s="250"/>
      <c r="BX167" s="250"/>
      <c r="BY167" s="250"/>
      <c r="BZ167" s="250"/>
      <c r="CA167" s="250"/>
      <c r="CB167" s="250"/>
      <c r="CC167" s="250"/>
      <c r="CD167" s="250"/>
      <c r="CE167" s="250"/>
      <c r="CF167" s="250"/>
      <c r="CG167" s="250"/>
      <c r="CH167" s="250"/>
      <c r="CI167" s="250"/>
      <c r="CJ167" s="250"/>
      <c r="CK167" s="250"/>
      <c r="CL167" s="250"/>
      <c r="CM167" s="250"/>
      <c r="CN167" s="250"/>
      <c r="CO167" s="250"/>
      <c r="CP167" s="250"/>
      <c r="CQ167" s="250"/>
      <c r="CR167" s="250"/>
      <c r="CS167" s="250"/>
      <c r="CT167" s="250"/>
      <c r="CU167" s="250"/>
      <c r="CV167" s="250"/>
      <c r="CW167" s="250"/>
      <c r="CX167" s="250"/>
      <c r="CY167" s="250"/>
      <c r="CZ167" s="250"/>
      <c r="DA167" s="250"/>
      <c r="DB167" s="250"/>
      <c r="DC167" s="250"/>
      <c r="DD167" s="250"/>
      <c r="DE167" s="250"/>
      <c r="DF167" s="250"/>
      <c r="DG167" s="250"/>
      <c r="DH167" s="250"/>
      <c r="DI167" s="250"/>
      <c r="DJ167" s="250"/>
      <c r="DK167" s="250"/>
      <c r="DL167" s="250"/>
      <c r="DM167" s="250"/>
      <c r="DN167" s="250"/>
      <c r="DO167" s="250"/>
      <c r="DP167" s="250"/>
      <c r="DQ167" s="250"/>
      <c r="DR167" s="250"/>
      <c r="DS167" s="250"/>
      <c r="DT167" s="250"/>
      <c r="DU167" s="250"/>
      <c r="DV167" s="250"/>
      <c r="DW167" s="250"/>
      <c r="DX167" s="250"/>
      <c r="DY167" s="250"/>
      <c r="DZ167" s="250"/>
      <c r="EA167" s="250"/>
      <c r="EB167" s="250"/>
      <c r="EC167" s="250"/>
      <c r="ED167" s="250"/>
      <c r="EE167" s="250"/>
      <c r="EF167" s="250"/>
      <c r="EG167" s="250"/>
      <c r="EH167" s="250"/>
      <c r="EI167" s="250"/>
      <c r="EJ167" s="250"/>
      <c r="EK167" s="250"/>
      <c r="EL167" s="250"/>
      <c r="EM167" s="250"/>
      <c r="EN167" s="250"/>
      <c r="EO167" s="250"/>
      <c r="EP167" s="250"/>
      <c r="EQ167" s="250"/>
      <c r="ER167" s="250"/>
      <c r="ES167" s="250"/>
      <c r="ET167" s="250"/>
      <c r="EU167" s="250"/>
      <c r="EV167" s="250"/>
      <c r="EW167" s="250"/>
      <c r="EX167" s="250"/>
      <c r="EY167" s="250"/>
      <c r="EZ167" s="250"/>
      <c r="FA167" s="250"/>
      <c r="FB167" s="250"/>
      <c r="FC167" s="250"/>
      <c r="FD167" s="250"/>
      <c r="FE167" s="250"/>
      <c r="FF167" s="250"/>
      <c r="FG167" s="250"/>
      <c r="FH167" s="250"/>
      <c r="FI167" s="250"/>
      <c r="FJ167" s="250"/>
      <c r="HU167" s="169">
        <f t="shared" si="468"/>
        <v>0</v>
      </c>
      <c r="HV167" s="169">
        <f t="shared" si="469"/>
        <v>0</v>
      </c>
      <c r="HW167" s="169">
        <f t="shared" si="470"/>
        <v>0</v>
      </c>
      <c r="HX167" s="170">
        <f t="shared" si="471"/>
        <v>0</v>
      </c>
      <c r="HY167" s="160">
        <f t="shared" si="472"/>
        <v>0</v>
      </c>
      <c r="HZ167" s="160">
        <f t="shared" si="473"/>
        <v>0</v>
      </c>
      <c r="IA167" s="160">
        <f t="shared" si="474"/>
        <v>0</v>
      </c>
      <c r="IB167" s="171">
        <f t="shared" si="475"/>
        <v>0</v>
      </c>
      <c r="IC167" s="171">
        <f t="shared" si="476"/>
        <v>0</v>
      </c>
      <c r="ID167" s="171">
        <f t="shared" si="477"/>
        <v>0</v>
      </c>
      <c r="IE167" s="171">
        <f t="shared" si="478"/>
        <v>0</v>
      </c>
      <c r="IF167" s="171">
        <f t="shared" si="479"/>
        <v>0</v>
      </c>
      <c r="IG167" s="171">
        <f t="shared" si="480"/>
        <v>0</v>
      </c>
    </row>
    <row r="168" spans="1:241" outlineLevel="1" x14ac:dyDescent="0.3">
      <c r="A168" s="248"/>
      <c r="B168" s="249"/>
      <c r="C168" s="249"/>
      <c r="D168" s="249"/>
      <c r="E168" s="249"/>
      <c r="F168" s="249"/>
      <c r="G168" s="249"/>
      <c r="H168" s="249"/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249"/>
      <c r="V168" s="249"/>
      <c r="W168" s="249"/>
      <c r="X168" s="249"/>
      <c r="Y168" s="249"/>
      <c r="Z168" s="249"/>
      <c r="AA168" s="249"/>
      <c r="AB168" s="249"/>
      <c r="AC168" s="249"/>
      <c r="AD168" s="249"/>
      <c r="AE168" s="249"/>
      <c r="AF168" s="249"/>
      <c r="AG168" s="249"/>
      <c r="AH168" s="249"/>
      <c r="AI168" s="249"/>
      <c r="AJ168" s="249"/>
      <c r="AK168" s="249"/>
      <c r="AL168" s="249"/>
      <c r="AM168" s="249"/>
      <c r="AN168" s="249"/>
      <c r="AO168" s="249"/>
      <c r="AP168" s="249"/>
      <c r="AQ168" s="249"/>
      <c r="AR168" s="249"/>
      <c r="AS168" s="249"/>
      <c r="AT168" s="249"/>
      <c r="AU168" s="249"/>
      <c r="AV168" s="249"/>
      <c r="AW168" s="249"/>
      <c r="AX168" s="249"/>
      <c r="AY168" s="249"/>
      <c r="AZ168" s="249"/>
      <c r="BA168" s="249"/>
      <c r="BB168" s="249"/>
      <c r="BC168" s="249"/>
      <c r="BD168" s="249"/>
      <c r="BE168" s="249"/>
      <c r="BF168" s="249"/>
      <c r="BG168" s="249"/>
      <c r="BH168" s="249"/>
      <c r="BI168" s="249"/>
      <c r="BJ168" s="249"/>
      <c r="BK168" s="250"/>
      <c r="BL168" s="250"/>
      <c r="BM168" s="250"/>
      <c r="BN168" s="250"/>
      <c r="BO168" s="250"/>
      <c r="BP168" s="250"/>
      <c r="BQ168" s="250"/>
      <c r="BR168" s="250"/>
      <c r="BS168" s="250"/>
      <c r="BT168" s="250"/>
      <c r="BU168" s="250"/>
      <c r="BV168" s="250"/>
      <c r="BW168" s="250"/>
      <c r="BX168" s="250"/>
      <c r="BY168" s="250"/>
      <c r="BZ168" s="250"/>
      <c r="CA168" s="250"/>
      <c r="CB168" s="250"/>
      <c r="CC168" s="250"/>
      <c r="CD168" s="250"/>
      <c r="CE168" s="250"/>
      <c r="CF168" s="250"/>
      <c r="CG168" s="250"/>
      <c r="CH168" s="250"/>
      <c r="CI168" s="250"/>
      <c r="CJ168" s="250"/>
      <c r="CK168" s="250"/>
      <c r="CL168" s="250"/>
      <c r="CM168" s="250"/>
      <c r="CN168" s="250"/>
      <c r="CO168" s="250"/>
      <c r="CP168" s="250"/>
      <c r="CQ168" s="250"/>
      <c r="CR168" s="250"/>
      <c r="CS168" s="250"/>
      <c r="CT168" s="250"/>
      <c r="CU168" s="250"/>
      <c r="CV168" s="250"/>
      <c r="CW168" s="250"/>
      <c r="CX168" s="250"/>
      <c r="CY168" s="250"/>
      <c r="CZ168" s="250"/>
      <c r="DA168" s="250"/>
      <c r="DB168" s="250"/>
      <c r="DC168" s="250"/>
      <c r="DD168" s="250"/>
      <c r="DE168" s="250"/>
      <c r="DF168" s="250"/>
      <c r="DG168" s="250"/>
      <c r="DH168" s="250"/>
      <c r="DI168" s="250"/>
      <c r="DJ168" s="250"/>
      <c r="DK168" s="250"/>
      <c r="DL168" s="250"/>
      <c r="DM168" s="250"/>
      <c r="DN168" s="250"/>
      <c r="DO168" s="250"/>
      <c r="DP168" s="250"/>
      <c r="DQ168" s="250"/>
      <c r="DR168" s="250"/>
      <c r="DS168" s="250"/>
      <c r="DT168" s="250"/>
      <c r="DU168" s="250"/>
      <c r="DV168" s="250"/>
      <c r="DW168" s="250"/>
      <c r="DX168" s="250"/>
      <c r="DY168" s="250"/>
      <c r="DZ168" s="250"/>
      <c r="EA168" s="250"/>
      <c r="EB168" s="250"/>
      <c r="EC168" s="250"/>
      <c r="ED168" s="250"/>
      <c r="EE168" s="250"/>
      <c r="EF168" s="250"/>
      <c r="EG168" s="250"/>
      <c r="EH168" s="250"/>
      <c r="EI168" s="250"/>
      <c r="EJ168" s="250"/>
      <c r="EK168" s="250"/>
      <c r="EL168" s="250"/>
      <c r="EM168" s="250"/>
      <c r="EN168" s="250"/>
      <c r="EO168" s="250"/>
      <c r="EP168" s="250"/>
      <c r="EQ168" s="250"/>
      <c r="ER168" s="250"/>
      <c r="ES168" s="250"/>
      <c r="ET168" s="250"/>
      <c r="EU168" s="250"/>
      <c r="EV168" s="250"/>
      <c r="EW168" s="250"/>
      <c r="EX168" s="250"/>
      <c r="EY168" s="250"/>
      <c r="EZ168" s="250"/>
      <c r="FA168" s="250"/>
      <c r="FB168" s="250"/>
      <c r="FC168" s="250"/>
      <c r="FD168" s="250"/>
      <c r="FE168" s="250"/>
      <c r="FF168" s="250"/>
      <c r="FG168" s="250"/>
      <c r="FH168" s="250"/>
      <c r="FI168" s="250"/>
      <c r="FJ168" s="250"/>
      <c r="HU168" s="155">
        <f t="shared" si="468"/>
        <v>0</v>
      </c>
      <c r="HV168" s="155">
        <f t="shared" si="469"/>
        <v>0</v>
      </c>
      <c r="HW168" s="155">
        <f t="shared" si="470"/>
        <v>0</v>
      </c>
      <c r="HX168" s="156">
        <f t="shared" si="471"/>
        <v>0</v>
      </c>
      <c r="HY168" s="146">
        <f t="shared" si="472"/>
        <v>0</v>
      </c>
      <c r="HZ168" s="146">
        <f t="shared" si="473"/>
        <v>0</v>
      </c>
      <c r="IA168" s="146">
        <f t="shared" si="474"/>
        <v>0</v>
      </c>
      <c r="IB168" s="157">
        <f t="shared" si="475"/>
        <v>0</v>
      </c>
      <c r="IC168" s="157">
        <f t="shared" si="476"/>
        <v>0</v>
      </c>
      <c r="ID168" s="157">
        <f t="shared" si="477"/>
        <v>0</v>
      </c>
      <c r="IE168" s="157">
        <f t="shared" si="478"/>
        <v>0</v>
      </c>
      <c r="IF168" s="157">
        <f t="shared" si="479"/>
        <v>0</v>
      </c>
      <c r="IG168" s="157">
        <f t="shared" si="480"/>
        <v>0</v>
      </c>
    </row>
    <row r="169" spans="1:241" outlineLevel="1" x14ac:dyDescent="0.3">
      <c r="A169" s="138" t="s">
        <v>175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  <c r="AQ169" s="140"/>
      <c r="AR169" s="140"/>
      <c r="AS169" s="140"/>
      <c r="AT169" s="140"/>
      <c r="AU169" s="140"/>
      <c r="AV169" s="140"/>
      <c r="AW169" s="140"/>
      <c r="AX169" s="140"/>
      <c r="AY169" s="140"/>
      <c r="AZ169" s="140"/>
      <c r="BA169" s="140"/>
      <c r="BB169" s="140"/>
      <c r="BC169" s="140"/>
      <c r="BD169" s="140"/>
      <c r="BE169" s="140"/>
      <c r="BF169" s="140"/>
      <c r="BG169" s="140"/>
      <c r="BH169" s="140"/>
      <c r="BI169" s="140"/>
      <c r="BJ169" s="140"/>
      <c r="BK169" s="251"/>
      <c r="BL169" s="251"/>
      <c r="BM169" s="251"/>
      <c r="BN169" s="251"/>
      <c r="BO169" s="251"/>
      <c r="BP169" s="251"/>
      <c r="BQ169" s="251"/>
      <c r="BR169" s="251"/>
      <c r="BS169" s="251"/>
      <c r="BT169" s="251"/>
      <c r="BU169" s="251"/>
      <c r="BV169" s="251"/>
      <c r="BW169" s="251"/>
      <c r="BX169" s="251"/>
      <c r="BY169" s="251"/>
      <c r="BZ169" s="251"/>
      <c r="CA169" s="251"/>
      <c r="CB169" s="251"/>
      <c r="CC169" s="251"/>
      <c r="CD169" s="251"/>
      <c r="CE169" s="251"/>
      <c r="CF169" s="251"/>
      <c r="CG169" s="251"/>
      <c r="CH169" s="251"/>
      <c r="CI169" s="251"/>
      <c r="CJ169" s="251"/>
      <c r="CK169" s="251"/>
      <c r="CL169" s="251"/>
      <c r="CM169" s="251"/>
      <c r="CN169" s="251"/>
      <c r="CO169" s="251"/>
      <c r="CP169" s="251"/>
      <c r="CQ169" s="251"/>
      <c r="CR169" s="251"/>
      <c r="CS169" s="252"/>
      <c r="CT169" s="252"/>
      <c r="CU169" s="252"/>
      <c r="CV169" s="252"/>
      <c r="CW169" s="252"/>
      <c r="CX169" s="252"/>
      <c r="CY169" s="252"/>
      <c r="CZ169" s="252"/>
      <c r="DA169" s="252"/>
      <c r="DB169" s="252"/>
      <c r="DC169" s="252"/>
      <c r="DD169" s="252"/>
      <c r="DE169" s="252"/>
      <c r="DF169" s="252"/>
      <c r="DG169" s="252"/>
      <c r="DH169" s="252"/>
      <c r="DI169" s="252"/>
      <c r="DJ169" s="252"/>
      <c r="DK169" s="252"/>
      <c r="DL169" s="252"/>
      <c r="DM169" s="252"/>
      <c r="DN169" s="252"/>
      <c r="DO169" s="252"/>
      <c r="DP169" s="252"/>
      <c r="DQ169" s="252"/>
      <c r="DR169" s="252"/>
      <c r="DS169" s="252"/>
      <c r="DT169" s="252"/>
      <c r="DU169" s="252"/>
      <c r="DV169" s="252"/>
      <c r="DW169" s="252"/>
      <c r="DX169" s="252"/>
      <c r="DY169" s="252"/>
      <c r="DZ169" s="252"/>
      <c r="EA169" s="252"/>
      <c r="EB169" s="252"/>
      <c r="EC169" s="252"/>
      <c r="ED169" s="252"/>
      <c r="EE169" s="252"/>
      <c r="EF169" s="252"/>
      <c r="EG169" s="252"/>
      <c r="EH169" s="252"/>
      <c r="EI169" s="252"/>
      <c r="EJ169" s="252"/>
      <c r="EK169" s="252"/>
      <c r="EL169" s="252"/>
      <c r="EM169" s="252"/>
      <c r="EN169" s="252"/>
      <c r="EO169" s="252"/>
      <c r="EP169" s="252"/>
      <c r="EQ169" s="252"/>
      <c r="ER169" s="252"/>
      <c r="ES169" s="252"/>
      <c r="ET169" s="252"/>
      <c r="EU169" s="252"/>
      <c r="EV169" s="252"/>
      <c r="EW169" s="252"/>
      <c r="EX169" s="252"/>
      <c r="EY169" s="252"/>
      <c r="EZ169" s="252"/>
      <c r="FA169" s="252"/>
      <c r="FB169" s="252"/>
      <c r="FC169" s="252"/>
      <c r="FD169" s="252"/>
      <c r="FE169" s="252"/>
      <c r="FF169" s="252"/>
      <c r="FG169" s="252"/>
      <c r="FH169" s="252"/>
      <c r="FI169" s="252"/>
      <c r="FJ169" s="252"/>
      <c r="FN169" s="138"/>
      <c r="FO169" s="140"/>
      <c r="FP169" s="140"/>
      <c r="FQ169" s="140"/>
      <c r="FR169" s="140"/>
      <c r="FS169" s="140"/>
      <c r="FT169" s="140"/>
      <c r="FU169" s="140"/>
      <c r="FV169" s="140"/>
      <c r="FW169" s="140"/>
      <c r="FX169" s="140"/>
      <c r="FY169" s="140"/>
      <c r="FZ169" s="140"/>
      <c r="GA169" s="140"/>
      <c r="GB169" s="140"/>
      <c r="GC169" s="140"/>
      <c r="GD169" s="140"/>
      <c r="GE169" s="140"/>
      <c r="GF169" s="140"/>
      <c r="GG169" s="140"/>
      <c r="GH169" s="140"/>
      <c r="GI169" s="140"/>
      <c r="GJ169" s="140"/>
      <c r="GK169" s="140"/>
      <c r="GL169" s="140"/>
      <c r="GM169" s="140"/>
      <c r="GN169" s="140"/>
      <c r="GO169" s="140"/>
      <c r="GP169" s="140"/>
      <c r="GQ169" s="140"/>
      <c r="GR169" s="140"/>
      <c r="GS169" s="140"/>
      <c r="GT169" s="140"/>
      <c r="GU169" s="140"/>
      <c r="GV169" s="140"/>
      <c r="GW169" s="140"/>
      <c r="GX169" s="140"/>
      <c r="GY169" s="140"/>
      <c r="GZ169" s="140"/>
      <c r="HA169" s="140"/>
      <c r="HB169" s="140"/>
      <c r="HC169" s="140"/>
      <c r="HD169" s="140"/>
      <c r="HE169" s="140"/>
      <c r="HF169" s="140"/>
      <c r="HG169" s="140"/>
      <c r="HH169" s="140"/>
      <c r="HI169" s="140"/>
      <c r="HJ169" s="141"/>
      <c r="HK169" s="141"/>
      <c r="HL169" s="141"/>
      <c r="HM169" s="141"/>
      <c r="HN169" s="141"/>
      <c r="HO169" s="141"/>
      <c r="HP169" s="141"/>
      <c r="HQ169" s="141"/>
      <c r="HU169" s="169">
        <f t="shared" si="468"/>
        <v>0</v>
      </c>
      <c r="HV169" s="169">
        <f t="shared" si="469"/>
        <v>0</v>
      </c>
      <c r="HW169" s="169">
        <f t="shared" si="470"/>
        <v>0</v>
      </c>
      <c r="HX169" s="170">
        <f t="shared" si="471"/>
        <v>0</v>
      </c>
      <c r="HY169" s="160">
        <f t="shared" si="472"/>
        <v>0</v>
      </c>
      <c r="HZ169" s="160">
        <f t="shared" si="473"/>
        <v>0</v>
      </c>
      <c r="IA169" s="160">
        <f t="shared" si="474"/>
        <v>0</v>
      </c>
      <c r="IB169" s="171">
        <f t="shared" si="475"/>
        <v>0</v>
      </c>
      <c r="IC169" s="171">
        <f t="shared" si="476"/>
        <v>0</v>
      </c>
      <c r="ID169" s="171">
        <f t="shared" si="477"/>
        <v>0</v>
      </c>
      <c r="IE169" s="171">
        <f t="shared" si="478"/>
        <v>0</v>
      </c>
      <c r="IF169" s="171">
        <f t="shared" si="479"/>
        <v>0</v>
      </c>
      <c r="IG169" s="171">
        <f t="shared" si="480"/>
        <v>0</v>
      </c>
    </row>
    <row r="170" spans="1:241" outlineLevel="2" x14ac:dyDescent="0.3">
      <c r="A170" s="63" t="s">
        <v>163</v>
      </c>
      <c r="B170" s="172"/>
      <c r="C170" s="172"/>
      <c r="D170" s="172"/>
      <c r="E170" s="145"/>
      <c r="F170" s="146"/>
      <c r="G170" s="145"/>
      <c r="H170" s="145"/>
      <c r="I170" s="145"/>
      <c r="J170" s="145"/>
      <c r="K170" s="145"/>
      <c r="L170" s="145"/>
      <c r="M170" s="145"/>
      <c r="N170" s="146"/>
      <c r="O170" s="172"/>
      <c r="P170" s="172"/>
      <c r="Q170" s="145"/>
      <c r="R170" s="146"/>
      <c r="S170" s="172"/>
      <c r="T170" s="131">
        <v>0</v>
      </c>
      <c r="U170" s="131">
        <v>0</v>
      </c>
      <c r="V170" s="131">
        <v>6</v>
      </c>
      <c r="W170" s="131">
        <v>1</v>
      </c>
      <c r="X170" s="131">
        <v>0</v>
      </c>
      <c r="Y170" s="131">
        <v>0</v>
      </c>
      <c r="Z170" s="131">
        <v>0</v>
      </c>
      <c r="AA170" s="131">
        <v>2</v>
      </c>
      <c r="AB170" s="131">
        <v>2</v>
      </c>
      <c r="AC170" s="131">
        <v>0</v>
      </c>
      <c r="AD170" s="131">
        <v>0</v>
      </c>
      <c r="AE170" s="131">
        <v>0</v>
      </c>
      <c r="AF170" s="131">
        <v>0</v>
      </c>
      <c r="AG170" s="131">
        <v>1</v>
      </c>
      <c r="AH170" s="131">
        <v>1</v>
      </c>
      <c r="AI170" s="131"/>
      <c r="AJ170" s="131">
        <v>0</v>
      </c>
      <c r="AK170" s="131">
        <v>0</v>
      </c>
      <c r="AL170" s="131">
        <v>26</v>
      </c>
      <c r="AM170" s="131">
        <v>1</v>
      </c>
      <c r="AN170" s="131"/>
      <c r="AO170" s="131">
        <v>0</v>
      </c>
      <c r="AP170" s="146"/>
      <c r="AQ170" s="146">
        <v>69</v>
      </c>
      <c r="AR170" s="146">
        <v>0</v>
      </c>
      <c r="AS170" s="131">
        <v>0</v>
      </c>
      <c r="AT170" s="146">
        <v>0</v>
      </c>
      <c r="AU170" s="146">
        <v>0</v>
      </c>
      <c r="AV170" s="146">
        <v>0</v>
      </c>
      <c r="AW170" s="146">
        <v>0</v>
      </c>
      <c r="AX170" s="146">
        <v>0</v>
      </c>
      <c r="AY170" s="146">
        <v>0</v>
      </c>
      <c r="AZ170" s="146">
        <v>0</v>
      </c>
      <c r="BA170" s="146">
        <v>0</v>
      </c>
      <c r="BB170" s="146">
        <v>0</v>
      </c>
      <c r="BC170" s="146">
        <v>0</v>
      </c>
      <c r="BD170" s="146">
        <v>0</v>
      </c>
      <c r="BE170" s="146">
        <v>0</v>
      </c>
      <c r="BF170" s="146">
        <v>0</v>
      </c>
      <c r="BG170" s="146">
        <v>0</v>
      </c>
      <c r="BH170" s="146">
        <v>0</v>
      </c>
      <c r="BI170" s="146">
        <v>0</v>
      </c>
      <c r="BJ170" s="146">
        <v>0</v>
      </c>
      <c r="BK170" s="147"/>
      <c r="BL170" s="147"/>
      <c r="BM170" s="147">
        <v>0</v>
      </c>
      <c r="BN170" s="147">
        <v>22</v>
      </c>
      <c r="BO170" s="147"/>
      <c r="BP170" s="147">
        <v>0</v>
      </c>
      <c r="BQ170" s="147">
        <v>0</v>
      </c>
      <c r="BR170" s="147">
        <v>0</v>
      </c>
      <c r="BS170" s="147">
        <v>0</v>
      </c>
      <c r="BT170" s="147">
        <v>0</v>
      </c>
      <c r="BU170" s="147">
        <v>0</v>
      </c>
      <c r="BV170" s="147"/>
      <c r="BW170" s="147"/>
      <c r="BX170" s="147"/>
      <c r="BY170" s="147"/>
      <c r="BZ170" s="147"/>
      <c r="CA170" s="147">
        <v>0</v>
      </c>
      <c r="CB170" s="147">
        <v>0</v>
      </c>
      <c r="CC170" s="147">
        <v>0</v>
      </c>
      <c r="CD170" s="147">
        <v>0</v>
      </c>
      <c r="CE170" s="147">
        <v>0</v>
      </c>
      <c r="CF170" s="147">
        <v>0</v>
      </c>
      <c r="CG170" s="147">
        <v>0</v>
      </c>
      <c r="CH170" s="147"/>
      <c r="CI170" s="147"/>
      <c r="CJ170" s="147"/>
      <c r="CK170" s="147"/>
      <c r="CL170" s="147"/>
      <c r="CM170" s="147"/>
      <c r="CN170" s="147"/>
      <c r="CO170" s="147"/>
      <c r="CP170" s="147"/>
      <c r="CQ170" s="147"/>
      <c r="CR170" s="147"/>
      <c r="CS170" s="148"/>
      <c r="CT170" s="148"/>
      <c r="CU170" s="148"/>
      <c r="CV170" s="148"/>
      <c r="CW170" s="148"/>
      <c r="CX170" s="148"/>
      <c r="CY170" s="148"/>
      <c r="CZ170" s="148"/>
      <c r="DA170" s="148"/>
      <c r="DB170" s="148"/>
      <c r="DC170" s="148"/>
      <c r="DD170" s="148"/>
      <c r="DE170" s="148"/>
      <c r="DF170" s="148"/>
      <c r="DG170" s="148"/>
      <c r="DH170" s="148"/>
      <c r="DI170" s="148"/>
      <c r="DJ170" s="148"/>
      <c r="DK170" s="148"/>
      <c r="DL170" s="148"/>
      <c r="DM170" s="148"/>
      <c r="DN170" s="148"/>
      <c r="DO170" s="148"/>
      <c r="DP170" s="148"/>
      <c r="DQ170" s="148"/>
      <c r="DR170" s="148"/>
      <c r="DS170" s="148"/>
      <c r="DT170" s="148"/>
      <c r="DU170" s="148"/>
      <c r="DV170" s="148"/>
      <c r="DW170" s="148"/>
      <c r="DX170" s="148"/>
      <c r="DY170" s="148"/>
      <c r="DZ170" s="148"/>
      <c r="EA170" s="148"/>
      <c r="EB170" s="148"/>
      <c r="EC170" s="148"/>
      <c r="ED170" s="148"/>
      <c r="EE170" s="148"/>
      <c r="EF170" s="148"/>
      <c r="EG170" s="148"/>
      <c r="EH170" s="148"/>
      <c r="EI170" s="148"/>
      <c r="EJ170" s="148"/>
      <c r="EK170" s="148"/>
      <c r="EL170" s="148"/>
      <c r="EM170" s="148"/>
      <c r="EN170" s="148"/>
      <c r="EO170" s="148"/>
      <c r="EP170" s="148"/>
      <c r="EQ170" s="148"/>
      <c r="ER170" s="148"/>
      <c r="ES170" s="148"/>
      <c r="ET170" s="148"/>
      <c r="EU170" s="148"/>
      <c r="EV170" s="148"/>
      <c r="EW170" s="148"/>
      <c r="EX170" s="148"/>
      <c r="EY170" s="148"/>
      <c r="EZ170" s="148"/>
      <c r="FA170" s="148"/>
      <c r="FB170" s="148"/>
      <c r="FC170" s="148"/>
      <c r="FD170" s="148"/>
      <c r="FE170" s="148"/>
      <c r="FF170" s="148"/>
      <c r="FG170" s="148"/>
      <c r="FH170" s="148"/>
      <c r="FI170" s="148"/>
      <c r="FJ170" s="148"/>
      <c r="FN170" s="151">
        <f t="shared" ref="FN170:FN190" si="484">+SUM(B170:D170)</f>
        <v>0</v>
      </c>
      <c r="FO170" s="152">
        <f t="shared" ref="FO170:FO190" si="485">+SUM(E170:G170)</f>
        <v>0</v>
      </c>
      <c r="FP170" s="152">
        <f t="shared" ref="FP170:FP190" si="486">+SUM(H170:J170)</f>
        <v>0</v>
      </c>
      <c r="FQ170" s="152">
        <f t="shared" ref="FQ170:FQ190" si="487">+SUM(K170:M170)</f>
        <v>0</v>
      </c>
      <c r="FR170" s="152">
        <f t="shared" ref="FR170:FR190" si="488">+SUM(N170:P170)</f>
        <v>0</v>
      </c>
      <c r="FS170" s="152">
        <f t="shared" ref="FS170:FS190" si="489">+SUM(Q170:S170)</f>
        <v>0</v>
      </c>
      <c r="FT170" s="152">
        <f t="shared" ref="FT170:FT190" si="490">+SUM(T170:V170)</f>
        <v>6</v>
      </c>
      <c r="FU170" s="152">
        <f t="shared" ref="FU170:FU190" si="491">+SUM(W170:Y170)</f>
        <v>1</v>
      </c>
      <c r="FV170" s="152">
        <f t="shared" ref="FV170:FV190" si="492">+SUM(Z170:AB170)</f>
        <v>4</v>
      </c>
      <c r="FW170" s="152">
        <f t="shared" ref="FW170:FW190" si="493">+SUM(AC170:AE170)</f>
        <v>0</v>
      </c>
      <c r="FX170" s="152">
        <f t="shared" ref="FX170:FX190" si="494">+SUM(AF170:AH170)</f>
        <v>2</v>
      </c>
      <c r="FY170" s="152">
        <f t="shared" ref="FY170:FY190" si="495">+SUM(AI170:AK170)</f>
        <v>0</v>
      </c>
      <c r="FZ170" s="152">
        <f t="shared" ref="FZ170:FZ190" si="496">+SUM(AL170:AN170)</f>
        <v>27</v>
      </c>
      <c r="GA170" s="152">
        <f t="shared" ref="GA170:GA190" si="497">+SUM(AO170:AQ170)</f>
        <v>69</v>
      </c>
      <c r="GB170" s="152">
        <f t="shared" ref="GB170:GB190" si="498">+SUM(AR170:AT170)</f>
        <v>0</v>
      </c>
      <c r="GC170" s="152">
        <f t="shared" ref="GC170:GC190" si="499">+SUM(AU170:AW170)</f>
        <v>0</v>
      </c>
      <c r="GD170" s="152">
        <f t="shared" ref="GD170:GD190" si="500">+SUM(AX170:AZ170)</f>
        <v>0</v>
      </c>
      <c r="GE170" s="152">
        <f t="shared" ref="GE170:GE190" si="501">+SUM(BA170:BC170)</f>
        <v>0</v>
      </c>
      <c r="GF170" s="152">
        <f t="shared" ref="GF170:GF190" si="502">+SUM(BD170:BF170)</f>
        <v>0</v>
      </c>
      <c r="GG170" s="152">
        <f t="shared" ref="GG170:GG190" si="503">+SUM(BG170:BI170)</f>
        <v>0</v>
      </c>
      <c r="GH170" s="152">
        <f t="shared" ref="GH170:GH190" si="504">+SUM(BJ170:BL170)</f>
        <v>0</v>
      </c>
      <c r="GI170" s="152">
        <f t="shared" ref="GI170:GI190" si="505">+SUM(BM170:BO170)</f>
        <v>22</v>
      </c>
      <c r="GJ170" s="152">
        <f t="shared" ref="GJ170:GJ190" si="506">+SUM(BP170:BR170)</f>
        <v>0</v>
      </c>
      <c r="GK170" s="152">
        <f t="shared" ref="GK170:GK190" si="507">+SUM(BS170:BU170)</f>
        <v>0</v>
      </c>
      <c r="GL170" s="152">
        <f t="shared" ref="GL170:GL190" si="508">+SUM(BV170:BX170)</f>
        <v>0</v>
      </c>
      <c r="GM170" s="152">
        <f t="shared" ref="GM170:GM190" si="509">+SUM(BY170:CA170)</f>
        <v>0</v>
      </c>
      <c r="GN170" s="152">
        <f t="shared" ref="GN170:GN190" si="510">+SUM(CB170:CD170)</f>
        <v>0</v>
      </c>
      <c r="GO170" s="152">
        <f t="shared" ref="GO170:GO190" si="511">+SUM(CE170:CG170)</f>
        <v>0</v>
      </c>
      <c r="GP170" s="152">
        <f t="shared" ref="GP170:GP190" si="512">+SUM(CH170:CJ170)</f>
        <v>0</v>
      </c>
      <c r="GQ170" s="152">
        <f t="shared" ref="GQ170:GQ190" si="513">+SUM(CK170:CM170)</f>
        <v>0</v>
      </c>
      <c r="GR170" s="152">
        <f t="shared" ref="GR170:GR190" si="514">+SUM(CN170:CP170)</f>
        <v>0</v>
      </c>
      <c r="GS170" s="152">
        <f t="shared" ref="GS170:GS190" si="515">+SUM(CQ170:CS170)</f>
        <v>0</v>
      </c>
      <c r="GT170" s="152">
        <f t="shared" ref="GT170:GT190" si="516">+SUM(CT170:CV170)</f>
        <v>0</v>
      </c>
      <c r="GU170" s="152">
        <f t="shared" ref="GU170:GU190" si="517">+SUM(CW170:CY170)</f>
        <v>0</v>
      </c>
      <c r="GV170" s="152">
        <f t="shared" ref="GV170:GV190" si="518">+SUM(CZ170:DB170)</f>
        <v>0</v>
      </c>
      <c r="GW170" s="152">
        <f t="shared" ref="GW170:GW190" si="519">+SUM(DC170:DE170)</f>
        <v>0</v>
      </c>
      <c r="GX170" s="152">
        <f t="shared" ref="GX170:GX190" si="520">+SUM(DF170:DH170)</f>
        <v>0</v>
      </c>
      <c r="GY170" s="152">
        <f t="shared" ref="GY170:GY190" si="521">+SUM(DI170:DK170)</f>
        <v>0</v>
      </c>
      <c r="GZ170" s="152">
        <f t="shared" ref="GZ170:GZ190" si="522">+SUM(DL170:DN170)</f>
        <v>0</v>
      </c>
      <c r="HA170" s="152">
        <f t="shared" ref="HA170:HA190" si="523">+SUM(DO170:DQ170)</f>
        <v>0</v>
      </c>
      <c r="HB170" s="152">
        <f t="shared" ref="HB170:HB190" si="524">+SUM(DR170:DT170)</f>
        <v>0</v>
      </c>
      <c r="HC170" s="152">
        <f t="shared" ref="HC170:HC190" si="525">+SUM(DU170:DW170)</f>
        <v>0</v>
      </c>
      <c r="HD170" s="152">
        <f t="shared" ref="HD170:HD190" si="526">+SUM(DX170:DZ170)</f>
        <v>0</v>
      </c>
      <c r="HE170" s="152">
        <f t="shared" ref="HE170:HE190" si="527">+SUM(EA170:EC170)</f>
        <v>0</v>
      </c>
      <c r="HF170" s="152">
        <f t="shared" ref="HF170:HF190" si="528">+SUM(ED170:EF170)</f>
        <v>0</v>
      </c>
      <c r="HG170" s="152">
        <f t="shared" ref="HG170:HG190" si="529">+SUM(EG170:EI170)</f>
        <v>0</v>
      </c>
      <c r="HH170" s="152">
        <f t="shared" ref="HH170:HH190" si="530">+SUM(EJ170:EL170)</f>
        <v>0</v>
      </c>
      <c r="HI170" s="152">
        <f t="shared" ref="HI170:HI190" si="531">+SUM(EM170:EO170)</f>
        <v>0</v>
      </c>
      <c r="HJ170" s="153">
        <f t="shared" ref="HJ170:HJ190" si="532">SUM(EP170:ER170)</f>
        <v>0</v>
      </c>
      <c r="HK170" s="153">
        <f t="shared" ref="HK170:HK190" si="533">SUM(ES170:EU170)</f>
        <v>0</v>
      </c>
      <c r="HL170" s="153">
        <f t="shared" ref="HL170:HL190" si="534">SUM(EV170:EX170)</f>
        <v>0</v>
      </c>
      <c r="HM170" s="153">
        <f t="shared" ref="HM170:HM190" si="535">SUM(EY170:FA170)</f>
        <v>0</v>
      </c>
      <c r="HN170" s="153">
        <f t="shared" ref="HN170:HN190" si="536">SUM(FB170:FD170)</f>
        <v>0</v>
      </c>
      <c r="HO170" s="153">
        <f t="shared" ref="HO170:HO190" si="537">SUM(FE170:FG170)</f>
        <v>0</v>
      </c>
      <c r="HP170" s="153">
        <f t="shared" ref="HP170:HP190" si="538">SUM(FH170:FJ170)</f>
        <v>0</v>
      </c>
      <c r="HQ170" s="101"/>
      <c r="HU170" s="155">
        <f t="shared" si="468"/>
        <v>0</v>
      </c>
      <c r="HV170" s="155">
        <f t="shared" si="469"/>
        <v>7</v>
      </c>
      <c r="HW170" s="155">
        <f t="shared" si="470"/>
        <v>6</v>
      </c>
      <c r="HX170" s="156">
        <f t="shared" si="471"/>
        <v>96</v>
      </c>
      <c r="HY170" s="146">
        <f t="shared" si="472"/>
        <v>0</v>
      </c>
      <c r="HZ170" s="146">
        <f t="shared" si="473"/>
        <v>22</v>
      </c>
      <c r="IA170" s="146">
        <f t="shared" si="474"/>
        <v>0</v>
      </c>
      <c r="IB170" s="157">
        <f t="shared" si="475"/>
        <v>0</v>
      </c>
      <c r="IC170" s="157">
        <f t="shared" si="476"/>
        <v>0</v>
      </c>
      <c r="ID170" s="157">
        <f t="shared" si="477"/>
        <v>0</v>
      </c>
      <c r="IE170" s="157">
        <f t="shared" si="478"/>
        <v>0</v>
      </c>
      <c r="IF170" s="157">
        <f t="shared" si="479"/>
        <v>0</v>
      </c>
      <c r="IG170" s="157">
        <f t="shared" si="480"/>
        <v>0</v>
      </c>
    </row>
    <row r="171" spans="1:241" outlineLevel="2" x14ac:dyDescent="0.3">
      <c r="A171" s="71" t="s">
        <v>176</v>
      </c>
      <c r="B171" s="244"/>
      <c r="C171" s="244"/>
      <c r="D171" s="244"/>
      <c r="E171" s="159"/>
      <c r="F171" s="160"/>
      <c r="G171" s="159"/>
      <c r="H171" s="159"/>
      <c r="I171" s="159"/>
      <c r="J171" s="159"/>
      <c r="K171" s="159"/>
      <c r="L171" s="159"/>
      <c r="M171" s="159"/>
      <c r="N171" s="160"/>
      <c r="O171" s="244"/>
      <c r="P171" s="244"/>
      <c r="Q171" s="159"/>
      <c r="R171" s="160"/>
      <c r="S171" s="244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0"/>
      <c r="AQ171" s="160"/>
      <c r="AR171" s="160"/>
      <c r="AS171" s="161"/>
      <c r="AT171" s="160"/>
      <c r="AU171" s="160"/>
      <c r="AV171" s="160"/>
      <c r="AW171" s="160"/>
      <c r="AX171" s="160"/>
      <c r="AY171" s="160"/>
      <c r="AZ171" s="160"/>
      <c r="BA171" s="160"/>
      <c r="BB171" s="160"/>
      <c r="BC171" s="160"/>
      <c r="BD171" s="160"/>
      <c r="BE171" s="160"/>
      <c r="BF171" s="160"/>
      <c r="BG171" s="160"/>
      <c r="BH171" s="160"/>
      <c r="BI171" s="160"/>
      <c r="BJ171" s="160"/>
      <c r="BK171" s="162"/>
      <c r="BL171" s="162"/>
      <c r="BM171" s="162"/>
      <c r="BN171" s="162">
        <v>5</v>
      </c>
      <c r="BO171" s="162">
        <v>22</v>
      </c>
      <c r="BP171" s="162">
        <v>834</v>
      </c>
      <c r="BQ171" s="162">
        <v>1066</v>
      </c>
      <c r="BR171" s="162">
        <v>1246</v>
      </c>
      <c r="BS171" s="162">
        <v>1149</v>
      </c>
      <c r="BT171" s="162">
        <v>1207</v>
      </c>
      <c r="BU171" s="162">
        <v>1187</v>
      </c>
      <c r="BV171" s="162">
        <v>789</v>
      </c>
      <c r="BW171" s="162">
        <v>565</v>
      </c>
      <c r="BX171" s="162">
        <v>1305</v>
      </c>
      <c r="BY171" s="162">
        <v>545</v>
      </c>
      <c r="BZ171" s="162">
        <v>687</v>
      </c>
      <c r="CA171" s="162">
        <v>162</v>
      </c>
      <c r="CB171" s="162">
        <v>605</v>
      </c>
      <c r="CC171" s="162">
        <v>855</v>
      </c>
      <c r="CD171" s="162">
        <v>753</v>
      </c>
      <c r="CE171" s="162">
        <v>379</v>
      </c>
      <c r="CF171" s="162">
        <v>226</v>
      </c>
      <c r="CG171" s="162">
        <v>406</v>
      </c>
      <c r="CH171" s="162">
        <v>42</v>
      </c>
      <c r="CI171" s="162">
        <v>203</v>
      </c>
      <c r="CJ171" s="162">
        <v>405</v>
      </c>
      <c r="CK171" s="162">
        <v>587</v>
      </c>
      <c r="CL171" s="162">
        <v>283</v>
      </c>
      <c r="CM171" s="162">
        <v>342</v>
      </c>
      <c r="CN171" s="162">
        <v>102</v>
      </c>
      <c r="CO171" s="162">
        <v>70</v>
      </c>
      <c r="CP171" s="162">
        <v>357</v>
      </c>
      <c r="CQ171" s="162">
        <v>243</v>
      </c>
      <c r="CR171" s="162">
        <v>746</v>
      </c>
      <c r="CS171" s="163">
        <v>393</v>
      </c>
      <c r="CT171" s="163"/>
      <c r="CU171" s="163"/>
      <c r="CV171" s="163">
        <v>469</v>
      </c>
      <c r="CW171" s="163">
        <v>718</v>
      </c>
      <c r="CX171" s="163">
        <v>804</v>
      </c>
      <c r="CY171" s="163">
        <v>925</v>
      </c>
      <c r="CZ171" s="163">
        <v>164</v>
      </c>
      <c r="DA171" s="163">
        <v>287</v>
      </c>
      <c r="DB171" s="163">
        <v>625</v>
      </c>
      <c r="DC171" s="163">
        <v>77</v>
      </c>
      <c r="DD171" s="163">
        <v>6</v>
      </c>
      <c r="DE171" s="163">
        <v>3</v>
      </c>
      <c r="DF171" s="163">
        <v>530</v>
      </c>
      <c r="DG171" s="163">
        <v>397</v>
      </c>
      <c r="DH171" s="163">
        <v>697</v>
      </c>
      <c r="DI171" s="163">
        <v>569</v>
      </c>
      <c r="DJ171" s="163">
        <v>506</v>
      </c>
      <c r="DK171" s="163">
        <v>693</v>
      </c>
      <c r="DL171" s="163">
        <v>660</v>
      </c>
      <c r="DM171" s="163">
        <v>555</v>
      </c>
      <c r="DN171" s="163">
        <v>189</v>
      </c>
      <c r="DO171" s="163">
        <v>263</v>
      </c>
      <c r="DP171" s="163">
        <v>390</v>
      </c>
      <c r="DQ171" s="163">
        <v>246</v>
      </c>
      <c r="DR171" s="163">
        <v>366</v>
      </c>
      <c r="DS171" s="163">
        <v>248</v>
      </c>
      <c r="DT171" s="163">
        <v>513</v>
      </c>
      <c r="DU171" s="163">
        <v>371</v>
      </c>
      <c r="DV171" s="163">
        <v>435</v>
      </c>
      <c r="DW171" s="163">
        <v>615</v>
      </c>
      <c r="DX171" s="163">
        <v>281</v>
      </c>
      <c r="DY171" s="163">
        <v>605</v>
      </c>
      <c r="DZ171" s="163">
        <v>188</v>
      </c>
      <c r="EA171" s="163">
        <v>360</v>
      </c>
      <c r="EB171" s="163">
        <v>630</v>
      </c>
      <c r="EC171" s="163">
        <v>328</v>
      </c>
      <c r="ED171" s="163">
        <v>407</v>
      </c>
      <c r="EE171" s="163">
        <v>361</v>
      </c>
      <c r="EF171" s="163">
        <v>613</v>
      </c>
      <c r="EG171" s="163">
        <v>388</v>
      </c>
      <c r="EH171" s="163">
        <v>563</v>
      </c>
      <c r="EI171" s="163">
        <v>304</v>
      </c>
      <c r="EJ171" s="163">
        <v>289</v>
      </c>
      <c r="EK171" s="163">
        <v>118</v>
      </c>
      <c r="EL171" s="163">
        <v>52</v>
      </c>
      <c r="EM171" s="163">
        <v>672</v>
      </c>
      <c r="EN171" s="163">
        <v>160</v>
      </c>
      <c r="EO171" s="163">
        <v>86</v>
      </c>
      <c r="EP171" s="163"/>
      <c r="EQ171" s="163">
        <v>50</v>
      </c>
      <c r="ER171" s="163">
        <v>226</v>
      </c>
      <c r="ES171" s="163">
        <v>428</v>
      </c>
      <c r="ET171" s="163">
        <v>269</v>
      </c>
      <c r="EU171" s="163">
        <v>231</v>
      </c>
      <c r="EV171" s="163">
        <v>208</v>
      </c>
      <c r="EW171" s="163">
        <v>253</v>
      </c>
      <c r="EX171" s="163">
        <v>209</v>
      </c>
      <c r="EY171" s="163">
        <v>128</v>
      </c>
      <c r="EZ171" s="163">
        <v>435</v>
      </c>
      <c r="FA171" s="163">
        <v>328</v>
      </c>
      <c r="FB171" s="163">
        <v>312</v>
      </c>
      <c r="FC171" s="163">
        <v>264</v>
      </c>
      <c r="FD171" s="163">
        <v>90</v>
      </c>
      <c r="FE171" s="163">
        <v>309</v>
      </c>
      <c r="FF171" s="163">
        <v>303</v>
      </c>
      <c r="FG171" s="163">
        <v>362</v>
      </c>
      <c r="FH171" s="163">
        <v>230</v>
      </c>
      <c r="FI171" s="163">
        <v>80</v>
      </c>
      <c r="FJ171" s="163">
        <v>170</v>
      </c>
      <c r="FN171" s="165">
        <f t="shared" si="484"/>
        <v>0</v>
      </c>
      <c r="FO171" s="166">
        <f t="shared" si="485"/>
        <v>0</v>
      </c>
      <c r="FP171" s="166">
        <f t="shared" si="486"/>
        <v>0</v>
      </c>
      <c r="FQ171" s="166">
        <f t="shared" si="487"/>
        <v>0</v>
      </c>
      <c r="FR171" s="166">
        <f t="shared" si="488"/>
        <v>0</v>
      </c>
      <c r="FS171" s="166">
        <f t="shared" si="489"/>
        <v>0</v>
      </c>
      <c r="FT171" s="166">
        <f t="shared" si="490"/>
        <v>0</v>
      </c>
      <c r="FU171" s="166">
        <f t="shared" si="491"/>
        <v>0</v>
      </c>
      <c r="FV171" s="166">
        <f t="shared" si="492"/>
        <v>0</v>
      </c>
      <c r="FW171" s="166">
        <f t="shared" si="493"/>
        <v>0</v>
      </c>
      <c r="FX171" s="166">
        <f t="shared" si="494"/>
        <v>0</v>
      </c>
      <c r="FY171" s="166">
        <f t="shared" si="495"/>
        <v>0</v>
      </c>
      <c r="FZ171" s="166">
        <f t="shared" si="496"/>
        <v>0</v>
      </c>
      <c r="GA171" s="166">
        <f t="shared" si="497"/>
        <v>0</v>
      </c>
      <c r="GB171" s="166">
        <f t="shared" si="498"/>
        <v>0</v>
      </c>
      <c r="GC171" s="166">
        <f t="shared" si="499"/>
        <v>0</v>
      </c>
      <c r="GD171" s="166">
        <f t="shared" si="500"/>
        <v>0</v>
      </c>
      <c r="GE171" s="166">
        <f t="shared" si="501"/>
        <v>0</v>
      </c>
      <c r="GF171" s="166">
        <f t="shared" si="502"/>
        <v>0</v>
      </c>
      <c r="GG171" s="166">
        <f t="shared" si="503"/>
        <v>0</v>
      </c>
      <c r="GH171" s="166">
        <f t="shared" si="504"/>
        <v>0</v>
      </c>
      <c r="GI171" s="166">
        <f t="shared" si="505"/>
        <v>27</v>
      </c>
      <c r="GJ171" s="166">
        <f t="shared" si="506"/>
        <v>3146</v>
      </c>
      <c r="GK171" s="166">
        <f t="shared" si="507"/>
        <v>3543</v>
      </c>
      <c r="GL171" s="166">
        <f t="shared" si="508"/>
        <v>2659</v>
      </c>
      <c r="GM171" s="166">
        <f t="shared" si="509"/>
        <v>1394</v>
      </c>
      <c r="GN171" s="166">
        <f t="shared" si="510"/>
        <v>2213</v>
      </c>
      <c r="GO171" s="166">
        <f t="shared" si="511"/>
        <v>1011</v>
      </c>
      <c r="GP171" s="166">
        <f t="shared" si="512"/>
        <v>650</v>
      </c>
      <c r="GQ171" s="166">
        <f t="shared" si="513"/>
        <v>1212</v>
      </c>
      <c r="GR171" s="166">
        <f t="shared" si="514"/>
        <v>529</v>
      </c>
      <c r="GS171" s="166">
        <f t="shared" si="515"/>
        <v>1382</v>
      </c>
      <c r="GT171" s="166">
        <f t="shared" si="516"/>
        <v>469</v>
      </c>
      <c r="GU171" s="166">
        <f t="shared" si="517"/>
        <v>2447</v>
      </c>
      <c r="GV171" s="166">
        <f t="shared" si="518"/>
        <v>1076</v>
      </c>
      <c r="GW171" s="166">
        <f t="shared" si="519"/>
        <v>86</v>
      </c>
      <c r="GX171" s="166">
        <f t="shared" si="520"/>
        <v>1624</v>
      </c>
      <c r="GY171" s="166">
        <f t="shared" si="521"/>
        <v>1768</v>
      </c>
      <c r="GZ171" s="166">
        <f t="shared" si="522"/>
        <v>1404</v>
      </c>
      <c r="HA171" s="166">
        <f t="shared" si="523"/>
        <v>899</v>
      </c>
      <c r="HB171" s="166">
        <f t="shared" si="524"/>
        <v>1127</v>
      </c>
      <c r="HC171" s="166">
        <f t="shared" si="525"/>
        <v>1421</v>
      </c>
      <c r="HD171" s="166">
        <f t="shared" si="526"/>
        <v>1074</v>
      </c>
      <c r="HE171" s="166">
        <f t="shared" si="527"/>
        <v>1318</v>
      </c>
      <c r="HF171" s="166">
        <f t="shared" si="528"/>
        <v>1381</v>
      </c>
      <c r="HG171" s="166">
        <f t="shared" si="529"/>
        <v>1255</v>
      </c>
      <c r="HH171" s="166">
        <f t="shared" si="530"/>
        <v>459</v>
      </c>
      <c r="HI171" s="166">
        <f t="shared" si="531"/>
        <v>918</v>
      </c>
      <c r="HJ171" s="167">
        <f t="shared" si="532"/>
        <v>276</v>
      </c>
      <c r="HK171" s="167">
        <f t="shared" si="533"/>
        <v>928</v>
      </c>
      <c r="HL171" s="167">
        <f t="shared" si="534"/>
        <v>670</v>
      </c>
      <c r="HM171" s="167">
        <f t="shared" si="535"/>
        <v>891</v>
      </c>
      <c r="HN171" s="167">
        <f t="shared" si="536"/>
        <v>666</v>
      </c>
      <c r="HO171" s="167">
        <f t="shared" si="537"/>
        <v>974</v>
      </c>
      <c r="HP171" s="167">
        <f t="shared" si="538"/>
        <v>480</v>
      </c>
      <c r="HQ171" s="168"/>
      <c r="HU171" s="169">
        <f t="shared" si="468"/>
        <v>0</v>
      </c>
      <c r="HV171" s="169">
        <f t="shared" si="469"/>
        <v>0</v>
      </c>
      <c r="HW171" s="169">
        <f t="shared" si="470"/>
        <v>0</v>
      </c>
      <c r="HX171" s="170">
        <f t="shared" si="471"/>
        <v>0</v>
      </c>
      <c r="HY171" s="160">
        <f t="shared" si="472"/>
        <v>0</v>
      </c>
      <c r="HZ171" s="160">
        <f t="shared" si="473"/>
        <v>6716</v>
      </c>
      <c r="IA171" s="160">
        <f t="shared" si="474"/>
        <v>7277</v>
      </c>
      <c r="IB171" s="171">
        <f t="shared" si="475"/>
        <v>3773</v>
      </c>
      <c r="IC171" s="171">
        <f t="shared" si="476"/>
        <v>4078</v>
      </c>
      <c r="ID171" s="171">
        <f t="shared" si="477"/>
        <v>5695</v>
      </c>
      <c r="IE171" s="171">
        <f t="shared" si="478"/>
        <v>4940</v>
      </c>
      <c r="IF171" s="171">
        <f t="shared" si="479"/>
        <v>4013</v>
      </c>
      <c r="IG171" s="171">
        <f t="shared" si="480"/>
        <v>2765</v>
      </c>
    </row>
    <row r="172" spans="1:241" outlineLevel="2" x14ac:dyDescent="0.3">
      <c r="A172" s="63" t="s">
        <v>165</v>
      </c>
      <c r="B172" s="131">
        <v>0</v>
      </c>
      <c r="C172" s="131">
        <v>0</v>
      </c>
      <c r="D172" s="131">
        <v>0</v>
      </c>
      <c r="E172" s="145">
        <v>0</v>
      </c>
      <c r="F172" s="146">
        <v>0</v>
      </c>
      <c r="G172" s="145">
        <v>0</v>
      </c>
      <c r="H172" s="145">
        <v>0</v>
      </c>
      <c r="I172" s="145">
        <v>0</v>
      </c>
      <c r="J172" s="145">
        <v>0</v>
      </c>
      <c r="K172" s="145">
        <v>0</v>
      </c>
      <c r="L172" s="145">
        <v>0</v>
      </c>
      <c r="M172" s="145">
        <v>0</v>
      </c>
      <c r="N172" s="146">
        <v>0</v>
      </c>
      <c r="O172" s="131">
        <v>0</v>
      </c>
      <c r="P172" s="131">
        <v>0</v>
      </c>
      <c r="Q172" s="145">
        <v>0</v>
      </c>
      <c r="R172" s="146">
        <v>0</v>
      </c>
      <c r="S172" s="131">
        <v>0</v>
      </c>
      <c r="T172" s="131">
        <v>0</v>
      </c>
      <c r="U172" s="131">
        <v>0</v>
      </c>
      <c r="V172" s="131">
        <v>0</v>
      </c>
      <c r="W172" s="131">
        <v>0</v>
      </c>
      <c r="X172" s="131">
        <v>0</v>
      </c>
      <c r="Y172" s="131">
        <v>0</v>
      </c>
      <c r="Z172" s="131">
        <v>0</v>
      </c>
      <c r="AA172" s="131">
        <v>1</v>
      </c>
      <c r="AB172" s="131">
        <v>70</v>
      </c>
      <c r="AC172" s="131">
        <v>30</v>
      </c>
      <c r="AD172" s="131">
        <v>0</v>
      </c>
      <c r="AE172" s="131">
        <v>1</v>
      </c>
      <c r="AF172" s="131">
        <v>0</v>
      </c>
      <c r="AG172" s="131">
        <v>2</v>
      </c>
      <c r="AH172" s="131">
        <v>0</v>
      </c>
      <c r="AI172" s="131"/>
      <c r="AJ172" s="131">
        <v>0</v>
      </c>
      <c r="AK172" s="131">
        <v>0</v>
      </c>
      <c r="AL172" s="131">
        <v>4</v>
      </c>
      <c r="AM172" s="131">
        <v>0</v>
      </c>
      <c r="AN172" s="131"/>
      <c r="AO172" s="131">
        <v>1</v>
      </c>
      <c r="AP172" s="146"/>
      <c r="AQ172" s="146">
        <v>2</v>
      </c>
      <c r="AR172" s="146">
        <v>0</v>
      </c>
      <c r="AS172" s="131">
        <v>0</v>
      </c>
      <c r="AT172" s="146">
        <v>0</v>
      </c>
      <c r="AU172" s="146">
        <v>0</v>
      </c>
      <c r="AV172" s="146">
        <v>0</v>
      </c>
      <c r="AW172" s="146">
        <v>0</v>
      </c>
      <c r="AX172" s="146">
        <v>3</v>
      </c>
      <c r="AY172" s="146">
        <v>4</v>
      </c>
      <c r="AZ172" s="146">
        <v>0</v>
      </c>
      <c r="BA172" s="146">
        <v>0</v>
      </c>
      <c r="BB172" s="146">
        <v>0</v>
      </c>
      <c r="BC172" s="146">
        <v>0</v>
      </c>
      <c r="BD172" s="146">
        <v>1</v>
      </c>
      <c r="BE172" s="146">
        <v>1</v>
      </c>
      <c r="BF172" s="146">
        <v>0</v>
      </c>
      <c r="BG172" s="146">
        <v>0</v>
      </c>
      <c r="BH172" s="146">
        <v>0</v>
      </c>
      <c r="BI172" s="146">
        <v>0</v>
      </c>
      <c r="BJ172" s="146">
        <v>0</v>
      </c>
      <c r="BK172" s="147">
        <v>0</v>
      </c>
      <c r="BL172" s="147">
        <v>0</v>
      </c>
      <c r="BM172" s="147">
        <v>0</v>
      </c>
      <c r="BN172" s="147">
        <v>0</v>
      </c>
      <c r="BO172" s="147">
        <v>0</v>
      </c>
      <c r="BP172" s="147">
        <v>0</v>
      </c>
      <c r="BQ172" s="147">
        <v>0</v>
      </c>
      <c r="BR172" s="147">
        <v>0</v>
      </c>
      <c r="BS172" s="147">
        <v>0</v>
      </c>
      <c r="BT172" s="147">
        <v>0</v>
      </c>
      <c r="BU172" s="147">
        <v>0</v>
      </c>
      <c r="BV172" s="147">
        <v>1</v>
      </c>
      <c r="BW172" s="147">
        <v>0</v>
      </c>
      <c r="BX172" s="147">
        <v>0</v>
      </c>
      <c r="BY172" s="147">
        <v>0</v>
      </c>
      <c r="BZ172" s="147">
        <v>0</v>
      </c>
      <c r="CA172" s="147">
        <v>0</v>
      </c>
      <c r="CB172" s="147">
        <v>0</v>
      </c>
      <c r="CC172" s="147">
        <v>1</v>
      </c>
      <c r="CD172" s="147">
        <v>1</v>
      </c>
      <c r="CE172" s="147">
        <v>0</v>
      </c>
      <c r="CF172" s="147">
        <v>0</v>
      </c>
      <c r="CG172" s="147">
        <v>0</v>
      </c>
      <c r="CH172" s="147">
        <v>1</v>
      </c>
      <c r="CI172" s="147">
        <v>0</v>
      </c>
      <c r="CJ172" s="147">
        <v>0</v>
      </c>
      <c r="CK172" s="147">
        <v>3</v>
      </c>
      <c r="CL172" s="147">
        <v>0</v>
      </c>
      <c r="CM172" s="147">
        <v>0</v>
      </c>
      <c r="CN172" s="147">
        <v>8</v>
      </c>
      <c r="CO172" s="147">
        <v>1</v>
      </c>
      <c r="CP172" s="147">
        <v>0</v>
      </c>
      <c r="CQ172" s="147">
        <v>25</v>
      </c>
      <c r="CR172" s="147">
        <v>0</v>
      </c>
      <c r="CS172" s="148">
        <v>0</v>
      </c>
      <c r="CT172" s="148"/>
      <c r="CU172" s="148"/>
      <c r="CV172" s="148">
        <v>0</v>
      </c>
      <c r="CW172" s="148">
        <v>0</v>
      </c>
      <c r="CX172" s="148">
        <v>0</v>
      </c>
      <c r="CY172" s="148">
        <v>0</v>
      </c>
      <c r="CZ172" s="148">
        <v>0</v>
      </c>
      <c r="DA172" s="148">
        <v>0</v>
      </c>
      <c r="DB172" s="148">
        <v>0</v>
      </c>
      <c r="DC172" s="148">
        <v>0</v>
      </c>
      <c r="DD172" s="148">
        <v>0</v>
      </c>
      <c r="DE172" s="148">
        <v>0</v>
      </c>
      <c r="DF172" s="148">
        <v>0</v>
      </c>
      <c r="DG172" s="148"/>
      <c r="DH172" s="148"/>
      <c r="DI172" s="148"/>
      <c r="DJ172" s="148"/>
      <c r="DK172" s="148"/>
      <c r="DL172" s="148"/>
      <c r="DM172" s="148"/>
      <c r="DN172" s="148"/>
      <c r="DO172" s="148">
        <v>1</v>
      </c>
      <c r="DP172" s="148">
        <v>1</v>
      </c>
      <c r="DQ172" s="148">
        <v>13</v>
      </c>
      <c r="DR172" s="148"/>
      <c r="DS172" s="148"/>
      <c r="DT172" s="148"/>
      <c r="DU172" s="148">
        <v>1</v>
      </c>
      <c r="DV172" s="148"/>
      <c r="DW172" s="148"/>
      <c r="DX172" s="148"/>
      <c r="DY172" s="148">
        <v>3</v>
      </c>
      <c r="DZ172" s="148">
        <v>1</v>
      </c>
      <c r="EA172" s="148">
        <v>0</v>
      </c>
      <c r="EB172" s="148">
        <v>1</v>
      </c>
      <c r="EC172" s="148">
        <v>0</v>
      </c>
      <c r="ED172" s="148">
        <v>0</v>
      </c>
      <c r="EE172" s="148">
        <v>0</v>
      </c>
      <c r="EF172" s="148">
        <v>2</v>
      </c>
      <c r="EG172" s="148">
        <v>0</v>
      </c>
      <c r="EH172" s="148">
        <v>0</v>
      </c>
      <c r="EI172" s="148">
        <v>1</v>
      </c>
      <c r="EJ172" s="148"/>
      <c r="EK172" s="148"/>
      <c r="EL172" s="148"/>
      <c r="EM172" s="148"/>
      <c r="EN172" s="148"/>
      <c r="EO172" s="148"/>
      <c r="EP172" s="148"/>
      <c r="EQ172" s="148"/>
      <c r="ER172" s="148"/>
      <c r="ES172" s="148">
        <v>10</v>
      </c>
      <c r="ET172" s="148">
        <v>0</v>
      </c>
      <c r="EU172" s="148">
        <v>0</v>
      </c>
      <c r="EV172" s="148">
        <v>0</v>
      </c>
      <c r="EW172" s="148">
        <v>0</v>
      </c>
      <c r="EX172" s="148"/>
      <c r="EY172" s="148"/>
      <c r="EZ172" s="148"/>
      <c r="FA172" s="148"/>
      <c r="FB172" s="148">
        <v>6</v>
      </c>
      <c r="FC172" s="148"/>
      <c r="FD172" s="148"/>
      <c r="FE172" s="148"/>
      <c r="FF172" s="148"/>
      <c r="FG172" s="148">
        <v>11</v>
      </c>
      <c r="FH172" s="148"/>
      <c r="FI172" s="148"/>
      <c r="FJ172" s="148"/>
      <c r="FN172" s="151">
        <f t="shared" si="484"/>
        <v>0</v>
      </c>
      <c r="FO172" s="152">
        <f t="shared" si="485"/>
        <v>0</v>
      </c>
      <c r="FP172" s="152">
        <f t="shared" si="486"/>
        <v>0</v>
      </c>
      <c r="FQ172" s="152">
        <f t="shared" si="487"/>
        <v>0</v>
      </c>
      <c r="FR172" s="152">
        <f t="shared" si="488"/>
        <v>0</v>
      </c>
      <c r="FS172" s="152">
        <f t="shared" si="489"/>
        <v>0</v>
      </c>
      <c r="FT172" s="152">
        <f t="shared" si="490"/>
        <v>0</v>
      </c>
      <c r="FU172" s="152">
        <f t="shared" si="491"/>
        <v>0</v>
      </c>
      <c r="FV172" s="152">
        <f t="shared" si="492"/>
        <v>71</v>
      </c>
      <c r="FW172" s="152">
        <f t="shared" si="493"/>
        <v>31</v>
      </c>
      <c r="FX172" s="152">
        <f t="shared" si="494"/>
        <v>2</v>
      </c>
      <c r="FY172" s="152">
        <f t="shared" si="495"/>
        <v>0</v>
      </c>
      <c r="FZ172" s="152">
        <f t="shared" si="496"/>
        <v>4</v>
      </c>
      <c r="GA172" s="152">
        <f t="shared" si="497"/>
        <v>3</v>
      </c>
      <c r="GB172" s="152">
        <f t="shared" si="498"/>
        <v>0</v>
      </c>
      <c r="GC172" s="152">
        <f t="shared" si="499"/>
        <v>0</v>
      </c>
      <c r="GD172" s="152">
        <f t="shared" si="500"/>
        <v>7</v>
      </c>
      <c r="GE172" s="152">
        <f t="shared" si="501"/>
        <v>0</v>
      </c>
      <c r="GF172" s="152">
        <f t="shared" si="502"/>
        <v>2</v>
      </c>
      <c r="GG172" s="152">
        <f t="shared" si="503"/>
        <v>0</v>
      </c>
      <c r="GH172" s="152">
        <f t="shared" si="504"/>
        <v>0</v>
      </c>
      <c r="GI172" s="152">
        <f t="shared" si="505"/>
        <v>0</v>
      </c>
      <c r="GJ172" s="152">
        <f t="shared" si="506"/>
        <v>0</v>
      </c>
      <c r="GK172" s="152">
        <f t="shared" si="507"/>
        <v>0</v>
      </c>
      <c r="GL172" s="152">
        <f t="shared" si="508"/>
        <v>1</v>
      </c>
      <c r="GM172" s="152">
        <f t="shared" si="509"/>
        <v>0</v>
      </c>
      <c r="GN172" s="152">
        <f t="shared" si="510"/>
        <v>2</v>
      </c>
      <c r="GO172" s="152">
        <f t="shared" si="511"/>
        <v>0</v>
      </c>
      <c r="GP172" s="152">
        <f t="shared" si="512"/>
        <v>1</v>
      </c>
      <c r="GQ172" s="152">
        <f t="shared" si="513"/>
        <v>3</v>
      </c>
      <c r="GR172" s="152">
        <f t="shared" si="514"/>
        <v>9</v>
      </c>
      <c r="GS172" s="152">
        <f t="shared" si="515"/>
        <v>25</v>
      </c>
      <c r="GT172" s="152">
        <f t="shared" si="516"/>
        <v>0</v>
      </c>
      <c r="GU172" s="152">
        <f t="shared" si="517"/>
        <v>0</v>
      </c>
      <c r="GV172" s="152">
        <f t="shared" si="518"/>
        <v>0</v>
      </c>
      <c r="GW172" s="152">
        <f t="shared" si="519"/>
        <v>0</v>
      </c>
      <c r="GX172" s="152">
        <f t="shared" si="520"/>
        <v>0</v>
      </c>
      <c r="GY172" s="152">
        <f t="shared" si="521"/>
        <v>0</v>
      </c>
      <c r="GZ172" s="152">
        <f t="shared" si="522"/>
        <v>0</v>
      </c>
      <c r="HA172" s="152">
        <f t="shared" si="523"/>
        <v>15</v>
      </c>
      <c r="HB172" s="152">
        <f t="shared" si="524"/>
        <v>0</v>
      </c>
      <c r="HC172" s="152">
        <f t="shared" si="525"/>
        <v>1</v>
      </c>
      <c r="HD172" s="152">
        <f t="shared" si="526"/>
        <v>4</v>
      </c>
      <c r="HE172" s="152">
        <f t="shared" si="527"/>
        <v>1</v>
      </c>
      <c r="HF172" s="152">
        <f t="shared" si="528"/>
        <v>2</v>
      </c>
      <c r="HG172" s="152">
        <f t="shared" si="529"/>
        <v>1</v>
      </c>
      <c r="HH172" s="152">
        <f t="shared" si="530"/>
        <v>0</v>
      </c>
      <c r="HI172" s="152">
        <f t="shared" si="531"/>
        <v>0</v>
      </c>
      <c r="HJ172" s="153">
        <f t="shared" si="532"/>
        <v>0</v>
      </c>
      <c r="HK172" s="153">
        <f t="shared" si="533"/>
        <v>10</v>
      </c>
      <c r="HL172" s="153">
        <f t="shared" si="534"/>
        <v>0</v>
      </c>
      <c r="HM172" s="153">
        <f t="shared" si="535"/>
        <v>0</v>
      </c>
      <c r="HN172" s="153">
        <f t="shared" si="536"/>
        <v>6</v>
      </c>
      <c r="HO172" s="153">
        <f t="shared" si="537"/>
        <v>11</v>
      </c>
      <c r="HP172" s="153">
        <f t="shared" si="538"/>
        <v>0</v>
      </c>
      <c r="HQ172" s="101"/>
      <c r="HU172" s="155">
        <f t="shared" si="468"/>
        <v>0</v>
      </c>
      <c r="HV172" s="155">
        <f t="shared" si="469"/>
        <v>0</v>
      </c>
      <c r="HW172" s="155">
        <f t="shared" si="470"/>
        <v>104</v>
      </c>
      <c r="HX172" s="156">
        <f t="shared" si="471"/>
        <v>7</v>
      </c>
      <c r="HY172" s="146">
        <f t="shared" si="472"/>
        <v>9</v>
      </c>
      <c r="HZ172" s="146">
        <f t="shared" si="473"/>
        <v>0</v>
      </c>
      <c r="IA172" s="146">
        <f t="shared" si="474"/>
        <v>3</v>
      </c>
      <c r="IB172" s="157">
        <f t="shared" si="475"/>
        <v>38</v>
      </c>
      <c r="IC172" s="157">
        <f t="shared" si="476"/>
        <v>0</v>
      </c>
      <c r="ID172" s="157">
        <f t="shared" si="477"/>
        <v>15</v>
      </c>
      <c r="IE172" s="157">
        <f t="shared" si="478"/>
        <v>6</v>
      </c>
      <c r="IF172" s="157">
        <f t="shared" si="479"/>
        <v>3</v>
      </c>
      <c r="IG172" s="157">
        <f t="shared" si="480"/>
        <v>10</v>
      </c>
    </row>
    <row r="173" spans="1:241" outlineLevel="2" x14ac:dyDescent="0.3">
      <c r="A173" s="71" t="s">
        <v>144</v>
      </c>
      <c r="B173" s="161">
        <v>0</v>
      </c>
      <c r="C173" s="161">
        <v>0</v>
      </c>
      <c r="D173" s="161">
        <v>0</v>
      </c>
      <c r="E173" s="159">
        <v>0</v>
      </c>
      <c r="F173" s="160">
        <v>0</v>
      </c>
      <c r="G173" s="159">
        <v>0</v>
      </c>
      <c r="H173" s="159">
        <v>0</v>
      </c>
      <c r="I173" s="159">
        <v>0</v>
      </c>
      <c r="J173" s="159">
        <v>0</v>
      </c>
      <c r="K173" s="159">
        <v>0</v>
      </c>
      <c r="L173" s="159">
        <v>0</v>
      </c>
      <c r="M173" s="159">
        <v>0</v>
      </c>
      <c r="N173" s="160">
        <v>0</v>
      </c>
      <c r="O173" s="161">
        <v>0</v>
      </c>
      <c r="P173" s="161">
        <v>363</v>
      </c>
      <c r="Q173" s="159">
        <v>1908</v>
      </c>
      <c r="R173" s="160">
        <v>779</v>
      </c>
      <c r="S173" s="160">
        <v>1426</v>
      </c>
      <c r="T173" s="160">
        <v>1505</v>
      </c>
      <c r="U173" s="160">
        <v>1575</v>
      </c>
      <c r="V173" s="160">
        <v>2068</v>
      </c>
      <c r="W173" s="160">
        <v>1886</v>
      </c>
      <c r="X173" s="160">
        <v>3113</v>
      </c>
      <c r="Y173" s="160">
        <v>2850</v>
      </c>
      <c r="Z173" s="160">
        <v>4146</v>
      </c>
      <c r="AA173" s="160">
        <v>4535</v>
      </c>
      <c r="AB173" s="160">
        <v>3312</v>
      </c>
      <c r="AC173" s="160">
        <v>5126</v>
      </c>
      <c r="AD173" s="160">
        <v>3999</v>
      </c>
      <c r="AE173" s="160">
        <v>4650</v>
      </c>
      <c r="AF173" s="160">
        <v>3737</v>
      </c>
      <c r="AG173" s="160">
        <v>5253</v>
      </c>
      <c r="AH173" s="160">
        <v>7282</v>
      </c>
      <c r="AI173" s="160">
        <v>1408</v>
      </c>
      <c r="AJ173" s="161">
        <v>4788</v>
      </c>
      <c r="AK173" s="161">
        <v>6942</v>
      </c>
      <c r="AL173" s="161">
        <v>6058</v>
      </c>
      <c r="AM173" s="161">
        <v>4852</v>
      </c>
      <c r="AN173" s="161">
        <v>2690</v>
      </c>
      <c r="AO173" s="161">
        <v>6824</v>
      </c>
      <c r="AP173" s="160">
        <v>10816</v>
      </c>
      <c r="AQ173" s="160">
        <v>9439</v>
      </c>
      <c r="AR173" s="160">
        <v>8812</v>
      </c>
      <c r="AS173" s="160">
        <v>7305</v>
      </c>
      <c r="AT173" s="160">
        <v>3190</v>
      </c>
      <c r="AU173" s="160">
        <v>4880</v>
      </c>
      <c r="AV173" s="160">
        <v>8309</v>
      </c>
      <c r="AW173" s="160">
        <v>10150</v>
      </c>
      <c r="AX173" s="160">
        <v>6179</v>
      </c>
      <c r="AY173" s="160">
        <v>8346</v>
      </c>
      <c r="AZ173" s="160">
        <v>6253</v>
      </c>
      <c r="BA173" s="160">
        <v>6717</v>
      </c>
      <c r="BB173" s="160">
        <v>8022</v>
      </c>
      <c r="BC173" s="160">
        <v>6837</v>
      </c>
      <c r="BD173" s="160">
        <v>6782</v>
      </c>
      <c r="BE173" s="160">
        <v>7822</v>
      </c>
      <c r="BF173" s="160">
        <v>6274</v>
      </c>
      <c r="BG173" s="160">
        <v>1569</v>
      </c>
      <c r="BH173" s="160">
        <v>6900</v>
      </c>
      <c r="BI173" s="160">
        <v>7838</v>
      </c>
      <c r="BJ173" s="160">
        <v>7812</v>
      </c>
      <c r="BK173" s="162">
        <v>7643</v>
      </c>
      <c r="BL173" s="162">
        <v>8652</v>
      </c>
      <c r="BM173" s="162">
        <v>9456</v>
      </c>
      <c r="BN173" s="162">
        <v>5820</v>
      </c>
      <c r="BO173" s="162">
        <v>552</v>
      </c>
      <c r="BP173" s="162">
        <v>2067</v>
      </c>
      <c r="BQ173" s="162">
        <v>12207</v>
      </c>
      <c r="BR173" s="162">
        <v>12028</v>
      </c>
      <c r="BS173" s="162">
        <v>6746</v>
      </c>
      <c r="BT173" s="162">
        <v>6306</v>
      </c>
      <c r="BU173" s="162">
        <v>11310</v>
      </c>
      <c r="BV173" s="162">
        <v>7280</v>
      </c>
      <c r="BW173" s="162">
        <v>9593</v>
      </c>
      <c r="BX173" s="162">
        <v>3638</v>
      </c>
      <c r="BY173" s="162">
        <v>8576</v>
      </c>
      <c r="BZ173" s="162">
        <v>7046</v>
      </c>
      <c r="CA173" s="162">
        <v>5860</v>
      </c>
      <c r="CB173" s="162">
        <v>6454</v>
      </c>
      <c r="CC173" s="162">
        <v>8908</v>
      </c>
      <c r="CD173" s="162">
        <v>9977</v>
      </c>
      <c r="CE173" s="162">
        <v>6195</v>
      </c>
      <c r="CF173" s="162">
        <v>8680</v>
      </c>
      <c r="CG173" s="162">
        <v>9339</v>
      </c>
      <c r="CH173" s="162">
        <v>7129</v>
      </c>
      <c r="CI173" s="162">
        <v>5733</v>
      </c>
      <c r="CJ173" s="162">
        <v>6259</v>
      </c>
      <c r="CK173" s="162">
        <v>3616</v>
      </c>
      <c r="CL173" s="162">
        <v>9093</v>
      </c>
      <c r="CM173" s="162">
        <v>6763</v>
      </c>
      <c r="CN173" s="162">
        <v>5176</v>
      </c>
      <c r="CO173" s="162">
        <v>9128</v>
      </c>
      <c r="CP173" s="162">
        <v>12607</v>
      </c>
      <c r="CQ173" s="162">
        <v>4559</v>
      </c>
      <c r="CR173" s="162">
        <v>8472</v>
      </c>
      <c r="CS173" s="163">
        <v>9894</v>
      </c>
      <c r="CT173" s="163"/>
      <c r="CU173" s="163"/>
      <c r="CV173" s="163">
        <v>2936</v>
      </c>
      <c r="CW173" s="163">
        <v>5767</v>
      </c>
      <c r="CX173" s="163">
        <v>6361</v>
      </c>
      <c r="CY173" s="163">
        <v>6203</v>
      </c>
      <c r="CZ173" s="163">
        <v>1776</v>
      </c>
      <c r="DA173" s="163">
        <v>4857</v>
      </c>
      <c r="DB173" s="163">
        <v>6986</v>
      </c>
      <c r="DC173" s="163">
        <v>2263</v>
      </c>
      <c r="DD173" s="163">
        <v>550</v>
      </c>
      <c r="DE173" s="163">
        <v>2051</v>
      </c>
      <c r="DF173" s="163">
        <v>3558</v>
      </c>
      <c r="DG173" s="163">
        <v>2925</v>
      </c>
      <c r="DH173" s="163">
        <v>1165</v>
      </c>
      <c r="DI173" s="163">
        <v>2719</v>
      </c>
      <c r="DJ173" s="163">
        <v>5015</v>
      </c>
      <c r="DK173" s="163"/>
      <c r="DL173" s="163"/>
      <c r="DM173" s="163"/>
      <c r="DN173" s="163"/>
      <c r="DO173" s="163"/>
      <c r="DP173" s="163"/>
      <c r="DQ173" s="163"/>
      <c r="DR173" s="163"/>
      <c r="DS173" s="163"/>
      <c r="DT173" s="163"/>
      <c r="DU173" s="163"/>
      <c r="DV173" s="163"/>
      <c r="DW173" s="163"/>
      <c r="DX173" s="163"/>
      <c r="DY173" s="163"/>
      <c r="DZ173" s="163"/>
      <c r="EA173" s="163"/>
      <c r="EB173" s="163"/>
      <c r="EC173" s="163"/>
      <c r="ED173" s="163"/>
      <c r="EE173" s="163"/>
      <c r="EF173" s="163"/>
      <c r="EG173" s="163"/>
      <c r="EH173" s="163"/>
      <c r="EI173" s="163"/>
      <c r="EJ173" s="163"/>
      <c r="EK173" s="163"/>
      <c r="EL173" s="163"/>
      <c r="EM173" s="163"/>
      <c r="EN173" s="163"/>
      <c r="EO173" s="163"/>
      <c r="EP173" s="163"/>
      <c r="EQ173" s="163"/>
      <c r="ER173" s="163"/>
      <c r="ES173" s="163"/>
      <c r="ET173" s="163"/>
      <c r="EU173" s="163"/>
      <c r="EV173" s="163"/>
      <c r="EW173" s="163"/>
      <c r="EX173" s="163"/>
      <c r="EY173" s="163"/>
      <c r="EZ173" s="163"/>
      <c r="FA173" s="163"/>
      <c r="FB173" s="163"/>
      <c r="FC173" s="163"/>
      <c r="FD173" s="163"/>
      <c r="FE173" s="163"/>
      <c r="FF173" s="163"/>
      <c r="FG173" s="163"/>
      <c r="FH173" s="163"/>
      <c r="FI173" s="163"/>
      <c r="FJ173" s="163"/>
      <c r="FN173" s="165">
        <f t="shared" si="484"/>
        <v>0</v>
      </c>
      <c r="FO173" s="166">
        <f t="shared" si="485"/>
        <v>0</v>
      </c>
      <c r="FP173" s="166">
        <f t="shared" si="486"/>
        <v>0</v>
      </c>
      <c r="FQ173" s="166">
        <f t="shared" si="487"/>
        <v>0</v>
      </c>
      <c r="FR173" s="166">
        <f t="shared" si="488"/>
        <v>363</v>
      </c>
      <c r="FS173" s="166">
        <f t="shared" si="489"/>
        <v>4113</v>
      </c>
      <c r="FT173" s="166">
        <f t="shared" si="490"/>
        <v>5148</v>
      </c>
      <c r="FU173" s="166">
        <f t="shared" si="491"/>
        <v>7849</v>
      </c>
      <c r="FV173" s="166">
        <f t="shared" si="492"/>
        <v>11993</v>
      </c>
      <c r="FW173" s="166">
        <f t="shared" si="493"/>
        <v>13775</v>
      </c>
      <c r="FX173" s="166">
        <f t="shared" si="494"/>
        <v>16272</v>
      </c>
      <c r="FY173" s="166">
        <f t="shared" si="495"/>
        <v>13138</v>
      </c>
      <c r="FZ173" s="166">
        <f t="shared" si="496"/>
        <v>13600</v>
      </c>
      <c r="GA173" s="166">
        <f t="shared" si="497"/>
        <v>27079</v>
      </c>
      <c r="GB173" s="166">
        <f t="shared" si="498"/>
        <v>19307</v>
      </c>
      <c r="GC173" s="166">
        <f t="shared" si="499"/>
        <v>23339</v>
      </c>
      <c r="GD173" s="166">
        <f t="shared" si="500"/>
        <v>20778</v>
      </c>
      <c r="GE173" s="166">
        <f t="shared" si="501"/>
        <v>21576</v>
      </c>
      <c r="GF173" s="166">
        <f t="shared" si="502"/>
        <v>20878</v>
      </c>
      <c r="GG173" s="166">
        <f t="shared" si="503"/>
        <v>16307</v>
      </c>
      <c r="GH173" s="166">
        <f t="shared" si="504"/>
        <v>24107</v>
      </c>
      <c r="GI173" s="166">
        <f t="shared" si="505"/>
        <v>15828</v>
      </c>
      <c r="GJ173" s="166">
        <f t="shared" si="506"/>
        <v>26302</v>
      </c>
      <c r="GK173" s="166">
        <f t="shared" si="507"/>
        <v>24362</v>
      </c>
      <c r="GL173" s="166">
        <f t="shared" si="508"/>
        <v>20511</v>
      </c>
      <c r="GM173" s="166">
        <f t="shared" si="509"/>
        <v>21482</v>
      </c>
      <c r="GN173" s="166">
        <f t="shared" si="510"/>
        <v>25339</v>
      </c>
      <c r="GO173" s="166">
        <f t="shared" si="511"/>
        <v>24214</v>
      </c>
      <c r="GP173" s="166">
        <f t="shared" si="512"/>
        <v>19121</v>
      </c>
      <c r="GQ173" s="166">
        <f t="shared" si="513"/>
        <v>19472</v>
      </c>
      <c r="GR173" s="166">
        <f t="shared" si="514"/>
        <v>26911</v>
      </c>
      <c r="GS173" s="166">
        <f t="shared" si="515"/>
        <v>22925</v>
      </c>
      <c r="GT173" s="166">
        <f t="shared" si="516"/>
        <v>2936</v>
      </c>
      <c r="GU173" s="166">
        <f t="shared" si="517"/>
        <v>18331</v>
      </c>
      <c r="GV173" s="166">
        <f t="shared" si="518"/>
        <v>13619</v>
      </c>
      <c r="GW173" s="166">
        <f t="shared" si="519"/>
        <v>4864</v>
      </c>
      <c r="GX173" s="166">
        <f t="shared" si="520"/>
        <v>7648</v>
      </c>
      <c r="GY173" s="166">
        <f t="shared" si="521"/>
        <v>7734</v>
      </c>
      <c r="GZ173" s="166">
        <f t="shared" si="522"/>
        <v>0</v>
      </c>
      <c r="HA173" s="166">
        <f t="shared" si="523"/>
        <v>0</v>
      </c>
      <c r="HB173" s="166">
        <f t="shared" si="524"/>
        <v>0</v>
      </c>
      <c r="HC173" s="166">
        <f t="shared" si="525"/>
        <v>0</v>
      </c>
      <c r="HD173" s="166">
        <f t="shared" si="526"/>
        <v>0</v>
      </c>
      <c r="HE173" s="166">
        <f t="shared" si="527"/>
        <v>0</v>
      </c>
      <c r="HF173" s="166">
        <f t="shared" si="528"/>
        <v>0</v>
      </c>
      <c r="HG173" s="166">
        <f t="shared" si="529"/>
        <v>0</v>
      </c>
      <c r="HH173" s="166">
        <f t="shared" si="530"/>
        <v>0</v>
      </c>
      <c r="HI173" s="166">
        <f t="shared" si="531"/>
        <v>0</v>
      </c>
      <c r="HJ173" s="167">
        <f t="shared" si="532"/>
        <v>0</v>
      </c>
      <c r="HK173" s="167">
        <f t="shared" si="533"/>
        <v>0</v>
      </c>
      <c r="HL173" s="167">
        <f t="shared" si="534"/>
        <v>0</v>
      </c>
      <c r="HM173" s="167">
        <f t="shared" si="535"/>
        <v>0</v>
      </c>
      <c r="HN173" s="167">
        <f t="shared" si="536"/>
        <v>0</v>
      </c>
      <c r="HO173" s="167">
        <f t="shared" si="537"/>
        <v>0</v>
      </c>
      <c r="HP173" s="167">
        <f t="shared" si="538"/>
        <v>0</v>
      </c>
      <c r="HQ173" s="168"/>
      <c r="HU173" s="169">
        <f t="shared" si="468"/>
        <v>0</v>
      </c>
      <c r="HV173" s="169">
        <f t="shared" si="469"/>
        <v>17473</v>
      </c>
      <c r="HW173" s="169">
        <f t="shared" si="470"/>
        <v>55178</v>
      </c>
      <c r="HX173" s="170">
        <f t="shared" si="471"/>
        <v>83325</v>
      </c>
      <c r="HY173" s="160">
        <f t="shared" si="472"/>
        <v>79539</v>
      </c>
      <c r="HZ173" s="160">
        <f t="shared" si="473"/>
        <v>90599</v>
      </c>
      <c r="IA173" s="160">
        <f t="shared" si="474"/>
        <v>91546</v>
      </c>
      <c r="IB173" s="171">
        <f t="shared" si="475"/>
        <v>88429</v>
      </c>
      <c r="IC173" s="171">
        <f t="shared" si="476"/>
        <v>39750</v>
      </c>
      <c r="ID173" s="171">
        <f t="shared" si="477"/>
        <v>15382</v>
      </c>
      <c r="IE173" s="171">
        <f t="shared" si="478"/>
        <v>0</v>
      </c>
      <c r="IF173" s="171">
        <f t="shared" si="479"/>
        <v>0</v>
      </c>
      <c r="IG173" s="171">
        <f t="shared" si="480"/>
        <v>0</v>
      </c>
    </row>
    <row r="174" spans="1:241" outlineLevel="2" x14ac:dyDescent="0.3">
      <c r="A174" s="63" t="s">
        <v>145</v>
      </c>
      <c r="B174" s="131">
        <v>9</v>
      </c>
      <c r="C174" s="131">
        <v>1</v>
      </c>
      <c r="D174" s="131">
        <v>1</v>
      </c>
      <c r="E174" s="145">
        <v>0</v>
      </c>
      <c r="F174" s="146">
        <v>2</v>
      </c>
      <c r="G174" s="145">
        <v>3</v>
      </c>
      <c r="H174" s="145">
        <v>3</v>
      </c>
      <c r="I174" s="145">
        <v>0</v>
      </c>
      <c r="J174" s="145">
        <v>0</v>
      </c>
      <c r="K174" s="145">
        <v>0</v>
      </c>
      <c r="L174" s="145">
        <v>0</v>
      </c>
      <c r="M174" s="145">
        <v>0</v>
      </c>
      <c r="N174" s="146">
        <v>0</v>
      </c>
      <c r="O174" s="131">
        <v>4</v>
      </c>
      <c r="P174" s="131">
        <v>0</v>
      </c>
      <c r="Q174" s="145">
        <v>0</v>
      </c>
      <c r="R174" s="146">
        <v>0</v>
      </c>
      <c r="S174" s="131">
        <v>0</v>
      </c>
      <c r="T174" s="131">
        <v>0</v>
      </c>
      <c r="U174" s="131">
        <v>0</v>
      </c>
      <c r="V174" s="131">
        <v>0</v>
      </c>
      <c r="W174" s="131">
        <v>0</v>
      </c>
      <c r="X174" s="131">
        <v>0</v>
      </c>
      <c r="Y174" s="131">
        <v>0</v>
      </c>
      <c r="Z174" s="131">
        <v>0</v>
      </c>
      <c r="AA174" s="131">
        <v>0</v>
      </c>
      <c r="AB174" s="131">
        <v>0</v>
      </c>
      <c r="AC174" s="131">
        <v>0</v>
      </c>
      <c r="AD174" s="131">
        <v>0</v>
      </c>
      <c r="AE174" s="131">
        <v>0</v>
      </c>
      <c r="AF174" s="131">
        <v>0</v>
      </c>
      <c r="AG174" s="131"/>
      <c r="AH174" s="131">
        <v>0</v>
      </c>
      <c r="AI174" s="131"/>
      <c r="AJ174" s="131">
        <v>0</v>
      </c>
      <c r="AK174" s="131">
        <v>0</v>
      </c>
      <c r="AL174" s="131">
        <v>0</v>
      </c>
      <c r="AM174" s="131">
        <v>0</v>
      </c>
      <c r="AN174" s="131"/>
      <c r="AO174" s="131">
        <v>0</v>
      </c>
      <c r="AP174" s="146"/>
      <c r="AQ174" s="146">
        <v>0</v>
      </c>
      <c r="AR174" s="146">
        <v>0</v>
      </c>
      <c r="AS174" s="146">
        <v>0</v>
      </c>
      <c r="AT174" s="146">
        <v>0</v>
      </c>
      <c r="AU174" s="146">
        <v>0</v>
      </c>
      <c r="AV174" s="146">
        <v>0</v>
      </c>
      <c r="AW174" s="146">
        <v>0</v>
      </c>
      <c r="AX174" s="146">
        <v>0</v>
      </c>
      <c r="AY174" s="146">
        <v>0</v>
      </c>
      <c r="AZ174" s="146">
        <v>0</v>
      </c>
      <c r="BA174" s="146">
        <v>0</v>
      </c>
      <c r="BB174" s="146">
        <v>0</v>
      </c>
      <c r="BC174" s="146">
        <v>0</v>
      </c>
      <c r="BD174" s="146">
        <v>0</v>
      </c>
      <c r="BE174" s="146">
        <v>0</v>
      </c>
      <c r="BF174" s="146">
        <v>0</v>
      </c>
      <c r="BG174" s="146">
        <v>0</v>
      </c>
      <c r="BH174" s="146">
        <v>0</v>
      </c>
      <c r="BI174" s="146">
        <v>0</v>
      </c>
      <c r="BJ174" s="146">
        <v>0</v>
      </c>
      <c r="BK174" s="147">
        <v>0</v>
      </c>
      <c r="BL174" s="147">
        <v>0</v>
      </c>
      <c r="BM174" s="147">
        <v>0</v>
      </c>
      <c r="BN174" s="147">
        <v>0</v>
      </c>
      <c r="BO174" s="147">
        <v>0</v>
      </c>
      <c r="BP174" s="147">
        <v>0</v>
      </c>
      <c r="BQ174" s="147">
        <v>0</v>
      </c>
      <c r="BR174" s="147">
        <v>0</v>
      </c>
      <c r="BS174" s="147">
        <v>0</v>
      </c>
      <c r="BT174" s="147">
        <v>0</v>
      </c>
      <c r="BU174" s="147">
        <v>0</v>
      </c>
      <c r="BV174" s="147">
        <v>0</v>
      </c>
      <c r="BW174" s="147">
        <v>0</v>
      </c>
      <c r="BX174" s="147">
        <v>0</v>
      </c>
      <c r="BY174" s="147">
        <v>0</v>
      </c>
      <c r="BZ174" s="147">
        <v>0</v>
      </c>
      <c r="CA174" s="147">
        <v>0</v>
      </c>
      <c r="CB174" s="147">
        <v>0</v>
      </c>
      <c r="CC174" s="147">
        <v>0</v>
      </c>
      <c r="CD174" s="147">
        <v>0</v>
      </c>
      <c r="CE174" s="147">
        <v>0</v>
      </c>
      <c r="CF174" s="147">
        <v>0</v>
      </c>
      <c r="CG174" s="147">
        <v>0</v>
      </c>
      <c r="CH174" s="147"/>
      <c r="CI174" s="147">
        <v>0</v>
      </c>
      <c r="CJ174" s="147">
        <v>0</v>
      </c>
      <c r="CK174" s="147">
        <v>0</v>
      </c>
      <c r="CL174" s="147"/>
      <c r="CM174" s="147">
        <v>0</v>
      </c>
      <c r="CN174" s="147">
        <v>0</v>
      </c>
      <c r="CO174" s="147">
        <v>0</v>
      </c>
      <c r="CP174" s="147"/>
      <c r="CQ174" s="147">
        <v>0</v>
      </c>
      <c r="CR174" s="147">
        <v>0</v>
      </c>
      <c r="CS174" s="148">
        <v>0</v>
      </c>
      <c r="CT174" s="148"/>
      <c r="CU174" s="148"/>
      <c r="CV174" s="148">
        <v>0</v>
      </c>
      <c r="CW174" s="148">
        <v>0</v>
      </c>
      <c r="CX174" s="148">
        <v>0</v>
      </c>
      <c r="CY174" s="148">
        <v>0</v>
      </c>
      <c r="CZ174" s="148">
        <v>0</v>
      </c>
      <c r="DA174" s="148">
        <v>0</v>
      </c>
      <c r="DB174" s="148">
        <v>0</v>
      </c>
      <c r="DC174" s="148">
        <v>0</v>
      </c>
      <c r="DD174" s="148">
        <v>0</v>
      </c>
      <c r="DE174" s="148">
        <v>0</v>
      </c>
      <c r="DF174" s="148">
        <v>0</v>
      </c>
      <c r="DG174" s="148"/>
      <c r="DH174" s="148"/>
      <c r="DI174" s="148"/>
      <c r="DJ174" s="148"/>
      <c r="DK174" s="148"/>
      <c r="DL174" s="148"/>
      <c r="DM174" s="148"/>
      <c r="DN174" s="148"/>
      <c r="DO174" s="148"/>
      <c r="DP174" s="148"/>
      <c r="DQ174" s="148"/>
      <c r="DR174" s="148"/>
      <c r="DS174" s="148"/>
      <c r="DT174" s="148"/>
      <c r="DU174" s="148"/>
      <c r="DV174" s="148"/>
      <c r="DW174" s="148"/>
      <c r="DX174" s="148"/>
      <c r="DY174" s="148"/>
      <c r="DZ174" s="148"/>
      <c r="EA174" s="148"/>
      <c r="EB174" s="148"/>
      <c r="EC174" s="148"/>
      <c r="ED174" s="148"/>
      <c r="EE174" s="148"/>
      <c r="EF174" s="148"/>
      <c r="EG174" s="148"/>
      <c r="EH174" s="148"/>
      <c r="EI174" s="148"/>
      <c r="EJ174" s="148"/>
      <c r="EK174" s="148"/>
      <c r="EL174" s="148"/>
      <c r="EM174" s="148"/>
      <c r="EN174" s="148"/>
      <c r="EO174" s="148"/>
      <c r="EP174" s="148"/>
      <c r="EQ174" s="148"/>
      <c r="ER174" s="148"/>
      <c r="ES174" s="148"/>
      <c r="ET174" s="148"/>
      <c r="EU174" s="148"/>
      <c r="EV174" s="148"/>
      <c r="EW174" s="148"/>
      <c r="EX174" s="148"/>
      <c r="EY174" s="148"/>
      <c r="EZ174" s="148"/>
      <c r="FA174" s="148"/>
      <c r="FB174" s="148"/>
      <c r="FC174" s="148"/>
      <c r="FD174" s="148"/>
      <c r="FE174" s="148"/>
      <c r="FF174" s="148"/>
      <c r="FG174" s="148"/>
      <c r="FH174" s="148"/>
      <c r="FI174" s="148"/>
      <c r="FJ174" s="148"/>
      <c r="FN174" s="151">
        <f t="shared" si="484"/>
        <v>11</v>
      </c>
      <c r="FO174" s="152">
        <f t="shared" si="485"/>
        <v>5</v>
      </c>
      <c r="FP174" s="152">
        <f t="shared" si="486"/>
        <v>3</v>
      </c>
      <c r="FQ174" s="152">
        <f t="shared" si="487"/>
        <v>0</v>
      </c>
      <c r="FR174" s="152">
        <f t="shared" si="488"/>
        <v>4</v>
      </c>
      <c r="FS174" s="152">
        <f t="shared" si="489"/>
        <v>0</v>
      </c>
      <c r="FT174" s="152">
        <f t="shared" si="490"/>
        <v>0</v>
      </c>
      <c r="FU174" s="152">
        <f t="shared" si="491"/>
        <v>0</v>
      </c>
      <c r="FV174" s="152">
        <f t="shared" si="492"/>
        <v>0</v>
      </c>
      <c r="FW174" s="152">
        <f t="shared" si="493"/>
        <v>0</v>
      </c>
      <c r="FX174" s="152">
        <f t="shared" si="494"/>
        <v>0</v>
      </c>
      <c r="FY174" s="152">
        <f t="shared" si="495"/>
        <v>0</v>
      </c>
      <c r="FZ174" s="152">
        <f t="shared" si="496"/>
        <v>0</v>
      </c>
      <c r="GA174" s="152">
        <f t="shared" si="497"/>
        <v>0</v>
      </c>
      <c r="GB174" s="152">
        <f t="shared" si="498"/>
        <v>0</v>
      </c>
      <c r="GC174" s="152">
        <f t="shared" si="499"/>
        <v>0</v>
      </c>
      <c r="GD174" s="152">
        <f t="shared" si="500"/>
        <v>0</v>
      </c>
      <c r="GE174" s="152">
        <f t="shared" si="501"/>
        <v>0</v>
      </c>
      <c r="GF174" s="152">
        <f t="shared" si="502"/>
        <v>0</v>
      </c>
      <c r="GG174" s="152">
        <f t="shared" si="503"/>
        <v>0</v>
      </c>
      <c r="GH174" s="152">
        <f t="shared" si="504"/>
        <v>0</v>
      </c>
      <c r="GI174" s="152">
        <f t="shared" si="505"/>
        <v>0</v>
      </c>
      <c r="GJ174" s="152">
        <f t="shared" si="506"/>
        <v>0</v>
      </c>
      <c r="GK174" s="152">
        <f t="shared" si="507"/>
        <v>0</v>
      </c>
      <c r="GL174" s="152">
        <f t="shared" si="508"/>
        <v>0</v>
      </c>
      <c r="GM174" s="152">
        <f t="shared" si="509"/>
        <v>0</v>
      </c>
      <c r="GN174" s="152">
        <f t="shared" si="510"/>
        <v>0</v>
      </c>
      <c r="GO174" s="152">
        <f t="shared" si="511"/>
        <v>0</v>
      </c>
      <c r="GP174" s="152">
        <f t="shared" si="512"/>
        <v>0</v>
      </c>
      <c r="GQ174" s="152">
        <f t="shared" si="513"/>
        <v>0</v>
      </c>
      <c r="GR174" s="152">
        <f t="shared" si="514"/>
        <v>0</v>
      </c>
      <c r="GS174" s="152">
        <f t="shared" si="515"/>
        <v>0</v>
      </c>
      <c r="GT174" s="152">
        <f t="shared" si="516"/>
        <v>0</v>
      </c>
      <c r="GU174" s="152">
        <f t="shared" si="517"/>
        <v>0</v>
      </c>
      <c r="GV174" s="152">
        <f t="shared" si="518"/>
        <v>0</v>
      </c>
      <c r="GW174" s="152">
        <f t="shared" si="519"/>
        <v>0</v>
      </c>
      <c r="GX174" s="152">
        <f t="shared" si="520"/>
        <v>0</v>
      </c>
      <c r="GY174" s="152">
        <f t="shared" si="521"/>
        <v>0</v>
      </c>
      <c r="GZ174" s="152">
        <f t="shared" si="522"/>
        <v>0</v>
      </c>
      <c r="HA174" s="152">
        <f t="shared" si="523"/>
        <v>0</v>
      </c>
      <c r="HB174" s="152">
        <f t="shared" si="524"/>
        <v>0</v>
      </c>
      <c r="HC174" s="152">
        <f t="shared" si="525"/>
        <v>0</v>
      </c>
      <c r="HD174" s="152">
        <f t="shared" si="526"/>
        <v>0</v>
      </c>
      <c r="HE174" s="152">
        <f t="shared" si="527"/>
        <v>0</v>
      </c>
      <c r="HF174" s="152">
        <f t="shared" si="528"/>
        <v>0</v>
      </c>
      <c r="HG174" s="152">
        <f t="shared" si="529"/>
        <v>0</v>
      </c>
      <c r="HH174" s="152">
        <f t="shared" si="530"/>
        <v>0</v>
      </c>
      <c r="HI174" s="152">
        <f t="shared" si="531"/>
        <v>0</v>
      </c>
      <c r="HJ174" s="153">
        <f t="shared" si="532"/>
        <v>0</v>
      </c>
      <c r="HK174" s="153">
        <f t="shared" si="533"/>
        <v>0</v>
      </c>
      <c r="HL174" s="153">
        <f t="shared" si="534"/>
        <v>0</v>
      </c>
      <c r="HM174" s="153">
        <f t="shared" si="535"/>
        <v>0</v>
      </c>
      <c r="HN174" s="153">
        <f t="shared" si="536"/>
        <v>0</v>
      </c>
      <c r="HO174" s="153">
        <f t="shared" si="537"/>
        <v>0</v>
      </c>
      <c r="HP174" s="153">
        <f t="shared" si="538"/>
        <v>0</v>
      </c>
      <c r="HQ174" s="101"/>
      <c r="HU174" s="155">
        <f t="shared" si="468"/>
        <v>19</v>
      </c>
      <c r="HV174" s="155">
        <f t="shared" si="469"/>
        <v>4</v>
      </c>
      <c r="HW174" s="155">
        <f t="shared" si="470"/>
        <v>0</v>
      </c>
      <c r="HX174" s="156">
        <f t="shared" si="471"/>
        <v>0</v>
      </c>
      <c r="HY174" s="146">
        <f t="shared" si="472"/>
        <v>0</v>
      </c>
      <c r="HZ174" s="146">
        <f t="shared" si="473"/>
        <v>0</v>
      </c>
      <c r="IA174" s="146">
        <f t="shared" si="474"/>
        <v>0</v>
      </c>
      <c r="IB174" s="157">
        <f t="shared" si="475"/>
        <v>0</v>
      </c>
      <c r="IC174" s="157">
        <f t="shared" si="476"/>
        <v>0</v>
      </c>
      <c r="ID174" s="157">
        <f t="shared" si="477"/>
        <v>0</v>
      </c>
      <c r="IE174" s="157">
        <f t="shared" si="478"/>
        <v>0</v>
      </c>
      <c r="IF174" s="157">
        <f t="shared" si="479"/>
        <v>0</v>
      </c>
      <c r="IG174" s="157">
        <f t="shared" si="480"/>
        <v>0</v>
      </c>
    </row>
    <row r="175" spans="1:241" outlineLevel="2" x14ac:dyDescent="0.3">
      <c r="A175" s="71" t="s">
        <v>147</v>
      </c>
      <c r="B175" s="161">
        <v>0</v>
      </c>
      <c r="C175" s="161">
        <v>0</v>
      </c>
      <c r="D175" s="161">
        <v>0</v>
      </c>
      <c r="E175" s="159">
        <v>0</v>
      </c>
      <c r="F175" s="160">
        <v>0</v>
      </c>
      <c r="G175" s="159">
        <v>0</v>
      </c>
      <c r="H175" s="159">
        <v>0</v>
      </c>
      <c r="I175" s="159">
        <v>0</v>
      </c>
      <c r="J175" s="159">
        <v>0</v>
      </c>
      <c r="K175" s="159">
        <v>0</v>
      </c>
      <c r="L175" s="159">
        <v>0</v>
      </c>
      <c r="M175" s="159">
        <v>0</v>
      </c>
      <c r="N175" s="160">
        <v>0</v>
      </c>
      <c r="O175" s="161">
        <v>0</v>
      </c>
      <c r="P175" s="161">
        <v>0</v>
      </c>
      <c r="Q175" s="159">
        <v>0</v>
      </c>
      <c r="R175" s="160">
        <v>0</v>
      </c>
      <c r="S175" s="161">
        <v>0</v>
      </c>
      <c r="T175" s="161">
        <v>0</v>
      </c>
      <c r="U175" s="161">
        <v>0</v>
      </c>
      <c r="V175" s="161">
        <v>0</v>
      </c>
      <c r="W175" s="161">
        <v>0</v>
      </c>
      <c r="X175" s="161">
        <v>0</v>
      </c>
      <c r="Y175" s="161">
        <v>0</v>
      </c>
      <c r="Z175" s="161">
        <v>0</v>
      </c>
      <c r="AA175" s="161">
        <v>0</v>
      </c>
      <c r="AB175" s="161">
        <v>0</v>
      </c>
      <c r="AC175" s="161">
        <v>0</v>
      </c>
      <c r="AD175" s="161">
        <v>0</v>
      </c>
      <c r="AE175" s="161">
        <v>0</v>
      </c>
      <c r="AF175" s="161">
        <v>0</v>
      </c>
      <c r="AG175" s="161"/>
      <c r="AH175" s="161">
        <v>0</v>
      </c>
      <c r="AI175" s="161"/>
      <c r="AJ175" s="161"/>
      <c r="AK175" s="161">
        <v>0</v>
      </c>
      <c r="AL175" s="161">
        <v>0</v>
      </c>
      <c r="AM175" s="161">
        <v>0</v>
      </c>
      <c r="AN175" s="161"/>
      <c r="AO175" s="161">
        <v>0</v>
      </c>
      <c r="AP175" s="160"/>
      <c r="AQ175" s="160">
        <v>0</v>
      </c>
      <c r="AR175" s="160">
        <v>0</v>
      </c>
      <c r="AS175" s="160">
        <v>0</v>
      </c>
      <c r="AT175" s="160">
        <v>0</v>
      </c>
      <c r="AU175" s="160">
        <v>0</v>
      </c>
      <c r="AV175" s="160">
        <v>0</v>
      </c>
      <c r="AW175" s="160">
        <v>0</v>
      </c>
      <c r="AX175" s="160">
        <v>0</v>
      </c>
      <c r="AY175" s="160">
        <v>0</v>
      </c>
      <c r="AZ175" s="160">
        <v>0</v>
      </c>
      <c r="BA175" s="160">
        <v>0</v>
      </c>
      <c r="BB175" s="160">
        <v>0</v>
      </c>
      <c r="BC175" s="160">
        <v>0</v>
      </c>
      <c r="BD175" s="160">
        <v>0</v>
      </c>
      <c r="BE175" s="160">
        <v>0</v>
      </c>
      <c r="BF175" s="160">
        <v>0</v>
      </c>
      <c r="BG175" s="160">
        <v>0</v>
      </c>
      <c r="BH175" s="160">
        <v>0</v>
      </c>
      <c r="BI175" s="160">
        <v>0</v>
      </c>
      <c r="BJ175" s="160">
        <v>0</v>
      </c>
      <c r="BK175" s="162">
        <v>0</v>
      </c>
      <c r="BL175" s="162">
        <v>0</v>
      </c>
      <c r="BM175" s="162">
        <v>0</v>
      </c>
      <c r="BN175" s="162">
        <v>0</v>
      </c>
      <c r="BO175" s="162">
        <v>0</v>
      </c>
      <c r="BP175" s="162">
        <v>0</v>
      </c>
      <c r="BQ175" s="162">
        <v>0</v>
      </c>
      <c r="BR175" s="162">
        <v>0</v>
      </c>
      <c r="BS175" s="162">
        <v>0</v>
      </c>
      <c r="BT175" s="162">
        <v>0</v>
      </c>
      <c r="BU175" s="162">
        <v>0</v>
      </c>
      <c r="BV175" s="162">
        <v>0</v>
      </c>
      <c r="BW175" s="162">
        <v>0</v>
      </c>
      <c r="BX175" s="162">
        <v>0</v>
      </c>
      <c r="BY175" s="162">
        <v>0</v>
      </c>
      <c r="BZ175" s="162">
        <v>0</v>
      </c>
      <c r="CA175" s="162">
        <v>0</v>
      </c>
      <c r="CB175" s="162">
        <v>0</v>
      </c>
      <c r="CC175" s="162">
        <v>0</v>
      </c>
      <c r="CD175" s="162">
        <v>0</v>
      </c>
      <c r="CE175" s="162">
        <v>0</v>
      </c>
      <c r="CF175" s="162">
        <v>0</v>
      </c>
      <c r="CG175" s="162">
        <v>0</v>
      </c>
      <c r="CH175" s="162"/>
      <c r="CI175" s="162">
        <v>0</v>
      </c>
      <c r="CJ175" s="162"/>
      <c r="CK175" s="162"/>
      <c r="CL175" s="162">
        <v>0</v>
      </c>
      <c r="CM175" s="162"/>
      <c r="CN175" s="162"/>
      <c r="CO175" s="162"/>
      <c r="CP175" s="162">
        <v>0</v>
      </c>
      <c r="CQ175" s="176"/>
      <c r="CR175" s="176"/>
      <c r="CS175" s="177"/>
      <c r="CT175" s="177"/>
      <c r="CU175" s="177"/>
      <c r="CV175" s="177"/>
      <c r="CW175" s="177"/>
      <c r="CX175" s="177"/>
      <c r="CY175" s="177"/>
      <c r="CZ175" s="177"/>
      <c r="DA175" s="177"/>
      <c r="DB175" s="177"/>
      <c r="DC175" s="177"/>
      <c r="DD175" s="177"/>
      <c r="DE175" s="177"/>
      <c r="DF175" s="177"/>
      <c r="DG175" s="177"/>
      <c r="DH175" s="177"/>
      <c r="DI175" s="177"/>
      <c r="DJ175" s="177"/>
      <c r="DK175" s="177"/>
      <c r="DL175" s="177"/>
      <c r="DM175" s="177"/>
      <c r="DN175" s="177"/>
      <c r="DO175" s="177"/>
      <c r="DP175" s="177"/>
      <c r="DQ175" s="177"/>
      <c r="DR175" s="177"/>
      <c r="DS175" s="177"/>
      <c r="DT175" s="177"/>
      <c r="DU175" s="177"/>
      <c r="DV175" s="177"/>
      <c r="DW175" s="177"/>
      <c r="DX175" s="177"/>
      <c r="DY175" s="177"/>
      <c r="DZ175" s="177"/>
      <c r="EA175" s="177"/>
      <c r="EB175" s="177"/>
      <c r="EC175" s="177"/>
      <c r="ED175" s="177"/>
      <c r="EE175" s="177"/>
      <c r="EF175" s="177"/>
      <c r="EG175" s="177"/>
      <c r="EH175" s="177"/>
      <c r="EI175" s="177"/>
      <c r="EJ175" s="177"/>
      <c r="EK175" s="177"/>
      <c r="EL175" s="177"/>
      <c r="EM175" s="177"/>
      <c r="EN175" s="177"/>
      <c r="EO175" s="177"/>
      <c r="EP175" s="177"/>
      <c r="EQ175" s="177"/>
      <c r="ER175" s="177"/>
      <c r="ES175" s="177"/>
      <c r="ET175" s="177"/>
      <c r="EU175" s="177"/>
      <c r="EV175" s="177"/>
      <c r="EW175" s="177"/>
      <c r="EX175" s="177"/>
      <c r="EY175" s="177"/>
      <c r="EZ175" s="177"/>
      <c r="FA175" s="177"/>
      <c r="FB175" s="177"/>
      <c r="FC175" s="177"/>
      <c r="FD175" s="177"/>
      <c r="FE175" s="177"/>
      <c r="FF175" s="177"/>
      <c r="FG175" s="177"/>
      <c r="FH175" s="177"/>
      <c r="FI175" s="177"/>
      <c r="FJ175" s="177"/>
      <c r="FN175" s="165">
        <f t="shared" si="484"/>
        <v>0</v>
      </c>
      <c r="FO175" s="166">
        <f t="shared" si="485"/>
        <v>0</v>
      </c>
      <c r="FP175" s="166">
        <f t="shared" si="486"/>
        <v>0</v>
      </c>
      <c r="FQ175" s="166">
        <f t="shared" si="487"/>
        <v>0</v>
      </c>
      <c r="FR175" s="166">
        <f t="shared" si="488"/>
        <v>0</v>
      </c>
      <c r="FS175" s="166">
        <f t="shared" si="489"/>
        <v>0</v>
      </c>
      <c r="FT175" s="166">
        <f t="shared" si="490"/>
        <v>0</v>
      </c>
      <c r="FU175" s="166">
        <f t="shared" si="491"/>
        <v>0</v>
      </c>
      <c r="FV175" s="166">
        <f t="shared" si="492"/>
        <v>0</v>
      </c>
      <c r="FW175" s="166">
        <f t="shared" si="493"/>
        <v>0</v>
      </c>
      <c r="FX175" s="166">
        <f t="shared" si="494"/>
        <v>0</v>
      </c>
      <c r="FY175" s="166">
        <f t="shared" si="495"/>
        <v>0</v>
      </c>
      <c r="FZ175" s="166">
        <f t="shared" si="496"/>
        <v>0</v>
      </c>
      <c r="GA175" s="166">
        <f t="shared" si="497"/>
        <v>0</v>
      </c>
      <c r="GB175" s="166">
        <f t="shared" si="498"/>
        <v>0</v>
      </c>
      <c r="GC175" s="166">
        <f t="shared" si="499"/>
        <v>0</v>
      </c>
      <c r="GD175" s="166">
        <f t="shared" si="500"/>
        <v>0</v>
      </c>
      <c r="GE175" s="166">
        <f t="shared" si="501"/>
        <v>0</v>
      </c>
      <c r="GF175" s="166">
        <f t="shared" si="502"/>
        <v>0</v>
      </c>
      <c r="GG175" s="166">
        <f t="shared" si="503"/>
        <v>0</v>
      </c>
      <c r="GH175" s="166">
        <f t="shared" si="504"/>
        <v>0</v>
      </c>
      <c r="GI175" s="166">
        <f t="shared" si="505"/>
        <v>0</v>
      </c>
      <c r="GJ175" s="166">
        <f t="shared" si="506"/>
        <v>0</v>
      </c>
      <c r="GK175" s="166">
        <f t="shared" si="507"/>
        <v>0</v>
      </c>
      <c r="GL175" s="166">
        <f t="shared" si="508"/>
        <v>0</v>
      </c>
      <c r="GM175" s="166">
        <f t="shared" si="509"/>
        <v>0</v>
      </c>
      <c r="GN175" s="166">
        <f t="shared" si="510"/>
        <v>0</v>
      </c>
      <c r="GO175" s="166">
        <f t="shared" si="511"/>
        <v>0</v>
      </c>
      <c r="GP175" s="166">
        <f t="shared" si="512"/>
        <v>0</v>
      </c>
      <c r="GQ175" s="166">
        <f t="shared" si="513"/>
        <v>0</v>
      </c>
      <c r="GR175" s="166">
        <f t="shared" si="514"/>
        <v>0</v>
      </c>
      <c r="GS175" s="166">
        <f t="shared" si="515"/>
        <v>0</v>
      </c>
      <c r="GT175" s="166">
        <f t="shared" si="516"/>
        <v>0</v>
      </c>
      <c r="GU175" s="166">
        <f t="shared" si="517"/>
        <v>0</v>
      </c>
      <c r="GV175" s="166">
        <f t="shared" si="518"/>
        <v>0</v>
      </c>
      <c r="GW175" s="166">
        <f t="shared" si="519"/>
        <v>0</v>
      </c>
      <c r="GX175" s="166">
        <f t="shared" si="520"/>
        <v>0</v>
      </c>
      <c r="GY175" s="166">
        <f t="shared" si="521"/>
        <v>0</v>
      </c>
      <c r="GZ175" s="166">
        <f t="shared" si="522"/>
        <v>0</v>
      </c>
      <c r="HA175" s="166">
        <f t="shared" si="523"/>
        <v>0</v>
      </c>
      <c r="HB175" s="166">
        <f t="shared" si="524"/>
        <v>0</v>
      </c>
      <c r="HC175" s="166">
        <f t="shared" si="525"/>
        <v>0</v>
      </c>
      <c r="HD175" s="166">
        <f t="shared" si="526"/>
        <v>0</v>
      </c>
      <c r="HE175" s="166">
        <f t="shared" si="527"/>
        <v>0</v>
      </c>
      <c r="HF175" s="166">
        <f t="shared" si="528"/>
        <v>0</v>
      </c>
      <c r="HG175" s="166">
        <f t="shared" si="529"/>
        <v>0</v>
      </c>
      <c r="HH175" s="166">
        <f t="shared" si="530"/>
        <v>0</v>
      </c>
      <c r="HI175" s="166">
        <f t="shared" si="531"/>
        <v>0</v>
      </c>
      <c r="HJ175" s="167">
        <f t="shared" si="532"/>
        <v>0</v>
      </c>
      <c r="HK175" s="167">
        <f t="shared" si="533"/>
        <v>0</v>
      </c>
      <c r="HL175" s="167">
        <f t="shared" si="534"/>
        <v>0</v>
      </c>
      <c r="HM175" s="167">
        <f t="shared" si="535"/>
        <v>0</v>
      </c>
      <c r="HN175" s="167">
        <f t="shared" si="536"/>
        <v>0</v>
      </c>
      <c r="HO175" s="167">
        <f t="shared" si="537"/>
        <v>0</v>
      </c>
      <c r="HP175" s="167">
        <f t="shared" si="538"/>
        <v>0</v>
      </c>
      <c r="HQ175" s="168"/>
      <c r="HU175" s="169">
        <f t="shared" si="468"/>
        <v>0</v>
      </c>
      <c r="HV175" s="169">
        <f t="shared" si="469"/>
        <v>0</v>
      </c>
      <c r="HW175" s="169">
        <f t="shared" si="470"/>
        <v>0</v>
      </c>
      <c r="HX175" s="170">
        <f t="shared" si="471"/>
        <v>0</v>
      </c>
      <c r="HY175" s="160">
        <f t="shared" si="472"/>
        <v>0</v>
      </c>
      <c r="HZ175" s="160">
        <f t="shared" si="473"/>
        <v>0</v>
      </c>
      <c r="IA175" s="160">
        <f t="shared" si="474"/>
        <v>0</v>
      </c>
      <c r="IB175" s="171">
        <f t="shared" si="475"/>
        <v>0</v>
      </c>
      <c r="IC175" s="171">
        <f t="shared" si="476"/>
        <v>0</v>
      </c>
      <c r="ID175" s="171">
        <f t="shared" si="477"/>
        <v>0</v>
      </c>
      <c r="IE175" s="171">
        <f t="shared" si="478"/>
        <v>0</v>
      </c>
      <c r="IF175" s="171">
        <f t="shared" si="479"/>
        <v>0</v>
      </c>
      <c r="IG175" s="171">
        <f t="shared" si="480"/>
        <v>0</v>
      </c>
    </row>
    <row r="176" spans="1:241" outlineLevel="2" x14ac:dyDescent="0.3">
      <c r="A176" s="63" t="s">
        <v>177</v>
      </c>
      <c r="B176" s="131">
        <v>0</v>
      </c>
      <c r="C176" s="131">
        <v>0</v>
      </c>
      <c r="D176" s="131">
        <v>0</v>
      </c>
      <c r="E176" s="145">
        <v>0</v>
      </c>
      <c r="F176" s="146">
        <v>0</v>
      </c>
      <c r="G176" s="145">
        <v>0</v>
      </c>
      <c r="H176" s="145">
        <v>0</v>
      </c>
      <c r="I176" s="145">
        <v>0</v>
      </c>
      <c r="J176" s="145">
        <v>0</v>
      </c>
      <c r="K176" s="145">
        <v>0</v>
      </c>
      <c r="L176" s="145">
        <v>0</v>
      </c>
      <c r="M176" s="145">
        <v>0</v>
      </c>
      <c r="N176" s="146">
        <v>0</v>
      </c>
      <c r="O176" s="131">
        <v>0</v>
      </c>
      <c r="P176" s="131">
        <v>0</v>
      </c>
      <c r="Q176" s="145">
        <v>0</v>
      </c>
      <c r="R176" s="146">
        <v>0</v>
      </c>
      <c r="S176" s="131">
        <v>0</v>
      </c>
      <c r="T176" s="131">
        <v>0</v>
      </c>
      <c r="U176" s="131">
        <v>0</v>
      </c>
      <c r="V176" s="131">
        <v>0</v>
      </c>
      <c r="W176" s="131">
        <v>0</v>
      </c>
      <c r="X176" s="131">
        <v>0</v>
      </c>
      <c r="Y176" s="131">
        <v>0</v>
      </c>
      <c r="Z176" s="131">
        <v>0</v>
      </c>
      <c r="AA176" s="131">
        <v>0</v>
      </c>
      <c r="AB176" s="131">
        <v>0</v>
      </c>
      <c r="AC176" s="131">
        <v>1</v>
      </c>
      <c r="AD176" s="131">
        <v>193</v>
      </c>
      <c r="AE176" s="131">
        <v>187</v>
      </c>
      <c r="AF176" s="131">
        <v>126</v>
      </c>
      <c r="AG176" s="131">
        <v>60</v>
      </c>
      <c r="AH176" s="131">
        <v>165</v>
      </c>
      <c r="AI176" s="131">
        <v>204</v>
      </c>
      <c r="AJ176" s="131">
        <v>137</v>
      </c>
      <c r="AK176" s="131">
        <v>0</v>
      </c>
      <c r="AL176" s="131">
        <v>0</v>
      </c>
      <c r="AM176" s="131">
        <v>62</v>
      </c>
      <c r="AN176" s="131">
        <v>71</v>
      </c>
      <c r="AO176" s="131">
        <v>60</v>
      </c>
      <c r="AP176" s="146">
        <v>67</v>
      </c>
      <c r="AQ176" s="146">
        <v>125</v>
      </c>
      <c r="AR176" s="146">
        <v>60</v>
      </c>
      <c r="AS176" s="146">
        <v>60</v>
      </c>
      <c r="AT176" s="146">
        <v>60</v>
      </c>
      <c r="AU176" s="146">
        <v>35</v>
      </c>
      <c r="AV176" s="146">
        <v>205</v>
      </c>
      <c r="AW176" s="146">
        <v>0</v>
      </c>
      <c r="AX176" s="146">
        <v>60</v>
      </c>
      <c r="AY176" s="146">
        <v>52</v>
      </c>
      <c r="AZ176" s="146">
        <v>8</v>
      </c>
      <c r="BA176" s="146">
        <v>0</v>
      </c>
      <c r="BB176" s="146">
        <v>360</v>
      </c>
      <c r="BC176" s="146">
        <v>120</v>
      </c>
      <c r="BD176" s="146">
        <v>0</v>
      </c>
      <c r="BE176" s="146">
        <v>300</v>
      </c>
      <c r="BF176" s="146">
        <v>120</v>
      </c>
      <c r="BG176" s="146">
        <v>179</v>
      </c>
      <c r="BH176" s="146">
        <v>360</v>
      </c>
      <c r="BI176" s="146">
        <v>91</v>
      </c>
      <c r="BJ176" s="146">
        <v>58</v>
      </c>
      <c r="BK176" s="147">
        <v>280</v>
      </c>
      <c r="BL176" s="147">
        <v>150</v>
      </c>
      <c r="BM176" s="147">
        <v>178</v>
      </c>
      <c r="BN176" s="147">
        <v>195</v>
      </c>
      <c r="BO176" s="147">
        <v>171</v>
      </c>
      <c r="BP176" s="147">
        <v>93</v>
      </c>
      <c r="BQ176" s="147">
        <v>119</v>
      </c>
      <c r="BR176" s="147">
        <v>151</v>
      </c>
      <c r="BS176" s="147">
        <v>170</v>
      </c>
      <c r="BT176" s="147">
        <v>132</v>
      </c>
      <c r="BU176" s="147">
        <v>140</v>
      </c>
      <c r="BV176" s="147">
        <v>164</v>
      </c>
      <c r="BW176" s="147">
        <v>196</v>
      </c>
      <c r="BX176" s="147">
        <v>181</v>
      </c>
      <c r="BY176" s="147">
        <v>230</v>
      </c>
      <c r="BZ176" s="147">
        <v>124</v>
      </c>
      <c r="CA176" s="147">
        <v>193</v>
      </c>
      <c r="CB176" s="147">
        <v>49</v>
      </c>
      <c r="CC176" s="147">
        <v>258</v>
      </c>
      <c r="CD176" s="147">
        <v>83</v>
      </c>
      <c r="CE176" s="147">
        <v>110</v>
      </c>
      <c r="CF176" s="147">
        <v>20</v>
      </c>
      <c r="CG176" s="147">
        <v>6</v>
      </c>
      <c r="CH176" s="147">
        <v>30</v>
      </c>
      <c r="CI176" s="147">
        <v>182</v>
      </c>
      <c r="CJ176" s="147">
        <v>148</v>
      </c>
      <c r="CK176" s="147">
        <v>270</v>
      </c>
      <c r="CL176" s="147">
        <v>119</v>
      </c>
      <c r="CM176" s="147">
        <v>155</v>
      </c>
      <c r="CN176" s="147">
        <v>60</v>
      </c>
      <c r="CO176" s="147">
        <v>45</v>
      </c>
      <c r="CP176" s="147">
        <v>15</v>
      </c>
      <c r="CQ176" s="147">
        <v>60</v>
      </c>
      <c r="CR176" s="147">
        <v>60</v>
      </c>
      <c r="CS176" s="174">
        <v>216</v>
      </c>
      <c r="CT176" s="174"/>
      <c r="CU176" s="174"/>
      <c r="CV176" s="174">
        <v>142</v>
      </c>
      <c r="CW176" s="174">
        <v>215</v>
      </c>
      <c r="CX176" s="174">
        <v>307</v>
      </c>
      <c r="CY176" s="174">
        <v>140</v>
      </c>
      <c r="CZ176" s="174">
        <v>54</v>
      </c>
      <c r="DA176" s="174">
        <v>26</v>
      </c>
      <c r="DB176" s="174">
        <v>78</v>
      </c>
      <c r="DC176" s="174">
        <v>63</v>
      </c>
      <c r="DD176" s="174">
        <v>117</v>
      </c>
      <c r="DE176" s="174">
        <v>100</v>
      </c>
      <c r="DF176" s="174">
        <v>217</v>
      </c>
      <c r="DG176" s="174">
        <v>55</v>
      </c>
      <c r="DH176" s="174">
        <v>193</v>
      </c>
      <c r="DI176" s="174">
        <v>30</v>
      </c>
      <c r="DJ176" s="174">
        <v>6</v>
      </c>
      <c r="DK176" s="174">
        <v>90</v>
      </c>
      <c r="DL176" s="174">
        <v>60</v>
      </c>
      <c r="DM176" s="174">
        <v>0</v>
      </c>
      <c r="DN176" s="174">
        <v>84</v>
      </c>
      <c r="DO176" s="174">
        <v>30</v>
      </c>
      <c r="DP176" s="174">
        <v>42</v>
      </c>
      <c r="DQ176" s="174">
        <v>123</v>
      </c>
      <c r="DR176" s="174">
        <v>3</v>
      </c>
      <c r="DS176" s="174">
        <v>1</v>
      </c>
      <c r="DT176" s="174">
        <v>179</v>
      </c>
      <c r="DU176" s="174">
        <v>2</v>
      </c>
      <c r="DV176" s="174">
        <v>8</v>
      </c>
      <c r="DW176" s="174">
        <v>94</v>
      </c>
      <c r="DX176" s="174">
        <v>88</v>
      </c>
      <c r="DY176" s="174">
        <v>26</v>
      </c>
      <c r="DZ176" s="174">
        <v>22</v>
      </c>
      <c r="EA176" s="174">
        <v>105</v>
      </c>
      <c r="EB176" s="174">
        <v>115</v>
      </c>
      <c r="EC176" s="174">
        <v>69</v>
      </c>
      <c r="ED176" s="174">
        <v>266</v>
      </c>
      <c r="EE176" s="174">
        <v>0</v>
      </c>
      <c r="EF176" s="174"/>
      <c r="EG176" s="174"/>
      <c r="EH176" s="174">
        <v>4</v>
      </c>
      <c r="EI176" s="174"/>
      <c r="EJ176" s="174">
        <v>24</v>
      </c>
      <c r="EK176" s="174">
        <v>180</v>
      </c>
      <c r="EL176" s="174">
        <v>129</v>
      </c>
      <c r="EM176" s="174">
        <v>2862</v>
      </c>
      <c r="EN176" s="174">
        <v>3610</v>
      </c>
      <c r="EO176" s="174">
        <v>3464</v>
      </c>
      <c r="EP176" s="174">
        <v>2500</v>
      </c>
      <c r="EQ176" s="174">
        <v>4051</v>
      </c>
      <c r="ER176" s="174">
        <v>4108</v>
      </c>
      <c r="ES176" s="174">
        <v>2442</v>
      </c>
      <c r="ET176" s="174">
        <v>4615</v>
      </c>
      <c r="EU176" s="174">
        <v>4841</v>
      </c>
      <c r="EV176" s="174">
        <v>4155</v>
      </c>
      <c r="EW176" s="174">
        <v>4101</v>
      </c>
      <c r="EX176" s="174">
        <v>2693</v>
      </c>
      <c r="EY176" s="174">
        <v>4116</v>
      </c>
      <c r="EZ176" s="174">
        <v>4313</v>
      </c>
      <c r="FA176" s="174">
        <v>3232</v>
      </c>
      <c r="FB176" s="174">
        <v>980</v>
      </c>
      <c r="FC176" s="174">
        <v>1192</v>
      </c>
      <c r="FD176" s="174">
        <v>506</v>
      </c>
      <c r="FE176" s="174">
        <v>2262</v>
      </c>
      <c r="FF176" s="174">
        <v>1363</v>
      </c>
      <c r="FG176" s="174">
        <v>1340</v>
      </c>
      <c r="FH176" s="174">
        <v>2609</v>
      </c>
      <c r="FI176" s="174">
        <v>900</v>
      </c>
      <c r="FJ176" s="174">
        <v>615</v>
      </c>
      <c r="FN176" s="151">
        <f t="shared" si="484"/>
        <v>0</v>
      </c>
      <c r="FO176" s="152">
        <f t="shared" si="485"/>
        <v>0</v>
      </c>
      <c r="FP176" s="152">
        <f t="shared" si="486"/>
        <v>0</v>
      </c>
      <c r="FQ176" s="152">
        <f t="shared" si="487"/>
        <v>0</v>
      </c>
      <c r="FR176" s="152">
        <f t="shared" si="488"/>
        <v>0</v>
      </c>
      <c r="FS176" s="152">
        <f t="shared" si="489"/>
        <v>0</v>
      </c>
      <c r="FT176" s="152">
        <f t="shared" si="490"/>
        <v>0</v>
      </c>
      <c r="FU176" s="152">
        <f t="shared" si="491"/>
        <v>0</v>
      </c>
      <c r="FV176" s="152">
        <f t="shared" si="492"/>
        <v>0</v>
      </c>
      <c r="FW176" s="152">
        <f t="shared" si="493"/>
        <v>381</v>
      </c>
      <c r="FX176" s="152">
        <f t="shared" si="494"/>
        <v>351</v>
      </c>
      <c r="FY176" s="152">
        <f t="shared" si="495"/>
        <v>341</v>
      </c>
      <c r="FZ176" s="152">
        <f t="shared" si="496"/>
        <v>133</v>
      </c>
      <c r="GA176" s="152">
        <f t="shared" si="497"/>
        <v>252</v>
      </c>
      <c r="GB176" s="152">
        <f t="shared" si="498"/>
        <v>180</v>
      </c>
      <c r="GC176" s="152">
        <f t="shared" si="499"/>
        <v>240</v>
      </c>
      <c r="GD176" s="152">
        <f t="shared" si="500"/>
        <v>120</v>
      </c>
      <c r="GE176" s="152">
        <f t="shared" si="501"/>
        <v>480</v>
      </c>
      <c r="GF176" s="152">
        <f t="shared" si="502"/>
        <v>420</v>
      </c>
      <c r="GG176" s="152">
        <f t="shared" si="503"/>
        <v>630</v>
      </c>
      <c r="GH176" s="152">
        <f t="shared" si="504"/>
        <v>488</v>
      </c>
      <c r="GI176" s="152">
        <f t="shared" si="505"/>
        <v>544</v>
      </c>
      <c r="GJ176" s="152">
        <f t="shared" si="506"/>
        <v>363</v>
      </c>
      <c r="GK176" s="152">
        <f t="shared" si="507"/>
        <v>442</v>
      </c>
      <c r="GL176" s="152">
        <f t="shared" si="508"/>
        <v>541</v>
      </c>
      <c r="GM176" s="152">
        <f t="shared" si="509"/>
        <v>547</v>
      </c>
      <c r="GN176" s="152">
        <f t="shared" si="510"/>
        <v>390</v>
      </c>
      <c r="GO176" s="152">
        <f t="shared" si="511"/>
        <v>136</v>
      </c>
      <c r="GP176" s="152">
        <f t="shared" si="512"/>
        <v>360</v>
      </c>
      <c r="GQ176" s="152">
        <f t="shared" si="513"/>
        <v>544</v>
      </c>
      <c r="GR176" s="152">
        <f t="shared" si="514"/>
        <v>120</v>
      </c>
      <c r="GS176" s="152">
        <f t="shared" si="515"/>
        <v>336</v>
      </c>
      <c r="GT176" s="152">
        <f t="shared" si="516"/>
        <v>142</v>
      </c>
      <c r="GU176" s="152">
        <f t="shared" si="517"/>
        <v>662</v>
      </c>
      <c r="GV176" s="152">
        <f t="shared" si="518"/>
        <v>158</v>
      </c>
      <c r="GW176" s="152">
        <f t="shared" si="519"/>
        <v>280</v>
      </c>
      <c r="GX176" s="152">
        <f t="shared" si="520"/>
        <v>465</v>
      </c>
      <c r="GY176" s="152">
        <f t="shared" si="521"/>
        <v>126</v>
      </c>
      <c r="GZ176" s="152">
        <f t="shared" si="522"/>
        <v>144</v>
      </c>
      <c r="HA176" s="152">
        <f t="shared" si="523"/>
        <v>195</v>
      </c>
      <c r="HB176" s="152">
        <f t="shared" si="524"/>
        <v>183</v>
      </c>
      <c r="HC176" s="152">
        <f t="shared" si="525"/>
        <v>104</v>
      </c>
      <c r="HD176" s="152">
        <f t="shared" si="526"/>
        <v>136</v>
      </c>
      <c r="HE176" s="152">
        <f t="shared" si="527"/>
        <v>289</v>
      </c>
      <c r="HF176" s="152">
        <f t="shared" si="528"/>
        <v>266</v>
      </c>
      <c r="HG176" s="152">
        <f t="shared" si="529"/>
        <v>4</v>
      </c>
      <c r="HH176" s="152">
        <f t="shared" si="530"/>
        <v>333</v>
      </c>
      <c r="HI176" s="152">
        <f t="shared" si="531"/>
        <v>9936</v>
      </c>
      <c r="HJ176" s="153">
        <f t="shared" si="532"/>
        <v>10659</v>
      </c>
      <c r="HK176" s="153">
        <f t="shared" si="533"/>
        <v>11898</v>
      </c>
      <c r="HL176" s="153">
        <f t="shared" si="534"/>
        <v>10949</v>
      </c>
      <c r="HM176" s="153">
        <f t="shared" si="535"/>
        <v>11661</v>
      </c>
      <c r="HN176" s="153">
        <f t="shared" si="536"/>
        <v>2678</v>
      </c>
      <c r="HO176" s="153">
        <f t="shared" si="537"/>
        <v>4965</v>
      </c>
      <c r="HP176" s="153">
        <f t="shared" si="538"/>
        <v>4124</v>
      </c>
      <c r="HQ176" s="101"/>
      <c r="HU176" s="155">
        <f t="shared" si="468"/>
        <v>0</v>
      </c>
      <c r="HV176" s="155">
        <f t="shared" si="469"/>
        <v>0</v>
      </c>
      <c r="HW176" s="155">
        <f t="shared" si="470"/>
        <v>1073</v>
      </c>
      <c r="HX176" s="156">
        <f t="shared" si="471"/>
        <v>805</v>
      </c>
      <c r="HY176" s="146">
        <f t="shared" si="472"/>
        <v>1650</v>
      </c>
      <c r="HZ176" s="146">
        <f t="shared" si="473"/>
        <v>1837</v>
      </c>
      <c r="IA176" s="146">
        <f t="shared" si="474"/>
        <v>1614</v>
      </c>
      <c r="IB176" s="157">
        <f t="shared" si="475"/>
        <v>1360</v>
      </c>
      <c r="IC176" s="157">
        <f t="shared" si="476"/>
        <v>1242</v>
      </c>
      <c r="ID176" s="157">
        <f t="shared" si="477"/>
        <v>930</v>
      </c>
      <c r="IE176" s="157">
        <f t="shared" si="478"/>
        <v>712</v>
      </c>
      <c r="IF176" s="157">
        <f t="shared" si="479"/>
        <v>10539</v>
      </c>
      <c r="IG176" s="157">
        <f t="shared" si="480"/>
        <v>45167</v>
      </c>
    </row>
    <row r="177" spans="1:241" outlineLevel="2" x14ac:dyDescent="0.3">
      <c r="A177" s="71" t="s">
        <v>149</v>
      </c>
      <c r="B177" s="161">
        <v>0</v>
      </c>
      <c r="C177" s="161">
        <v>0</v>
      </c>
      <c r="D177" s="161">
        <v>0</v>
      </c>
      <c r="E177" s="159">
        <v>0</v>
      </c>
      <c r="F177" s="160">
        <v>0</v>
      </c>
      <c r="G177" s="159">
        <v>0</v>
      </c>
      <c r="H177" s="159">
        <v>0</v>
      </c>
      <c r="I177" s="159">
        <v>0</v>
      </c>
      <c r="J177" s="159">
        <v>0</v>
      </c>
      <c r="K177" s="159">
        <v>0</v>
      </c>
      <c r="L177" s="159">
        <v>0</v>
      </c>
      <c r="M177" s="159">
        <v>0</v>
      </c>
      <c r="N177" s="160">
        <v>0</v>
      </c>
      <c r="O177" s="161">
        <v>0</v>
      </c>
      <c r="P177" s="161">
        <v>0</v>
      </c>
      <c r="Q177" s="159">
        <v>0</v>
      </c>
      <c r="R177" s="160">
        <v>0</v>
      </c>
      <c r="S177" s="161">
        <v>0</v>
      </c>
      <c r="T177" s="161">
        <v>0</v>
      </c>
      <c r="U177" s="161">
        <v>0</v>
      </c>
      <c r="V177" s="161">
        <v>0</v>
      </c>
      <c r="W177" s="161">
        <v>0</v>
      </c>
      <c r="X177" s="161">
        <v>0</v>
      </c>
      <c r="Y177" s="161">
        <v>0</v>
      </c>
      <c r="Z177" s="161">
        <v>0</v>
      </c>
      <c r="AA177" s="161">
        <v>0</v>
      </c>
      <c r="AB177" s="161">
        <v>0</v>
      </c>
      <c r="AC177" s="161">
        <v>0</v>
      </c>
      <c r="AD177" s="161">
        <v>0</v>
      </c>
      <c r="AE177" s="161">
        <v>0</v>
      </c>
      <c r="AF177" s="161">
        <v>0</v>
      </c>
      <c r="AG177" s="161"/>
      <c r="AH177" s="161">
        <v>0</v>
      </c>
      <c r="AI177" s="161"/>
      <c r="AJ177" s="161">
        <v>0</v>
      </c>
      <c r="AK177" s="160">
        <v>11</v>
      </c>
      <c r="AL177" s="160">
        <v>0</v>
      </c>
      <c r="AM177" s="160">
        <v>0</v>
      </c>
      <c r="AN177" s="160"/>
      <c r="AO177" s="161">
        <v>6</v>
      </c>
      <c r="AP177" s="160">
        <v>545</v>
      </c>
      <c r="AQ177" s="160">
        <v>1703</v>
      </c>
      <c r="AR177" s="160">
        <v>1612</v>
      </c>
      <c r="AS177" s="160">
        <v>2117</v>
      </c>
      <c r="AT177" s="160">
        <v>6413</v>
      </c>
      <c r="AU177" s="160">
        <v>1879</v>
      </c>
      <c r="AV177" s="160">
        <v>2428</v>
      </c>
      <c r="AW177" s="160">
        <v>2739</v>
      </c>
      <c r="AX177" s="160">
        <v>2215</v>
      </c>
      <c r="AY177" s="160">
        <v>1357</v>
      </c>
      <c r="AZ177" s="160">
        <v>5062</v>
      </c>
      <c r="BA177" s="160">
        <v>5448</v>
      </c>
      <c r="BB177" s="160">
        <v>5748</v>
      </c>
      <c r="BC177" s="160">
        <v>4655</v>
      </c>
      <c r="BD177" s="160">
        <v>3759</v>
      </c>
      <c r="BE177" s="160">
        <v>5064</v>
      </c>
      <c r="BF177" s="160">
        <v>4845</v>
      </c>
      <c r="BG177" s="160">
        <v>3318</v>
      </c>
      <c r="BH177" s="160">
        <v>2391</v>
      </c>
      <c r="BI177" s="160">
        <v>3735</v>
      </c>
      <c r="BJ177" s="160">
        <v>4332</v>
      </c>
      <c r="BK177" s="162">
        <v>5602</v>
      </c>
      <c r="BL177" s="162">
        <v>5198</v>
      </c>
      <c r="BM177" s="162">
        <f>4550-2563</f>
        <v>1987</v>
      </c>
      <c r="BN177" s="162">
        <v>4440</v>
      </c>
      <c r="BO177" s="162">
        <v>4381</v>
      </c>
      <c r="BP177" s="162">
        <v>3638</v>
      </c>
      <c r="BQ177" s="162">
        <v>4867</v>
      </c>
      <c r="BR177" s="162">
        <v>6062</v>
      </c>
      <c r="BS177" s="162">
        <v>3125</v>
      </c>
      <c r="BT177" s="162">
        <v>3668</v>
      </c>
      <c r="BU177" s="162">
        <v>3520</v>
      </c>
      <c r="BV177" s="162">
        <v>3483</v>
      </c>
      <c r="BW177" s="162">
        <v>1654</v>
      </c>
      <c r="BX177" s="162">
        <v>3535</v>
      </c>
      <c r="BY177" s="162">
        <v>3790</v>
      </c>
      <c r="BZ177" s="162">
        <v>4208</v>
      </c>
      <c r="CA177" s="162">
        <v>2494</v>
      </c>
      <c r="CB177" s="162">
        <v>2474</v>
      </c>
      <c r="CC177" s="162">
        <v>2284</v>
      </c>
      <c r="CD177" s="162">
        <v>5903</v>
      </c>
      <c r="CE177" s="162">
        <v>583</v>
      </c>
      <c r="CF177" s="162">
        <v>3136</v>
      </c>
      <c r="CG177" s="162">
        <v>3764</v>
      </c>
      <c r="CH177" s="162">
        <v>3047</v>
      </c>
      <c r="CI177" s="162">
        <v>2926</v>
      </c>
      <c r="CJ177" s="162">
        <v>4335</v>
      </c>
      <c r="CK177" s="162">
        <v>4676</v>
      </c>
      <c r="CL177" s="162">
        <v>5034</v>
      </c>
      <c r="CM177" s="162">
        <v>3845</v>
      </c>
      <c r="CN177" s="162">
        <v>2932</v>
      </c>
      <c r="CO177" s="162">
        <v>3989</v>
      </c>
      <c r="CP177" s="162">
        <v>4090</v>
      </c>
      <c r="CQ177" s="162">
        <v>4215</v>
      </c>
      <c r="CR177" s="162">
        <v>5610</v>
      </c>
      <c r="CS177" s="163">
        <v>2902</v>
      </c>
      <c r="CT177" s="163"/>
      <c r="CU177" s="163">
        <v>455</v>
      </c>
      <c r="CV177" s="163">
        <v>324</v>
      </c>
      <c r="CW177" s="163">
        <v>646</v>
      </c>
      <c r="CX177" s="163">
        <v>1300</v>
      </c>
      <c r="CY177" s="163">
        <v>3231</v>
      </c>
      <c r="CZ177" s="163">
        <v>3461</v>
      </c>
      <c r="DA177" s="163">
        <v>3418</v>
      </c>
      <c r="DB177" s="163">
        <v>6126</v>
      </c>
      <c r="DC177" s="163">
        <v>2007</v>
      </c>
      <c r="DD177" s="163">
        <v>3782</v>
      </c>
      <c r="DE177" s="163">
        <v>4551</v>
      </c>
      <c r="DF177" s="163">
        <v>4066</v>
      </c>
      <c r="DG177" s="163">
        <v>1024</v>
      </c>
      <c r="DH177" s="163">
        <v>4890</v>
      </c>
      <c r="DI177" s="163">
        <v>3514</v>
      </c>
      <c r="DJ177" s="163">
        <v>2967</v>
      </c>
      <c r="DK177" s="163">
        <v>4046</v>
      </c>
      <c r="DL177" s="163">
        <v>2247</v>
      </c>
      <c r="DM177" s="163">
        <v>3121</v>
      </c>
      <c r="DN177" s="163">
        <v>6023</v>
      </c>
      <c r="DO177" s="163">
        <v>2845</v>
      </c>
      <c r="DP177" s="163">
        <v>2842</v>
      </c>
      <c r="DQ177" s="163">
        <v>3174</v>
      </c>
      <c r="DR177" s="163">
        <v>4139</v>
      </c>
      <c r="DS177" s="163">
        <v>2555</v>
      </c>
      <c r="DT177" s="163">
        <v>2976</v>
      </c>
      <c r="DU177" s="163">
        <v>2849</v>
      </c>
      <c r="DV177" s="163">
        <v>3630</v>
      </c>
      <c r="DW177" s="163">
        <v>4080</v>
      </c>
      <c r="DX177" s="163">
        <v>3014</v>
      </c>
      <c r="DY177" s="163">
        <v>4149</v>
      </c>
      <c r="DZ177" s="163">
        <v>5370</v>
      </c>
      <c r="EA177" s="163">
        <v>4718</v>
      </c>
      <c r="EB177" s="163">
        <v>5028</v>
      </c>
      <c r="EC177" s="163">
        <v>3575</v>
      </c>
      <c r="ED177" s="163">
        <v>2294</v>
      </c>
      <c r="EE177" s="163">
        <v>2045</v>
      </c>
      <c r="EF177" s="163">
        <v>2897</v>
      </c>
      <c r="EG177" s="163">
        <v>2625</v>
      </c>
      <c r="EH177" s="163">
        <v>3589</v>
      </c>
      <c r="EI177" s="163">
        <v>3316</v>
      </c>
      <c r="EJ177" s="163">
        <v>2057</v>
      </c>
      <c r="EK177" s="163">
        <v>2305</v>
      </c>
      <c r="EL177" s="163">
        <v>1443</v>
      </c>
      <c r="EM177" s="163">
        <v>1156</v>
      </c>
      <c r="EN177" s="163">
        <v>1544</v>
      </c>
      <c r="EO177" s="163">
        <v>1917</v>
      </c>
      <c r="EP177" s="163">
        <v>2404</v>
      </c>
      <c r="EQ177" s="163">
        <v>2845</v>
      </c>
      <c r="ER177" s="163">
        <v>2470</v>
      </c>
      <c r="ES177" s="163">
        <v>3253</v>
      </c>
      <c r="ET177" s="163">
        <v>2541</v>
      </c>
      <c r="EU177" s="163">
        <v>1780</v>
      </c>
      <c r="EV177" s="163">
        <v>2477</v>
      </c>
      <c r="EW177" s="163">
        <v>2401</v>
      </c>
      <c r="EX177" s="163">
        <v>2226</v>
      </c>
      <c r="EY177" s="163">
        <v>1386</v>
      </c>
      <c r="EZ177" s="163">
        <v>1529</v>
      </c>
      <c r="FA177" s="163">
        <v>2854</v>
      </c>
      <c r="FB177" s="163">
        <v>2615</v>
      </c>
      <c r="FC177" s="163">
        <v>2424</v>
      </c>
      <c r="FD177" s="163">
        <v>2201</v>
      </c>
      <c r="FE177" s="163">
        <v>2974</v>
      </c>
      <c r="FF177" s="163">
        <v>3019</v>
      </c>
      <c r="FG177" s="163">
        <v>2336</v>
      </c>
      <c r="FH177" s="163">
        <v>2271</v>
      </c>
      <c r="FI177" s="163">
        <v>2031</v>
      </c>
      <c r="FJ177" s="163">
        <v>2011</v>
      </c>
      <c r="FN177" s="165">
        <f t="shared" si="484"/>
        <v>0</v>
      </c>
      <c r="FO177" s="166">
        <f t="shared" si="485"/>
        <v>0</v>
      </c>
      <c r="FP177" s="166">
        <f t="shared" si="486"/>
        <v>0</v>
      </c>
      <c r="FQ177" s="166">
        <f t="shared" si="487"/>
        <v>0</v>
      </c>
      <c r="FR177" s="166">
        <f t="shared" si="488"/>
        <v>0</v>
      </c>
      <c r="FS177" s="166">
        <f t="shared" si="489"/>
        <v>0</v>
      </c>
      <c r="FT177" s="166">
        <f t="shared" si="490"/>
        <v>0</v>
      </c>
      <c r="FU177" s="166">
        <f t="shared" si="491"/>
        <v>0</v>
      </c>
      <c r="FV177" s="166">
        <f t="shared" si="492"/>
        <v>0</v>
      </c>
      <c r="FW177" s="166">
        <f t="shared" si="493"/>
        <v>0</v>
      </c>
      <c r="FX177" s="166">
        <f t="shared" si="494"/>
        <v>0</v>
      </c>
      <c r="FY177" s="166">
        <f t="shared" si="495"/>
        <v>11</v>
      </c>
      <c r="FZ177" s="166">
        <f t="shared" si="496"/>
        <v>0</v>
      </c>
      <c r="GA177" s="166">
        <f t="shared" si="497"/>
        <v>2254</v>
      </c>
      <c r="GB177" s="166">
        <f t="shared" si="498"/>
        <v>10142</v>
      </c>
      <c r="GC177" s="166">
        <f t="shared" si="499"/>
        <v>7046</v>
      </c>
      <c r="GD177" s="166">
        <f t="shared" si="500"/>
        <v>8634</v>
      </c>
      <c r="GE177" s="166">
        <f t="shared" si="501"/>
        <v>15851</v>
      </c>
      <c r="GF177" s="166">
        <f t="shared" si="502"/>
        <v>13668</v>
      </c>
      <c r="GG177" s="166">
        <f t="shared" si="503"/>
        <v>9444</v>
      </c>
      <c r="GH177" s="166">
        <f t="shared" si="504"/>
        <v>15132</v>
      </c>
      <c r="GI177" s="166">
        <f t="shared" si="505"/>
        <v>10808</v>
      </c>
      <c r="GJ177" s="166">
        <f t="shared" si="506"/>
        <v>14567</v>
      </c>
      <c r="GK177" s="166">
        <f t="shared" si="507"/>
        <v>10313</v>
      </c>
      <c r="GL177" s="166">
        <f t="shared" si="508"/>
        <v>8672</v>
      </c>
      <c r="GM177" s="166">
        <f t="shared" si="509"/>
        <v>10492</v>
      </c>
      <c r="GN177" s="166">
        <f t="shared" si="510"/>
        <v>10661</v>
      </c>
      <c r="GO177" s="166">
        <f t="shared" si="511"/>
        <v>7483</v>
      </c>
      <c r="GP177" s="166">
        <f t="shared" si="512"/>
        <v>10308</v>
      </c>
      <c r="GQ177" s="166">
        <f t="shared" si="513"/>
        <v>13555</v>
      </c>
      <c r="GR177" s="166">
        <f t="shared" si="514"/>
        <v>11011</v>
      </c>
      <c r="GS177" s="166">
        <f t="shared" si="515"/>
        <v>12727</v>
      </c>
      <c r="GT177" s="166">
        <f t="shared" si="516"/>
        <v>779</v>
      </c>
      <c r="GU177" s="166">
        <f t="shared" si="517"/>
        <v>5177</v>
      </c>
      <c r="GV177" s="166">
        <f t="shared" si="518"/>
        <v>13005</v>
      </c>
      <c r="GW177" s="166">
        <f t="shared" si="519"/>
        <v>10340</v>
      </c>
      <c r="GX177" s="166">
        <f t="shared" si="520"/>
        <v>9980</v>
      </c>
      <c r="GY177" s="166">
        <f t="shared" si="521"/>
        <v>10527</v>
      </c>
      <c r="GZ177" s="166">
        <f t="shared" si="522"/>
        <v>11391</v>
      </c>
      <c r="HA177" s="166">
        <f t="shared" si="523"/>
        <v>8861</v>
      </c>
      <c r="HB177" s="166">
        <f t="shared" si="524"/>
        <v>9670</v>
      </c>
      <c r="HC177" s="166">
        <f t="shared" si="525"/>
        <v>10559</v>
      </c>
      <c r="HD177" s="166">
        <f t="shared" si="526"/>
        <v>12533</v>
      </c>
      <c r="HE177" s="166">
        <f t="shared" si="527"/>
        <v>13321</v>
      </c>
      <c r="HF177" s="166">
        <f t="shared" si="528"/>
        <v>7236</v>
      </c>
      <c r="HG177" s="166">
        <f t="shared" si="529"/>
        <v>9530</v>
      </c>
      <c r="HH177" s="166">
        <f t="shared" si="530"/>
        <v>5805</v>
      </c>
      <c r="HI177" s="166">
        <f t="shared" si="531"/>
        <v>4617</v>
      </c>
      <c r="HJ177" s="167">
        <f t="shared" si="532"/>
        <v>7719</v>
      </c>
      <c r="HK177" s="167">
        <f t="shared" si="533"/>
        <v>7574</v>
      </c>
      <c r="HL177" s="167">
        <f t="shared" si="534"/>
        <v>7104</v>
      </c>
      <c r="HM177" s="167">
        <f t="shared" si="535"/>
        <v>5769</v>
      </c>
      <c r="HN177" s="167">
        <f t="shared" si="536"/>
        <v>7240</v>
      </c>
      <c r="HO177" s="167">
        <f t="shared" si="537"/>
        <v>8329</v>
      </c>
      <c r="HP177" s="167">
        <f t="shared" si="538"/>
        <v>6313</v>
      </c>
      <c r="HQ177" s="168"/>
      <c r="HU177" s="169">
        <f t="shared" si="468"/>
        <v>0</v>
      </c>
      <c r="HV177" s="169">
        <f t="shared" si="469"/>
        <v>0</v>
      </c>
      <c r="HW177" s="169">
        <f t="shared" si="470"/>
        <v>11</v>
      </c>
      <c r="HX177" s="170">
        <f t="shared" si="471"/>
        <v>19442</v>
      </c>
      <c r="HY177" s="160">
        <f t="shared" si="472"/>
        <v>47597</v>
      </c>
      <c r="HZ177" s="160">
        <f t="shared" si="473"/>
        <v>50820</v>
      </c>
      <c r="IA177" s="160">
        <f t="shared" si="474"/>
        <v>37308</v>
      </c>
      <c r="IB177" s="171">
        <f t="shared" si="475"/>
        <v>47601</v>
      </c>
      <c r="IC177" s="171">
        <f t="shared" si="476"/>
        <v>29301</v>
      </c>
      <c r="ID177" s="171">
        <f t="shared" si="477"/>
        <v>40759</v>
      </c>
      <c r="IE177" s="171">
        <f t="shared" si="478"/>
        <v>46083</v>
      </c>
      <c r="IF177" s="171">
        <f t="shared" si="479"/>
        <v>27188</v>
      </c>
      <c r="IG177" s="171">
        <f t="shared" si="480"/>
        <v>28166</v>
      </c>
    </row>
    <row r="178" spans="1:241" outlineLevel="2" x14ac:dyDescent="0.3">
      <c r="A178" s="63" t="s">
        <v>166</v>
      </c>
      <c r="B178" s="131">
        <v>12</v>
      </c>
      <c r="C178" s="131" t="s">
        <v>146</v>
      </c>
      <c r="D178" s="131" t="s">
        <v>146</v>
      </c>
      <c r="E178" s="145">
        <v>6</v>
      </c>
      <c r="F178" s="146">
        <v>0</v>
      </c>
      <c r="G178" s="145">
        <v>6</v>
      </c>
      <c r="H178" s="145">
        <v>24</v>
      </c>
      <c r="I178" s="145" t="s">
        <v>146</v>
      </c>
      <c r="J178" s="145" t="s">
        <v>146</v>
      </c>
      <c r="K178" s="145" t="s">
        <v>146</v>
      </c>
      <c r="L178" s="145" t="s">
        <v>146</v>
      </c>
      <c r="M178" s="145" t="s">
        <v>146</v>
      </c>
      <c r="N178" s="146">
        <v>0</v>
      </c>
      <c r="O178" s="146">
        <v>0</v>
      </c>
      <c r="P178" s="146">
        <v>0</v>
      </c>
      <c r="Q178" s="146">
        <v>0</v>
      </c>
      <c r="R178" s="146">
        <v>0</v>
      </c>
      <c r="S178" s="146">
        <v>0</v>
      </c>
      <c r="T178" s="146">
        <v>0</v>
      </c>
      <c r="U178" s="146">
        <v>0</v>
      </c>
      <c r="V178" s="146">
        <v>0</v>
      </c>
      <c r="W178" s="146">
        <v>0</v>
      </c>
      <c r="X178" s="146">
        <v>0</v>
      </c>
      <c r="Y178" s="146">
        <v>0</v>
      </c>
      <c r="Z178" s="146">
        <v>0</v>
      </c>
      <c r="AA178" s="146">
        <v>0</v>
      </c>
      <c r="AB178" s="146">
        <v>0</v>
      </c>
      <c r="AC178" s="146">
        <v>0</v>
      </c>
      <c r="AD178" s="146">
        <v>0</v>
      </c>
      <c r="AE178" s="146">
        <v>0</v>
      </c>
      <c r="AF178" s="146">
        <v>0</v>
      </c>
      <c r="AG178" s="146"/>
      <c r="AH178" s="146">
        <v>0</v>
      </c>
      <c r="AI178" s="146"/>
      <c r="AJ178" s="146">
        <v>0</v>
      </c>
      <c r="AK178" s="131">
        <v>0</v>
      </c>
      <c r="AL178" s="131">
        <v>0</v>
      </c>
      <c r="AM178" s="131">
        <v>0</v>
      </c>
      <c r="AN178" s="131"/>
      <c r="AO178" s="131">
        <v>0</v>
      </c>
      <c r="AP178" s="146"/>
      <c r="AQ178" s="146">
        <v>0</v>
      </c>
      <c r="AR178" s="146">
        <v>0</v>
      </c>
      <c r="AS178" s="146">
        <v>0</v>
      </c>
      <c r="AT178" s="146">
        <v>0</v>
      </c>
      <c r="AU178" s="146">
        <v>0</v>
      </c>
      <c r="AV178" s="146">
        <v>0</v>
      </c>
      <c r="AW178" s="146">
        <v>0</v>
      </c>
      <c r="AX178" s="146">
        <v>0</v>
      </c>
      <c r="AY178" s="146">
        <v>0</v>
      </c>
      <c r="AZ178" s="146">
        <v>0</v>
      </c>
      <c r="BA178" s="146">
        <v>0</v>
      </c>
      <c r="BB178" s="146">
        <v>0</v>
      </c>
      <c r="BC178" s="146">
        <v>0</v>
      </c>
      <c r="BD178" s="146">
        <v>0</v>
      </c>
      <c r="BE178" s="146">
        <v>0</v>
      </c>
      <c r="BF178" s="146">
        <v>0</v>
      </c>
      <c r="BG178" s="146">
        <v>0</v>
      </c>
      <c r="BH178" s="146">
        <v>6</v>
      </c>
      <c r="BI178" s="146">
        <v>6</v>
      </c>
      <c r="BJ178" s="146">
        <v>0</v>
      </c>
      <c r="BK178" s="147">
        <v>0</v>
      </c>
      <c r="BL178" s="147">
        <v>16</v>
      </c>
      <c r="BM178" s="147">
        <v>16</v>
      </c>
      <c r="BN178" s="147">
        <v>8</v>
      </c>
      <c r="BO178" s="147">
        <v>0</v>
      </c>
      <c r="BP178" s="147">
        <v>4</v>
      </c>
      <c r="BQ178" s="147">
        <v>36</v>
      </c>
      <c r="BR178" s="147">
        <v>0</v>
      </c>
      <c r="BS178" s="147">
        <v>12</v>
      </c>
      <c r="BT178" s="147">
        <v>46</v>
      </c>
      <c r="BU178" s="147">
        <v>4</v>
      </c>
      <c r="BV178" s="147">
        <v>0</v>
      </c>
      <c r="BW178" s="147">
        <v>31</v>
      </c>
      <c r="BX178" s="147">
        <v>11</v>
      </c>
      <c r="BY178" s="147">
        <v>27</v>
      </c>
      <c r="BZ178" s="147">
        <v>9</v>
      </c>
      <c r="CA178" s="147">
        <v>50</v>
      </c>
      <c r="CB178" s="147">
        <v>4</v>
      </c>
      <c r="CC178" s="147">
        <v>74</v>
      </c>
      <c r="CD178" s="147">
        <v>3</v>
      </c>
      <c r="CE178" s="147">
        <v>0</v>
      </c>
      <c r="CF178" s="147">
        <v>32</v>
      </c>
      <c r="CG178" s="147">
        <v>56</v>
      </c>
      <c r="CH178" s="147">
        <v>0</v>
      </c>
      <c r="CI178" s="147">
        <v>0</v>
      </c>
      <c r="CJ178" s="147">
        <v>4</v>
      </c>
      <c r="CK178" s="147"/>
      <c r="CL178" s="147">
        <v>0</v>
      </c>
      <c r="CM178" s="147">
        <v>3</v>
      </c>
      <c r="CN178" s="147">
        <v>59</v>
      </c>
      <c r="CO178" s="147">
        <v>2</v>
      </c>
      <c r="CP178" s="147">
        <v>8</v>
      </c>
      <c r="CQ178" s="147">
        <v>2</v>
      </c>
      <c r="CR178" s="147">
        <v>5</v>
      </c>
      <c r="CS178" s="148">
        <v>0</v>
      </c>
      <c r="CT178" s="148"/>
      <c r="CU178" s="148">
        <v>3</v>
      </c>
      <c r="CV178" s="148">
        <v>8</v>
      </c>
      <c r="CW178" s="148">
        <v>4</v>
      </c>
      <c r="CX178" s="148">
        <v>7</v>
      </c>
      <c r="CY178" s="148">
        <v>0</v>
      </c>
      <c r="CZ178" s="148">
        <v>0</v>
      </c>
      <c r="DA178" s="148">
        <v>91</v>
      </c>
      <c r="DB178" s="148">
        <v>52</v>
      </c>
      <c r="DC178" s="148">
        <v>64</v>
      </c>
      <c r="DD178" s="148">
        <v>0</v>
      </c>
      <c r="DE178" s="148">
        <v>56</v>
      </c>
      <c r="DF178" s="148">
        <v>2</v>
      </c>
      <c r="DG178" s="148">
        <v>0</v>
      </c>
      <c r="DH178" s="148">
        <v>0</v>
      </c>
      <c r="DI178" s="148">
        <v>48</v>
      </c>
      <c r="DJ178" s="148">
        <v>1</v>
      </c>
      <c r="DK178" s="148">
        <v>45</v>
      </c>
      <c r="DL178" s="148">
        <v>15</v>
      </c>
      <c r="DM178" s="148">
        <v>30</v>
      </c>
      <c r="DN178" s="148">
        <v>0</v>
      </c>
      <c r="DO178" s="148">
        <v>90</v>
      </c>
      <c r="DP178" s="148">
        <v>24</v>
      </c>
      <c r="DQ178" s="148">
        <v>25</v>
      </c>
      <c r="DR178" s="148"/>
      <c r="DS178" s="148">
        <v>194</v>
      </c>
      <c r="DT178" s="148"/>
      <c r="DU178" s="148"/>
      <c r="DV178" s="148"/>
      <c r="DW178" s="148">
        <v>35</v>
      </c>
      <c r="DX178" s="148">
        <v>248</v>
      </c>
      <c r="DY178" s="148">
        <v>2</v>
      </c>
      <c r="DZ178" s="148">
        <v>-51</v>
      </c>
      <c r="EA178" s="148">
        <v>-73</v>
      </c>
      <c r="EB178" s="148">
        <v>0</v>
      </c>
      <c r="EC178" s="148">
        <v>0</v>
      </c>
      <c r="ED178" s="148">
        <v>0</v>
      </c>
      <c r="EE178" s="148">
        <v>0</v>
      </c>
      <c r="EF178" s="148"/>
      <c r="EG178" s="148"/>
      <c r="EH178" s="148"/>
      <c r="EI178" s="148"/>
      <c r="EJ178" s="148"/>
      <c r="EK178" s="148">
        <v>6</v>
      </c>
      <c r="EL178" s="148"/>
      <c r="EM178" s="148"/>
      <c r="EN178" s="148"/>
      <c r="EO178" s="148"/>
      <c r="EP178" s="148"/>
      <c r="EQ178" s="148"/>
      <c r="ER178" s="148"/>
      <c r="ES178" s="148"/>
      <c r="ET178" s="148">
        <v>0</v>
      </c>
      <c r="EU178" s="148">
        <v>58</v>
      </c>
      <c r="EV178" s="148">
        <v>0</v>
      </c>
      <c r="EW178" s="148"/>
      <c r="EX178" s="148"/>
      <c r="EY178" s="148"/>
      <c r="EZ178" s="148"/>
      <c r="FA178" s="148"/>
      <c r="FB178" s="148"/>
      <c r="FC178" s="148"/>
      <c r="FD178" s="148"/>
      <c r="FE178" s="148"/>
      <c r="FF178" s="148"/>
      <c r="FG178" s="148"/>
      <c r="FH178" s="148"/>
      <c r="FI178" s="148"/>
      <c r="FJ178" s="148">
        <v>1</v>
      </c>
      <c r="FN178" s="151">
        <f t="shared" si="484"/>
        <v>12</v>
      </c>
      <c r="FO178" s="152">
        <f t="shared" si="485"/>
        <v>12</v>
      </c>
      <c r="FP178" s="152">
        <f t="shared" si="486"/>
        <v>24</v>
      </c>
      <c r="FQ178" s="152">
        <f t="shared" si="487"/>
        <v>0</v>
      </c>
      <c r="FR178" s="152">
        <f t="shared" si="488"/>
        <v>0</v>
      </c>
      <c r="FS178" s="152">
        <f t="shared" si="489"/>
        <v>0</v>
      </c>
      <c r="FT178" s="152">
        <f t="shared" si="490"/>
        <v>0</v>
      </c>
      <c r="FU178" s="152">
        <f t="shared" si="491"/>
        <v>0</v>
      </c>
      <c r="FV178" s="152">
        <f t="shared" si="492"/>
        <v>0</v>
      </c>
      <c r="FW178" s="152">
        <f t="shared" si="493"/>
        <v>0</v>
      </c>
      <c r="FX178" s="152">
        <f t="shared" si="494"/>
        <v>0</v>
      </c>
      <c r="FY178" s="152">
        <f t="shared" si="495"/>
        <v>0</v>
      </c>
      <c r="FZ178" s="152">
        <f t="shared" si="496"/>
        <v>0</v>
      </c>
      <c r="GA178" s="152">
        <f t="shared" si="497"/>
        <v>0</v>
      </c>
      <c r="GB178" s="152">
        <f t="shared" si="498"/>
        <v>0</v>
      </c>
      <c r="GC178" s="152">
        <f t="shared" si="499"/>
        <v>0</v>
      </c>
      <c r="GD178" s="152">
        <f t="shared" si="500"/>
        <v>0</v>
      </c>
      <c r="GE178" s="152">
        <f t="shared" si="501"/>
        <v>0</v>
      </c>
      <c r="GF178" s="152">
        <f t="shared" si="502"/>
        <v>0</v>
      </c>
      <c r="GG178" s="152">
        <f t="shared" si="503"/>
        <v>12</v>
      </c>
      <c r="GH178" s="152">
        <f t="shared" si="504"/>
        <v>16</v>
      </c>
      <c r="GI178" s="152">
        <f t="shared" si="505"/>
        <v>24</v>
      </c>
      <c r="GJ178" s="152">
        <f t="shared" si="506"/>
        <v>40</v>
      </c>
      <c r="GK178" s="152">
        <f t="shared" si="507"/>
        <v>62</v>
      </c>
      <c r="GL178" s="152">
        <f t="shared" si="508"/>
        <v>42</v>
      </c>
      <c r="GM178" s="152">
        <f t="shared" si="509"/>
        <v>86</v>
      </c>
      <c r="GN178" s="152">
        <f t="shared" si="510"/>
        <v>81</v>
      </c>
      <c r="GO178" s="152">
        <f t="shared" si="511"/>
        <v>88</v>
      </c>
      <c r="GP178" s="152">
        <f t="shared" si="512"/>
        <v>4</v>
      </c>
      <c r="GQ178" s="152">
        <f t="shared" si="513"/>
        <v>3</v>
      </c>
      <c r="GR178" s="152">
        <f t="shared" si="514"/>
        <v>69</v>
      </c>
      <c r="GS178" s="152">
        <f t="shared" si="515"/>
        <v>7</v>
      </c>
      <c r="GT178" s="152">
        <f t="shared" si="516"/>
        <v>11</v>
      </c>
      <c r="GU178" s="152">
        <f t="shared" si="517"/>
        <v>11</v>
      </c>
      <c r="GV178" s="152">
        <f t="shared" si="518"/>
        <v>143</v>
      </c>
      <c r="GW178" s="152">
        <f t="shared" si="519"/>
        <v>120</v>
      </c>
      <c r="GX178" s="152">
        <f t="shared" si="520"/>
        <v>2</v>
      </c>
      <c r="GY178" s="152">
        <f t="shared" si="521"/>
        <v>94</v>
      </c>
      <c r="GZ178" s="152">
        <f t="shared" si="522"/>
        <v>45</v>
      </c>
      <c r="HA178" s="152">
        <f t="shared" si="523"/>
        <v>139</v>
      </c>
      <c r="HB178" s="152">
        <f t="shared" si="524"/>
        <v>194</v>
      </c>
      <c r="HC178" s="152">
        <f t="shared" si="525"/>
        <v>35</v>
      </c>
      <c r="HD178" s="152">
        <f t="shared" si="526"/>
        <v>199</v>
      </c>
      <c r="HE178" s="152">
        <f t="shared" si="527"/>
        <v>-73</v>
      </c>
      <c r="HF178" s="152">
        <f t="shared" si="528"/>
        <v>0</v>
      </c>
      <c r="HG178" s="152">
        <f t="shared" si="529"/>
        <v>0</v>
      </c>
      <c r="HH178" s="152">
        <f t="shared" si="530"/>
        <v>6</v>
      </c>
      <c r="HI178" s="152">
        <f t="shared" si="531"/>
        <v>0</v>
      </c>
      <c r="HJ178" s="153">
        <f t="shared" si="532"/>
        <v>0</v>
      </c>
      <c r="HK178" s="153">
        <f t="shared" si="533"/>
        <v>58</v>
      </c>
      <c r="HL178" s="153">
        <f t="shared" si="534"/>
        <v>0</v>
      </c>
      <c r="HM178" s="153">
        <f t="shared" si="535"/>
        <v>0</v>
      </c>
      <c r="HN178" s="153">
        <f t="shared" si="536"/>
        <v>0</v>
      </c>
      <c r="HO178" s="153">
        <f t="shared" si="537"/>
        <v>0</v>
      </c>
      <c r="HP178" s="153">
        <f t="shared" si="538"/>
        <v>1</v>
      </c>
      <c r="HQ178" s="101"/>
      <c r="HU178" s="155">
        <f t="shared" si="468"/>
        <v>48</v>
      </c>
      <c r="HV178" s="155">
        <f t="shared" si="469"/>
        <v>0</v>
      </c>
      <c r="HW178" s="155">
        <f t="shared" si="470"/>
        <v>0</v>
      </c>
      <c r="HX178" s="156">
        <f t="shared" si="471"/>
        <v>0</v>
      </c>
      <c r="HY178" s="146">
        <f t="shared" si="472"/>
        <v>12</v>
      </c>
      <c r="HZ178" s="146">
        <f t="shared" si="473"/>
        <v>142</v>
      </c>
      <c r="IA178" s="146">
        <f t="shared" si="474"/>
        <v>297</v>
      </c>
      <c r="IB178" s="157">
        <f t="shared" si="475"/>
        <v>83</v>
      </c>
      <c r="IC178" s="157">
        <f t="shared" si="476"/>
        <v>285</v>
      </c>
      <c r="ID178" s="157">
        <f t="shared" si="477"/>
        <v>280</v>
      </c>
      <c r="IE178" s="157">
        <f t="shared" si="478"/>
        <v>355</v>
      </c>
      <c r="IF178" s="157">
        <f t="shared" si="479"/>
        <v>6</v>
      </c>
      <c r="IG178" s="157">
        <f t="shared" si="480"/>
        <v>58</v>
      </c>
    </row>
    <row r="179" spans="1:241" outlineLevel="2" x14ac:dyDescent="0.3">
      <c r="A179" s="71" t="s">
        <v>167</v>
      </c>
      <c r="B179" s="161"/>
      <c r="C179" s="161"/>
      <c r="D179" s="161"/>
      <c r="E179" s="159"/>
      <c r="F179" s="160"/>
      <c r="G179" s="159"/>
      <c r="H179" s="159"/>
      <c r="I179" s="159"/>
      <c r="J179" s="159"/>
      <c r="K179" s="159"/>
      <c r="L179" s="159"/>
      <c r="M179" s="159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  <c r="AE179" s="160"/>
      <c r="AF179" s="160"/>
      <c r="AG179" s="160"/>
      <c r="AH179" s="160"/>
      <c r="AI179" s="160"/>
      <c r="AJ179" s="160"/>
      <c r="AK179" s="161"/>
      <c r="AL179" s="161"/>
      <c r="AM179" s="161"/>
      <c r="AN179" s="161"/>
      <c r="AO179" s="161"/>
      <c r="AP179" s="160"/>
      <c r="AQ179" s="160"/>
      <c r="AR179" s="160"/>
      <c r="AS179" s="160"/>
      <c r="AT179" s="160"/>
      <c r="AU179" s="160"/>
      <c r="AV179" s="160"/>
      <c r="AW179" s="160"/>
      <c r="AX179" s="160"/>
      <c r="AY179" s="160"/>
      <c r="AZ179" s="160"/>
      <c r="BA179" s="160"/>
      <c r="BB179" s="160"/>
      <c r="BC179" s="160"/>
      <c r="BD179" s="160"/>
      <c r="BE179" s="160"/>
      <c r="BF179" s="160"/>
      <c r="BG179" s="160"/>
      <c r="BH179" s="160"/>
      <c r="BI179" s="160"/>
      <c r="BJ179" s="160"/>
      <c r="BK179" s="162"/>
      <c r="BL179" s="162"/>
      <c r="BM179" s="162"/>
      <c r="BN179" s="162"/>
      <c r="BO179" s="162"/>
      <c r="BP179" s="162"/>
      <c r="BQ179" s="162"/>
      <c r="BR179" s="162"/>
      <c r="BS179" s="162"/>
      <c r="BT179" s="162"/>
      <c r="BU179" s="162"/>
      <c r="BV179" s="162"/>
      <c r="BW179" s="162"/>
      <c r="BX179" s="162"/>
      <c r="BY179" s="162"/>
      <c r="BZ179" s="162"/>
      <c r="CA179" s="162"/>
      <c r="CB179" s="162"/>
      <c r="CC179" s="162"/>
      <c r="CD179" s="162"/>
      <c r="CE179" s="162"/>
      <c r="CF179" s="162"/>
      <c r="CG179" s="162"/>
      <c r="CH179" s="162"/>
      <c r="CI179" s="162"/>
      <c r="CJ179" s="162"/>
      <c r="CK179" s="162"/>
      <c r="CL179" s="162"/>
      <c r="CM179" s="162">
        <v>471</v>
      </c>
      <c r="CN179" s="162">
        <v>1850</v>
      </c>
      <c r="CO179" s="162">
        <v>3834</v>
      </c>
      <c r="CP179" s="162">
        <v>6341</v>
      </c>
      <c r="CQ179" s="162">
        <v>2811</v>
      </c>
      <c r="CR179" s="162">
        <v>3569</v>
      </c>
      <c r="CS179" s="163">
        <v>2585</v>
      </c>
      <c r="CT179" s="163"/>
      <c r="CU179" s="163">
        <v>2902</v>
      </c>
      <c r="CV179" s="163">
        <v>2493</v>
      </c>
      <c r="CW179" s="163">
        <v>2405</v>
      </c>
      <c r="CX179" s="163">
        <v>3592</v>
      </c>
      <c r="CY179" s="163">
        <v>5214</v>
      </c>
      <c r="CZ179" s="163">
        <v>4213</v>
      </c>
      <c r="DA179" s="163">
        <v>3144</v>
      </c>
      <c r="DB179" s="163">
        <v>4557</v>
      </c>
      <c r="DC179" s="163">
        <v>3618</v>
      </c>
      <c r="DD179" s="163">
        <v>3665</v>
      </c>
      <c r="DE179" s="163">
        <v>4637</v>
      </c>
      <c r="DF179" s="163">
        <v>3709</v>
      </c>
      <c r="DG179" s="163">
        <v>4334</v>
      </c>
      <c r="DH179" s="163">
        <v>4405</v>
      </c>
      <c r="DI179" s="163">
        <v>3193</v>
      </c>
      <c r="DJ179" s="163">
        <v>4020</v>
      </c>
      <c r="DK179" s="163">
        <v>3552</v>
      </c>
      <c r="DL179" s="163">
        <v>4001</v>
      </c>
      <c r="DM179" s="163">
        <v>3524</v>
      </c>
      <c r="DN179" s="163">
        <v>3603</v>
      </c>
      <c r="DO179" s="163">
        <v>5492</v>
      </c>
      <c r="DP179" s="163">
        <v>5504</v>
      </c>
      <c r="DQ179" s="163">
        <v>5527</v>
      </c>
      <c r="DR179" s="163">
        <v>8077</v>
      </c>
      <c r="DS179" s="163">
        <v>5376</v>
      </c>
      <c r="DT179" s="163">
        <v>8006</v>
      </c>
      <c r="DU179" s="163">
        <v>7997</v>
      </c>
      <c r="DV179" s="163">
        <v>8174</v>
      </c>
      <c r="DW179" s="163">
        <v>6934</v>
      </c>
      <c r="DX179" s="163">
        <v>4705</v>
      </c>
      <c r="DY179" s="163">
        <v>6809</v>
      </c>
      <c r="DZ179" s="163">
        <v>9462</v>
      </c>
      <c r="EA179" s="163">
        <v>6608</v>
      </c>
      <c r="EB179" s="163">
        <v>7406</v>
      </c>
      <c r="EC179" s="163">
        <v>6202</v>
      </c>
      <c r="ED179" s="163">
        <v>7785</v>
      </c>
      <c r="EE179" s="163">
        <v>6008</v>
      </c>
      <c r="EF179" s="163">
        <v>8718</v>
      </c>
      <c r="EG179" s="163">
        <v>6419</v>
      </c>
      <c r="EH179" s="163">
        <v>5308</v>
      </c>
      <c r="EI179" s="163">
        <v>5009</v>
      </c>
      <c r="EJ179" s="163">
        <v>3356</v>
      </c>
      <c r="EK179" s="163">
        <v>3403</v>
      </c>
      <c r="EL179" s="163">
        <v>1786</v>
      </c>
      <c r="EM179" s="163">
        <v>1305</v>
      </c>
      <c r="EN179" s="163">
        <v>1306</v>
      </c>
      <c r="EO179" s="163">
        <v>1702</v>
      </c>
      <c r="EP179" s="163">
        <v>2204</v>
      </c>
      <c r="EQ179" s="163">
        <v>2303</v>
      </c>
      <c r="ER179" s="163">
        <v>3206</v>
      </c>
      <c r="ES179" s="163">
        <v>2505</v>
      </c>
      <c r="ET179" s="163">
        <v>2604</v>
      </c>
      <c r="EU179" s="163">
        <v>2006</v>
      </c>
      <c r="EV179" s="163">
        <v>2042</v>
      </c>
      <c r="EW179" s="163">
        <v>2071</v>
      </c>
      <c r="EX179" s="163">
        <v>2150</v>
      </c>
      <c r="EY179" s="163">
        <v>1454</v>
      </c>
      <c r="EZ179" s="163">
        <v>2042</v>
      </c>
      <c r="FA179" s="163">
        <v>2305</v>
      </c>
      <c r="FB179" s="163">
        <v>2304</v>
      </c>
      <c r="FC179" s="163">
        <v>1805</v>
      </c>
      <c r="FD179" s="163">
        <v>1903</v>
      </c>
      <c r="FE179" s="163">
        <v>2590</v>
      </c>
      <c r="FF179" s="163">
        <v>2458</v>
      </c>
      <c r="FG179" s="163">
        <v>2606</v>
      </c>
      <c r="FH179" s="163">
        <v>2808</v>
      </c>
      <c r="FI179" s="163">
        <v>3004</v>
      </c>
      <c r="FJ179" s="163">
        <v>2324</v>
      </c>
      <c r="FN179" s="165">
        <f t="shared" si="484"/>
        <v>0</v>
      </c>
      <c r="FO179" s="166">
        <f t="shared" si="485"/>
        <v>0</v>
      </c>
      <c r="FP179" s="166">
        <f t="shared" si="486"/>
        <v>0</v>
      </c>
      <c r="FQ179" s="166">
        <f t="shared" si="487"/>
        <v>0</v>
      </c>
      <c r="FR179" s="166">
        <f t="shared" si="488"/>
        <v>0</v>
      </c>
      <c r="FS179" s="166">
        <f t="shared" si="489"/>
        <v>0</v>
      </c>
      <c r="FT179" s="166">
        <f t="shared" si="490"/>
        <v>0</v>
      </c>
      <c r="FU179" s="166">
        <f t="shared" si="491"/>
        <v>0</v>
      </c>
      <c r="FV179" s="166">
        <f t="shared" si="492"/>
        <v>0</v>
      </c>
      <c r="FW179" s="166">
        <f t="shared" si="493"/>
        <v>0</v>
      </c>
      <c r="FX179" s="166">
        <f t="shared" si="494"/>
        <v>0</v>
      </c>
      <c r="FY179" s="166">
        <f t="shared" si="495"/>
        <v>0</v>
      </c>
      <c r="FZ179" s="166">
        <f t="shared" si="496"/>
        <v>0</v>
      </c>
      <c r="GA179" s="166">
        <f t="shared" si="497"/>
        <v>0</v>
      </c>
      <c r="GB179" s="166">
        <f t="shared" si="498"/>
        <v>0</v>
      </c>
      <c r="GC179" s="166">
        <f t="shared" si="499"/>
        <v>0</v>
      </c>
      <c r="GD179" s="166">
        <f t="shared" si="500"/>
        <v>0</v>
      </c>
      <c r="GE179" s="166">
        <f t="shared" si="501"/>
        <v>0</v>
      </c>
      <c r="GF179" s="166">
        <f t="shared" si="502"/>
        <v>0</v>
      </c>
      <c r="GG179" s="166">
        <f t="shared" si="503"/>
        <v>0</v>
      </c>
      <c r="GH179" s="166">
        <f t="shared" si="504"/>
        <v>0</v>
      </c>
      <c r="GI179" s="166">
        <f t="shared" si="505"/>
        <v>0</v>
      </c>
      <c r="GJ179" s="166">
        <f t="shared" si="506"/>
        <v>0</v>
      </c>
      <c r="GK179" s="166">
        <f t="shared" si="507"/>
        <v>0</v>
      </c>
      <c r="GL179" s="166">
        <f t="shared" si="508"/>
        <v>0</v>
      </c>
      <c r="GM179" s="166">
        <f t="shared" si="509"/>
        <v>0</v>
      </c>
      <c r="GN179" s="166">
        <f t="shared" si="510"/>
        <v>0</v>
      </c>
      <c r="GO179" s="166">
        <f t="shared" si="511"/>
        <v>0</v>
      </c>
      <c r="GP179" s="166">
        <f t="shared" si="512"/>
        <v>0</v>
      </c>
      <c r="GQ179" s="166">
        <f t="shared" si="513"/>
        <v>471</v>
      </c>
      <c r="GR179" s="166">
        <f t="shared" si="514"/>
        <v>12025</v>
      </c>
      <c r="GS179" s="166">
        <f t="shared" si="515"/>
        <v>8965</v>
      </c>
      <c r="GT179" s="166">
        <f t="shared" si="516"/>
        <v>5395</v>
      </c>
      <c r="GU179" s="166">
        <f t="shared" si="517"/>
        <v>11211</v>
      </c>
      <c r="GV179" s="166">
        <f t="shared" si="518"/>
        <v>11914</v>
      </c>
      <c r="GW179" s="166">
        <f t="shared" si="519"/>
        <v>11920</v>
      </c>
      <c r="GX179" s="166">
        <f t="shared" si="520"/>
        <v>12448</v>
      </c>
      <c r="GY179" s="166">
        <f t="shared" si="521"/>
        <v>10765</v>
      </c>
      <c r="GZ179" s="166">
        <f t="shared" si="522"/>
        <v>11128</v>
      </c>
      <c r="HA179" s="166">
        <f t="shared" si="523"/>
        <v>16523</v>
      </c>
      <c r="HB179" s="166">
        <f t="shared" si="524"/>
        <v>21459</v>
      </c>
      <c r="HC179" s="166">
        <f t="shared" si="525"/>
        <v>23105</v>
      </c>
      <c r="HD179" s="166">
        <f t="shared" si="526"/>
        <v>20976</v>
      </c>
      <c r="HE179" s="166">
        <f t="shared" si="527"/>
        <v>20216</v>
      </c>
      <c r="HF179" s="166">
        <f t="shared" si="528"/>
        <v>22511</v>
      </c>
      <c r="HG179" s="166">
        <f t="shared" si="529"/>
        <v>16736</v>
      </c>
      <c r="HH179" s="166">
        <f t="shared" si="530"/>
        <v>8545</v>
      </c>
      <c r="HI179" s="166">
        <f t="shared" si="531"/>
        <v>4313</v>
      </c>
      <c r="HJ179" s="167">
        <f t="shared" si="532"/>
        <v>7713</v>
      </c>
      <c r="HK179" s="167">
        <f t="shared" si="533"/>
        <v>7115</v>
      </c>
      <c r="HL179" s="167">
        <f t="shared" si="534"/>
        <v>6263</v>
      </c>
      <c r="HM179" s="167">
        <f t="shared" si="535"/>
        <v>5801</v>
      </c>
      <c r="HN179" s="167">
        <f t="shared" si="536"/>
        <v>6012</v>
      </c>
      <c r="HO179" s="167">
        <f t="shared" si="537"/>
        <v>7654</v>
      </c>
      <c r="HP179" s="167">
        <f t="shared" si="538"/>
        <v>8136</v>
      </c>
      <c r="HQ179" s="168"/>
      <c r="HU179" s="169">
        <f t="shared" si="468"/>
        <v>0</v>
      </c>
      <c r="HV179" s="169">
        <f t="shared" si="469"/>
        <v>0</v>
      </c>
      <c r="HW179" s="169">
        <f t="shared" si="470"/>
        <v>0</v>
      </c>
      <c r="HX179" s="170">
        <f t="shared" si="471"/>
        <v>0</v>
      </c>
      <c r="HY179" s="160">
        <f t="shared" si="472"/>
        <v>0</v>
      </c>
      <c r="HZ179" s="160">
        <f t="shared" si="473"/>
        <v>0</v>
      </c>
      <c r="IA179" s="160">
        <f t="shared" si="474"/>
        <v>0</v>
      </c>
      <c r="IB179" s="171">
        <f t="shared" si="475"/>
        <v>21461</v>
      </c>
      <c r="IC179" s="171">
        <f t="shared" si="476"/>
        <v>40440</v>
      </c>
      <c r="ID179" s="171">
        <f t="shared" si="477"/>
        <v>50864</v>
      </c>
      <c r="IE179" s="171">
        <f t="shared" si="478"/>
        <v>85756</v>
      </c>
      <c r="IF179" s="171">
        <f t="shared" si="479"/>
        <v>52105</v>
      </c>
      <c r="IG179" s="171">
        <f t="shared" si="480"/>
        <v>26892</v>
      </c>
    </row>
    <row r="180" spans="1:241" outlineLevel="2" x14ac:dyDescent="0.3">
      <c r="A180" s="63" t="s">
        <v>150</v>
      </c>
      <c r="B180" s="131">
        <v>227</v>
      </c>
      <c r="C180" s="131">
        <v>815</v>
      </c>
      <c r="D180" s="131">
        <v>248</v>
      </c>
      <c r="E180" s="145">
        <v>536</v>
      </c>
      <c r="F180" s="146">
        <v>443</v>
      </c>
      <c r="G180" s="145">
        <v>604</v>
      </c>
      <c r="H180" s="145">
        <v>497</v>
      </c>
      <c r="I180" s="145">
        <v>111</v>
      </c>
      <c r="J180" s="145">
        <v>700</v>
      </c>
      <c r="K180" s="145">
        <v>237</v>
      </c>
      <c r="L180" s="145">
        <v>909</v>
      </c>
      <c r="M180" s="145">
        <v>761</v>
      </c>
      <c r="N180" s="146">
        <v>455</v>
      </c>
      <c r="O180" s="131">
        <v>454</v>
      </c>
      <c r="P180" s="131">
        <v>413</v>
      </c>
      <c r="Q180" s="145">
        <v>666</v>
      </c>
      <c r="R180" s="146">
        <v>553</v>
      </c>
      <c r="S180" s="146">
        <v>547</v>
      </c>
      <c r="T180" s="146">
        <v>946</v>
      </c>
      <c r="U180" s="146">
        <v>732</v>
      </c>
      <c r="V180" s="146">
        <v>621</v>
      </c>
      <c r="W180" s="146">
        <v>652</v>
      </c>
      <c r="X180" s="146">
        <v>686</v>
      </c>
      <c r="Y180" s="146">
        <v>786</v>
      </c>
      <c r="Z180" s="131">
        <v>491</v>
      </c>
      <c r="AA180" s="131">
        <v>430</v>
      </c>
      <c r="AB180" s="131">
        <v>271</v>
      </c>
      <c r="AC180" s="131">
        <v>379</v>
      </c>
      <c r="AD180" s="131">
        <v>216</v>
      </c>
      <c r="AE180" s="131">
        <v>339</v>
      </c>
      <c r="AF180" s="131">
        <v>328</v>
      </c>
      <c r="AG180" s="131">
        <v>402</v>
      </c>
      <c r="AH180" s="131">
        <v>296</v>
      </c>
      <c r="AI180" s="131">
        <v>699</v>
      </c>
      <c r="AJ180" s="131">
        <v>697</v>
      </c>
      <c r="AK180" s="131">
        <v>781</v>
      </c>
      <c r="AL180" s="131">
        <v>251</v>
      </c>
      <c r="AM180" s="131">
        <v>343</v>
      </c>
      <c r="AN180" s="131">
        <v>439</v>
      </c>
      <c r="AO180" s="131">
        <v>496</v>
      </c>
      <c r="AP180" s="146">
        <v>474</v>
      </c>
      <c r="AQ180" s="146">
        <v>480</v>
      </c>
      <c r="AR180" s="146">
        <v>401</v>
      </c>
      <c r="AS180" s="146">
        <v>188</v>
      </c>
      <c r="AT180" s="146">
        <v>305</v>
      </c>
      <c r="AU180" s="146">
        <v>426</v>
      </c>
      <c r="AV180" s="146">
        <v>748</v>
      </c>
      <c r="AW180" s="146">
        <v>1040</v>
      </c>
      <c r="AX180" s="146">
        <v>547</v>
      </c>
      <c r="AY180" s="146">
        <v>1080</v>
      </c>
      <c r="AZ180" s="146">
        <v>867</v>
      </c>
      <c r="BA180" s="146">
        <v>1179</v>
      </c>
      <c r="BB180" s="146">
        <v>1017</v>
      </c>
      <c r="BC180" s="146">
        <v>1113</v>
      </c>
      <c r="BD180" s="146">
        <v>773</v>
      </c>
      <c r="BE180" s="146">
        <v>805</v>
      </c>
      <c r="BF180" s="146">
        <v>523</v>
      </c>
      <c r="BG180" s="146">
        <v>627</v>
      </c>
      <c r="BH180" s="146">
        <v>722</v>
      </c>
      <c r="BI180" s="146">
        <v>795</v>
      </c>
      <c r="BJ180" s="146">
        <v>505</v>
      </c>
      <c r="BK180" s="147">
        <v>293</v>
      </c>
      <c r="BL180" s="147">
        <v>359</v>
      </c>
      <c r="BM180" s="147">
        <v>507</v>
      </c>
      <c r="BN180" s="147">
        <v>528</v>
      </c>
      <c r="BO180" s="147">
        <v>741</v>
      </c>
      <c r="BP180" s="147">
        <v>515</v>
      </c>
      <c r="BQ180" s="147">
        <v>433</v>
      </c>
      <c r="BR180" s="147">
        <v>215</v>
      </c>
      <c r="BS180" s="147">
        <v>723</v>
      </c>
      <c r="BT180" s="147">
        <v>662</v>
      </c>
      <c r="BU180" s="147">
        <v>1162</v>
      </c>
      <c r="BV180" s="147">
        <v>1000</v>
      </c>
      <c r="BW180" s="147">
        <v>1166</v>
      </c>
      <c r="BX180" s="147">
        <v>801</v>
      </c>
      <c r="BY180" s="147">
        <v>543</v>
      </c>
      <c r="BZ180" s="147">
        <v>731</v>
      </c>
      <c r="CA180" s="147">
        <v>826</v>
      </c>
      <c r="CB180" s="147">
        <v>794</v>
      </c>
      <c r="CC180" s="147">
        <v>929</v>
      </c>
      <c r="CD180" s="147">
        <v>1341</v>
      </c>
      <c r="CE180" s="147">
        <v>694</v>
      </c>
      <c r="CF180" s="147">
        <v>589</v>
      </c>
      <c r="CG180" s="147">
        <v>1079</v>
      </c>
      <c r="CH180" s="147">
        <v>1199</v>
      </c>
      <c r="CI180" s="147">
        <v>1470</v>
      </c>
      <c r="CJ180" s="147">
        <v>1752</v>
      </c>
      <c r="CK180" s="147">
        <v>1133</v>
      </c>
      <c r="CL180" s="147">
        <v>480</v>
      </c>
      <c r="CM180" s="147">
        <v>768</v>
      </c>
      <c r="CN180" s="147">
        <v>999</v>
      </c>
      <c r="CO180" s="147">
        <v>1007</v>
      </c>
      <c r="CP180" s="147">
        <v>303</v>
      </c>
      <c r="CQ180" s="147">
        <v>411</v>
      </c>
      <c r="CR180" s="147">
        <v>594</v>
      </c>
      <c r="CS180" s="148">
        <v>232</v>
      </c>
      <c r="CT180" s="148"/>
      <c r="CU180" s="148">
        <v>93</v>
      </c>
      <c r="CV180" s="148">
        <v>202</v>
      </c>
      <c r="CW180" s="148">
        <v>498</v>
      </c>
      <c r="CX180" s="148">
        <v>435</v>
      </c>
      <c r="CY180" s="148">
        <v>687</v>
      </c>
      <c r="CZ180" s="148">
        <v>710</v>
      </c>
      <c r="DA180" s="148">
        <v>405</v>
      </c>
      <c r="DB180" s="148">
        <v>639</v>
      </c>
      <c r="DC180" s="148">
        <v>671</v>
      </c>
      <c r="DD180" s="148">
        <v>715</v>
      </c>
      <c r="DE180" s="148">
        <v>287</v>
      </c>
      <c r="DF180" s="148">
        <v>536</v>
      </c>
      <c r="DG180" s="148">
        <v>755</v>
      </c>
      <c r="DH180" s="148">
        <v>1044</v>
      </c>
      <c r="DI180" s="148">
        <v>478</v>
      </c>
      <c r="DJ180" s="148">
        <v>923</v>
      </c>
      <c r="DK180" s="148">
        <v>705</v>
      </c>
      <c r="DL180" s="148">
        <v>797</v>
      </c>
      <c r="DM180" s="148">
        <v>656</v>
      </c>
      <c r="DN180" s="148">
        <v>873</v>
      </c>
      <c r="DO180" s="148">
        <v>887</v>
      </c>
      <c r="DP180" s="148">
        <v>1047</v>
      </c>
      <c r="DQ180" s="148">
        <v>1017</v>
      </c>
      <c r="DR180" s="148">
        <v>643</v>
      </c>
      <c r="DS180" s="148">
        <v>594</v>
      </c>
      <c r="DT180" s="148">
        <v>582</v>
      </c>
      <c r="DU180" s="148">
        <v>647</v>
      </c>
      <c r="DV180" s="148">
        <v>682</v>
      </c>
      <c r="DW180" s="148">
        <v>338</v>
      </c>
      <c r="DX180" s="148">
        <v>732</v>
      </c>
      <c r="DY180" s="148">
        <v>1226</v>
      </c>
      <c r="DZ180" s="148">
        <v>1331</v>
      </c>
      <c r="EA180" s="148">
        <v>1452</v>
      </c>
      <c r="EB180" s="148">
        <v>1373</v>
      </c>
      <c r="EC180" s="148">
        <v>913</v>
      </c>
      <c r="ED180" s="148">
        <v>859</v>
      </c>
      <c r="EE180" s="148">
        <v>1048</v>
      </c>
      <c r="EF180" s="148">
        <v>1401</v>
      </c>
      <c r="EG180" s="148">
        <v>1314</v>
      </c>
      <c r="EH180" s="148">
        <v>894</v>
      </c>
      <c r="EI180" s="148">
        <v>993</v>
      </c>
      <c r="EJ180" s="148">
        <v>556</v>
      </c>
      <c r="EK180" s="148">
        <v>783</v>
      </c>
      <c r="EL180" s="148">
        <v>1178</v>
      </c>
      <c r="EM180" s="148">
        <v>798</v>
      </c>
      <c r="EN180" s="148">
        <v>540</v>
      </c>
      <c r="EO180" s="148">
        <v>530</v>
      </c>
      <c r="EP180" s="148">
        <v>534</v>
      </c>
      <c r="EQ180" s="148">
        <v>1065</v>
      </c>
      <c r="ER180" s="148">
        <v>622</v>
      </c>
      <c r="ES180" s="148">
        <v>389</v>
      </c>
      <c r="ET180" s="148">
        <v>1393</v>
      </c>
      <c r="EU180" s="148">
        <v>1528</v>
      </c>
      <c r="EV180" s="148">
        <v>1067</v>
      </c>
      <c r="EW180" s="148">
        <v>1072</v>
      </c>
      <c r="EX180" s="148">
        <v>1534</v>
      </c>
      <c r="EY180" s="148">
        <v>1647</v>
      </c>
      <c r="EZ180" s="148">
        <v>1966</v>
      </c>
      <c r="FA180" s="148">
        <v>2786</v>
      </c>
      <c r="FB180" s="148">
        <v>2530</v>
      </c>
      <c r="FC180" s="148">
        <v>2388</v>
      </c>
      <c r="FD180" s="148">
        <v>1022</v>
      </c>
      <c r="FE180" s="148">
        <v>964</v>
      </c>
      <c r="FF180" s="148">
        <v>1447</v>
      </c>
      <c r="FG180" s="148">
        <v>2481</v>
      </c>
      <c r="FH180" s="148">
        <v>2266</v>
      </c>
      <c r="FI180" s="148">
        <v>1262</v>
      </c>
      <c r="FJ180" s="148">
        <v>1050</v>
      </c>
      <c r="FN180" s="151">
        <f t="shared" si="484"/>
        <v>1290</v>
      </c>
      <c r="FO180" s="152">
        <f t="shared" si="485"/>
        <v>1583</v>
      </c>
      <c r="FP180" s="152">
        <f t="shared" si="486"/>
        <v>1308</v>
      </c>
      <c r="FQ180" s="152">
        <f t="shared" si="487"/>
        <v>1907</v>
      </c>
      <c r="FR180" s="152">
        <f t="shared" si="488"/>
        <v>1322</v>
      </c>
      <c r="FS180" s="152">
        <f t="shared" si="489"/>
        <v>1766</v>
      </c>
      <c r="FT180" s="152">
        <f t="shared" si="490"/>
        <v>2299</v>
      </c>
      <c r="FU180" s="152">
        <f t="shared" si="491"/>
        <v>2124</v>
      </c>
      <c r="FV180" s="152">
        <f t="shared" si="492"/>
        <v>1192</v>
      </c>
      <c r="FW180" s="152">
        <f t="shared" si="493"/>
        <v>934</v>
      </c>
      <c r="FX180" s="152">
        <f t="shared" si="494"/>
        <v>1026</v>
      </c>
      <c r="FY180" s="152">
        <f t="shared" si="495"/>
        <v>2177</v>
      </c>
      <c r="FZ180" s="152">
        <f t="shared" si="496"/>
        <v>1033</v>
      </c>
      <c r="GA180" s="152">
        <f t="shared" si="497"/>
        <v>1450</v>
      </c>
      <c r="GB180" s="152">
        <f t="shared" si="498"/>
        <v>894</v>
      </c>
      <c r="GC180" s="152">
        <f t="shared" si="499"/>
        <v>2214</v>
      </c>
      <c r="GD180" s="152">
        <f t="shared" si="500"/>
        <v>2494</v>
      </c>
      <c r="GE180" s="152">
        <f t="shared" si="501"/>
        <v>3309</v>
      </c>
      <c r="GF180" s="152">
        <f t="shared" si="502"/>
        <v>2101</v>
      </c>
      <c r="GG180" s="152">
        <f t="shared" si="503"/>
        <v>2144</v>
      </c>
      <c r="GH180" s="152">
        <f t="shared" si="504"/>
        <v>1157</v>
      </c>
      <c r="GI180" s="152">
        <f t="shared" si="505"/>
        <v>1776</v>
      </c>
      <c r="GJ180" s="152">
        <f t="shared" si="506"/>
        <v>1163</v>
      </c>
      <c r="GK180" s="152">
        <f t="shared" si="507"/>
        <v>2547</v>
      </c>
      <c r="GL180" s="152">
        <f t="shared" si="508"/>
        <v>2967</v>
      </c>
      <c r="GM180" s="152">
        <f t="shared" si="509"/>
        <v>2100</v>
      </c>
      <c r="GN180" s="152">
        <f t="shared" si="510"/>
        <v>3064</v>
      </c>
      <c r="GO180" s="152">
        <f t="shared" si="511"/>
        <v>2362</v>
      </c>
      <c r="GP180" s="152">
        <f t="shared" si="512"/>
        <v>4421</v>
      </c>
      <c r="GQ180" s="152">
        <f t="shared" si="513"/>
        <v>2381</v>
      </c>
      <c r="GR180" s="152">
        <f t="shared" si="514"/>
        <v>2309</v>
      </c>
      <c r="GS180" s="152">
        <f t="shared" si="515"/>
        <v>1237</v>
      </c>
      <c r="GT180" s="152">
        <f t="shared" si="516"/>
        <v>295</v>
      </c>
      <c r="GU180" s="152">
        <f t="shared" si="517"/>
        <v>1620</v>
      </c>
      <c r="GV180" s="152">
        <f t="shared" si="518"/>
        <v>1754</v>
      </c>
      <c r="GW180" s="152">
        <f t="shared" si="519"/>
        <v>1673</v>
      </c>
      <c r="GX180" s="152">
        <f t="shared" si="520"/>
        <v>2335</v>
      </c>
      <c r="GY180" s="152">
        <f t="shared" si="521"/>
        <v>2106</v>
      </c>
      <c r="GZ180" s="152">
        <f t="shared" si="522"/>
        <v>2326</v>
      </c>
      <c r="HA180" s="152">
        <f t="shared" si="523"/>
        <v>2951</v>
      </c>
      <c r="HB180" s="152">
        <f t="shared" si="524"/>
        <v>1819</v>
      </c>
      <c r="HC180" s="152">
        <f t="shared" si="525"/>
        <v>1667</v>
      </c>
      <c r="HD180" s="152">
        <f t="shared" si="526"/>
        <v>3289</v>
      </c>
      <c r="HE180" s="152">
        <f t="shared" si="527"/>
        <v>3738</v>
      </c>
      <c r="HF180" s="152">
        <f t="shared" si="528"/>
        <v>3308</v>
      </c>
      <c r="HG180" s="152">
        <f t="shared" si="529"/>
        <v>3201</v>
      </c>
      <c r="HH180" s="152">
        <f t="shared" si="530"/>
        <v>2517</v>
      </c>
      <c r="HI180" s="152">
        <f t="shared" si="531"/>
        <v>1868</v>
      </c>
      <c r="HJ180" s="153">
        <f t="shared" si="532"/>
        <v>2221</v>
      </c>
      <c r="HK180" s="153">
        <f t="shared" si="533"/>
        <v>3310</v>
      </c>
      <c r="HL180" s="153">
        <f t="shared" si="534"/>
        <v>3673</v>
      </c>
      <c r="HM180" s="153">
        <f t="shared" si="535"/>
        <v>6399</v>
      </c>
      <c r="HN180" s="153">
        <f t="shared" si="536"/>
        <v>5940</v>
      </c>
      <c r="HO180" s="153">
        <f t="shared" si="537"/>
        <v>4892</v>
      </c>
      <c r="HP180" s="153">
        <f t="shared" si="538"/>
        <v>4578</v>
      </c>
      <c r="HQ180" s="101"/>
      <c r="HU180" s="155">
        <f t="shared" si="468"/>
        <v>6088</v>
      </c>
      <c r="HV180" s="155">
        <f t="shared" si="469"/>
        <v>7511</v>
      </c>
      <c r="HW180" s="155">
        <f t="shared" si="470"/>
        <v>5329</v>
      </c>
      <c r="HX180" s="156">
        <f t="shared" si="471"/>
        <v>5591</v>
      </c>
      <c r="HY180" s="146">
        <f t="shared" si="472"/>
        <v>10048</v>
      </c>
      <c r="HZ180" s="146">
        <f t="shared" si="473"/>
        <v>6643</v>
      </c>
      <c r="IA180" s="146">
        <f t="shared" si="474"/>
        <v>10493</v>
      </c>
      <c r="IB180" s="157">
        <f t="shared" si="475"/>
        <v>10348</v>
      </c>
      <c r="IC180" s="157">
        <f t="shared" si="476"/>
        <v>5342</v>
      </c>
      <c r="ID180" s="157">
        <f t="shared" si="477"/>
        <v>9718</v>
      </c>
      <c r="IE180" s="157">
        <f t="shared" si="478"/>
        <v>10513</v>
      </c>
      <c r="IF180" s="157">
        <f t="shared" si="479"/>
        <v>10894</v>
      </c>
      <c r="IG180" s="157">
        <f t="shared" si="480"/>
        <v>15603</v>
      </c>
    </row>
    <row r="181" spans="1:241" outlineLevel="2" x14ac:dyDescent="0.3">
      <c r="A181" s="71" t="s">
        <v>152</v>
      </c>
      <c r="B181" s="161">
        <v>11</v>
      </c>
      <c r="C181" s="161">
        <v>0</v>
      </c>
      <c r="D181" s="161">
        <v>80</v>
      </c>
      <c r="E181" s="159">
        <v>5</v>
      </c>
      <c r="F181" s="160">
        <v>5</v>
      </c>
      <c r="G181" s="159">
        <v>6</v>
      </c>
      <c r="H181" s="159">
        <v>5</v>
      </c>
      <c r="I181" s="159">
        <v>10</v>
      </c>
      <c r="J181" s="159">
        <v>46</v>
      </c>
      <c r="K181" s="159">
        <v>48</v>
      </c>
      <c r="L181" s="159">
        <v>24</v>
      </c>
      <c r="M181" s="159">
        <v>55</v>
      </c>
      <c r="N181" s="160">
        <v>4</v>
      </c>
      <c r="O181" s="161">
        <v>9</v>
      </c>
      <c r="P181" s="161">
        <v>1</v>
      </c>
      <c r="Q181" s="159">
        <v>11</v>
      </c>
      <c r="R181" s="160">
        <v>3</v>
      </c>
      <c r="S181" s="161">
        <v>0</v>
      </c>
      <c r="T181" s="161">
        <v>11</v>
      </c>
      <c r="U181" s="161">
        <v>13</v>
      </c>
      <c r="V181" s="161">
        <v>37</v>
      </c>
      <c r="W181" s="161">
        <v>42</v>
      </c>
      <c r="X181" s="161">
        <v>24</v>
      </c>
      <c r="Y181" s="161">
        <v>104</v>
      </c>
      <c r="Z181" s="161">
        <v>147</v>
      </c>
      <c r="AA181" s="161">
        <v>766</v>
      </c>
      <c r="AB181" s="161">
        <v>1153</v>
      </c>
      <c r="AC181" s="161">
        <v>669</v>
      </c>
      <c r="AD181" s="161">
        <v>1263</v>
      </c>
      <c r="AE181" s="161">
        <v>966</v>
      </c>
      <c r="AF181" s="161">
        <v>759</v>
      </c>
      <c r="AG181" s="161">
        <v>1166</v>
      </c>
      <c r="AH181" s="161">
        <v>1073</v>
      </c>
      <c r="AI181" s="161">
        <v>803</v>
      </c>
      <c r="AJ181" s="161">
        <v>1049</v>
      </c>
      <c r="AK181" s="161">
        <v>680</v>
      </c>
      <c r="AL181" s="161">
        <v>1039</v>
      </c>
      <c r="AM181" s="161">
        <v>846</v>
      </c>
      <c r="AN181" s="161">
        <v>517</v>
      </c>
      <c r="AO181" s="161">
        <v>499</v>
      </c>
      <c r="AP181" s="160">
        <v>627</v>
      </c>
      <c r="AQ181" s="160">
        <v>295</v>
      </c>
      <c r="AR181" s="160">
        <v>853</v>
      </c>
      <c r="AS181" s="160">
        <v>1186</v>
      </c>
      <c r="AT181" s="160">
        <v>912</v>
      </c>
      <c r="AU181" s="160">
        <v>674</v>
      </c>
      <c r="AV181" s="160">
        <v>631</v>
      </c>
      <c r="AW181" s="160">
        <v>347</v>
      </c>
      <c r="AX181" s="160">
        <v>521</v>
      </c>
      <c r="AY181" s="160">
        <v>373</v>
      </c>
      <c r="AZ181" s="160">
        <v>266</v>
      </c>
      <c r="BA181" s="160">
        <v>791</v>
      </c>
      <c r="BB181" s="160">
        <v>1802</v>
      </c>
      <c r="BC181" s="160">
        <v>1348</v>
      </c>
      <c r="BD181" s="160">
        <v>676</v>
      </c>
      <c r="BE181" s="160">
        <v>789</v>
      </c>
      <c r="BF181" s="160">
        <v>1476</v>
      </c>
      <c r="BG181" s="160">
        <v>1419</v>
      </c>
      <c r="BH181" s="160">
        <v>950</v>
      </c>
      <c r="BI181" s="160">
        <v>1012</v>
      </c>
      <c r="BJ181" s="160">
        <v>180</v>
      </c>
      <c r="BK181" s="162">
        <v>226</v>
      </c>
      <c r="BL181" s="162">
        <v>385</v>
      </c>
      <c r="BM181" s="162">
        <v>229</v>
      </c>
      <c r="BN181" s="162">
        <v>199</v>
      </c>
      <c r="BO181" s="162">
        <v>780</v>
      </c>
      <c r="BP181" s="162">
        <v>666</v>
      </c>
      <c r="BQ181" s="162">
        <v>516</v>
      </c>
      <c r="BR181" s="162">
        <v>236</v>
      </c>
      <c r="BS181" s="162">
        <v>707</v>
      </c>
      <c r="BT181" s="162">
        <v>721</v>
      </c>
      <c r="BU181" s="162">
        <v>618</v>
      </c>
      <c r="BV181" s="162">
        <v>659</v>
      </c>
      <c r="BW181" s="162">
        <v>737</v>
      </c>
      <c r="BX181" s="162">
        <v>359</v>
      </c>
      <c r="BY181" s="162">
        <v>421</v>
      </c>
      <c r="BZ181" s="162">
        <v>397</v>
      </c>
      <c r="CA181" s="162">
        <v>383</v>
      </c>
      <c r="CB181" s="162">
        <v>505</v>
      </c>
      <c r="CC181" s="162">
        <v>163</v>
      </c>
      <c r="CD181" s="162">
        <v>161</v>
      </c>
      <c r="CE181" s="162">
        <v>734</v>
      </c>
      <c r="CF181" s="162">
        <v>622</v>
      </c>
      <c r="CG181" s="162">
        <v>583</v>
      </c>
      <c r="CH181" s="162">
        <v>313</v>
      </c>
      <c r="CI181" s="162">
        <v>294</v>
      </c>
      <c r="CJ181" s="162">
        <v>504</v>
      </c>
      <c r="CK181" s="162">
        <v>563</v>
      </c>
      <c r="CL181" s="162">
        <v>1013</v>
      </c>
      <c r="CM181" s="162">
        <v>591</v>
      </c>
      <c r="CN181" s="162">
        <v>657</v>
      </c>
      <c r="CO181" s="162">
        <v>527</v>
      </c>
      <c r="CP181" s="162">
        <v>399</v>
      </c>
      <c r="CQ181" s="162">
        <v>634</v>
      </c>
      <c r="CR181" s="162">
        <v>522</v>
      </c>
      <c r="CS181" s="163">
        <v>119</v>
      </c>
      <c r="CT181" s="163"/>
      <c r="CU181" s="163">
        <v>271</v>
      </c>
      <c r="CV181" s="163">
        <v>138</v>
      </c>
      <c r="CW181" s="163">
        <v>208</v>
      </c>
      <c r="CX181" s="163">
        <v>560</v>
      </c>
      <c r="CY181" s="163">
        <v>327</v>
      </c>
      <c r="CZ181" s="163">
        <v>600</v>
      </c>
      <c r="DA181" s="163">
        <v>458</v>
      </c>
      <c r="DB181" s="163">
        <v>698</v>
      </c>
      <c r="DC181" s="163">
        <v>2579</v>
      </c>
      <c r="DD181" s="163">
        <v>2032</v>
      </c>
      <c r="DE181" s="163">
        <v>1690</v>
      </c>
      <c r="DF181" s="163">
        <v>3825</v>
      </c>
      <c r="DG181" s="163">
        <v>1973</v>
      </c>
      <c r="DH181" s="163">
        <v>3022</v>
      </c>
      <c r="DI181" s="163">
        <v>4943</v>
      </c>
      <c r="DJ181" s="163">
        <v>4433</v>
      </c>
      <c r="DK181" s="163">
        <v>4068</v>
      </c>
      <c r="DL181" s="163">
        <v>3867</v>
      </c>
      <c r="DM181" s="163">
        <v>4269</v>
      </c>
      <c r="DN181" s="163">
        <v>5166</v>
      </c>
      <c r="DO181" s="163">
        <v>4356</v>
      </c>
      <c r="DP181" s="163">
        <v>4654</v>
      </c>
      <c r="DQ181" s="163">
        <v>6245</v>
      </c>
      <c r="DR181" s="163">
        <v>2885</v>
      </c>
      <c r="DS181" s="163">
        <v>6528</v>
      </c>
      <c r="DT181" s="163">
        <v>5703</v>
      </c>
      <c r="DU181" s="163">
        <v>3395</v>
      </c>
      <c r="DV181" s="163">
        <v>8921</v>
      </c>
      <c r="DW181" s="163">
        <v>5898</v>
      </c>
      <c r="DX181" s="163">
        <v>1276</v>
      </c>
      <c r="DY181" s="163">
        <v>1273</v>
      </c>
      <c r="DZ181" s="163">
        <v>1032</v>
      </c>
      <c r="EA181" s="163">
        <v>1417</v>
      </c>
      <c r="EB181" s="163">
        <v>3383</v>
      </c>
      <c r="EC181" s="163">
        <v>6231</v>
      </c>
      <c r="ED181" s="163">
        <v>3445</v>
      </c>
      <c r="EE181" s="163">
        <v>4509</v>
      </c>
      <c r="EF181" s="163">
        <v>3335</v>
      </c>
      <c r="EG181" s="163">
        <v>4198</v>
      </c>
      <c r="EH181" s="163">
        <v>6311</v>
      </c>
      <c r="EI181" s="163">
        <v>4314</v>
      </c>
      <c r="EJ181" s="163">
        <v>7294</v>
      </c>
      <c r="EK181" s="163">
        <v>8468</v>
      </c>
      <c r="EL181" s="163">
        <v>7416</v>
      </c>
      <c r="EM181" s="163">
        <v>8670</v>
      </c>
      <c r="EN181" s="163">
        <v>10967</v>
      </c>
      <c r="EO181" s="163">
        <v>9000</v>
      </c>
      <c r="EP181" s="163">
        <v>8419</v>
      </c>
      <c r="EQ181" s="163">
        <v>8655</v>
      </c>
      <c r="ER181" s="163">
        <v>14903</v>
      </c>
      <c r="ES181" s="163">
        <v>13694</v>
      </c>
      <c r="ET181" s="163">
        <v>13378</v>
      </c>
      <c r="EU181" s="163">
        <v>13859</v>
      </c>
      <c r="EV181" s="163">
        <v>15268</v>
      </c>
      <c r="EW181" s="163">
        <v>12769</v>
      </c>
      <c r="EX181" s="163">
        <v>17319</v>
      </c>
      <c r="EY181" s="163">
        <v>12906</v>
      </c>
      <c r="EZ181" s="163">
        <v>10960</v>
      </c>
      <c r="FA181" s="163">
        <v>14870</v>
      </c>
      <c r="FB181" s="163">
        <v>16124</v>
      </c>
      <c r="FC181" s="163">
        <v>16189</v>
      </c>
      <c r="FD181" s="163">
        <v>18355</v>
      </c>
      <c r="FE181" s="163">
        <v>13595</v>
      </c>
      <c r="FF181" s="163">
        <v>13453</v>
      </c>
      <c r="FG181" s="163">
        <v>22502</v>
      </c>
      <c r="FH181" s="163">
        <v>14361</v>
      </c>
      <c r="FI181" s="163">
        <v>26022</v>
      </c>
      <c r="FJ181" s="163">
        <v>12422</v>
      </c>
      <c r="FN181" s="165">
        <f t="shared" si="484"/>
        <v>91</v>
      </c>
      <c r="FO181" s="166">
        <f t="shared" si="485"/>
        <v>16</v>
      </c>
      <c r="FP181" s="166">
        <f t="shared" si="486"/>
        <v>61</v>
      </c>
      <c r="FQ181" s="166">
        <f t="shared" si="487"/>
        <v>127</v>
      </c>
      <c r="FR181" s="166">
        <f t="shared" si="488"/>
        <v>14</v>
      </c>
      <c r="FS181" s="166">
        <f t="shared" si="489"/>
        <v>14</v>
      </c>
      <c r="FT181" s="166">
        <f t="shared" si="490"/>
        <v>61</v>
      </c>
      <c r="FU181" s="166">
        <f t="shared" si="491"/>
        <v>170</v>
      </c>
      <c r="FV181" s="166">
        <f t="shared" si="492"/>
        <v>2066</v>
      </c>
      <c r="FW181" s="166">
        <f t="shared" si="493"/>
        <v>2898</v>
      </c>
      <c r="FX181" s="166">
        <f t="shared" si="494"/>
        <v>2998</v>
      </c>
      <c r="FY181" s="166">
        <f t="shared" si="495"/>
        <v>2532</v>
      </c>
      <c r="FZ181" s="166">
        <f t="shared" si="496"/>
        <v>2402</v>
      </c>
      <c r="GA181" s="166">
        <f t="shared" si="497"/>
        <v>1421</v>
      </c>
      <c r="GB181" s="166">
        <f t="shared" si="498"/>
        <v>2951</v>
      </c>
      <c r="GC181" s="166">
        <f t="shared" si="499"/>
        <v>1652</v>
      </c>
      <c r="GD181" s="166">
        <f t="shared" si="500"/>
        <v>1160</v>
      </c>
      <c r="GE181" s="166">
        <f t="shared" si="501"/>
        <v>3941</v>
      </c>
      <c r="GF181" s="166">
        <f t="shared" si="502"/>
        <v>2941</v>
      </c>
      <c r="GG181" s="166">
        <f t="shared" si="503"/>
        <v>3381</v>
      </c>
      <c r="GH181" s="166">
        <f t="shared" si="504"/>
        <v>791</v>
      </c>
      <c r="GI181" s="166">
        <f t="shared" si="505"/>
        <v>1208</v>
      </c>
      <c r="GJ181" s="166">
        <f t="shared" si="506"/>
        <v>1418</v>
      </c>
      <c r="GK181" s="166">
        <f t="shared" si="507"/>
        <v>2046</v>
      </c>
      <c r="GL181" s="166">
        <f t="shared" si="508"/>
        <v>1755</v>
      </c>
      <c r="GM181" s="166">
        <f t="shared" si="509"/>
        <v>1201</v>
      </c>
      <c r="GN181" s="166">
        <f t="shared" si="510"/>
        <v>829</v>
      </c>
      <c r="GO181" s="166">
        <f t="shared" si="511"/>
        <v>1939</v>
      </c>
      <c r="GP181" s="166">
        <f t="shared" si="512"/>
        <v>1111</v>
      </c>
      <c r="GQ181" s="166">
        <f t="shared" si="513"/>
        <v>2167</v>
      </c>
      <c r="GR181" s="166">
        <f t="shared" si="514"/>
        <v>1583</v>
      </c>
      <c r="GS181" s="166">
        <f t="shared" si="515"/>
        <v>1275</v>
      </c>
      <c r="GT181" s="166">
        <f t="shared" si="516"/>
        <v>409</v>
      </c>
      <c r="GU181" s="166">
        <f t="shared" si="517"/>
        <v>1095</v>
      </c>
      <c r="GV181" s="166">
        <f t="shared" si="518"/>
        <v>1756</v>
      </c>
      <c r="GW181" s="166">
        <f t="shared" si="519"/>
        <v>6301</v>
      </c>
      <c r="GX181" s="166">
        <f t="shared" si="520"/>
        <v>8820</v>
      </c>
      <c r="GY181" s="166">
        <f t="shared" si="521"/>
        <v>13444</v>
      </c>
      <c r="GZ181" s="166">
        <f t="shared" si="522"/>
        <v>13302</v>
      </c>
      <c r="HA181" s="166">
        <f t="shared" si="523"/>
        <v>15255</v>
      </c>
      <c r="HB181" s="166">
        <f t="shared" si="524"/>
        <v>15116</v>
      </c>
      <c r="HC181" s="166">
        <f t="shared" si="525"/>
        <v>18214</v>
      </c>
      <c r="HD181" s="166">
        <f t="shared" si="526"/>
        <v>3581</v>
      </c>
      <c r="HE181" s="166">
        <f t="shared" si="527"/>
        <v>11031</v>
      </c>
      <c r="HF181" s="166">
        <f t="shared" si="528"/>
        <v>11289</v>
      </c>
      <c r="HG181" s="166">
        <f t="shared" si="529"/>
        <v>14823</v>
      </c>
      <c r="HH181" s="166">
        <f t="shared" si="530"/>
        <v>23178</v>
      </c>
      <c r="HI181" s="166">
        <f t="shared" si="531"/>
        <v>28637</v>
      </c>
      <c r="HJ181" s="167">
        <f t="shared" si="532"/>
        <v>31977</v>
      </c>
      <c r="HK181" s="167">
        <f t="shared" si="533"/>
        <v>40931</v>
      </c>
      <c r="HL181" s="167">
        <f t="shared" si="534"/>
        <v>45356</v>
      </c>
      <c r="HM181" s="167">
        <f t="shared" si="535"/>
        <v>38736</v>
      </c>
      <c r="HN181" s="167">
        <f t="shared" si="536"/>
        <v>50668</v>
      </c>
      <c r="HO181" s="167">
        <f t="shared" si="537"/>
        <v>49550</v>
      </c>
      <c r="HP181" s="167">
        <f t="shared" si="538"/>
        <v>52805</v>
      </c>
      <c r="HQ181" s="168"/>
      <c r="HU181" s="169">
        <f t="shared" si="468"/>
        <v>295</v>
      </c>
      <c r="HV181" s="169">
        <f t="shared" si="469"/>
        <v>259</v>
      </c>
      <c r="HW181" s="169">
        <f t="shared" si="470"/>
        <v>10494</v>
      </c>
      <c r="HX181" s="170">
        <f t="shared" si="471"/>
        <v>8426</v>
      </c>
      <c r="HY181" s="160">
        <f t="shared" si="472"/>
        <v>11423</v>
      </c>
      <c r="HZ181" s="160">
        <f t="shared" si="473"/>
        <v>5463</v>
      </c>
      <c r="IA181" s="160">
        <f t="shared" si="474"/>
        <v>5724</v>
      </c>
      <c r="IB181" s="171">
        <f t="shared" si="475"/>
        <v>6136</v>
      </c>
      <c r="IC181" s="171">
        <f t="shared" si="476"/>
        <v>9561</v>
      </c>
      <c r="ID181" s="171">
        <f t="shared" si="477"/>
        <v>50821</v>
      </c>
      <c r="IE181" s="171">
        <f t="shared" si="478"/>
        <v>47942</v>
      </c>
      <c r="IF181" s="171">
        <f t="shared" si="479"/>
        <v>77927</v>
      </c>
      <c r="IG181" s="171">
        <f t="shared" si="480"/>
        <v>157000</v>
      </c>
    </row>
    <row r="182" spans="1:241" outlineLevel="2" x14ac:dyDescent="0.3">
      <c r="A182" s="63" t="s">
        <v>153</v>
      </c>
      <c r="B182" s="131"/>
      <c r="C182" s="131"/>
      <c r="D182" s="131"/>
      <c r="E182" s="145"/>
      <c r="F182" s="146"/>
      <c r="G182" s="145"/>
      <c r="H182" s="145"/>
      <c r="I182" s="145"/>
      <c r="J182" s="145"/>
      <c r="K182" s="145"/>
      <c r="L182" s="145"/>
      <c r="M182" s="145"/>
      <c r="N182" s="146"/>
      <c r="O182" s="131"/>
      <c r="P182" s="131"/>
      <c r="Q182" s="145"/>
      <c r="R182" s="146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46"/>
      <c r="AQ182" s="146"/>
      <c r="AR182" s="146"/>
      <c r="AS182" s="146"/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/>
      <c r="BI182" s="146"/>
      <c r="BJ182" s="146"/>
      <c r="BK182" s="147"/>
      <c r="BL182" s="147"/>
      <c r="BM182" s="147"/>
      <c r="BN182" s="147"/>
      <c r="BO182" s="147"/>
      <c r="BP182" s="147"/>
      <c r="BQ182" s="147"/>
      <c r="BR182" s="147"/>
      <c r="BS182" s="147"/>
      <c r="BT182" s="147"/>
      <c r="BU182" s="147"/>
      <c r="BV182" s="147"/>
      <c r="BW182" s="147"/>
      <c r="BX182" s="147"/>
      <c r="BY182" s="147"/>
      <c r="BZ182" s="147"/>
      <c r="CA182" s="147"/>
      <c r="CB182" s="147"/>
      <c r="CC182" s="147"/>
      <c r="CD182" s="147"/>
      <c r="CE182" s="147"/>
      <c r="CF182" s="147"/>
      <c r="CG182" s="147"/>
      <c r="CH182" s="147"/>
      <c r="CI182" s="147"/>
      <c r="CJ182" s="147"/>
      <c r="CK182" s="147"/>
      <c r="CL182" s="147"/>
      <c r="CM182" s="147">
        <v>0</v>
      </c>
      <c r="CN182" s="147">
        <v>0</v>
      </c>
      <c r="CO182" s="147">
        <v>0</v>
      </c>
      <c r="CP182" s="147">
        <v>0</v>
      </c>
      <c r="CQ182" s="147">
        <v>0</v>
      </c>
      <c r="CR182" s="147">
        <v>0</v>
      </c>
      <c r="CS182" s="148">
        <v>0</v>
      </c>
      <c r="CT182" s="148"/>
      <c r="CU182" s="148">
        <v>0</v>
      </c>
      <c r="CV182" s="148">
        <v>0</v>
      </c>
      <c r="CW182" s="148">
        <v>0</v>
      </c>
      <c r="CX182" s="148">
        <v>0</v>
      </c>
      <c r="CY182" s="148">
        <v>0</v>
      </c>
      <c r="CZ182" s="148">
        <v>0</v>
      </c>
      <c r="DA182" s="148">
        <v>0</v>
      </c>
      <c r="DB182" s="148">
        <v>0</v>
      </c>
      <c r="DC182" s="148">
        <v>0</v>
      </c>
      <c r="DD182" s="148">
        <v>0</v>
      </c>
      <c r="DE182" s="148">
        <v>0</v>
      </c>
      <c r="DF182" s="148">
        <v>0</v>
      </c>
      <c r="DG182" s="148">
        <v>0</v>
      </c>
      <c r="DH182" s="148">
        <v>0</v>
      </c>
      <c r="DI182" s="148">
        <v>0</v>
      </c>
      <c r="DJ182" s="148">
        <v>0</v>
      </c>
      <c r="DK182" s="148">
        <v>0</v>
      </c>
      <c r="DL182" s="148">
        <v>0</v>
      </c>
      <c r="DM182" s="148">
        <v>0</v>
      </c>
      <c r="DN182" s="148">
        <v>32</v>
      </c>
      <c r="DO182" s="148">
        <v>0</v>
      </c>
      <c r="DP182" s="148">
        <v>0</v>
      </c>
      <c r="DQ182" s="148">
        <v>24</v>
      </c>
      <c r="DR182" s="148"/>
      <c r="DS182" s="148"/>
      <c r="DT182" s="148"/>
      <c r="DU182" s="148"/>
      <c r="DV182" s="148"/>
      <c r="DW182" s="148"/>
      <c r="DX182" s="148">
        <v>12</v>
      </c>
      <c r="DY182" s="148">
        <v>0</v>
      </c>
      <c r="DZ182" s="148">
        <v>0</v>
      </c>
      <c r="EA182" s="148">
        <v>0</v>
      </c>
      <c r="EB182" s="148">
        <v>0</v>
      </c>
      <c r="EC182" s="148">
        <v>12</v>
      </c>
      <c r="ED182" s="148">
        <v>0</v>
      </c>
      <c r="EE182" s="148">
        <v>0</v>
      </c>
      <c r="EF182" s="148"/>
      <c r="EG182" s="148"/>
      <c r="EH182" s="148"/>
      <c r="EI182" s="148"/>
      <c r="EJ182" s="148"/>
      <c r="EK182" s="148"/>
      <c r="EL182" s="148"/>
      <c r="EM182" s="148"/>
      <c r="EN182" s="148"/>
      <c r="EO182" s="148"/>
      <c r="EP182" s="148"/>
      <c r="EQ182" s="148"/>
      <c r="ER182" s="148"/>
      <c r="ES182" s="148"/>
      <c r="ET182" s="148">
        <v>0</v>
      </c>
      <c r="EU182" s="148"/>
      <c r="EV182" s="148"/>
      <c r="EW182" s="148"/>
      <c r="EX182" s="148"/>
      <c r="EY182" s="148"/>
      <c r="EZ182" s="148"/>
      <c r="FA182" s="148"/>
      <c r="FB182" s="148"/>
      <c r="FC182" s="148"/>
      <c r="FD182" s="148"/>
      <c r="FE182" s="148"/>
      <c r="FF182" s="148"/>
      <c r="FG182" s="148"/>
      <c r="FH182" s="148"/>
      <c r="FI182" s="148"/>
      <c r="FJ182" s="148"/>
      <c r="FN182" s="151">
        <f t="shared" si="484"/>
        <v>0</v>
      </c>
      <c r="FO182" s="152">
        <f t="shared" si="485"/>
        <v>0</v>
      </c>
      <c r="FP182" s="152">
        <f t="shared" si="486"/>
        <v>0</v>
      </c>
      <c r="FQ182" s="152">
        <f t="shared" si="487"/>
        <v>0</v>
      </c>
      <c r="FR182" s="152">
        <f t="shared" si="488"/>
        <v>0</v>
      </c>
      <c r="FS182" s="152">
        <f t="shared" si="489"/>
        <v>0</v>
      </c>
      <c r="FT182" s="152">
        <f t="shared" si="490"/>
        <v>0</v>
      </c>
      <c r="FU182" s="152">
        <f t="shared" si="491"/>
        <v>0</v>
      </c>
      <c r="FV182" s="152">
        <f t="shared" si="492"/>
        <v>0</v>
      </c>
      <c r="FW182" s="152">
        <f t="shared" si="493"/>
        <v>0</v>
      </c>
      <c r="FX182" s="152">
        <f t="shared" si="494"/>
        <v>0</v>
      </c>
      <c r="FY182" s="152">
        <f t="shared" si="495"/>
        <v>0</v>
      </c>
      <c r="FZ182" s="152">
        <f t="shared" si="496"/>
        <v>0</v>
      </c>
      <c r="GA182" s="152">
        <f t="shared" si="497"/>
        <v>0</v>
      </c>
      <c r="GB182" s="152">
        <f t="shared" si="498"/>
        <v>0</v>
      </c>
      <c r="GC182" s="152">
        <f t="shared" si="499"/>
        <v>0</v>
      </c>
      <c r="GD182" s="152">
        <f t="shared" si="500"/>
        <v>0</v>
      </c>
      <c r="GE182" s="152">
        <f t="shared" si="501"/>
        <v>0</v>
      </c>
      <c r="GF182" s="152">
        <f t="shared" si="502"/>
        <v>0</v>
      </c>
      <c r="GG182" s="152">
        <f t="shared" si="503"/>
        <v>0</v>
      </c>
      <c r="GH182" s="152">
        <f t="shared" si="504"/>
        <v>0</v>
      </c>
      <c r="GI182" s="152">
        <f t="shared" si="505"/>
        <v>0</v>
      </c>
      <c r="GJ182" s="152">
        <f t="shared" si="506"/>
        <v>0</v>
      </c>
      <c r="GK182" s="152">
        <f t="shared" si="507"/>
        <v>0</v>
      </c>
      <c r="GL182" s="152">
        <f t="shared" si="508"/>
        <v>0</v>
      </c>
      <c r="GM182" s="152">
        <f t="shared" si="509"/>
        <v>0</v>
      </c>
      <c r="GN182" s="152">
        <f t="shared" si="510"/>
        <v>0</v>
      </c>
      <c r="GO182" s="152">
        <f t="shared" si="511"/>
        <v>0</v>
      </c>
      <c r="GP182" s="152">
        <f t="shared" si="512"/>
        <v>0</v>
      </c>
      <c r="GQ182" s="152">
        <f t="shared" si="513"/>
        <v>0</v>
      </c>
      <c r="GR182" s="152">
        <f t="shared" si="514"/>
        <v>0</v>
      </c>
      <c r="GS182" s="152">
        <f t="shared" si="515"/>
        <v>0</v>
      </c>
      <c r="GT182" s="152">
        <f t="shared" si="516"/>
        <v>0</v>
      </c>
      <c r="GU182" s="152">
        <f t="shared" si="517"/>
        <v>0</v>
      </c>
      <c r="GV182" s="152">
        <f t="shared" si="518"/>
        <v>0</v>
      </c>
      <c r="GW182" s="152">
        <f t="shared" si="519"/>
        <v>0</v>
      </c>
      <c r="GX182" s="152">
        <f t="shared" si="520"/>
        <v>0</v>
      </c>
      <c r="GY182" s="152">
        <f t="shared" si="521"/>
        <v>0</v>
      </c>
      <c r="GZ182" s="152">
        <f t="shared" si="522"/>
        <v>32</v>
      </c>
      <c r="HA182" s="152">
        <f t="shared" si="523"/>
        <v>24</v>
      </c>
      <c r="HB182" s="152">
        <f t="shared" si="524"/>
        <v>0</v>
      </c>
      <c r="HC182" s="152">
        <f t="shared" si="525"/>
        <v>0</v>
      </c>
      <c r="HD182" s="152">
        <f t="shared" si="526"/>
        <v>12</v>
      </c>
      <c r="HE182" s="152">
        <f t="shared" si="527"/>
        <v>12</v>
      </c>
      <c r="HF182" s="152">
        <f t="shared" si="528"/>
        <v>0</v>
      </c>
      <c r="HG182" s="152">
        <f t="shared" si="529"/>
        <v>0</v>
      </c>
      <c r="HH182" s="152">
        <f t="shared" si="530"/>
        <v>0</v>
      </c>
      <c r="HI182" s="152">
        <f t="shared" si="531"/>
        <v>0</v>
      </c>
      <c r="HJ182" s="153">
        <f t="shared" si="532"/>
        <v>0</v>
      </c>
      <c r="HK182" s="153">
        <f t="shared" si="533"/>
        <v>0</v>
      </c>
      <c r="HL182" s="153">
        <f t="shared" si="534"/>
        <v>0</v>
      </c>
      <c r="HM182" s="153">
        <f t="shared" si="535"/>
        <v>0</v>
      </c>
      <c r="HN182" s="153">
        <f t="shared" si="536"/>
        <v>0</v>
      </c>
      <c r="HO182" s="153">
        <f t="shared" si="537"/>
        <v>0</v>
      </c>
      <c r="HP182" s="153">
        <f t="shared" si="538"/>
        <v>0</v>
      </c>
      <c r="HQ182" s="101"/>
      <c r="HU182" s="155">
        <f t="shared" si="468"/>
        <v>0</v>
      </c>
      <c r="HV182" s="155">
        <f t="shared" si="469"/>
        <v>0</v>
      </c>
      <c r="HW182" s="155">
        <f t="shared" si="470"/>
        <v>0</v>
      </c>
      <c r="HX182" s="156">
        <f t="shared" si="471"/>
        <v>0</v>
      </c>
      <c r="HY182" s="146">
        <f t="shared" si="472"/>
        <v>0</v>
      </c>
      <c r="HZ182" s="146">
        <f t="shared" si="473"/>
        <v>0</v>
      </c>
      <c r="IA182" s="146">
        <f t="shared" si="474"/>
        <v>0</v>
      </c>
      <c r="IB182" s="157">
        <f t="shared" si="475"/>
        <v>0</v>
      </c>
      <c r="IC182" s="157">
        <f t="shared" si="476"/>
        <v>0</v>
      </c>
      <c r="ID182" s="157">
        <f t="shared" si="477"/>
        <v>56</v>
      </c>
      <c r="IE182" s="157">
        <f t="shared" si="478"/>
        <v>24</v>
      </c>
      <c r="IF182" s="157">
        <f t="shared" si="479"/>
        <v>0</v>
      </c>
      <c r="IG182" s="157">
        <f t="shared" si="480"/>
        <v>0</v>
      </c>
    </row>
    <row r="183" spans="1:241" outlineLevel="2" x14ac:dyDescent="0.3">
      <c r="A183" s="71" t="s">
        <v>154</v>
      </c>
      <c r="B183" s="161">
        <v>0</v>
      </c>
      <c r="C183" s="161">
        <v>0</v>
      </c>
      <c r="D183" s="161">
        <v>0</v>
      </c>
      <c r="E183" s="159">
        <v>0</v>
      </c>
      <c r="F183" s="160">
        <v>0</v>
      </c>
      <c r="G183" s="159">
        <v>0</v>
      </c>
      <c r="H183" s="159">
        <v>0</v>
      </c>
      <c r="I183" s="159">
        <v>0</v>
      </c>
      <c r="J183" s="159">
        <v>0</v>
      </c>
      <c r="K183" s="159">
        <v>0</v>
      </c>
      <c r="L183" s="159">
        <v>0</v>
      </c>
      <c r="M183" s="159">
        <v>0</v>
      </c>
      <c r="N183" s="160">
        <v>0</v>
      </c>
      <c r="O183" s="161">
        <v>0</v>
      </c>
      <c r="P183" s="161">
        <v>0</v>
      </c>
      <c r="Q183" s="159">
        <v>0</v>
      </c>
      <c r="R183" s="160">
        <v>0</v>
      </c>
      <c r="S183" s="161">
        <v>1</v>
      </c>
      <c r="T183" s="161">
        <v>0</v>
      </c>
      <c r="U183" s="161">
        <v>100</v>
      </c>
      <c r="V183" s="161">
        <v>100</v>
      </c>
      <c r="W183" s="161">
        <v>0</v>
      </c>
      <c r="X183" s="161">
        <v>0</v>
      </c>
      <c r="Y183" s="161">
        <v>0</v>
      </c>
      <c r="Z183" s="161">
        <v>0</v>
      </c>
      <c r="AA183" s="161">
        <v>0</v>
      </c>
      <c r="AB183" s="161">
        <v>0</v>
      </c>
      <c r="AC183" s="161">
        <v>0</v>
      </c>
      <c r="AD183" s="161">
        <v>0</v>
      </c>
      <c r="AE183" s="161">
        <v>0</v>
      </c>
      <c r="AF183" s="161">
        <v>0</v>
      </c>
      <c r="AG183" s="161">
        <v>16</v>
      </c>
      <c r="AH183" s="161">
        <v>1</v>
      </c>
      <c r="AI183" s="161"/>
      <c r="AJ183" s="161">
        <v>45</v>
      </c>
      <c r="AK183" s="160">
        <v>3</v>
      </c>
      <c r="AL183" s="160">
        <v>15</v>
      </c>
      <c r="AM183" s="160">
        <v>34</v>
      </c>
      <c r="AN183" s="160">
        <v>19</v>
      </c>
      <c r="AO183" s="161">
        <v>21</v>
      </c>
      <c r="AP183" s="160">
        <v>16</v>
      </c>
      <c r="AQ183" s="160">
        <v>5</v>
      </c>
      <c r="AR183" s="160">
        <v>10</v>
      </c>
      <c r="AS183" s="160">
        <v>15</v>
      </c>
      <c r="AT183" s="160">
        <v>1</v>
      </c>
      <c r="AU183" s="160">
        <v>0</v>
      </c>
      <c r="AV183" s="160">
        <v>3</v>
      </c>
      <c r="AW183" s="160">
        <v>13</v>
      </c>
      <c r="AX183" s="160">
        <v>12</v>
      </c>
      <c r="AY183" s="160">
        <v>20</v>
      </c>
      <c r="AZ183" s="160">
        <v>4</v>
      </c>
      <c r="BA183" s="160">
        <v>42</v>
      </c>
      <c r="BB183" s="160">
        <v>248</v>
      </c>
      <c r="BC183" s="160">
        <v>194</v>
      </c>
      <c r="BD183" s="160">
        <v>236</v>
      </c>
      <c r="BE183" s="160">
        <v>344</v>
      </c>
      <c r="BF183" s="160">
        <v>155</v>
      </c>
      <c r="BG183" s="160">
        <v>25</v>
      </c>
      <c r="BH183" s="160">
        <v>243</v>
      </c>
      <c r="BI183" s="160">
        <v>76</v>
      </c>
      <c r="BJ183" s="160">
        <v>359</v>
      </c>
      <c r="BK183" s="162">
        <v>354</v>
      </c>
      <c r="BL183" s="162">
        <v>386</v>
      </c>
      <c r="BM183" s="162">
        <v>172</v>
      </c>
      <c r="BN183" s="162">
        <v>45</v>
      </c>
      <c r="BO183" s="162">
        <v>10</v>
      </c>
      <c r="BP183" s="162">
        <v>103</v>
      </c>
      <c r="BQ183" s="162">
        <v>63</v>
      </c>
      <c r="BR183" s="162">
        <v>38</v>
      </c>
      <c r="BS183" s="162">
        <v>2</v>
      </c>
      <c r="BT183" s="162">
        <v>64</v>
      </c>
      <c r="BU183" s="162">
        <v>281</v>
      </c>
      <c r="BV183" s="162">
        <v>270</v>
      </c>
      <c r="BW183" s="162">
        <v>367</v>
      </c>
      <c r="BX183" s="162">
        <v>75</v>
      </c>
      <c r="BY183" s="162">
        <v>101</v>
      </c>
      <c r="BZ183" s="162">
        <v>263</v>
      </c>
      <c r="CA183" s="162">
        <v>170</v>
      </c>
      <c r="CB183" s="162">
        <v>119</v>
      </c>
      <c r="CC183" s="162">
        <v>128</v>
      </c>
      <c r="CD183" s="162">
        <v>151</v>
      </c>
      <c r="CE183" s="162">
        <v>147</v>
      </c>
      <c r="CF183" s="162">
        <v>214</v>
      </c>
      <c r="CG183" s="162">
        <v>82</v>
      </c>
      <c r="CH183" s="162">
        <v>44</v>
      </c>
      <c r="CI183" s="162">
        <v>101</v>
      </c>
      <c r="CJ183" s="162">
        <v>142</v>
      </c>
      <c r="CK183" s="162">
        <v>466</v>
      </c>
      <c r="CL183" s="162">
        <v>172</v>
      </c>
      <c r="CM183" s="162">
        <v>164</v>
      </c>
      <c r="CN183" s="162">
        <v>222</v>
      </c>
      <c r="CO183" s="162">
        <v>165</v>
      </c>
      <c r="CP183" s="162">
        <v>76</v>
      </c>
      <c r="CQ183" s="162">
        <v>60</v>
      </c>
      <c r="CR183" s="162">
        <v>60</v>
      </c>
      <c r="CS183" s="163">
        <v>18</v>
      </c>
      <c r="CT183" s="163"/>
      <c r="CU183" s="163">
        <v>0</v>
      </c>
      <c r="CV183" s="163">
        <v>47</v>
      </c>
      <c r="CW183" s="163">
        <v>69</v>
      </c>
      <c r="CX183" s="163">
        <v>75</v>
      </c>
      <c r="CY183" s="163">
        <v>125</v>
      </c>
      <c r="CZ183" s="163">
        <v>25</v>
      </c>
      <c r="DA183" s="163">
        <v>127</v>
      </c>
      <c r="DB183" s="163">
        <v>95</v>
      </c>
      <c r="DC183" s="163">
        <v>115</v>
      </c>
      <c r="DD183" s="163">
        <v>468</v>
      </c>
      <c r="DE183" s="163">
        <v>131</v>
      </c>
      <c r="DF183" s="163">
        <v>128</v>
      </c>
      <c r="DG183" s="163">
        <v>285</v>
      </c>
      <c r="DH183" s="163">
        <v>1052</v>
      </c>
      <c r="DI183" s="163">
        <v>685</v>
      </c>
      <c r="DJ183" s="163">
        <v>363</v>
      </c>
      <c r="DK183" s="163">
        <v>1716</v>
      </c>
      <c r="DL183" s="163">
        <v>654</v>
      </c>
      <c r="DM183" s="163">
        <v>575</v>
      </c>
      <c r="DN183" s="163">
        <v>697</v>
      </c>
      <c r="DO183" s="163">
        <v>297</v>
      </c>
      <c r="DP183" s="163">
        <v>1090</v>
      </c>
      <c r="DQ183" s="163">
        <v>681</v>
      </c>
      <c r="DR183" s="163">
        <v>9</v>
      </c>
      <c r="DS183" s="163">
        <v>631</v>
      </c>
      <c r="DT183" s="163">
        <v>327</v>
      </c>
      <c r="DU183" s="163">
        <v>789</v>
      </c>
      <c r="DV183" s="163">
        <v>987</v>
      </c>
      <c r="DW183" s="163">
        <v>109</v>
      </c>
      <c r="DX183" s="163">
        <v>2384</v>
      </c>
      <c r="DY183" s="163">
        <v>84</v>
      </c>
      <c r="DZ183" s="163">
        <v>2296</v>
      </c>
      <c r="EA183" s="163">
        <v>2155</v>
      </c>
      <c r="EB183" s="163">
        <v>117</v>
      </c>
      <c r="EC183" s="163">
        <v>1808</v>
      </c>
      <c r="ED183" s="163">
        <v>41</v>
      </c>
      <c r="EE183" s="163">
        <v>562</v>
      </c>
      <c r="EF183" s="163">
        <v>444</v>
      </c>
      <c r="EG183" s="163">
        <v>392</v>
      </c>
      <c r="EH183" s="163">
        <v>594</v>
      </c>
      <c r="EI183" s="163">
        <v>952</v>
      </c>
      <c r="EJ183" s="163">
        <v>886</v>
      </c>
      <c r="EK183" s="163">
        <v>37</v>
      </c>
      <c r="EL183" s="163">
        <v>1965</v>
      </c>
      <c r="EM183" s="163">
        <v>58</v>
      </c>
      <c r="EN183" s="163">
        <v>959</v>
      </c>
      <c r="EO183" s="163">
        <v>2440</v>
      </c>
      <c r="EP183" s="163">
        <v>78</v>
      </c>
      <c r="EQ183" s="163">
        <v>1358</v>
      </c>
      <c r="ER183" s="163">
        <v>2207</v>
      </c>
      <c r="ES183" s="163">
        <v>39</v>
      </c>
      <c r="ET183" s="163">
        <v>960</v>
      </c>
      <c r="EU183" s="163">
        <v>1653</v>
      </c>
      <c r="EV183" s="163">
        <v>8</v>
      </c>
      <c r="EW183" s="163">
        <v>1357</v>
      </c>
      <c r="EX183" s="163">
        <v>2570</v>
      </c>
      <c r="EY183" s="163">
        <v>3965</v>
      </c>
      <c r="EZ183" s="163">
        <v>6239</v>
      </c>
      <c r="FA183" s="163">
        <v>8721</v>
      </c>
      <c r="FB183" s="163">
        <v>2170</v>
      </c>
      <c r="FC183" s="163">
        <v>4794</v>
      </c>
      <c r="FD183" s="163">
        <v>3729</v>
      </c>
      <c r="FE183" s="163">
        <v>2095</v>
      </c>
      <c r="FF183" s="163">
        <v>7065</v>
      </c>
      <c r="FG183" s="163">
        <v>4373</v>
      </c>
      <c r="FH183" s="163">
        <v>5320</v>
      </c>
      <c r="FI183" s="163">
        <v>3445</v>
      </c>
      <c r="FJ183" s="163">
        <v>9268</v>
      </c>
      <c r="FN183" s="165">
        <f t="shared" si="484"/>
        <v>0</v>
      </c>
      <c r="FO183" s="166">
        <f t="shared" si="485"/>
        <v>0</v>
      </c>
      <c r="FP183" s="166">
        <f t="shared" si="486"/>
        <v>0</v>
      </c>
      <c r="FQ183" s="166">
        <f t="shared" si="487"/>
        <v>0</v>
      </c>
      <c r="FR183" s="166">
        <f t="shared" si="488"/>
        <v>0</v>
      </c>
      <c r="FS183" s="166">
        <f t="shared" si="489"/>
        <v>1</v>
      </c>
      <c r="FT183" s="166">
        <f t="shared" si="490"/>
        <v>200</v>
      </c>
      <c r="FU183" s="166">
        <f t="shared" si="491"/>
        <v>0</v>
      </c>
      <c r="FV183" s="166">
        <f t="shared" si="492"/>
        <v>0</v>
      </c>
      <c r="FW183" s="166">
        <f t="shared" si="493"/>
        <v>0</v>
      </c>
      <c r="FX183" s="166">
        <f t="shared" si="494"/>
        <v>17</v>
      </c>
      <c r="FY183" s="166">
        <f t="shared" si="495"/>
        <v>48</v>
      </c>
      <c r="FZ183" s="166">
        <f t="shared" si="496"/>
        <v>68</v>
      </c>
      <c r="GA183" s="166">
        <f t="shared" si="497"/>
        <v>42</v>
      </c>
      <c r="GB183" s="166">
        <f t="shared" si="498"/>
        <v>26</v>
      </c>
      <c r="GC183" s="166">
        <f t="shared" si="499"/>
        <v>16</v>
      </c>
      <c r="GD183" s="166">
        <f t="shared" si="500"/>
        <v>36</v>
      </c>
      <c r="GE183" s="166">
        <f t="shared" si="501"/>
        <v>484</v>
      </c>
      <c r="GF183" s="166">
        <f t="shared" si="502"/>
        <v>735</v>
      </c>
      <c r="GG183" s="166">
        <f t="shared" si="503"/>
        <v>344</v>
      </c>
      <c r="GH183" s="166">
        <f t="shared" si="504"/>
        <v>1099</v>
      </c>
      <c r="GI183" s="166">
        <f t="shared" si="505"/>
        <v>227</v>
      </c>
      <c r="GJ183" s="166">
        <f t="shared" si="506"/>
        <v>204</v>
      </c>
      <c r="GK183" s="166">
        <f t="shared" si="507"/>
        <v>347</v>
      </c>
      <c r="GL183" s="166">
        <f t="shared" si="508"/>
        <v>712</v>
      </c>
      <c r="GM183" s="166">
        <f t="shared" si="509"/>
        <v>534</v>
      </c>
      <c r="GN183" s="166">
        <f t="shared" si="510"/>
        <v>398</v>
      </c>
      <c r="GO183" s="166">
        <f t="shared" si="511"/>
        <v>443</v>
      </c>
      <c r="GP183" s="166">
        <f t="shared" si="512"/>
        <v>287</v>
      </c>
      <c r="GQ183" s="166">
        <f t="shared" si="513"/>
        <v>802</v>
      </c>
      <c r="GR183" s="166">
        <f t="shared" si="514"/>
        <v>463</v>
      </c>
      <c r="GS183" s="166">
        <f t="shared" si="515"/>
        <v>138</v>
      </c>
      <c r="GT183" s="166">
        <f t="shared" si="516"/>
        <v>47</v>
      </c>
      <c r="GU183" s="166">
        <f t="shared" si="517"/>
        <v>269</v>
      </c>
      <c r="GV183" s="166">
        <f t="shared" si="518"/>
        <v>247</v>
      </c>
      <c r="GW183" s="166">
        <f t="shared" si="519"/>
        <v>714</v>
      </c>
      <c r="GX183" s="166">
        <f t="shared" si="520"/>
        <v>1465</v>
      </c>
      <c r="GY183" s="166">
        <f t="shared" si="521"/>
        <v>2764</v>
      </c>
      <c r="GZ183" s="166">
        <f t="shared" si="522"/>
        <v>1926</v>
      </c>
      <c r="HA183" s="166">
        <f t="shared" si="523"/>
        <v>2068</v>
      </c>
      <c r="HB183" s="166">
        <f t="shared" si="524"/>
        <v>967</v>
      </c>
      <c r="HC183" s="166">
        <f t="shared" si="525"/>
        <v>1885</v>
      </c>
      <c r="HD183" s="166">
        <f t="shared" si="526"/>
        <v>4764</v>
      </c>
      <c r="HE183" s="166">
        <f t="shared" si="527"/>
        <v>4080</v>
      </c>
      <c r="HF183" s="166">
        <f t="shared" si="528"/>
        <v>1047</v>
      </c>
      <c r="HG183" s="166">
        <f t="shared" si="529"/>
        <v>1938</v>
      </c>
      <c r="HH183" s="166">
        <f t="shared" si="530"/>
        <v>2888</v>
      </c>
      <c r="HI183" s="166">
        <f t="shared" si="531"/>
        <v>3457</v>
      </c>
      <c r="HJ183" s="167">
        <f t="shared" si="532"/>
        <v>3643</v>
      </c>
      <c r="HK183" s="167">
        <f t="shared" si="533"/>
        <v>2652</v>
      </c>
      <c r="HL183" s="167">
        <f t="shared" si="534"/>
        <v>3935</v>
      </c>
      <c r="HM183" s="167">
        <f t="shared" si="535"/>
        <v>18925</v>
      </c>
      <c r="HN183" s="167">
        <f t="shared" si="536"/>
        <v>10693</v>
      </c>
      <c r="HO183" s="167">
        <f t="shared" si="537"/>
        <v>13533</v>
      </c>
      <c r="HP183" s="167">
        <f t="shared" si="538"/>
        <v>18033</v>
      </c>
      <c r="HQ183" s="168"/>
      <c r="HU183" s="169">
        <f t="shared" si="468"/>
        <v>0</v>
      </c>
      <c r="HV183" s="169">
        <f t="shared" si="469"/>
        <v>201</v>
      </c>
      <c r="HW183" s="169">
        <f t="shared" si="470"/>
        <v>65</v>
      </c>
      <c r="HX183" s="170">
        <f t="shared" si="471"/>
        <v>152</v>
      </c>
      <c r="HY183" s="160">
        <f t="shared" si="472"/>
        <v>1599</v>
      </c>
      <c r="HZ183" s="160">
        <f t="shared" si="473"/>
        <v>1877</v>
      </c>
      <c r="IA183" s="160">
        <f t="shared" si="474"/>
        <v>2087</v>
      </c>
      <c r="IB183" s="171">
        <f t="shared" si="475"/>
        <v>1690</v>
      </c>
      <c r="IC183" s="171">
        <f t="shared" si="476"/>
        <v>1277</v>
      </c>
      <c r="ID183" s="171">
        <f t="shared" si="477"/>
        <v>8223</v>
      </c>
      <c r="IE183" s="171">
        <f t="shared" si="478"/>
        <v>11696</v>
      </c>
      <c r="IF183" s="171">
        <f t="shared" si="479"/>
        <v>9330</v>
      </c>
      <c r="IG183" s="171">
        <f t="shared" si="480"/>
        <v>29155</v>
      </c>
    </row>
    <row r="184" spans="1:241" outlineLevel="2" x14ac:dyDescent="0.3">
      <c r="A184" s="71" t="s">
        <v>168</v>
      </c>
      <c r="B184" s="161"/>
      <c r="C184" s="161"/>
      <c r="D184" s="161"/>
      <c r="E184" s="159"/>
      <c r="F184" s="160"/>
      <c r="G184" s="159"/>
      <c r="H184" s="159"/>
      <c r="I184" s="159"/>
      <c r="J184" s="159"/>
      <c r="K184" s="159"/>
      <c r="L184" s="159"/>
      <c r="M184" s="159"/>
      <c r="N184" s="160"/>
      <c r="O184" s="161"/>
      <c r="P184" s="161"/>
      <c r="Q184" s="159"/>
      <c r="R184" s="160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0"/>
      <c r="AL184" s="160"/>
      <c r="AM184" s="160"/>
      <c r="AN184" s="160"/>
      <c r="AO184" s="161"/>
      <c r="AP184" s="160"/>
      <c r="AQ184" s="160"/>
      <c r="AR184" s="160"/>
      <c r="AS184" s="160"/>
      <c r="AT184" s="160"/>
      <c r="AU184" s="160"/>
      <c r="AV184" s="160"/>
      <c r="AW184" s="160"/>
      <c r="AX184" s="160"/>
      <c r="AY184" s="160"/>
      <c r="AZ184" s="160"/>
      <c r="BA184" s="160"/>
      <c r="BB184" s="160"/>
      <c r="BC184" s="160"/>
      <c r="BD184" s="160"/>
      <c r="BE184" s="160"/>
      <c r="BF184" s="160"/>
      <c r="BG184" s="160"/>
      <c r="BH184" s="160"/>
      <c r="BI184" s="160"/>
      <c r="BJ184" s="160"/>
      <c r="BK184" s="162"/>
      <c r="BL184" s="162"/>
      <c r="BM184" s="162"/>
      <c r="BN184" s="162"/>
      <c r="BO184" s="162"/>
      <c r="BP184" s="162"/>
      <c r="BQ184" s="162"/>
      <c r="BR184" s="162"/>
      <c r="BS184" s="162"/>
      <c r="BT184" s="162"/>
      <c r="BU184" s="162"/>
      <c r="BV184" s="162"/>
      <c r="BW184" s="162"/>
      <c r="BX184" s="162"/>
      <c r="BY184" s="162"/>
      <c r="BZ184" s="162"/>
      <c r="CA184" s="162"/>
      <c r="CB184" s="162"/>
      <c r="CC184" s="162"/>
      <c r="CD184" s="162"/>
      <c r="CE184" s="162"/>
      <c r="CF184" s="162"/>
      <c r="CG184" s="162"/>
      <c r="CH184" s="162"/>
      <c r="CI184" s="162"/>
      <c r="CJ184" s="162"/>
      <c r="CK184" s="162"/>
      <c r="CL184" s="162"/>
      <c r="CM184" s="162"/>
      <c r="CN184" s="162"/>
      <c r="CO184" s="162"/>
      <c r="CP184" s="162"/>
      <c r="CQ184" s="162"/>
      <c r="CR184" s="162"/>
      <c r="CS184" s="163"/>
      <c r="CT184" s="163"/>
      <c r="CU184" s="163"/>
      <c r="CV184" s="163"/>
      <c r="CW184" s="163"/>
      <c r="CX184" s="163"/>
      <c r="CY184" s="163"/>
      <c r="CZ184" s="163"/>
      <c r="DA184" s="163"/>
      <c r="DB184" s="163"/>
      <c r="DC184" s="163"/>
      <c r="DD184" s="163"/>
      <c r="DE184" s="163"/>
      <c r="DF184" s="163"/>
      <c r="DG184" s="163"/>
      <c r="DH184" s="163"/>
      <c r="DI184" s="163"/>
      <c r="DJ184" s="163"/>
      <c r="DK184" s="163"/>
      <c r="DL184" s="163"/>
      <c r="DM184" s="163"/>
      <c r="DN184" s="163"/>
      <c r="DO184" s="163"/>
      <c r="DP184" s="163"/>
      <c r="DQ184" s="163"/>
      <c r="DR184" s="163"/>
      <c r="DS184" s="163"/>
      <c r="DT184" s="163"/>
      <c r="DU184" s="163"/>
      <c r="DV184" s="163"/>
      <c r="DW184" s="163"/>
      <c r="DX184" s="163"/>
      <c r="DY184" s="163"/>
      <c r="DZ184" s="163"/>
      <c r="EA184" s="163"/>
      <c r="EB184" s="163"/>
      <c r="EC184" s="163">
        <v>204</v>
      </c>
      <c r="ED184" s="163">
        <v>686</v>
      </c>
      <c r="EE184" s="163">
        <v>12</v>
      </c>
      <c r="EF184" s="163">
        <v>5</v>
      </c>
      <c r="EG184" s="163">
        <v>149</v>
      </c>
      <c r="EH184" s="163">
        <v>196</v>
      </c>
      <c r="EI184" s="163">
        <v>53</v>
      </c>
      <c r="EJ184" s="163">
        <v>25</v>
      </c>
      <c r="EK184" s="163">
        <v>361</v>
      </c>
      <c r="EL184" s="163">
        <v>661</v>
      </c>
      <c r="EM184" s="163">
        <v>287</v>
      </c>
      <c r="EN184" s="163">
        <v>253</v>
      </c>
      <c r="EO184" s="163">
        <v>590</v>
      </c>
      <c r="EP184" s="163">
        <v>343</v>
      </c>
      <c r="EQ184" s="163">
        <v>638</v>
      </c>
      <c r="ER184" s="163">
        <v>407</v>
      </c>
      <c r="ES184" s="163">
        <v>513</v>
      </c>
      <c r="ET184" s="163">
        <v>297</v>
      </c>
      <c r="EU184" s="163">
        <v>61</v>
      </c>
      <c r="EV184" s="163">
        <v>806</v>
      </c>
      <c r="EW184" s="163">
        <v>77</v>
      </c>
      <c r="EX184" s="163">
        <v>8</v>
      </c>
      <c r="EY184" s="163">
        <v>616</v>
      </c>
      <c r="EZ184" s="163">
        <v>686</v>
      </c>
      <c r="FA184" s="163">
        <v>807</v>
      </c>
      <c r="FB184" s="163">
        <v>771</v>
      </c>
      <c r="FC184" s="163">
        <v>549</v>
      </c>
      <c r="FD184" s="163">
        <v>1</v>
      </c>
      <c r="FE184" s="163">
        <v>978</v>
      </c>
      <c r="FF184" s="163">
        <v>932</v>
      </c>
      <c r="FG184" s="163">
        <v>540</v>
      </c>
      <c r="FH184" s="163">
        <v>304</v>
      </c>
      <c r="FI184" s="163">
        <v>26</v>
      </c>
      <c r="FJ184" s="163">
        <v>151</v>
      </c>
      <c r="FN184" s="165">
        <f t="shared" si="484"/>
        <v>0</v>
      </c>
      <c r="FO184" s="166">
        <f t="shared" si="485"/>
        <v>0</v>
      </c>
      <c r="FP184" s="166">
        <f t="shared" si="486"/>
        <v>0</v>
      </c>
      <c r="FQ184" s="166">
        <f t="shared" si="487"/>
        <v>0</v>
      </c>
      <c r="FR184" s="166">
        <f t="shared" si="488"/>
        <v>0</v>
      </c>
      <c r="FS184" s="166">
        <f t="shared" si="489"/>
        <v>0</v>
      </c>
      <c r="FT184" s="166">
        <f t="shared" si="490"/>
        <v>0</v>
      </c>
      <c r="FU184" s="166">
        <f t="shared" si="491"/>
        <v>0</v>
      </c>
      <c r="FV184" s="166">
        <f t="shared" si="492"/>
        <v>0</v>
      </c>
      <c r="FW184" s="166">
        <f t="shared" si="493"/>
        <v>0</v>
      </c>
      <c r="FX184" s="166">
        <f t="shared" si="494"/>
        <v>0</v>
      </c>
      <c r="FY184" s="166">
        <f t="shared" si="495"/>
        <v>0</v>
      </c>
      <c r="FZ184" s="166">
        <f t="shared" si="496"/>
        <v>0</v>
      </c>
      <c r="GA184" s="166">
        <f t="shared" si="497"/>
        <v>0</v>
      </c>
      <c r="GB184" s="166">
        <f t="shared" si="498"/>
        <v>0</v>
      </c>
      <c r="GC184" s="166">
        <f t="shared" si="499"/>
        <v>0</v>
      </c>
      <c r="GD184" s="166">
        <f t="shared" si="500"/>
        <v>0</v>
      </c>
      <c r="GE184" s="166">
        <f t="shared" si="501"/>
        <v>0</v>
      </c>
      <c r="GF184" s="166">
        <f t="shared" si="502"/>
        <v>0</v>
      </c>
      <c r="GG184" s="166">
        <f t="shared" si="503"/>
        <v>0</v>
      </c>
      <c r="GH184" s="166">
        <f t="shared" si="504"/>
        <v>0</v>
      </c>
      <c r="GI184" s="166">
        <f t="shared" si="505"/>
        <v>0</v>
      </c>
      <c r="GJ184" s="166">
        <f t="shared" si="506"/>
        <v>0</v>
      </c>
      <c r="GK184" s="166">
        <f t="shared" si="507"/>
        <v>0</v>
      </c>
      <c r="GL184" s="166">
        <f t="shared" si="508"/>
        <v>0</v>
      </c>
      <c r="GM184" s="166">
        <f t="shared" si="509"/>
        <v>0</v>
      </c>
      <c r="GN184" s="166">
        <f t="shared" si="510"/>
        <v>0</v>
      </c>
      <c r="GO184" s="166">
        <f t="shared" si="511"/>
        <v>0</v>
      </c>
      <c r="GP184" s="166">
        <f t="shared" si="512"/>
        <v>0</v>
      </c>
      <c r="GQ184" s="166">
        <f t="shared" si="513"/>
        <v>0</v>
      </c>
      <c r="GR184" s="166">
        <f t="shared" si="514"/>
        <v>0</v>
      </c>
      <c r="GS184" s="166">
        <f t="shared" si="515"/>
        <v>0</v>
      </c>
      <c r="GT184" s="166">
        <f t="shared" si="516"/>
        <v>0</v>
      </c>
      <c r="GU184" s="166">
        <f t="shared" si="517"/>
        <v>0</v>
      </c>
      <c r="GV184" s="166">
        <f t="shared" si="518"/>
        <v>0</v>
      </c>
      <c r="GW184" s="166">
        <f t="shared" si="519"/>
        <v>0</v>
      </c>
      <c r="GX184" s="166">
        <f t="shared" si="520"/>
        <v>0</v>
      </c>
      <c r="GY184" s="166">
        <f t="shared" si="521"/>
        <v>0</v>
      </c>
      <c r="GZ184" s="166">
        <f t="shared" si="522"/>
        <v>0</v>
      </c>
      <c r="HA184" s="166">
        <f t="shared" si="523"/>
        <v>0</v>
      </c>
      <c r="HB184" s="166">
        <f t="shared" si="524"/>
        <v>0</v>
      </c>
      <c r="HC184" s="166">
        <f t="shared" si="525"/>
        <v>0</v>
      </c>
      <c r="HD184" s="166">
        <f t="shared" si="526"/>
        <v>0</v>
      </c>
      <c r="HE184" s="166">
        <f t="shared" si="527"/>
        <v>204</v>
      </c>
      <c r="HF184" s="166">
        <f t="shared" si="528"/>
        <v>703</v>
      </c>
      <c r="HG184" s="166">
        <f t="shared" si="529"/>
        <v>398</v>
      </c>
      <c r="HH184" s="166">
        <f t="shared" si="530"/>
        <v>1047</v>
      </c>
      <c r="HI184" s="166">
        <f t="shared" si="531"/>
        <v>1130</v>
      </c>
      <c r="HJ184" s="167">
        <f t="shared" si="532"/>
        <v>1388</v>
      </c>
      <c r="HK184" s="167">
        <f t="shared" si="533"/>
        <v>871</v>
      </c>
      <c r="HL184" s="167">
        <f t="shared" si="534"/>
        <v>891</v>
      </c>
      <c r="HM184" s="167">
        <f t="shared" si="535"/>
        <v>2109</v>
      </c>
      <c r="HN184" s="167">
        <f t="shared" si="536"/>
        <v>1321</v>
      </c>
      <c r="HO184" s="167">
        <f t="shared" si="537"/>
        <v>2450</v>
      </c>
      <c r="HP184" s="167">
        <f t="shared" si="538"/>
        <v>481</v>
      </c>
      <c r="HQ184" s="168"/>
      <c r="HU184" s="169">
        <f t="shared" si="468"/>
        <v>0</v>
      </c>
      <c r="HV184" s="169">
        <f t="shared" si="469"/>
        <v>0</v>
      </c>
      <c r="HW184" s="169">
        <f t="shared" si="470"/>
        <v>0</v>
      </c>
      <c r="HX184" s="170">
        <f t="shared" si="471"/>
        <v>0</v>
      </c>
      <c r="HY184" s="160">
        <f t="shared" si="472"/>
        <v>0</v>
      </c>
      <c r="HZ184" s="160">
        <f t="shared" si="473"/>
        <v>0</v>
      </c>
      <c r="IA184" s="160">
        <f t="shared" si="474"/>
        <v>0</v>
      </c>
      <c r="IB184" s="171">
        <f t="shared" si="475"/>
        <v>0</v>
      </c>
      <c r="IC184" s="171">
        <f t="shared" si="476"/>
        <v>0</v>
      </c>
      <c r="ID184" s="171">
        <f t="shared" si="477"/>
        <v>0</v>
      </c>
      <c r="IE184" s="171">
        <f t="shared" si="478"/>
        <v>204</v>
      </c>
      <c r="IF184" s="171">
        <f t="shared" si="479"/>
        <v>3278</v>
      </c>
      <c r="IG184" s="171">
        <f t="shared" si="480"/>
        <v>5259</v>
      </c>
    </row>
    <row r="185" spans="1:241" outlineLevel="2" x14ac:dyDescent="0.3">
      <c r="A185" s="63" t="s">
        <v>155</v>
      </c>
      <c r="B185" s="131">
        <v>0</v>
      </c>
      <c r="C185" s="131">
        <v>0</v>
      </c>
      <c r="D185" s="131">
        <v>0</v>
      </c>
      <c r="E185" s="145">
        <v>0</v>
      </c>
      <c r="F185" s="146">
        <v>0</v>
      </c>
      <c r="G185" s="145">
        <v>0</v>
      </c>
      <c r="H185" s="145">
        <v>0</v>
      </c>
      <c r="I185" s="145">
        <v>0</v>
      </c>
      <c r="J185" s="145">
        <v>0</v>
      </c>
      <c r="K185" s="145">
        <v>0</v>
      </c>
      <c r="L185" s="145">
        <v>0</v>
      </c>
      <c r="M185" s="145">
        <v>650</v>
      </c>
      <c r="N185" s="146">
        <v>1096</v>
      </c>
      <c r="O185" s="131">
        <v>1510</v>
      </c>
      <c r="P185" s="131">
        <v>0</v>
      </c>
      <c r="Q185" s="145">
        <v>1711</v>
      </c>
      <c r="R185" s="146">
        <v>2039</v>
      </c>
      <c r="S185" s="131">
        <v>0</v>
      </c>
      <c r="T185" s="131">
        <v>949</v>
      </c>
      <c r="U185" s="131">
        <v>830</v>
      </c>
      <c r="V185" s="131">
        <v>984</v>
      </c>
      <c r="W185" s="131">
        <v>0</v>
      </c>
      <c r="X185" s="131">
        <v>2188</v>
      </c>
      <c r="Y185" s="131">
        <v>1456</v>
      </c>
      <c r="Z185" s="131">
        <v>1647</v>
      </c>
      <c r="AA185" s="131">
        <v>0</v>
      </c>
      <c r="AB185" s="131">
        <v>430</v>
      </c>
      <c r="AC185" s="131">
        <v>389</v>
      </c>
      <c r="AD185" s="131">
        <v>333</v>
      </c>
      <c r="AE185" s="131">
        <v>59</v>
      </c>
      <c r="AF185" s="131">
        <v>38</v>
      </c>
      <c r="AG185" s="131">
        <v>217</v>
      </c>
      <c r="AH185" s="131">
        <v>27</v>
      </c>
      <c r="AI185" s="131"/>
      <c r="AJ185" s="131">
        <v>0</v>
      </c>
      <c r="AK185" s="146">
        <v>19</v>
      </c>
      <c r="AL185" s="146">
        <v>22</v>
      </c>
      <c r="AM185" s="146">
        <v>4</v>
      </c>
      <c r="AN185" s="146">
        <v>30</v>
      </c>
      <c r="AO185" s="131">
        <v>0</v>
      </c>
      <c r="AP185" s="146">
        <v>6</v>
      </c>
      <c r="AQ185" s="146">
        <v>0</v>
      </c>
      <c r="AR185" s="146">
        <v>0</v>
      </c>
      <c r="AS185" s="146">
        <v>8</v>
      </c>
      <c r="AT185" s="146">
        <v>0</v>
      </c>
      <c r="AU185" s="146">
        <v>0</v>
      </c>
      <c r="AV185" s="146">
        <v>0</v>
      </c>
      <c r="AW185" s="146">
        <v>0</v>
      </c>
      <c r="AX185" s="146">
        <v>15</v>
      </c>
      <c r="AY185" s="146">
        <v>16</v>
      </c>
      <c r="AZ185" s="146">
        <v>0</v>
      </c>
      <c r="BA185" s="146">
        <v>6</v>
      </c>
      <c r="BB185" s="146">
        <v>96</v>
      </c>
      <c r="BC185" s="146">
        <v>118</v>
      </c>
      <c r="BD185" s="146">
        <v>191</v>
      </c>
      <c r="BE185" s="146">
        <v>125</v>
      </c>
      <c r="BF185" s="146">
        <v>32</v>
      </c>
      <c r="BG185" s="146">
        <v>103</v>
      </c>
      <c r="BH185" s="146">
        <v>41</v>
      </c>
      <c r="BI185" s="146">
        <v>53</v>
      </c>
      <c r="BJ185" s="146">
        <v>30</v>
      </c>
      <c r="BK185" s="147">
        <v>47</v>
      </c>
      <c r="BL185" s="147">
        <v>65</v>
      </c>
      <c r="BM185" s="147">
        <v>56</v>
      </c>
      <c r="BN185" s="147">
        <v>96</v>
      </c>
      <c r="BO185" s="147">
        <v>118</v>
      </c>
      <c r="BP185" s="147">
        <v>57</v>
      </c>
      <c r="BQ185" s="147">
        <v>73</v>
      </c>
      <c r="BR185" s="147">
        <v>70</v>
      </c>
      <c r="BS185" s="147">
        <v>64</v>
      </c>
      <c r="BT185" s="147">
        <v>37</v>
      </c>
      <c r="BU185" s="147">
        <v>62</v>
      </c>
      <c r="BV185" s="147">
        <v>103</v>
      </c>
      <c r="BW185" s="147">
        <v>94</v>
      </c>
      <c r="BX185" s="147">
        <v>13</v>
      </c>
      <c r="BY185" s="147">
        <v>0</v>
      </c>
      <c r="BZ185" s="147">
        <v>130</v>
      </c>
      <c r="CA185" s="147">
        <v>29</v>
      </c>
      <c r="CB185" s="147">
        <v>55</v>
      </c>
      <c r="CC185" s="147">
        <v>0</v>
      </c>
      <c r="CD185" s="147">
        <v>65</v>
      </c>
      <c r="CE185" s="147">
        <v>0</v>
      </c>
      <c r="CF185" s="147">
        <v>0</v>
      </c>
      <c r="CG185" s="147">
        <v>0</v>
      </c>
      <c r="CH185" s="147">
        <v>2</v>
      </c>
      <c r="CI185" s="147">
        <v>0</v>
      </c>
      <c r="CJ185" s="147">
        <v>0</v>
      </c>
      <c r="CK185" s="147"/>
      <c r="CL185" s="147"/>
      <c r="CM185" s="147">
        <v>1</v>
      </c>
      <c r="CN185" s="147">
        <v>0</v>
      </c>
      <c r="CO185" s="147">
        <v>22</v>
      </c>
      <c r="CP185" s="147">
        <v>728</v>
      </c>
      <c r="CQ185" s="147">
        <v>222</v>
      </c>
      <c r="CR185" s="147">
        <v>179</v>
      </c>
      <c r="CS185" s="148">
        <v>435</v>
      </c>
      <c r="CT185" s="148"/>
      <c r="CU185" s="148">
        <v>0</v>
      </c>
      <c r="CV185" s="148">
        <v>24</v>
      </c>
      <c r="CW185" s="148">
        <v>726</v>
      </c>
      <c r="CX185" s="148">
        <v>988</v>
      </c>
      <c r="CY185" s="148">
        <v>133</v>
      </c>
      <c r="CZ185" s="148">
        <v>123</v>
      </c>
      <c r="DA185" s="148">
        <v>730</v>
      </c>
      <c r="DB185" s="148">
        <v>756</v>
      </c>
      <c r="DC185" s="148">
        <v>587</v>
      </c>
      <c r="DD185" s="148">
        <v>553</v>
      </c>
      <c r="DE185" s="148">
        <v>486</v>
      </c>
      <c r="DF185" s="148">
        <v>635</v>
      </c>
      <c r="DG185" s="148">
        <v>0</v>
      </c>
      <c r="DH185" s="148">
        <v>0</v>
      </c>
      <c r="DI185" s="148">
        <v>0</v>
      </c>
      <c r="DJ185" s="148">
        <v>0</v>
      </c>
      <c r="DK185" s="148">
        <v>2987</v>
      </c>
      <c r="DL185" s="148">
        <v>409</v>
      </c>
      <c r="DM185" s="148">
        <v>1414</v>
      </c>
      <c r="DN185" s="148">
        <v>1103</v>
      </c>
      <c r="DO185" s="148">
        <v>18</v>
      </c>
      <c r="DP185" s="148">
        <v>0</v>
      </c>
      <c r="DQ185" s="148">
        <v>2648</v>
      </c>
      <c r="DR185" s="148">
        <v>667</v>
      </c>
      <c r="DS185" s="148">
        <v>2755</v>
      </c>
      <c r="DT185" s="148">
        <v>1139</v>
      </c>
      <c r="DU185" s="148">
        <v>2174</v>
      </c>
      <c r="DV185" s="148">
        <v>1157</v>
      </c>
      <c r="DW185" s="148">
        <v>1422</v>
      </c>
      <c r="DX185" s="148">
        <v>229</v>
      </c>
      <c r="DY185" s="148">
        <v>1322</v>
      </c>
      <c r="DZ185" s="148">
        <v>3254</v>
      </c>
      <c r="EA185" s="148">
        <v>5478</v>
      </c>
      <c r="EB185" s="148">
        <v>994</v>
      </c>
      <c r="EC185" s="148">
        <v>4068</v>
      </c>
      <c r="ED185" s="148">
        <v>30</v>
      </c>
      <c r="EE185" s="148">
        <v>421</v>
      </c>
      <c r="EF185" s="148">
        <v>1414</v>
      </c>
      <c r="EG185" s="148">
        <v>1339</v>
      </c>
      <c r="EH185" s="148">
        <v>770</v>
      </c>
      <c r="EI185" s="148">
        <v>1246</v>
      </c>
      <c r="EJ185" s="148">
        <v>1318</v>
      </c>
      <c r="EK185" s="148">
        <v>30</v>
      </c>
      <c r="EL185" s="148">
        <v>50</v>
      </c>
      <c r="EM185" s="148">
        <v>10</v>
      </c>
      <c r="EN185" s="148">
        <v>10</v>
      </c>
      <c r="EO185" s="148">
        <v>656</v>
      </c>
      <c r="EP185" s="148">
        <v>6</v>
      </c>
      <c r="EQ185" s="148">
        <v>442</v>
      </c>
      <c r="ER185" s="148">
        <v>946</v>
      </c>
      <c r="ES185" s="148">
        <v>38</v>
      </c>
      <c r="ET185" s="148">
        <v>150</v>
      </c>
      <c r="EU185" s="148">
        <v>1489</v>
      </c>
      <c r="EV185" s="148">
        <v>25</v>
      </c>
      <c r="EW185" s="148">
        <v>221</v>
      </c>
      <c r="EX185" s="148">
        <v>1289</v>
      </c>
      <c r="EY185" s="148">
        <v>166</v>
      </c>
      <c r="EZ185" s="148">
        <v>543</v>
      </c>
      <c r="FA185" s="148">
        <v>2018</v>
      </c>
      <c r="FB185" s="148">
        <v>140</v>
      </c>
      <c r="FC185" s="148">
        <v>60</v>
      </c>
      <c r="FD185" s="148">
        <v>1382</v>
      </c>
      <c r="FE185" s="148">
        <v>467</v>
      </c>
      <c r="FF185" s="148">
        <v>165</v>
      </c>
      <c r="FG185" s="148">
        <v>1510</v>
      </c>
      <c r="FH185" s="148">
        <v>1013</v>
      </c>
      <c r="FI185" s="148">
        <v>1228</v>
      </c>
      <c r="FJ185" s="148">
        <v>1367</v>
      </c>
      <c r="FN185" s="151">
        <f t="shared" si="484"/>
        <v>0</v>
      </c>
      <c r="FO185" s="152">
        <f t="shared" si="485"/>
        <v>0</v>
      </c>
      <c r="FP185" s="152">
        <f t="shared" si="486"/>
        <v>0</v>
      </c>
      <c r="FQ185" s="152">
        <f t="shared" si="487"/>
        <v>650</v>
      </c>
      <c r="FR185" s="152">
        <f t="shared" si="488"/>
        <v>2606</v>
      </c>
      <c r="FS185" s="152">
        <f t="shared" si="489"/>
        <v>3750</v>
      </c>
      <c r="FT185" s="152">
        <f t="shared" si="490"/>
        <v>2763</v>
      </c>
      <c r="FU185" s="152">
        <f t="shared" si="491"/>
        <v>3644</v>
      </c>
      <c r="FV185" s="152">
        <f t="shared" si="492"/>
        <v>2077</v>
      </c>
      <c r="FW185" s="152">
        <f t="shared" si="493"/>
        <v>781</v>
      </c>
      <c r="FX185" s="152">
        <f t="shared" si="494"/>
        <v>282</v>
      </c>
      <c r="FY185" s="152">
        <f t="shared" si="495"/>
        <v>19</v>
      </c>
      <c r="FZ185" s="152">
        <f t="shared" si="496"/>
        <v>56</v>
      </c>
      <c r="GA185" s="152">
        <f t="shared" si="497"/>
        <v>6</v>
      </c>
      <c r="GB185" s="152">
        <f t="shared" si="498"/>
        <v>8</v>
      </c>
      <c r="GC185" s="152">
        <f t="shared" si="499"/>
        <v>0</v>
      </c>
      <c r="GD185" s="152">
        <f t="shared" si="500"/>
        <v>31</v>
      </c>
      <c r="GE185" s="152">
        <f t="shared" si="501"/>
        <v>220</v>
      </c>
      <c r="GF185" s="152">
        <f t="shared" si="502"/>
        <v>348</v>
      </c>
      <c r="GG185" s="152">
        <f t="shared" si="503"/>
        <v>197</v>
      </c>
      <c r="GH185" s="152">
        <f t="shared" si="504"/>
        <v>142</v>
      </c>
      <c r="GI185" s="152">
        <f t="shared" si="505"/>
        <v>270</v>
      </c>
      <c r="GJ185" s="152">
        <f t="shared" si="506"/>
        <v>200</v>
      </c>
      <c r="GK185" s="152">
        <f t="shared" si="507"/>
        <v>163</v>
      </c>
      <c r="GL185" s="152">
        <f t="shared" si="508"/>
        <v>210</v>
      </c>
      <c r="GM185" s="152">
        <f t="shared" si="509"/>
        <v>159</v>
      </c>
      <c r="GN185" s="152">
        <f t="shared" si="510"/>
        <v>120</v>
      </c>
      <c r="GO185" s="152">
        <f t="shared" si="511"/>
        <v>0</v>
      </c>
      <c r="GP185" s="152">
        <f t="shared" si="512"/>
        <v>2</v>
      </c>
      <c r="GQ185" s="152">
        <f t="shared" si="513"/>
        <v>1</v>
      </c>
      <c r="GR185" s="152">
        <f t="shared" si="514"/>
        <v>750</v>
      </c>
      <c r="GS185" s="152">
        <f t="shared" si="515"/>
        <v>836</v>
      </c>
      <c r="GT185" s="152">
        <f t="shared" si="516"/>
        <v>24</v>
      </c>
      <c r="GU185" s="152">
        <f t="shared" si="517"/>
        <v>1847</v>
      </c>
      <c r="GV185" s="152">
        <f t="shared" si="518"/>
        <v>1609</v>
      </c>
      <c r="GW185" s="152">
        <f t="shared" si="519"/>
        <v>1626</v>
      </c>
      <c r="GX185" s="152">
        <f t="shared" si="520"/>
        <v>635</v>
      </c>
      <c r="GY185" s="152">
        <f t="shared" si="521"/>
        <v>2987</v>
      </c>
      <c r="GZ185" s="152">
        <f t="shared" si="522"/>
        <v>2926</v>
      </c>
      <c r="HA185" s="152">
        <f t="shared" si="523"/>
        <v>2666</v>
      </c>
      <c r="HB185" s="152">
        <f t="shared" si="524"/>
        <v>4561</v>
      </c>
      <c r="HC185" s="152">
        <f t="shared" si="525"/>
        <v>4753</v>
      </c>
      <c r="HD185" s="152">
        <f t="shared" si="526"/>
        <v>4805</v>
      </c>
      <c r="HE185" s="152">
        <f t="shared" si="527"/>
        <v>10540</v>
      </c>
      <c r="HF185" s="152">
        <f t="shared" si="528"/>
        <v>1865</v>
      </c>
      <c r="HG185" s="152">
        <f t="shared" si="529"/>
        <v>3355</v>
      </c>
      <c r="HH185" s="152">
        <f t="shared" si="530"/>
        <v>1398</v>
      </c>
      <c r="HI185" s="152">
        <f t="shared" si="531"/>
        <v>676</v>
      </c>
      <c r="HJ185" s="153">
        <f t="shared" si="532"/>
        <v>1394</v>
      </c>
      <c r="HK185" s="153">
        <f t="shared" si="533"/>
        <v>1677</v>
      </c>
      <c r="HL185" s="153">
        <f t="shared" si="534"/>
        <v>1535</v>
      </c>
      <c r="HM185" s="153">
        <f t="shared" si="535"/>
        <v>2727</v>
      </c>
      <c r="HN185" s="153">
        <f t="shared" si="536"/>
        <v>1582</v>
      </c>
      <c r="HO185" s="153">
        <f t="shared" si="537"/>
        <v>2142</v>
      </c>
      <c r="HP185" s="153">
        <f t="shared" si="538"/>
        <v>3608</v>
      </c>
      <c r="HQ185" s="101"/>
      <c r="HU185" s="155">
        <f t="shared" si="468"/>
        <v>650</v>
      </c>
      <c r="HV185" s="155">
        <f t="shared" si="469"/>
        <v>12763</v>
      </c>
      <c r="HW185" s="155">
        <f t="shared" si="470"/>
        <v>3159</v>
      </c>
      <c r="HX185" s="156">
        <f t="shared" si="471"/>
        <v>70</v>
      </c>
      <c r="HY185" s="146">
        <f t="shared" si="472"/>
        <v>796</v>
      </c>
      <c r="HZ185" s="146">
        <f t="shared" si="473"/>
        <v>775</v>
      </c>
      <c r="IA185" s="146">
        <f t="shared" si="474"/>
        <v>489</v>
      </c>
      <c r="IB185" s="157">
        <f t="shared" si="475"/>
        <v>1589</v>
      </c>
      <c r="IC185" s="157">
        <f t="shared" si="476"/>
        <v>5106</v>
      </c>
      <c r="ID185" s="157">
        <f t="shared" si="477"/>
        <v>9214</v>
      </c>
      <c r="IE185" s="157">
        <f t="shared" si="478"/>
        <v>24659</v>
      </c>
      <c r="IF185" s="157">
        <f t="shared" si="479"/>
        <v>7294</v>
      </c>
      <c r="IG185" s="157">
        <f t="shared" si="480"/>
        <v>7333</v>
      </c>
    </row>
    <row r="186" spans="1:241" outlineLevel="2" x14ac:dyDescent="0.3">
      <c r="A186" s="71" t="s">
        <v>156</v>
      </c>
      <c r="B186" s="161">
        <v>0</v>
      </c>
      <c r="C186" s="161">
        <v>0</v>
      </c>
      <c r="D186" s="161">
        <v>0</v>
      </c>
      <c r="E186" s="159">
        <v>0</v>
      </c>
      <c r="F186" s="160">
        <v>0</v>
      </c>
      <c r="G186" s="159">
        <v>0</v>
      </c>
      <c r="H186" s="159">
        <v>0</v>
      </c>
      <c r="I186" s="159">
        <v>0</v>
      </c>
      <c r="J186" s="159">
        <v>0</v>
      </c>
      <c r="K186" s="159">
        <v>0</v>
      </c>
      <c r="L186" s="159">
        <v>0</v>
      </c>
      <c r="M186" s="159">
        <v>0</v>
      </c>
      <c r="N186" s="160">
        <v>0</v>
      </c>
      <c r="O186" s="161">
        <v>0</v>
      </c>
      <c r="P186" s="161">
        <v>0</v>
      </c>
      <c r="Q186" s="159">
        <v>0</v>
      </c>
      <c r="R186" s="160">
        <v>0</v>
      </c>
      <c r="S186" s="161">
        <v>0</v>
      </c>
      <c r="T186" s="161">
        <v>0</v>
      </c>
      <c r="U186" s="161">
        <v>0</v>
      </c>
      <c r="V186" s="161">
        <v>0</v>
      </c>
      <c r="W186" s="161">
        <v>0</v>
      </c>
      <c r="X186" s="161">
        <v>0</v>
      </c>
      <c r="Y186" s="161">
        <v>0</v>
      </c>
      <c r="Z186" s="160">
        <v>0</v>
      </c>
      <c r="AA186" s="160">
        <v>0</v>
      </c>
      <c r="AB186" s="160">
        <v>0</v>
      </c>
      <c r="AC186" s="160">
        <v>0</v>
      </c>
      <c r="AD186" s="160">
        <v>0</v>
      </c>
      <c r="AE186" s="160">
        <v>0</v>
      </c>
      <c r="AF186" s="160">
        <v>0</v>
      </c>
      <c r="AG186" s="160"/>
      <c r="AH186" s="160">
        <v>0</v>
      </c>
      <c r="AI186" s="160"/>
      <c r="AJ186" s="160">
        <v>0</v>
      </c>
      <c r="AK186" s="161">
        <v>0</v>
      </c>
      <c r="AL186" s="161">
        <v>0</v>
      </c>
      <c r="AM186" s="161">
        <v>0</v>
      </c>
      <c r="AN186" s="161"/>
      <c r="AO186" s="161">
        <v>0</v>
      </c>
      <c r="AP186" s="160"/>
      <c r="AQ186" s="160">
        <v>0</v>
      </c>
      <c r="AR186" s="160">
        <v>0</v>
      </c>
      <c r="AS186" s="160">
        <v>0</v>
      </c>
      <c r="AT186" s="160">
        <v>0</v>
      </c>
      <c r="AU186" s="160">
        <v>0</v>
      </c>
      <c r="AV186" s="160">
        <v>0</v>
      </c>
      <c r="AW186" s="160">
        <v>0</v>
      </c>
      <c r="AX186" s="160">
        <v>0</v>
      </c>
      <c r="AY186" s="160">
        <v>0</v>
      </c>
      <c r="AZ186" s="160">
        <v>0</v>
      </c>
      <c r="BA186" s="160">
        <v>0</v>
      </c>
      <c r="BB186" s="160">
        <v>0</v>
      </c>
      <c r="BC186" s="160">
        <v>0</v>
      </c>
      <c r="BD186" s="160">
        <v>0</v>
      </c>
      <c r="BE186" s="160">
        <v>0</v>
      </c>
      <c r="BF186" s="160">
        <v>0</v>
      </c>
      <c r="BG186" s="160">
        <v>0</v>
      </c>
      <c r="BH186" s="160">
        <v>0</v>
      </c>
      <c r="BI186" s="160">
        <v>0</v>
      </c>
      <c r="BJ186" s="160">
        <v>0</v>
      </c>
      <c r="BK186" s="162">
        <v>0</v>
      </c>
      <c r="BL186" s="162">
        <v>0</v>
      </c>
      <c r="BM186" s="162">
        <v>0</v>
      </c>
      <c r="BN186" s="162">
        <v>0</v>
      </c>
      <c r="BO186" s="162">
        <v>0</v>
      </c>
      <c r="BP186" s="162">
        <v>0</v>
      </c>
      <c r="BQ186" s="162">
        <v>0</v>
      </c>
      <c r="BR186" s="162">
        <v>0</v>
      </c>
      <c r="BS186" s="162">
        <v>0</v>
      </c>
      <c r="BT186" s="162">
        <v>0</v>
      </c>
      <c r="BU186" s="162">
        <v>0</v>
      </c>
      <c r="BV186" s="162">
        <v>0</v>
      </c>
      <c r="BW186" s="162">
        <v>0</v>
      </c>
      <c r="BX186" s="162">
        <v>0</v>
      </c>
      <c r="BY186" s="162">
        <v>0</v>
      </c>
      <c r="BZ186" s="162">
        <v>0</v>
      </c>
      <c r="CA186" s="162">
        <v>0</v>
      </c>
      <c r="CB186" s="162">
        <v>0</v>
      </c>
      <c r="CC186" s="162">
        <v>0</v>
      </c>
      <c r="CD186" s="162">
        <v>0</v>
      </c>
      <c r="CE186" s="162">
        <v>0</v>
      </c>
      <c r="CF186" s="162">
        <v>0</v>
      </c>
      <c r="CG186" s="162">
        <v>0</v>
      </c>
      <c r="CH186" s="162"/>
      <c r="CI186" s="162"/>
      <c r="CJ186" s="162">
        <v>0</v>
      </c>
      <c r="CK186" s="162"/>
      <c r="CL186" s="162"/>
      <c r="CM186" s="162">
        <v>0</v>
      </c>
      <c r="CN186" s="162">
        <v>0</v>
      </c>
      <c r="CO186" s="162">
        <v>0</v>
      </c>
      <c r="CP186" s="162">
        <v>0</v>
      </c>
      <c r="CQ186" s="162">
        <v>0</v>
      </c>
      <c r="CR186" s="162">
        <v>0</v>
      </c>
      <c r="CS186" s="163">
        <v>0</v>
      </c>
      <c r="CT186" s="163"/>
      <c r="CU186" s="163">
        <v>0</v>
      </c>
      <c r="CV186" s="163">
        <v>0</v>
      </c>
      <c r="CW186" s="163">
        <v>0</v>
      </c>
      <c r="CX186" s="163">
        <v>0</v>
      </c>
      <c r="CY186" s="163">
        <v>0</v>
      </c>
      <c r="CZ186" s="163">
        <v>0</v>
      </c>
      <c r="DA186" s="163">
        <v>0</v>
      </c>
      <c r="DB186" s="163">
        <v>0</v>
      </c>
      <c r="DC186" s="163">
        <v>0</v>
      </c>
      <c r="DD186" s="163">
        <v>0</v>
      </c>
      <c r="DE186" s="163">
        <v>0</v>
      </c>
      <c r="DF186" s="163">
        <v>0</v>
      </c>
      <c r="DG186" s="163">
        <v>356</v>
      </c>
      <c r="DH186" s="163">
        <v>1222</v>
      </c>
      <c r="DI186" s="163">
        <v>1204</v>
      </c>
      <c r="DJ186" s="163">
        <v>555</v>
      </c>
      <c r="DK186" s="163">
        <v>0</v>
      </c>
      <c r="DL186" s="163">
        <v>0</v>
      </c>
      <c r="DM186" s="163"/>
      <c r="DN186" s="163">
        <v>0</v>
      </c>
      <c r="DO186" s="163"/>
      <c r="DP186" s="163">
        <v>1432</v>
      </c>
      <c r="DQ186" s="163"/>
      <c r="DR186" s="163"/>
      <c r="DS186" s="163"/>
      <c r="DT186" s="163"/>
      <c r="DU186" s="163"/>
      <c r="DV186" s="163"/>
      <c r="DW186" s="163">
        <v>195</v>
      </c>
      <c r="DX186" s="163">
        <v>64</v>
      </c>
      <c r="DY186" s="163">
        <v>16</v>
      </c>
      <c r="DZ186" s="163">
        <v>13</v>
      </c>
      <c r="EA186" s="163">
        <v>0</v>
      </c>
      <c r="EB186" s="163">
        <v>118</v>
      </c>
      <c r="EC186" s="163">
        <v>267</v>
      </c>
      <c r="ED186" s="163">
        <v>164</v>
      </c>
      <c r="EE186" s="163">
        <v>154</v>
      </c>
      <c r="EF186" s="163">
        <v>198</v>
      </c>
      <c r="EG186" s="163">
        <v>145</v>
      </c>
      <c r="EH186" s="163">
        <v>56</v>
      </c>
      <c r="EI186" s="163">
        <v>182</v>
      </c>
      <c r="EJ186" s="163">
        <v>23</v>
      </c>
      <c r="EK186" s="163">
        <v>128</v>
      </c>
      <c r="EL186" s="163">
        <v>162</v>
      </c>
      <c r="EM186" s="163">
        <v>168</v>
      </c>
      <c r="EN186" s="163"/>
      <c r="EO186" s="163">
        <v>149</v>
      </c>
      <c r="EP186" s="163">
        <v>50</v>
      </c>
      <c r="EQ186" s="163">
        <v>115</v>
      </c>
      <c r="ER186" s="163">
        <v>221</v>
      </c>
      <c r="ES186" s="163">
        <v>114</v>
      </c>
      <c r="ET186" s="163">
        <v>110</v>
      </c>
      <c r="EU186" s="163">
        <v>51</v>
      </c>
      <c r="EV186" s="163">
        <v>116</v>
      </c>
      <c r="EW186" s="163">
        <v>102</v>
      </c>
      <c r="EX186" s="163">
        <v>102</v>
      </c>
      <c r="EY186" s="163">
        <v>91</v>
      </c>
      <c r="EZ186" s="163">
        <v>72</v>
      </c>
      <c r="FA186" s="163">
        <v>81</v>
      </c>
      <c r="FB186" s="163">
        <v>76</v>
      </c>
      <c r="FC186" s="163">
        <v>16</v>
      </c>
      <c r="FD186" s="163">
        <v>150</v>
      </c>
      <c r="FE186" s="163">
        <v>77</v>
      </c>
      <c r="FF186" s="163">
        <v>327</v>
      </c>
      <c r="FG186" s="163">
        <v>144</v>
      </c>
      <c r="FH186" s="163">
        <v>59</v>
      </c>
      <c r="FI186" s="163">
        <v>391</v>
      </c>
      <c r="FJ186" s="163">
        <v>86</v>
      </c>
      <c r="FN186" s="165">
        <f t="shared" si="484"/>
        <v>0</v>
      </c>
      <c r="FO186" s="166">
        <f t="shared" si="485"/>
        <v>0</v>
      </c>
      <c r="FP186" s="166">
        <f t="shared" si="486"/>
        <v>0</v>
      </c>
      <c r="FQ186" s="166">
        <f t="shared" si="487"/>
        <v>0</v>
      </c>
      <c r="FR186" s="166">
        <f t="shared" si="488"/>
        <v>0</v>
      </c>
      <c r="FS186" s="166">
        <f t="shared" si="489"/>
        <v>0</v>
      </c>
      <c r="FT186" s="166">
        <f t="shared" si="490"/>
        <v>0</v>
      </c>
      <c r="FU186" s="166">
        <f t="shared" si="491"/>
        <v>0</v>
      </c>
      <c r="FV186" s="166">
        <f t="shared" si="492"/>
        <v>0</v>
      </c>
      <c r="FW186" s="166">
        <f t="shared" si="493"/>
        <v>0</v>
      </c>
      <c r="FX186" s="166">
        <f t="shared" si="494"/>
        <v>0</v>
      </c>
      <c r="FY186" s="166">
        <f t="shared" si="495"/>
        <v>0</v>
      </c>
      <c r="FZ186" s="166">
        <f t="shared" si="496"/>
        <v>0</v>
      </c>
      <c r="GA186" s="166">
        <f t="shared" si="497"/>
        <v>0</v>
      </c>
      <c r="GB186" s="166">
        <f t="shared" si="498"/>
        <v>0</v>
      </c>
      <c r="GC186" s="166">
        <f t="shared" si="499"/>
        <v>0</v>
      </c>
      <c r="GD186" s="166">
        <f t="shared" si="500"/>
        <v>0</v>
      </c>
      <c r="GE186" s="166">
        <f t="shared" si="501"/>
        <v>0</v>
      </c>
      <c r="GF186" s="166">
        <f t="shared" si="502"/>
        <v>0</v>
      </c>
      <c r="GG186" s="166">
        <f t="shared" si="503"/>
        <v>0</v>
      </c>
      <c r="GH186" s="166">
        <f t="shared" si="504"/>
        <v>0</v>
      </c>
      <c r="GI186" s="166">
        <f t="shared" si="505"/>
        <v>0</v>
      </c>
      <c r="GJ186" s="166">
        <f t="shared" si="506"/>
        <v>0</v>
      </c>
      <c r="GK186" s="166">
        <f t="shared" si="507"/>
        <v>0</v>
      </c>
      <c r="GL186" s="166">
        <f t="shared" si="508"/>
        <v>0</v>
      </c>
      <c r="GM186" s="166">
        <f t="shared" si="509"/>
        <v>0</v>
      </c>
      <c r="GN186" s="166">
        <f t="shared" si="510"/>
        <v>0</v>
      </c>
      <c r="GO186" s="166">
        <f t="shared" si="511"/>
        <v>0</v>
      </c>
      <c r="GP186" s="166">
        <f t="shared" si="512"/>
        <v>0</v>
      </c>
      <c r="GQ186" s="166">
        <f t="shared" si="513"/>
        <v>0</v>
      </c>
      <c r="GR186" s="166">
        <f t="shared" si="514"/>
        <v>0</v>
      </c>
      <c r="GS186" s="166">
        <f t="shared" si="515"/>
        <v>0</v>
      </c>
      <c r="GT186" s="166">
        <f t="shared" si="516"/>
        <v>0</v>
      </c>
      <c r="GU186" s="166">
        <f t="shared" si="517"/>
        <v>0</v>
      </c>
      <c r="GV186" s="166">
        <f t="shared" si="518"/>
        <v>0</v>
      </c>
      <c r="GW186" s="166">
        <f t="shared" si="519"/>
        <v>0</v>
      </c>
      <c r="GX186" s="166">
        <f t="shared" si="520"/>
        <v>1578</v>
      </c>
      <c r="GY186" s="166">
        <f t="shared" si="521"/>
        <v>1759</v>
      </c>
      <c r="GZ186" s="166">
        <f t="shared" si="522"/>
        <v>0</v>
      </c>
      <c r="HA186" s="166">
        <f t="shared" si="523"/>
        <v>1432</v>
      </c>
      <c r="HB186" s="166">
        <f t="shared" si="524"/>
        <v>0</v>
      </c>
      <c r="HC186" s="166">
        <f t="shared" si="525"/>
        <v>195</v>
      </c>
      <c r="HD186" s="166">
        <f t="shared" si="526"/>
        <v>93</v>
      </c>
      <c r="HE186" s="166">
        <f t="shared" si="527"/>
        <v>385</v>
      </c>
      <c r="HF186" s="166">
        <f t="shared" si="528"/>
        <v>516</v>
      </c>
      <c r="HG186" s="166">
        <f t="shared" si="529"/>
        <v>383</v>
      </c>
      <c r="HH186" s="166">
        <f t="shared" si="530"/>
        <v>313</v>
      </c>
      <c r="HI186" s="166">
        <f t="shared" si="531"/>
        <v>317</v>
      </c>
      <c r="HJ186" s="167">
        <f t="shared" si="532"/>
        <v>386</v>
      </c>
      <c r="HK186" s="167">
        <f t="shared" si="533"/>
        <v>275</v>
      </c>
      <c r="HL186" s="167">
        <f t="shared" si="534"/>
        <v>320</v>
      </c>
      <c r="HM186" s="167">
        <f t="shared" si="535"/>
        <v>244</v>
      </c>
      <c r="HN186" s="167">
        <f t="shared" si="536"/>
        <v>242</v>
      </c>
      <c r="HO186" s="167">
        <f t="shared" si="537"/>
        <v>548</v>
      </c>
      <c r="HP186" s="167">
        <f t="shared" si="538"/>
        <v>536</v>
      </c>
      <c r="HQ186" s="168"/>
      <c r="HU186" s="169">
        <f t="shared" si="468"/>
        <v>0</v>
      </c>
      <c r="HV186" s="169">
        <f t="shared" si="469"/>
        <v>0</v>
      </c>
      <c r="HW186" s="169">
        <f t="shared" si="470"/>
        <v>0</v>
      </c>
      <c r="HX186" s="170">
        <f t="shared" si="471"/>
        <v>0</v>
      </c>
      <c r="HY186" s="160">
        <f t="shared" si="472"/>
        <v>0</v>
      </c>
      <c r="HZ186" s="160">
        <f t="shared" si="473"/>
        <v>0</v>
      </c>
      <c r="IA186" s="160">
        <f t="shared" si="474"/>
        <v>0</v>
      </c>
      <c r="IB186" s="171">
        <f t="shared" si="475"/>
        <v>0</v>
      </c>
      <c r="IC186" s="171">
        <f t="shared" si="476"/>
        <v>0</v>
      </c>
      <c r="ID186" s="171">
        <f t="shared" si="477"/>
        <v>4769</v>
      </c>
      <c r="IE186" s="171">
        <f t="shared" si="478"/>
        <v>673</v>
      </c>
      <c r="IF186" s="171">
        <f t="shared" si="479"/>
        <v>1529</v>
      </c>
      <c r="IG186" s="171">
        <f t="shared" si="480"/>
        <v>1225</v>
      </c>
    </row>
    <row r="187" spans="1:241" outlineLevel="2" x14ac:dyDescent="0.3">
      <c r="A187" s="63" t="s">
        <v>157</v>
      </c>
      <c r="B187" s="131">
        <v>93</v>
      </c>
      <c r="C187" s="131">
        <v>95</v>
      </c>
      <c r="D187" s="131">
        <v>151</v>
      </c>
      <c r="E187" s="145">
        <v>88</v>
      </c>
      <c r="F187" s="146">
        <v>123</v>
      </c>
      <c r="G187" s="145">
        <v>121</v>
      </c>
      <c r="H187" s="145">
        <v>51</v>
      </c>
      <c r="I187" s="145">
        <v>55</v>
      </c>
      <c r="J187" s="145">
        <v>80</v>
      </c>
      <c r="K187" s="145">
        <v>83</v>
      </c>
      <c r="L187" s="145">
        <v>73</v>
      </c>
      <c r="M187" s="145">
        <v>150</v>
      </c>
      <c r="N187" s="146">
        <v>65</v>
      </c>
      <c r="O187" s="131">
        <v>60</v>
      </c>
      <c r="P187" s="131">
        <v>56</v>
      </c>
      <c r="Q187" s="145">
        <v>74</v>
      </c>
      <c r="R187" s="146">
        <v>215</v>
      </c>
      <c r="S187" s="146">
        <v>149</v>
      </c>
      <c r="T187" s="146">
        <v>70</v>
      </c>
      <c r="U187" s="146">
        <v>59</v>
      </c>
      <c r="V187" s="146">
        <v>90</v>
      </c>
      <c r="W187" s="146">
        <v>84</v>
      </c>
      <c r="X187" s="146">
        <v>100</v>
      </c>
      <c r="Y187" s="146">
        <v>110</v>
      </c>
      <c r="Z187" s="146">
        <v>102</v>
      </c>
      <c r="AA187" s="146">
        <v>75</v>
      </c>
      <c r="AB187" s="146">
        <v>72</v>
      </c>
      <c r="AC187" s="146">
        <v>121</v>
      </c>
      <c r="AD187" s="146">
        <v>126</v>
      </c>
      <c r="AE187" s="146">
        <v>109</v>
      </c>
      <c r="AF187" s="146">
        <v>92</v>
      </c>
      <c r="AG187" s="146">
        <v>51</v>
      </c>
      <c r="AH187" s="146">
        <v>42</v>
      </c>
      <c r="AI187" s="146">
        <v>71</v>
      </c>
      <c r="AJ187" s="146">
        <v>49</v>
      </c>
      <c r="AK187" s="131">
        <v>98</v>
      </c>
      <c r="AL187" s="131">
        <v>46</v>
      </c>
      <c r="AM187" s="131">
        <v>17</v>
      </c>
      <c r="AN187" s="131">
        <v>88</v>
      </c>
      <c r="AO187" s="131">
        <v>72</v>
      </c>
      <c r="AP187" s="146">
        <v>179</v>
      </c>
      <c r="AQ187" s="146">
        <v>5</v>
      </c>
      <c r="AR187" s="146">
        <v>2</v>
      </c>
      <c r="AS187" s="146">
        <v>9</v>
      </c>
      <c r="AT187" s="146">
        <v>8</v>
      </c>
      <c r="AU187" s="146">
        <v>82</v>
      </c>
      <c r="AV187" s="146">
        <v>93</v>
      </c>
      <c r="AW187" s="146">
        <v>142</v>
      </c>
      <c r="AX187" s="146">
        <v>152</v>
      </c>
      <c r="AY187" s="146">
        <v>80</v>
      </c>
      <c r="AZ187" s="146">
        <v>23</v>
      </c>
      <c r="BA187" s="146">
        <v>127</v>
      </c>
      <c r="BB187" s="146">
        <v>339</v>
      </c>
      <c r="BC187" s="146">
        <v>96</v>
      </c>
      <c r="BD187" s="146">
        <v>176</v>
      </c>
      <c r="BE187" s="146">
        <v>112</v>
      </c>
      <c r="BF187" s="146">
        <v>115</v>
      </c>
      <c r="BG187" s="146">
        <v>148</v>
      </c>
      <c r="BH187" s="146">
        <v>27</v>
      </c>
      <c r="BI187" s="146">
        <v>45</v>
      </c>
      <c r="BJ187" s="146">
        <v>20</v>
      </c>
      <c r="BK187" s="147">
        <v>43</v>
      </c>
      <c r="BL187" s="147">
        <v>2</v>
      </c>
      <c r="BM187" s="147">
        <v>29</v>
      </c>
      <c r="BN187" s="147">
        <v>5</v>
      </c>
      <c r="BO187" s="147">
        <v>170</v>
      </c>
      <c r="BP187" s="147">
        <v>57</v>
      </c>
      <c r="BQ187" s="147">
        <v>75</v>
      </c>
      <c r="BR187" s="147">
        <v>135</v>
      </c>
      <c r="BS187" s="147">
        <v>214</v>
      </c>
      <c r="BT187" s="147">
        <v>275</v>
      </c>
      <c r="BU187" s="147">
        <v>155</v>
      </c>
      <c r="BV187" s="147">
        <v>81</v>
      </c>
      <c r="BW187" s="147">
        <v>70</v>
      </c>
      <c r="BX187" s="147">
        <v>122</v>
      </c>
      <c r="BY187" s="147">
        <v>93</v>
      </c>
      <c r="BZ187" s="147">
        <v>162</v>
      </c>
      <c r="CA187" s="147">
        <v>113</v>
      </c>
      <c r="CB187" s="147">
        <v>91</v>
      </c>
      <c r="CC187" s="147">
        <v>84</v>
      </c>
      <c r="CD187" s="147">
        <v>85</v>
      </c>
      <c r="CE187" s="147">
        <v>101</v>
      </c>
      <c r="CF187" s="147">
        <v>117</v>
      </c>
      <c r="CG187" s="147">
        <v>220</v>
      </c>
      <c r="CH187" s="147">
        <v>30</v>
      </c>
      <c r="CI187" s="147">
        <v>57</v>
      </c>
      <c r="CJ187" s="147">
        <v>62</v>
      </c>
      <c r="CK187" s="147">
        <v>119</v>
      </c>
      <c r="CL187" s="147">
        <v>106</v>
      </c>
      <c r="CM187" s="147">
        <v>127</v>
      </c>
      <c r="CN187" s="147">
        <v>162</v>
      </c>
      <c r="CO187" s="147">
        <v>111</v>
      </c>
      <c r="CP187" s="147">
        <v>16</v>
      </c>
      <c r="CQ187" s="147">
        <v>80</v>
      </c>
      <c r="CR187" s="147">
        <v>100</v>
      </c>
      <c r="CS187" s="148">
        <v>101</v>
      </c>
      <c r="CT187" s="148"/>
      <c r="CU187" s="148">
        <v>0</v>
      </c>
      <c r="CV187" s="148"/>
      <c r="CW187" s="148" t="s">
        <v>146</v>
      </c>
      <c r="CX187" s="148" t="s">
        <v>146</v>
      </c>
      <c r="CY187" s="148" t="s">
        <v>146</v>
      </c>
      <c r="CZ187" s="148" t="s">
        <v>146</v>
      </c>
      <c r="DA187" s="148" t="s">
        <v>146</v>
      </c>
      <c r="DB187" s="148" t="s">
        <v>146</v>
      </c>
      <c r="DC187" s="148" t="s">
        <v>146</v>
      </c>
      <c r="DD187" s="148" t="s">
        <v>146</v>
      </c>
      <c r="DE187" s="148" t="s">
        <v>146</v>
      </c>
      <c r="DF187" s="148" t="s">
        <v>146</v>
      </c>
      <c r="DG187" s="148">
        <v>0</v>
      </c>
      <c r="DH187" s="148">
        <v>0</v>
      </c>
      <c r="DI187" s="148">
        <v>0</v>
      </c>
      <c r="DJ187" s="148">
        <v>0</v>
      </c>
      <c r="DK187" s="148">
        <v>0</v>
      </c>
      <c r="DL187" s="148">
        <v>0</v>
      </c>
      <c r="DM187" s="148"/>
      <c r="DN187" s="148"/>
      <c r="DO187" s="148"/>
      <c r="DP187" s="148"/>
      <c r="DQ187" s="148"/>
      <c r="DR187" s="148"/>
      <c r="DS187" s="148"/>
      <c r="DT187" s="148"/>
      <c r="DU187" s="148"/>
      <c r="DV187" s="148"/>
      <c r="DW187" s="148"/>
      <c r="DX187" s="148"/>
      <c r="DY187" s="148"/>
      <c r="DZ187" s="148"/>
      <c r="EA187" s="148"/>
      <c r="EB187" s="148"/>
      <c r="EC187" s="148"/>
      <c r="ED187" s="148"/>
      <c r="EE187" s="148"/>
      <c r="EF187" s="148"/>
      <c r="EG187" s="148"/>
      <c r="EH187" s="148"/>
      <c r="EI187" s="148"/>
      <c r="EJ187" s="148"/>
      <c r="EK187" s="148"/>
      <c r="EL187" s="148"/>
      <c r="EM187" s="148"/>
      <c r="EN187" s="148"/>
      <c r="EO187" s="148"/>
      <c r="EP187" s="148"/>
      <c r="EQ187" s="148"/>
      <c r="ER187" s="148"/>
      <c r="ES187" s="148"/>
      <c r="ET187" s="148"/>
      <c r="EU187" s="148"/>
      <c r="EV187" s="148"/>
      <c r="EW187" s="148"/>
      <c r="EX187" s="148"/>
      <c r="EY187" s="148"/>
      <c r="EZ187" s="148"/>
      <c r="FA187" s="148"/>
      <c r="FB187" s="148"/>
      <c r="FC187" s="148"/>
      <c r="FD187" s="148"/>
      <c r="FE187" s="148"/>
      <c r="FF187" s="148"/>
      <c r="FG187" s="148"/>
      <c r="FH187" s="148"/>
      <c r="FI187" s="148"/>
      <c r="FJ187" s="148"/>
      <c r="FN187" s="151">
        <f t="shared" si="484"/>
        <v>339</v>
      </c>
      <c r="FO187" s="152">
        <f t="shared" si="485"/>
        <v>332</v>
      </c>
      <c r="FP187" s="152">
        <f t="shared" si="486"/>
        <v>186</v>
      </c>
      <c r="FQ187" s="152">
        <f t="shared" si="487"/>
        <v>306</v>
      </c>
      <c r="FR187" s="152">
        <f t="shared" si="488"/>
        <v>181</v>
      </c>
      <c r="FS187" s="152">
        <f t="shared" si="489"/>
        <v>438</v>
      </c>
      <c r="FT187" s="152">
        <f t="shared" si="490"/>
        <v>219</v>
      </c>
      <c r="FU187" s="152">
        <f t="shared" si="491"/>
        <v>294</v>
      </c>
      <c r="FV187" s="152">
        <f t="shared" si="492"/>
        <v>249</v>
      </c>
      <c r="FW187" s="152">
        <f t="shared" si="493"/>
        <v>356</v>
      </c>
      <c r="FX187" s="152">
        <f t="shared" si="494"/>
        <v>185</v>
      </c>
      <c r="FY187" s="152">
        <f t="shared" si="495"/>
        <v>218</v>
      </c>
      <c r="FZ187" s="152">
        <f t="shared" si="496"/>
        <v>151</v>
      </c>
      <c r="GA187" s="152">
        <f t="shared" si="497"/>
        <v>256</v>
      </c>
      <c r="GB187" s="152">
        <f t="shared" si="498"/>
        <v>19</v>
      </c>
      <c r="GC187" s="152">
        <f t="shared" si="499"/>
        <v>317</v>
      </c>
      <c r="GD187" s="152">
        <f t="shared" si="500"/>
        <v>255</v>
      </c>
      <c r="GE187" s="152">
        <f t="shared" si="501"/>
        <v>562</v>
      </c>
      <c r="GF187" s="152">
        <f t="shared" si="502"/>
        <v>403</v>
      </c>
      <c r="GG187" s="152">
        <f t="shared" si="503"/>
        <v>220</v>
      </c>
      <c r="GH187" s="152">
        <f t="shared" si="504"/>
        <v>65</v>
      </c>
      <c r="GI187" s="152">
        <f t="shared" si="505"/>
        <v>204</v>
      </c>
      <c r="GJ187" s="152">
        <f t="shared" si="506"/>
        <v>267</v>
      </c>
      <c r="GK187" s="152">
        <f t="shared" si="507"/>
        <v>644</v>
      </c>
      <c r="GL187" s="152">
        <f t="shared" si="508"/>
        <v>273</v>
      </c>
      <c r="GM187" s="152">
        <f t="shared" si="509"/>
        <v>368</v>
      </c>
      <c r="GN187" s="152">
        <f t="shared" si="510"/>
        <v>260</v>
      </c>
      <c r="GO187" s="152">
        <f t="shared" si="511"/>
        <v>438</v>
      </c>
      <c r="GP187" s="152">
        <f t="shared" si="512"/>
        <v>149</v>
      </c>
      <c r="GQ187" s="152">
        <f t="shared" si="513"/>
        <v>352</v>
      </c>
      <c r="GR187" s="152">
        <f t="shared" si="514"/>
        <v>289</v>
      </c>
      <c r="GS187" s="152">
        <f t="shared" si="515"/>
        <v>281</v>
      </c>
      <c r="GT187" s="152">
        <f t="shared" si="516"/>
        <v>0</v>
      </c>
      <c r="GU187" s="152">
        <f t="shared" si="517"/>
        <v>0</v>
      </c>
      <c r="GV187" s="152">
        <f t="shared" si="518"/>
        <v>0</v>
      </c>
      <c r="GW187" s="152">
        <f t="shared" si="519"/>
        <v>0</v>
      </c>
      <c r="GX187" s="152">
        <f t="shared" si="520"/>
        <v>0</v>
      </c>
      <c r="GY187" s="152">
        <f t="shared" si="521"/>
        <v>0</v>
      </c>
      <c r="GZ187" s="152">
        <f t="shared" si="522"/>
        <v>0</v>
      </c>
      <c r="HA187" s="152">
        <f t="shared" si="523"/>
        <v>0</v>
      </c>
      <c r="HB187" s="152">
        <f t="shared" si="524"/>
        <v>0</v>
      </c>
      <c r="HC187" s="152">
        <f t="shared" si="525"/>
        <v>0</v>
      </c>
      <c r="HD187" s="152">
        <f t="shared" si="526"/>
        <v>0</v>
      </c>
      <c r="HE187" s="152">
        <f t="shared" si="527"/>
        <v>0</v>
      </c>
      <c r="HF187" s="152">
        <f t="shared" si="528"/>
        <v>0</v>
      </c>
      <c r="HG187" s="152">
        <f t="shared" si="529"/>
        <v>0</v>
      </c>
      <c r="HH187" s="152">
        <f t="shared" si="530"/>
        <v>0</v>
      </c>
      <c r="HI187" s="152">
        <f t="shared" si="531"/>
        <v>0</v>
      </c>
      <c r="HJ187" s="153">
        <f t="shared" si="532"/>
        <v>0</v>
      </c>
      <c r="HK187" s="153">
        <f t="shared" si="533"/>
        <v>0</v>
      </c>
      <c r="HL187" s="153">
        <f t="shared" si="534"/>
        <v>0</v>
      </c>
      <c r="HM187" s="153">
        <f t="shared" si="535"/>
        <v>0</v>
      </c>
      <c r="HN187" s="153">
        <f t="shared" si="536"/>
        <v>0</v>
      </c>
      <c r="HO187" s="153">
        <f t="shared" si="537"/>
        <v>0</v>
      </c>
      <c r="HP187" s="153">
        <f t="shared" si="538"/>
        <v>0</v>
      </c>
      <c r="HQ187" s="101"/>
      <c r="HU187" s="155">
        <f t="shared" si="468"/>
        <v>1163</v>
      </c>
      <c r="HV187" s="155">
        <f t="shared" si="469"/>
        <v>1132</v>
      </c>
      <c r="HW187" s="155">
        <f t="shared" si="470"/>
        <v>1008</v>
      </c>
      <c r="HX187" s="156">
        <f t="shared" si="471"/>
        <v>743</v>
      </c>
      <c r="HY187" s="146">
        <f t="shared" si="472"/>
        <v>1440</v>
      </c>
      <c r="HZ187" s="146">
        <f t="shared" si="473"/>
        <v>1180</v>
      </c>
      <c r="IA187" s="146">
        <f t="shared" si="474"/>
        <v>1339</v>
      </c>
      <c r="IB187" s="157">
        <f t="shared" si="475"/>
        <v>1071</v>
      </c>
      <c r="IC187" s="157">
        <f t="shared" si="476"/>
        <v>0</v>
      </c>
      <c r="ID187" s="157">
        <f t="shared" si="477"/>
        <v>0</v>
      </c>
      <c r="IE187" s="157">
        <f t="shared" si="478"/>
        <v>0</v>
      </c>
      <c r="IF187" s="157">
        <f t="shared" si="479"/>
        <v>0</v>
      </c>
      <c r="IG187" s="157">
        <f t="shared" si="480"/>
        <v>0</v>
      </c>
    </row>
    <row r="188" spans="1:241" outlineLevel="2" x14ac:dyDescent="0.3">
      <c r="A188" s="71" t="s">
        <v>158</v>
      </c>
      <c r="B188" s="161">
        <v>0</v>
      </c>
      <c r="C188" s="161">
        <v>0</v>
      </c>
      <c r="D188" s="161">
        <v>0</v>
      </c>
      <c r="E188" s="159">
        <v>0</v>
      </c>
      <c r="F188" s="160">
        <v>0</v>
      </c>
      <c r="G188" s="159">
        <v>0</v>
      </c>
      <c r="H188" s="159">
        <v>0</v>
      </c>
      <c r="I188" s="159">
        <v>0</v>
      </c>
      <c r="J188" s="159">
        <v>0</v>
      </c>
      <c r="K188" s="159">
        <v>0</v>
      </c>
      <c r="L188" s="159">
        <v>0</v>
      </c>
      <c r="M188" s="159">
        <v>0</v>
      </c>
      <c r="N188" s="160">
        <v>0</v>
      </c>
      <c r="O188" s="161">
        <v>0</v>
      </c>
      <c r="P188" s="161">
        <v>0</v>
      </c>
      <c r="Q188" s="159">
        <v>0</v>
      </c>
      <c r="R188" s="160">
        <v>0</v>
      </c>
      <c r="S188" s="160">
        <v>2</v>
      </c>
      <c r="T188" s="160">
        <v>2</v>
      </c>
      <c r="U188" s="160">
        <v>0</v>
      </c>
      <c r="V188" s="160">
        <v>0</v>
      </c>
      <c r="W188" s="160">
        <v>0</v>
      </c>
      <c r="X188" s="160">
        <v>4</v>
      </c>
      <c r="Y188" s="160">
        <v>2</v>
      </c>
      <c r="Z188" s="161">
        <v>2</v>
      </c>
      <c r="AA188" s="161">
        <v>2</v>
      </c>
      <c r="AB188" s="161">
        <v>4</v>
      </c>
      <c r="AC188" s="161">
        <v>2</v>
      </c>
      <c r="AD188" s="161">
        <v>2</v>
      </c>
      <c r="AE188" s="161">
        <v>2</v>
      </c>
      <c r="AF188" s="161">
        <v>2</v>
      </c>
      <c r="AG188" s="161">
        <v>2</v>
      </c>
      <c r="AH188" s="161">
        <v>0</v>
      </c>
      <c r="AI188" s="161">
        <v>10</v>
      </c>
      <c r="AJ188" s="161">
        <v>11</v>
      </c>
      <c r="AK188" s="160">
        <v>4</v>
      </c>
      <c r="AL188" s="160">
        <v>4</v>
      </c>
      <c r="AM188" s="160">
        <v>6</v>
      </c>
      <c r="AN188" s="160">
        <v>6</v>
      </c>
      <c r="AO188" s="161">
        <v>0</v>
      </c>
      <c r="AP188" s="160">
        <v>6</v>
      </c>
      <c r="AQ188" s="160">
        <v>4</v>
      </c>
      <c r="AR188" s="160">
        <v>7</v>
      </c>
      <c r="AS188" s="160">
        <v>10</v>
      </c>
      <c r="AT188" s="160">
        <v>6</v>
      </c>
      <c r="AU188" s="160">
        <v>7</v>
      </c>
      <c r="AV188" s="160">
        <v>2</v>
      </c>
      <c r="AW188" s="160">
        <v>6</v>
      </c>
      <c r="AX188" s="160">
        <v>4</v>
      </c>
      <c r="AY188" s="160">
        <v>5</v>
      </c>
      <c r="AZ188" s="160">
        <v>0</v>
      </c>
      <c r="BA188" s="160">
        <v>6</v>
      </c>
      <c r="BB188" s="160">
        <v>7</v>
      </c>
      <c r="BC188" s="160">
        <v>0</v>
      </c>
      <c r="BD188" s="160">
        <v>0</v>
      </c>
      <c r="BE188" s="160">
        <v>0</v>
      </c>
      <c r="BF188" s="160">
        <v>0</v>
      </c>
      <c r="BG188" s="160">
        <v>0</v>
      </c>
      <c r="BH188" s="160">
        <v>18</v>
      </c>
      <c r="BI188" s="160">
        <v>0</v>
      </c>
      <c r="BJ188" s="160">
        <v>12</v>
      </c>
      <c r="BK188" s="162">
        <v>15</v>
      </c>
      <c r="BL188" s="162">
        <v>33</v>
      </c>
      <c r="BM188" s="162">
        <v>14</v>
      </c>
      <c r="BN188" s="162">
        <v>10</v>
      </c>
      <c r="BO188" s="162">
        <v>2</v>
      </c>
      <c r="BP188" s="162">
        <v>7</v>
      </c>
      <c r="BQ188" s="162">
        <v>21</v>
      </c>
      <c r="BR188" s="162">
        <v>10</v>
      </c>
      <c r="BS188" s="162">
        <v>25</v>
      </c>
      <c r="BT188" s="162">
        <v>24</v>
      </c>
      <c r="BU188" s="162">
        <v>19</v>
      </c>
      <c r="BV188" s="162">
        <v>0</v>
      </c>
      <c r="BW188" s="162">
        <v>19</v>
      </c>
      <c r="BX188" s="162">
        <v>20</v>
      </c>
      <c r="BY188" s="162">
        <v>0</v>
      </c>
      <c r="BZ188" s="162">
        <v>21</v>
      </c>
      <c r="CA188" s="162">
        <v>0</v>
      </c>
      <c r="CB188" s="162">
        <v>9</v>
      </c>
      <c r="CC188" s="162">
        <v>2</v>
      </c>
      <c r="CD188" s="162">
        <v>0</v>
      </c>
      <c r="CE188" s="162">
        <v>0</v>
      </c>
      <c r="CF188" s="162">
        <v>4</v>
      </c>
      <c r="CG188" s="162">
        <v>0</v>
      </c>
      <c r="CH188" s="162">
        <v>0</v>
      </c>
      <c r="CI188" s="162">
        <v>4</v>
      </c>
      <c r="CJ188" s="162"/>
      <c r="CK188" s="162">
        <v>6</v>
      </c>
      <c r="CL188" s="162">
        <v>5</v>
      </c>
      <c r="CM188" s="162">
        <v>5</v>
      </c>
      <c r="CN188" s="162">
        <v>8</v>
      </c>
      <c r="CO188" s="162">
        <v>8</v>
      </c>
      <c r="CP188" s="162">
        <v>30</v>
      </c>
      <c r="CQ188" s="162">
        <v>24</v>
      </c>
      <c r="CR188" s="162">
        <v>0</v>
      </c>
      <c r="CS188" s="163">
        <v>0</v>
      </c>
      <c r="CT188" s="163"/>
      <c r="CU188" s="163">
        <v>0</v>
      </c>
      <c r="CV188" s="163">
        <v>0</v>
      </c>
      <c r="CW188" s="163">
        <v>0</v>
      </c>
      <c r="CX188" s="163">
        <v>0</v>
      </c>
      <c r="CY188" s="163">
        <v>0</v>
      </c>
      <c r="CZ188" s="163">
        <v>0</v>
      </c>
      <c r="DA188" s="163">
        <v>0</v>
      </c>
      <c r="DB188" s="163">
        <v>20</v>
      </c>
      <c r="DC188" s="163">
        <v>20</v>
      </c>
      <c r="DD188" s="163">
        <v>3</v>
      </c>
      <c r="DE188" s="163">
        <v>0</v>
      </c>
      <c r="DF188" s="163">
        <v>3</v>
      </c>
      <c r="DG188" s="163">
        <v>0</v>
      </c>
      <c r="DH188" s="163">
        <v>0</v>
      </c>
      <c r="DI188" s="163">
        <v>0</v>
      </c>
      <c r="DJ188" s="163">
        <v>19</v>
      </c>
      <c r="DK188" s="163">
        <v>31</v>
      </c>
      <c r="DL188" s="163">
        <v>9</v>
      </c>
      <c r="DM188" s="163">
        <v>29</v>
      </c>
      <c r="DN188" s="163">
        <v>0</v>
      </c>
      <c r="DO188" s="163"/>
      <c r="DP188" s="163">
        <v>34</v>
      </c>
      <c r="DQ188" s="163">
        <v>6</v>
      </c>
      <c r="DR188" s="163">
        <v>14</v>
      </c>
      <c r="DS188" s="163">
        <v>18</v>
      </c>
      <c r="DT188" s="163">
        <v>0</v>
      </c>
      <c r="DU188" s="163">
        <v>13</v>
      </c>
      <c r="DV188" s="163"/>
      <c r="DW188" s="163"/>
      <c r="DX188" s="163"/>
      <c r="DY188" s="163"/>
      <c r="DZ188" s="163">
        <v>178</v>
      </c>
      <c r="EA188" s="163"/>
      <c r="EB188" s="163">
        <v>1974</v>
      </c>
      <c r="EC188" s="163">
        <v>1659</v>
      </c>
      <c r="ED188" s="163">
        <v>1307</v>
      </c>
      <c r="EE188" s="163">
        <v>1031</v>
      </c>
      <c r="EF188" s="163">
        <v>1371</v>
      </c>
      <c r="EG188" s="163">
        <v>1152</v>
      </c>
      <c r="EH188" s="163">
        <v>1940</v>
      </c>
      <c r="EI188" s="163">
        <v>1422</v>
      </c>
      <c r="EJ188" s="163">
        <v>1337</v>
      </c>
      <c r="EK188" s="163">
        <v>894</v>
      </c>
      <c r="EL188" s="163">
        <v>1495</v>
      </c>
      <c r="EM188" s="163">
        <v>1412</v>
      </c>
      <c r="EN188" s="163">
        <v>1920</v>
      </c>
      <c r="EO188" s="163">
        <v>2061</v>
      </c>
      <c r="EP188" s="163">
        <v>1794</v>
      </c>
      <c r="EQ188" s="163">
        <v>1314</v>
      </c>
      <c r="ER188" s="163">
        <v>1722</v>
      </c>
      <c r="ES188" s="163">
        <v>2123</v>
      </c>
      <c r="ET188" s="163">
        <v>2290</v>
      </c>
      <c r="EU188" s="163">
        <v>3045</v>
      </c>
      <c r="EV188" s="163">
        <v>2707</v>
      </c>
      <c r="EW188" s="163">
        <v>1140</v>
      </c>
      <c r="EX188" s="163">
        <v>4642</v>
      </c>
      <c r="EY188" s="163">
        <v>3193</v>
      </c>
      <c r="EZ188" s="163">
        <v>2000</v>
      </c>
      <c r="FA188" s="163">
        <v>1670</v>
      </c>
      <c r="FB188" s="163">
        <v>2496</v>
      </c>
      <c r="FC188" s="163">
        <v>1584</v>
      </c>
      <c r="FD188" s="163">
        <v>2416</v>
      </c>
      <c r="FE188" s="163">
        <v>3448</v>
      </c>
      <c r="FF188" s="163">
        <v>4934</v>
      </c>
      <c r="FG188" s="163">
        <v>4002</v>
      </c>
      <c r="FH188" s="163">
        <v>2635</v>
      </c>
      <c r="FI188" s="163">
        <v>3667</v>
      </c>
      <c r="FJ188" s="163">
        <v>5176</v>
      </c>
      <c r="FN188" s="165">
        <f t="shared" si="484"/>
        <v>0</v>
      </c>
      <c r="FO188" s="166">
        <f t="shared" si="485"/>
        <v>0</v>
      </c>
      <c r="FP188" s="166">
        <f t="shared" si="486"/>
        <v>0</v>
      </c>
      <c r="FQ188" s="166">
        <f t="shared" si="487"/>
        <v>0</v>
      </c>
      <c r="FR188" s="166">
        <f t="shared" si="488"/>
        <v>0</v>
      </c>
      <c r="FS188" s="166">
        <f t="shared" si="489"/>
        <v>2</v>
      </c>
      <c r="FT188" s="166">
        <f t="shared" si="490"/>
        <v>2</v>
      </c>
      <c r="FU188" s="166">
        <f t="shared" si="491"/>
        <v>6</v>
      </c>
      <c r="FV188" s="166">
        <f t="shared" si="492"/>
        <v>8</v>
      </c>
      <c r="FW188" s="166">
        <f t="shared" si="493"/>
        <v>6</v>
      </c>
      <c r="FX188" s="166">
        <f t="shared" si="494"/>
        <v>4</v>
      </c>
      <c r="FY188" s="166">
        <f t="shared" si="495"/>
        <v>25</v>
      </c>
      <c r="FZ188" s="166">
        <f t="shared" si="496"/>
        <v>16</v>
      </c>
      <c r="GA188" s="166">
        <f t="shared" si="497"/>
        <v>10</v>
      </c>
      <c r="GB188" s="166">
        <f t="shared" si="498"/>
        <v>23</v>
      </c>
      <c r="GC188" s="166">
        <f t="shared" si="499"/>
        <v>15</v>
      </c>
      <c r="GD188" s="166">
        <f t="shared" si="500"/>
        <v>9</v>
      </c>
      <c r="GE188" s="166">
        <f t="shared" si="501"/>
        <v>13</v>
      </c>
      <c r="GF188" s="166">
        <f t="shared" si="502"/>
        <v>0</v>
      </c>
      <c r="GG188" s="166">
        <f t="shared" si="503"/>
        <v>18</v>
      </c>
      <c r="GH188" s="166">
        <f t="shared" si="504"/>
        <v>60</v>
      </c>
      <c r="GI188" s="166">
        <f t="shared" si="505"/>
        <v>26</v>
      </c>
      <c r="GJ188" s="166">
        <f t="shared" si="506"/>
        <v>38</v>
      </c>
      <c r="GK188" s="166">
        <f t="shared" si="507"/>
        <v>68</v>
      </c>
      <c r="GL188" s="166">
        <f t="shared" si="508"/>
        <v>39</v>
      </c>
      <c r="GM188" s="166">
        <f t="shared" si="509"/>
        <v>21</v>
      </c>
      <c r="GN188" s="166">
        <f t="shared" si="510"/>
        <v>11</v>
      </c>
      <c r="GO188" s="166">
        <f t="shared" si="511"/>
        <v>4</v>
      </c>
      <c r="GP188" s="166">
        <f t="shared" si="512"/>
        <v>4</v>
      </c>
      <c r="GQ188" s="166">
        <f t="shared" si="513"/>
        <v>16</v>
      </c>
      <c r="GR188" s="166">
        <f t="shared" si="514"/>
        <v>46</v>
      </c>
      <c r="GS188" s="166">
        <f t="shared" si="515"/>
        <v>24</v>
      </c>
      <c r="GT188" s="166">
        <f t="shared" si="516"/>
        <v>0</v>
      </c>
      <c r="GU188" s="166">
        <f t="shared" si="517"/>
        <v>0</v>
      </c>
      <c r="GV188" s="166">
        <f t="shared" si="518"/>
        <v>20</v>
      </c>
      <c r="GW188" s="166">
        <f t="shared" si="519"/>
        <v>23</v>
      </c>
      <c r="GX188" s="166">
        <f t="shared" si="520"/>
        <v>3</v>
      </c>
      <c r="GY188" s="166">
        <f t="shared" si="521"/>
        <v>50</v>
      </c>
      <c r="GZ188" s="166">
        <f t="shared" si="522"/>
        <v>38</v>
      </c>
      <c r="HA188" s="166">
        <f t="shared" si="523"/>
        <v>40</v>
      </c>
      <c r="HB188" s="166">
        <f t="shared" si="524"/>
        <v>32</v>
      </c>
      <c r="HC188" s="166">
        <f t="shared" si="525"/>
        <v>13</v>
      </c>
      <c r="HD188" s="166">
        <f t="shared" si="526"/>
        <v>178</v>
      </c>
      <c r="HE188" s="166">
        <f t="shared" si="527"/>
        <v>3633</v>
      </c>
      <c r="HF188" s="166">
        <f t="shared" si="528"/>
        <v>3709</v>
      </c>
      <c r="HG188" s="166">
        <f t="shared" si="529"/>
        <v>4514</v>
      </c>
      <c r="HH188" s="166">
        <f t="shared" si="530"/>
        <v>3726</v>
      </c>
      <c r="HI188" s="166">
        <f t="shared" si="531"/>
        <v>5393</v>
      </c>
      <c r="HJ188" s="167">
        <f t="shared" si="532"/>
        <v>4830</v>
      </c>
      <c r="HK188" s="167">
        <f t="shared" si="533"/>
        <v>7458</v>
      </c>
      <c r="HL188" s="167">
        <f t="shared" si="534"/>
        <v>8489</v>
      </c>
      <c r="HM188" s="167">
        <f t="shared" si="535"/>
        <v>6863</v>
      </c>
      <c r="HN188" s="167">
        <f t="shared" si="536"/>
        <v>6496</v>
      </c>
      <c r="HO188" s="167">
        <f t="shared" si="537"/>
        <v>12384</v>
      </c>
      <c r="HP188" s="167">
        <f t="shared" si="538"/>
        <v>11478</v>
      </c>
      <c r="HQ188" s="168"/>
      <c r="HU188" s="169">
        <f t="shared" si="468"/>
        <v>0</v>
      </c>
      <c r="HV188" s="169">
        <f t="shared" si="469"/>
        <v>10</v>
      </c>
      <c r="HW188" s="169">
        <f t="shared" si="470"/>
        <v>43</v>
      </c>
      <c r="HX188" s="170">
        <f t="shared" si="471"/>
        <v>64</v>
      </c>
      <c r="HY188" s="160">
        <f t="shared" si="472"/>
        <v>40</v>
      </c>
      <c r="HZ188" s="160">
        <f t="shared" si="473"/>
        <v>192</v>
      </c>
      <c r="IA188" s="160">
        <f t="shared" si="474"/>
        <v>75</v>
      </c>
      <c r="IB188" s="171">
        <f t="shared" si="475"/>
        <v>90</v>
      </c>
      <c r="IC188" s="171">
        <f t="shared" si="476"/>
        <v>43</v>
      </c>
      <c r="ID188" s="171">
        <f t="shared" si="477"/>
        <v>131</v>
      </c>
      <c r="IE188" s="171">
        <f t="shared" si="478"/>
        <v>3856</v>
      </c>
      <c r="IF188" s="171">
        <f t="shared" si="479"/>
        <v>17342</v>
      </c>
      <c r="IG188" s="171">
        <f t="shared" si="480"/>
        <v>27640</v>
      </c>
    </row>
    <row r="189" spans="1:241" outlineLevel="2" x14ac:dyDescent="0.3">
      <c r="A189" s="63" t="s">
        <v>160</v>
      </c>
      <c r="B189" s="131">
        <v>0</v>
      </c>
      <c r="C189" s="131">
        <v>0</v>
      </c>
      <c r="D189" s="131">
        <v>0</v>
      </c>
      <c r="E189" s="145">
        <v>0</v>
      </c>
      <c r="F189" s="146">
        <v>0</v>
      </c>
      <c r="G189" s="145">
        <v>0</v>
      </c>
      <c r="H189" s="145">
        <v>0</v>
      </c>
      <c r="I189" s="145">
        <v>0</v>
      </c>
      <c r="J189" s="145">
        <v>0</v>
      </c>
      <c r="K189" s="145">
        <v>0</v>
      </c>
      <c r="L189" s="145">
        <v>0</v>
      </c>
      <c r="M189" s="145">
        <v>0</v>
      </c>
      <c r="N189" s="146">
        <v>0</v>
      </c>
      <c r="O189" s="131">
        <v>0</v>
      </c>
      <c r="P189" s="131">
        <v>0</v>
      </c>
      <c r="Q189" s="145">
        <v>0</v>
      </c>
      <c r="R189" s="146">
        <v>0</v>
      </c>
      <c r="S189" s="131">
        <v>0</v>
      </c>
      <c r="T189" s="131">
        <v>0</v>
      </c>
      <c r="U189" s="131">
        <v>0</v>
      </c>
      <c r="V189" s="131">
        <v>0</v>
      </c>
      <c r="W189" s="131">
        <v>0</v>
      </c>
      <c r="X189" s="131">
        <v>0</v>
      </c>
      <c r="Y189" s="131">
        <v>0</v>
      </c>
      <c r="Z189" s="131">
        <v>0</v>
      </c>
      <c r="AA189" s="131">
        <v>0</v>
      </c>
      <c r="AB189" s="131">
        <v>0</v>
      </c>
      <c r="AC189" s="131">
        <v>0</v>
      </c>
      <c r="AD189" s="131">
        <v>0</v>
      </c>
      <c r="AE189" s="131">
        <v>0</v>
      </c>
      <c r="AF189" s="131">
        <v>0</v>
      </c>
      <c r="AG189" s="131"/>
      <c r="AH189" s="131">
        <v>0</v>
      </c>
      <c r="AI189" s="131"/>
      <c r="AJ189" s="131">
        <v>0</v>
      </c>
      <c r="AK189" s="146">
        <v>0</v>
      </c>
      <c r="AL189" s="146">
        <v>0</v>
      </c>
      <c r="AM189" s="146">
        <v>0</v>
      </c>
      <c r="AN189" s="146"/>
      <c r="AO189" s="131">
        <v>0</v>
      </c>
      <c r="AP189" s="146"/>
      <c r="AQ189" s="146">
        <v>0</v>
      </c>
      <c r="AR189" s="146">
        <v>0</v>
      </c>
      <c r="AS189" s="146">
        <v>0</v>
      </c>
      <c r="AT189" s="146">
        <v>0</v>
      </c>
      <c r="AU189" s="146">
        <v>0</v>
      </c>
      <c r="AV189" s="146">
        <v>0</v>
      </c>
      <c r="AW189" s="146">
        <v>0</v>
      </c>
      <c r="AX189" s="146"/>
      <c r="AY189" s="146"/>
      <c r="AZ189" s="146">
        <v>0</v>
      </c>
      <c r="BA189" s="146">
        <v>0</v>
      </c>
      <c r="BB189" s="146">
        <v>0</v>
      </c>
      <c r="BC189" s="146">
        <v>0</v>
      </c>
      <c r="BD189" s="146">
        <v>0</v>
      </c>
      <c r="BE189" s="146"/>
      <c r="BF189" s="146"/>
      <c r="BG189" s="146"/>
      <c r="BH189" s="146"/>
      <c r="BI189" s="146">
        <v>0</v>
      </c>
      <c r="BJ189" s="146"/>
      <c r="BK189" s="147">
        <v>0</v>
      </c>
      <c r="BL189" s="147">
        <v>0</v>
      </c>
      <c r="BM189" s="147">
        <v>0</v>
      </c>
      <c r="BN189" s="147">
        <v>0</v>
      </c>
      <c r="BO189" s="147">
        <v>0</v>
      </c>
      <c r="BP189" s="147">
        <v>0</v>
      </c>
      <c r="BQ189" s="147">
        <v>0</v>
      </c>
      <c r="BR189" s="147">
        <v>0</v>
      </c>
      <c r="BS189" s="147">
        <v>0</v>
      </c>
      <c r="BT189" s="147">
        <v>0</v>
      </c>
      <c r="BU189" s="147">
        <v>0</v>
      </c>
      <c r="BV189" s="147">
        <v>0</v>
      </c>
      <c r="BW189" s="147">
        <v>0</v>
      </c>
      <c r="BX189" s="147">
        <v>0</v>
      </c>
      <c r="BY189" s="147">
        <v>0</v>
      </c>
      <c r="BZ189" s="147">
        <v>0</v>
      </c>
      <c r="CA189" s="147">
        <v>0</v>
      </c>
      <c r="CB189" s="147">
        <v>0</v>
      </c>
      <c r="CC189" s="147">
        <v>0</v>
      </c>
      <c r="CD189" s="147">
        <v>0</v>
      </c>
      <c r="CE189" s="147">
        <v>0</v>
      </c>
      <c r="CF189" s="147">
        <v>0</v>
      </c>
      <c r="CG189" s="147">
        <v>0</v>
      </c>
      <c r="CH189" s="147">
        <v>0</v>
      </c>
      <c r="CI189" s="147"/>
      <c r="CJ189" s="147"/>
      <c r="CK189" s="147"/>
      <c r="CL189" s="147"/>
      <c r="CM189" s="147">
        <v>0</v>
      </c>
      <c r="CN189" s="147">
        <v>0</v>
      </c>
      <c r="CO189" s="147">
        <v>0</v>
      </c>
      <c r="CP189" s="147">
        <v>0</v>
      </c>
      <c r="CQ189" s="147">
        <v>0</v>
      </c>
      <c r="CR189" s="147">
        <v>0</v>
      </c>
      <c r="CS189" s="148">
        <v>0</v>
      </c>
      <c r="CT189" s="148"/>
      <c r="CU189" s="148"/>
      <c r="CV189" s="148">
        <v>0</v>
      </c>
      <c r="CW189" s="148">
        <v>0</v>
      </c>
      <c r="CX189" s="148">
        <v>0</v>
      </c>
      <c r="CY189" s="148">
        <v>0</v>
      </c>
      <c r="CZ189" s="148">
        <v>0</v>
      </c>
      <c r="DA189" s="148">
        <v>0</v>
      </c>
      <c r="DB189" s="148">
        <v>0</v>
      </c>
      <c r="DC189" s="148">
        <v>0</v>
      </c>
      <c r="DD189" s="148">
        <v>0</v>
      </c>
      <c r="DE189" s="148">
        <v>0</v>
      </c>
      <c r="DF189" s="148">
        <v>0</v>
      </c>
      <c r="DG189" s="148">
        <v>0</v>
      </c>
      <c r="DH189" s="148">
        <v>0</v>
      </c>
      <c r="DI189" s="148">
        <v>0</v>
      </c>
      <c r="DJ189" s="148">
        <v>0</v>
      </c>
      <c r="DK189" s="148"/>
      <c r="DL189" s="148"/>
      <c r="DM189" s="148"/>
      <c r="DN189" s="148">
        <v>0</v>
      </c>
      <c r="DO189" s="148">
        <v>1232</v>
      </c>
      <c r="DP189" s="148">
        <v>563</v>
      </c>
      <c r="DQ189" s="148">
        <v>1056</v>
      </c>
      <c r="DR189" s="148">
        <v>118</v>
      </c>
      <c r="DS189" s="148">
        <v>141</v>
      </c>
      <c r="DT189" s="148">
        <v>12</v>
      </c>
      <c r="DU189" s="148">
        <v>31</v>
      </c>
      <c r="DV189" s="148">
        <v>286</v>
      </c>
      <c r="DW189" s="148">
        <v>266</v>
      </c>
      <c r="DX189" s="148">
        <v>1581</v>
      </c>
      <c r="DY189" s="148">
        <v>821</v>
      </c>
      <c r="DZ189" s="148">
        <v>937</v>
      </c>
      <c r="EA189" s="148">
        <v>2307</v>
      </c>
      <c r="EB189" s="148">
        <v>0</v>
      </c>
      <c r="EC189" s="148">
        <v>1458</v>
      </c>
      <c r="ED189" s="148">
        <v>385</v>
      </c>
      <c r="EE189" s="148">
        <v>123</v>
      </c>
      <c r="EF189" s="148">
        <v>764</v>
      </c>
      <c r="EG189" s="148">
        <v>2104</v>
      </c>
      <c r="EH189" s="148">
        <v>3027</v>
      </c>
      <c r="EI189" s="148">
        <v>344</v>
      </c>
      <c r="EJ189" s="148">
        <v>694</v>
      </c>
      <c r="EK189" s="148">
        <v>697</v>
      </c>
      <c r="EL189" s="148">
        <v>997</v>
      </c>
      <c r="EM189" s="148">
        <v>1455</v>
      </c>
      <c r="EN189" s="148">
        <v>550</v>
      </c>
      <c r="EO189" s="148">
        <v>1481</v>
      </c>
      <c r="EP189" s="148">
        <v>690</v>
      </c>
      <c r="EQ189" s="148">
        <v>1654</v>
      </c>
      <c r="ER189" s="148">
        <v>3122</v>
      </c>
      <c r="ES189" s="148">
        <v>2546</v>
      </c>
      <c r="ET189" s="148">
        <v>1300</v>
      </c>
      <c r="EU189" s="148">
        <v>1034</v>
      </c>
      <c r="EV189" s="148"/>
      <c r="EW189" s="148">
        <v>147</v>
      </c>
      <c r="EX189" s="148">
        <v>1604</v>
      </c>
      <c r="EY189" s="148">
        <v>789</v>
      </c>
      <c r="EZ189" s="148">
        <v>603</v>
      </c>
      <c r="FA189" s="148">
        <v>1414</v>
      </c>
      <c r="FB189" s="148">
        <v>591</v>
      </c>
      <c r="FC189" s="148">
        <v>1146</v>
      </c>
      <c r="FD189" s="148">
        <v>2296</v>
      </c>
      <c r="FE189" s="148">
        <v>597</v>
      </c>
      <c r="FF189" s="148">
        <v>2056</v>
      </c>
      <c r="FG189" s="148">
        <v>1045</v>
      </c>
      <c r="FH189" s="148"/>
      <c r="FI189" s="148">
        <v>937</v>
      </c>
      <c r="FJ189" s="148">
        <v>103</v>
      </c>
      <c r="FN189" s="151">
        <f t="shared" si="484"/>
        <v>0</v>
      </c>
      <c r="FO189" s="152">
        <f t="shared" si="485"/>
        <v>0</v>
      </c>
      <c r="FP189" s="152">
        <f t="shared" si="486"/>
        <v>0</v>
      </c>
      <c r="FQ189" s="152">
        <f t="shared" si="487"/>
        <v>0</v>
      </c>
      <c r="FR189" s="152">
        <f t="shared" si="488"/>
        <v>0</v>
      </c>
      <c r="FS189" s="152">
        <f t="shared" si="489"/>
        <v>0</v>
      </c>
      <c r="FT189" s="152">
        <f t="shared" si="490"/>
        <v>0</v>
      </c>
      <c r="FU189" s="152">
        <f t="shared" si="491"/>
        <v>0</v>
      </c>
      <c r="FV189" s="152">
        <f t="shared" si="492"/>
        <v>0</v>
      </c>
      <c r="FW189" s="152">
        <f t="shared" si="493"/>
        <v>0</v>
      </c>
      <c r="FX189" s="152">
        <f t="shared" si="494"/>
        <v>0</v>
      </c>
      <c r="FY189" s="152">
        <f t="shared" si="495"/>
        <v>0</v>
      </c>
      <c r="FZ189" s="152">
        <f t="shared" si="496"/>
        <v>0</v>
      </c>
      <c r="GA189" s="152">
        <f t="shared" si="497"/>
        <v>0</v>
      </c>
      <c r="GB189" s="152">
        <f t="shared" si="498"/>
        <v>0</v>
      </c>
      <c r="GC189" s="152">
        <f t="shared" si="499"/>
        <v>0</v>
      </c>
      <c r="GD189" s="152">
        <f t="shared" si="500"/>
        <v>0</v>
      </c>
      <c r="GE189" s="152">
        <f t="shared" si="501"/>
        <v>0</v>
      </c>
      <c r="GF189" s="152">
        <f t="shared" si="502"/>
        <v>0</v>
      </c>
      <c r="GG189" s="152">
        <f t="shared" si="503"/>
        <v>0</v>
      </c>
      <c r="GH189" s="152">
        <f t="shared" si="504"/>
        <v>0</v>
      </c>
      <c r="GI189" s="152">
        <f t="shared" si="505"/>
        <v>0</v>
      </c>
      <c r="GJ189" s="152">
        <f t="shared" si="506"/>
        <v>0</v>
      </c>
      <c r="GK189" s="152">
        <f t="shared" si="507"/>
        <v>0</v>
      </c>
      <c r="GL189" s="152">
        <f t="shared" si="508"/>
        <v>0</v>
      </c>
      <c r="GM189" s="152">
        <f t="shared" si="509"/>
        <v>0</v>
      </c>
      <c r="GN189" s="152">
        <f t="shared" si="510"/>
        <v>0</v>
      </c>
      <c r="GO189" s="152">
        <f t="shared" si="511"/>
        <v>0</v>
      </c>
      <c r="GP189" s="152">
        <f t="shared" si="512"/>
        <v>0</v>
      </c>
      <c r="GQ189" s="152">
        <f t="shared" si="513"/>
        <v>0</v>
      </c>
      <c r="GR189" s="152">
        <f t="shared" si="514"/>
        <v>0</v>
      </c>
      <c r="GS189" s="152">
        <f t="shared" si="515"/>
        <v>0</v>
      </c>
      <c r="GT189" s="152">
        <f t="shared" si="516"/>
        <v>0</v>
      </c>
      <c r="GU189" s="152">
        <f t="shared" si="517"/>
        <v>0</v>
      </c>
      <c r="GV189" s="152">
        <f t="shared" si="518"/>
        <v>0</v>
      </c>
      <c r="GW189" s="152">
        <f t="shared" si="519"/>
        <v>0</v>
      </c>
      <c r="GX189" s="152">
        <f t="shared" si="520"/>
        <v>0</v>
      </c>
      <c r="GY189" s="152">
        <f t="shared" si="521"/>
        <v>0</v>
      </c>
      <c r="GZ189" s="152">
        <f t="shared" si="522"/>
        <v>0</v>
      </c>
      <c r="HA189" s="152">
        <f t="shared" si="523"/>
        <v>2851</v>
      </c>
      <c r="HB189" s="152">
        <f t="shared" si="524"/>
        <v>271</v>
      </c>
      <c r="HC189" s="152">
        <f t="shared" si="525"/>
        <v>583</v>
      </c>
      <c r="HD189" s="152">
        <f t="shared" si="526"/>
        <v>3339</v>
      </c>
      <c r="HE189" s="152">
        <f t="shared" si="527"/>
        <v>3765</v>
      </c>
      <c r="HF189" s="152">
        <f t="shared" si="528"/>
        <v>1272</v>
      </c>
      <c r="HG189" s="152">
        <f t="shared" si="529"/>
        <v>5475</v>
      </c>
      <c r="HH189" s="152">
        <f t="shared" si="530"/>
        <v>2388</v>
      </c>
      <c r="HI189" s="152">
        <f t="shared" si="531"/>
        <v>3486</v>
      </c>
      <c r="HJ189" s="153">
        <f t="shared" si="532"/>
        <v>5466</v>
      </c>
      <c r="HK189" s="153">
        <f t="shared" si="533"/>
        <v>4880</v>
      </c>
      <c r="HL189" s="153">
        <f t="shared" si="534"/>
        <v>1751</v>
      </c>
      <c r="HM189" s="153">
        <f t="shared" si="535"/>
        <v>2806</v>
      </c>
      <c r="HN189" s="153">
        <f t="shared" si="536"/>
        <v>4033</v>
      </c>
      <c r="HO189" s="153">
        <f t="shared" si="537"/>
        <v>3698</v>
      </c>
      <c r="HP189" s="153">
        <f t="shared" si="538"/>
        <v>1040</v>
      </c>
      <c r="HQ189" s="101"/>
      <c r="HU189" s="155">
        <f t="shared" si="468"/>
        <v>0</v>
      </c>
      <c r="HV189" s="155">
        <f t="shared" si="469"/>
        <v>0</v>
      </c>
      <c r="HW189" s="155">
        <f t="shared" si="470"/>
        <v>0</v>
      </c>
      <c r="HX189" s="156">
        <f t="shared" si="471"/>
        <v>0</v>
      </c>
      <c r="HY189" s="146">
        <f t="shared" si="472"/>
        <v>0</v>
      </c>
      <c r="HZ189" s="146">
        <f t="shared" si="473"/>
        <v>0</v>
      </c>
      <c r="IA189" s="146">
        <f t="shared" si="474"/>
        <v>0</v>
      </c>
      <c r="IB189" s="157">
        <f t="shared" si="475"/>
        <v>0</v>
      </c>
      <c r="IC189" s="157">
        <f t="shared" si="476"/>
        <v>0</v>
      </c>
      <c r="ID189" s="157">
        <f t="shared" si="477"/>
        <v>2851</v>
      </c>
      <c r="IE189" s="157">
        <f t="shared" si="478"/>
        <v>7958</v>
      </c>
      <c r="IF189" s="157">
        <f t="shared" si="479"/>
        <v>12621</v>
      </c>
      <c r="IG189" s="157">
        <f t="shared" si="480"/>
        <v>14903</v>
      </c>
    </row>
    <row r="190" spans="1:241" outlineLevel="1" x14ac:dyDescent="0.3">
      <c r="A190" s="245" t="s">
        <v>178</v>
      </c>
      <c r="B190" s="253">
        <f t="shared" ref="B190:S190" si="539">+SUM(B172:B189)</f>
        <v>352</v>
      </c>
      <c r="C190" s="253">
        <f t="shared" si="539"/>
        <v>911</v>
      </c>
      <c r="D190" s="253">
        <f t="shared" si="539"/>
        <v>480</v>
      </c>
      <c r="E190" s="253">
        <f t="shared" si="539"/>
        <v>635</v>
      </c>
      <c r="F190" s="253">
        <f t="shared" si="539"/>
        <v>573</v>
      </c>
      <c r="G190" s="253">
        <f t="shared" si="539"/>
        <v>740</v>
      </c>
      <c r="H190" s="253">
        <f t="shared" si="539"/>
        <v>580</v>
      </c>
      <c r="I190" s="253">
        <f t="shared" si="539"/>
        <v>176</v>
      </c>
      <c r="J190" s="253">
        <f t="shared" si="539"/>
        <v>826</v>
      </c>
      <c r="K190" s="253">
        <f t="shared" si="539"/>
        <v>368</v>
      </c>
      <c r="L190" s="253">
        <f t="shared" si="539"/>
        <v>1006</v>
      </c>
      <c r="M190" s="253">
        <f t="shared" si="539"/>
        <v>1616</v>
      </c>
      <c r="N190" s="253">
        <f t="shared" si="539"/>
        <v>1620</v>
      </c>
      <c r="O190" s="253">
        <f t="shared" si="539"/>
        <v>2037</v>
      </c>
      <c r="P190" s="253">
        <f t="shared" si="539"/>
        <v>833</v>
      </c>
      <c r="Q190" s="253">
        <f t="shared" si="539"/>
        <v>4370</v>
      </c>
      <c r="R190" s="253">
        <f t="shared" si="539"/>
        <v>3589</v>
      </c>
      <c r="S190" s="253">
        <f t="shared" si="539"/>
        <v>2125</v>
      </c>
      <c r="T190" s="253">
        <f t="shared" ref="T190:AJ190" si="540">+SUM(T170:T189)</f>
        <v>3483</v>
      </c>
      <c r="U190" s="253">
        <f t="shared" si="540"/>
        <v>3309</v>
      </c>
      <c r="V190" s="253">
        <f t="shared" si="540"/>
        <v>3906</v>
      </c>
      <c r="W190" s="253">
        <f t="shared" si="540"/>
        <v>2665</v>
      </c>
      <c r="X190" s="253">
        <f t="shared" si="540"/>
        <v>6115</v>
      </c>
      <c r="Y190" s="253">
        <f t="shared" si="540"/>
        <v>5308</v>
      </c>
      <c r="Z190" s="253">
        <f t="shared" si="540"/>
        <v>6535</v>
      </c>
      <c r="AA190" s="253">
        <f t="shared" si="540"/>
        <v>5811</v>
      </c>
      <c r="AB190" s="253">
        <f t="shared" si="540"/>
        <v>5314</v>
      </c>
      <c r="AC190" s="253">
        <f t="shared" si="540"/>
        <v>6717</v>
      </c>
      <c r="AD190" s="253">
        <f t="shared" si="540"/>
        <v>6132</v>
      </c>
      <c r="AE190" s="253">
        <f t="shared" si="540"/>
        <v>6313</v>
      </c>
      <c r="AF190" s="253">
        <f t="shared" si="540"/>
        <v>5082</v>
      </c>
      <c r="AG190" s="253">
        <f t="shared" si="540"/>
        <v>7170</v>
      </c>
      <c r="AH190" s="253">
        <f t="shared" si="540"/>
        <v>8887</v>
      </c>
      <c r="AI190" s="253">
        <f t="shared" si="540"/>
        <v>3195</v>
      </c>
      <c r="AJ190" s="253">
        <f t="shared" si="540"/>
        <v>6776</v>
      </c>
      <c r="AK190" s="253">
        <f>+SUM(AK170:AK188)</f>
        <v>8538</v>
      </c>
      <c r="AL190" s="253">
        <f>+SUM(AL170:AL188)</f>
        <v>7465</v>
      </c>
      <c r="AM190" s="253">
        <f>+SUM(AM170:AM188)</f>
        <v>6165</v>
      </c>
      <c r="AN190" s="253">
        <f>+SUM(AN170:AN188)</f>
        <v>3860</v>
      </c>
      <c r="AO190" s="253">
        <f>+SUM(AO170:AO188)</f>
        <v>7979</v>
      </c>
      <c r="AP190" s="253">
        <f t="shared" ref="AP190:CD190" si="541">+SUM(AP170:AP189)</f>
        <v>12736</v>
      </c>
      <c r="AQ190" s="253">
        <f t="shared" si="541"/>
        <v>12127</v>
      </c>
      <c r="AR190" s="253">
        <f t="shared" si="541"/>
        <v>11757</v>
      </c>
      <c r="AS190" s="253">
        <f t="shared" si="541"/>
        <v>10898</v>
      </c>
      <c r="AT190" s="253">
        <f t="shared" si="541"/>
        <v>10895</v>
      </c>
      <c r="AU190" s="253">
        <f t="shared" si="541"/>
        <v>7983</v>
      </c>
      <c r="AV190" s="253">
        <f t="shared" si="541"/>
        <v>12419</v>
      </c>
      <c r="AW190" s="253">
        <f t="shared" si="541"/>
        <v>14437</v>
      </c>
      <c r="AX190" s="253">
        <f t="shared" si="541"/>
        <v>9708</v>
      </c>
      <c r="AY190" s="253">
        <f t="shared" si="541"/>
        <v>11333</v>
      </c>
      <c r="AZ190" s="253">
        <f t="shared" si="541"/>
        <v>12483</v>
      </c>
      <c r="BA190" s="253">
        <f t="shared" si="541"/>
        <v>14316</v>
      </c>
      <c r="BB190" s="253">
        <f t="shared" si="541"/>
        <v>17639</v>
      </c>
      <c r="BC190" s="253">
        <f t="shared" si="541"/>
        <v>14481</v>
      </c>
      <c r="BD190" s="253">
        <f t="shared" si="541"/>
        <v>12594</v>
      </c>
      <c r="BE190" s="253">
        <f t="shared" si="541"/>
        <v>15362</v>
      </c>
      <c r="BF190" s="253">
        <f t="shared" si="541"/>
        <v>13540</v>
      </c>
      <c r="BG190" s="253">
        <f t="shared" si="541"/>
        <v>7388</v>
      </c>
      <c r="BH190" s="253">
        <f t="shared" si="541"/>
        <v>11658</v>
      </c>
      <c r="BI190" s="253">
        <f t="shared" si="541"/>
        <v>13651</v>
      </c>
      <c r="BJ190" s="253">
        <f t="shared" si="541"/>
        <v>13308</v>
      </c>
      <c r="BK190" s="253">
        <f t="shared" si="541"/>
        <v>14503</v>
      </c>
      <c r="BL190" s="253">
        <f t="shared" si="541"/>
        <v>15246</v>
      </c>
      <c r="BM190" s="253">
        <f t="shared" si="541"/>
        <v>12644</v>
      </c>
      <c r="BN190" s="253">
        <f t="shared" si="541"/>
        <v>11373</v>
      </c>
      <c r="BO190" s="253">
        <f t="shared" si="541"/>
        <v>6947</v>
      </c>
      <c r="BP190" s="253">
        <f t="shared" si="541"/>
        <v>8041</v>
      </c>
      <c r="BQ190" s="253">
        <f t="shared" si="541"/>
        <v>19476</v>
      </c>
      <c r="BR190" s="253">
        <f t="shared" si="541"/>
        <v>20191</v>
      </c>
      <c r="BS190" s="253">
        <f t="shared" si="541"/>
        <v>12937</v>
      </c>
      <c r="BT190" s="253">
        <f t="shared" si="541"/>
        <v>13142</v>
      </c>
      <c r="BU190" s="253">
        <f t="shared" si="541"/>
        <v>18458</v>
      </c>
      <c r="BV190" s="253">
        <f t="shared" si="541"/>
        <v>13830</v>
      </c>
      <c r="BW190" s="253">
        <f t="shared" si="541"/>
        <v>14492</v>
      </c>
      <c r="BX190" s="253">
        <f t="shared" si="541"/>
        <v>10060</v>
      </c>
      <c r="BY190" s="253">
        <f t="shared" si="541"/>
        <v>14326</v>
      </c>
      <c r="BZ190" s="253">
        <f t="shared" si="541"/>
        <v>13778</v>
      </c>
      <c r="CA190" s="253">
        <f t="shared" si="541"/>
        <v>10280</v>
      </c>
      <c r="CB190" s="253">
        <f t="shared" si="541"/>
        <v>11159</v>
      </c>
      <c r="CC190" s="253">
        <f t="shared" si="541"/>
        <v>13686</v>
      </c>
      <c r="CD190" s="253">
        <f t="shared" si="541"/>
        <v>18523</v>
      </c>
      <c r="CE190" s="253">
        <v>8943</v>
      </c>
      <c r="CF190" s="253">
        <f>SUM(CF170:CF189)</f>
        <v>13640</v>
      </c>
      <c r="CG190" s="253">
        <v>15535</v>
      </c>
      <c r="CH190" s="253">
        <f>SUM(CH170:CH189)</f>
        <v>11837</v>
      </c>
      <c r="CI190" s="253">
        <f>SUM(CI170:CI189)</f>
        <v>10970</v>
      </c>
      <c r="CJ190" s="253">
        <f>SUM(CJ170:CJ189)</f>
        <v>13611</v>
      </c>
      <c r="CK190" s="253">
        <f>SUM(CK170:CK189)</f>
        <v>11439</v>
      </c>
      <c r="CL190" s="253">
        <f>SUM(CL170:CL189)</f>
        <v>16305</v>
      </c>
      <c r="CM190" s="253">
        <v>13235</v>
      </c>
      <c r="CN190" s="253">
        <v>12235</v>
      </c>
      <c r="CO190" s="253">
        <v>18909</v>
      </c>
      <c r="CP190" s="253">
        <v>24970</v>
      </c>
      <c r="CQ190" s="253">
        <v>13346</v>
      </c>
      <c r="CR190" s="246">
        <v>19917</v>
      </c>
      <c r="CS190" s="254">
        <v>16895</v>
      </c>
      <c r="CT190" s="254"/>
      <c r="CU190" s="254">
        <v>3724</v>
      </c>
      <c r="CV190" s="254">
        <v>6783</v>
      </c>
      <c r="CW190" s="254">
        <v>11256</v>
      </c>
      <c r="CX190" s="254">
        <v>14429</v>
      </c>
      <c r="CY190" s="254">
        <v>16985</v>
      </c>
      <c r="CZ190" s="254">
        <v>11126</v>
      </c>
      <c r="DA190" s="254">
        <v>13543</v>
      </c>
      <c r="DB190" s="254">
        <f>SUM(DB171:DB189)</f>
        <v>20632</v>
      </c>
      <c r="DC190" s="254">
        <v>12064</v>
      </c>
      <c r="DD190" s="254">
        <v>11891</v>
      </c>
      <c r="DE190" s="254">
        <v>13992</v>
      </c>
      <c r="DF190" s="254">
        <v>17209</v>
      </c>
      <c r="DG190" s="254">
        <v>12104</v>
      </c>
      <c r="DH190" s="254">
        <v>17690</v>
      </c>
      <c r="DI190" s="254">
        <v>17383</v>
      </c>
      <c r="DJ190" s="254">
        <v>18808</v>
      </c>
      <c r="DK190" s="254">
        <v>17933</v>
      </c>
      <c r="DL190" s="254">
        <v>12719</v>
      </c>
      <c r="DM190" s="254">
        <v>14173</v>
      </c>
      <c r="DN190" s="254">
        <v>17770</v>
      </c>
      <c r="DO190" s="254">
        <v>15511</v>
      </c>
      <c r="DP190" s="254">
        <v>17623</v>
      </c>
      <c r="DQ190" s="254">
        <v>20785</v>
      </c>
      <c r="DR190" s="254">
        <v>16921</v>
      </c>
      <c r="DS190" s="254">
        <v>19041</v>
      </c>
      <c r="DT190" s="254">
        <v>19437</v>
      </c>
      <c r="DU190" s="254">
        <v>18269</v>
      </c>
      <c r="DV190" s="254">
        <v>24280</v>
      </c>
      <c r="DW190" s="254">
        <v>19986</v>
      </c>
      <c r="DX190" s="254">
        <v>14614</v>
      </c>
      <c r="DY190" s="254">
        <v>16336</v>
      </c>
      <c r="DZ190" s="254">
        <v>24033</v>
      </c>
      <c r="EA190" s="254">
        <v>24527</v>
      </c>
      <c r="EB190" s="254">
        <v>21139</v>
      </c>
      <c r="EC190" s="254">
        <v>26794</v>
      </c>
      <c r="ED190" s="254">
        <v>17669</v>
      </c>
      <c r="EE190" s="254">
        <v>16274</v>
      </c>
      <c r="EF190" s="254">
        <v>21162</v>
      </c>
      <c r="EG190" s="254">
        <v>20225</v>
      </c>
      <c r="EH190" s="254">
        <v>23252</v>
      </c>
      <c r="EI190" s="254">
        <v>18136</v>
      </c>
      <c r="EJ190" s="254">
        <v>17859</v>
      </c>
      <c r="EK190" s="254">
        <v>17410</v>
      </c>
      <c r="EL190" s="254">
        <v>17334</v>
      </c>
      <c r="EM190" s="254">
        <v>18853</v>
      </c>
      <c r="EN190" s="254">
        <v>21819</v>
      </c>
      <c r="EO190" s="254">
        <v>24076</v>
      </c>
      <c r="EP190" s="254">
        <v>19022</v>
      </c>
      <c r="EQ190" s="254">
        <v>24490</v>
      </c>
      <c r="ER190" s="254">
        <v>34160</v>
      </c>
      <c r="ES190" s="254">
        <v>28094</v>
      </c>
      <c r="ET190" s="254">
        <v>29907</v>
      </c>
      <c r="EU190" s="254">
        <v>31636</v>
      </c>
      <c r="EV190" s="254">
        <v>28879</v>
      </c>
      <c r="EW190" s="254">
        <v>25711</v>
      </c>
      <c r="EX190" s="254">
        <v>36346</v>
      </c>
      <c r="EY190" s="254">
        <v>30457</v>
      </c>
      <c r="EZ190" s="254">
        <v>31388</v>
      </c>
      <c r="FA190" s="254">
        <v>41086</v>
      </c>
      <c r="FB190" s="254">
        <f t="shared" ref="FB190" si="542">SUM(FB171:FB189)</f>
        <v>31115</v>
      </c>
      <c r="FC190" s="254">
        <v>32411</v>
      </c>
      <c r="FD190" s="254">
        <v>34051</v>
      </c>
      <c r="FE190" s="254">
        <v>30356</v>
      </c>
      <c r="FF190" s="254">
        <v>37522</v>
      </c>
      <c r="FG190" s="254">
        <v>43252</v>
      </c>
      <c r="FH190" s="254">
        <v>33876</v>
      </c>
      <c r="FI190" s="254">
        <v>42993</v>
      </c>
      <c r="FJ190" s="254">
        <v>34744</v>
      </c>
      <c r="FN190" s="165">
        <f t="shared" si="484"/>
        <v>1743</v>
      </c>
      <c r="FO190" s="166">
        <f t="shared" si="485"/>
        <v>1948</v>
      </c>
      <c r="FP190" s="166">
        <f t="shared" si="486"/>
        <v>1582</v>
      </c>
      <c r="FQ190" s="166">
        <f t="shared" si="487"/>
        <v>2990</v>
      </c>
      <c r="FR190" s="166">
        <f t="shared" si="488"/>
        <v>4490</v>
      </c>
      <c r="FS190" s="166">
        <f t="shared" si="489"/>
        <v>10084</v>
      </c>
      <c r="FT190" s="166">
        <f t="shared" si="490"/>
        <v>10698</v>
      </c>
      <c r="FU190" s="166">
        <f t="shared" si="491"/>
        <v>14088</v>
      </c>
      <c r="FV190" s="166">
        <f t="shared" si="492"/>
        <v>17660</v>
      </c>
      <c r="FW190" s="166">
        <f t="shared" si="493"/>
        <v>19162</v>
      </c>
      <c r="FX190" s="166">
        <f t="shared" si="494"/>
        <v>21139</v>
      </c>
      <c r="FY190" s="166">
        <f t="shared" si="495"/>
        <v>18509</v>
      </c>
      <c r="FZ190" s="166">
        <f t="shared" si="496"/>
        <v>17490</v>
      </c>
      <c r="GA190" s="166">
        <f t="shared" si="497"/>
        <v>32842</v>
      </c>
      <c r="GB190" s="166">
        <f t="shared" si="498"/>
        <v>33550</v>
      </c>
      <c r="GC190" s="166">
        <f t="shared" si="499"/>
        <v>34839</v>
      </c>
      <c r="GD190" s="166">
        <f t="shared" si="500"/>
        <v>33524</v>
      </c>
      <c r="GE190" s="166">
        <f t="shared" si="501"/>
        <v>46436</v>
      </c>
      <c r="GF190" s="166">
        <f t="shared" si="502"/>
        <v>41496</v>
      </c>
      <c r="GG190" s="166">
        <f t="shared" si="503"/>
        <v>32697</v>
      </c>
      <c r="GH190" s="166">
        <f t="shared" si="504"/>
        <v>43057</v>
      </c>
      <c r="GI190" s="166">
        <f t="shared" si="505"/>
        <v>30964</v>
      </c>
      <c r="GJ190" s="166">
        <f t="shared" si="506"/>
        <v>47708</v>
      </c>
      <c r="GK190" s="166">
        <f t="shared" si="507"/>
        <v>44537</v>
      </c>
      <c r="GL190" s="166">
        <f t="shared" si="508"/>
        <v>38382</v>
      </c>
      <c r="GM190" s="166">
        <f t="shared" si="509"/>
        <v>38384</v>
      </c>
      <c r="GN190" s="166">
        <f t="shared" si="510"/>
        <v>43368</v>
      </c>
      <c r="GO190" s="166">
        <f t="shared" si="511"/>
        <v>38118</v>
      </c>
      <c r="GP190" s="166">
        <f t="shared" si="512"/>
        <v>36418</v>
      </c>
      <c r="GQ190" s="166">
        <f t="shared" si="513"/>
        <v>40979</v>
      </c>
      <c r="GR190" s="166">
        <f t="shared" si="514"/>
        <v>56114</v>
      </c>
      <c r="GS190" s="166">
        <f t="shared" si="515"/>
        <v>50158</v>
      </c>
      <c r="GT190" s="166">
        <f t="shared" si="516"/>
        <v>10507</v>
      </c>
      <c r="GU190" s="166">
        <f t="shared" si="517"/>
        <v>42670</v>
      </c>
      <c r="GV190" s="166">
        <f t="shared" si="518"/>
        <v>45301</v>
      </c>
      <c r="GW190" s="166">
        <f t="shared" si="519"/>
        <v>37947</v>
      </c>
      <c r="GX190" s="166">
        <f t="shared" si="520"/>
        <v>47003</v>
      </c>
      <c r="GY190" s="166">
        <f t="shared" si="521"/>
        <v>54124</v>
      </c>
      <c r="GZ190" s="166">
        <f t="shared" si="522"/>
        <v>44662</v>
      </c>
      <c r="HA190" s="166">
        <f t="shared" si="523"/>
        <v>53919</v>
      </c>
      <c r="HB190" s="166">
        <f t="shared" si="524"/>
        <v>55399</v>
      </c>
      <c r="HC190" s="166">
        <f t="shared" si="525"/>
        <v>62535</v>
      </c>
      <c r="HD190" s="166">
        <f t="shared" si="526"/>
        <v>54983</v>
      </c>
      <c r="HE190" s="166">
        <f t="shared" si="527"/>
        <v>72460</v>
      </c>
      <c r="HF190" s="166">
        <f t="shared" si="528"/>
        <v>55105</v>
      </c>
      <c r="HG190" s="166">
        <f t="shared" si="529"/>
        <v>61613</v>
      </c>
      <c r="HH190" s="166">
        <f t="shared" si="530"/>
        <v>52603</v>
      </c>
      <c r="HI190" s="166">
        <f t="shared" si="531"/>
        <v>64748</v>
      </c>
      <c r="HJ190" s="167">
        <f t="shared" si="532"/>
        <v>77672</v>
      </c>
      <c r="HK190" s="167">
        <f t="shared" si="533"/>
        <v>89637</v>
      </c>
      <c r="HL190" s="167">
        <f t="shared" si="534"/>
        <v>90936</v>
      </c>
      <c r="HM190" s="167">
        <f t="shared" si="535"/>
        <v>102931</v>
      </c>
      <c r="HN190" s="167">
        <f t="shared" si="536"/>
        <v>97577</v>
      </c>
      <c r="HO190" s="167">
        <f t="shared" si="537"/>
        <v>111130</v>
      </c>
      <c r="HP190" s="167">
        <f t="shared" si="538"/>
        <v>111613</v>
      </c>
      <c r="HQ190" s="168"/>
      <c r="HU190" s="169">
        <f t="shared" si="468"/>
        <v>8263</v>
      </c>
      <c r="HV190" s="169">
        <f t="shared" si="469"/>
        <v>39360</v>
      </c>
      <c r="HW190" s="169">
        <f t="shared" si="470"/>
        <v>76470</v>
      </c>
      <c r="HX190" s="170">
        <f t="shared" si="471"/>
        <v>118721</v>
      </c>
      <c r="HY190" s="160">
        <f t="shared" si="472"/>
        <v>154153</v>
      </c>
      <c r="HZ190" s="160">
        <f t="shared" si="473"/>
        <v>166266</v>
      </c>
      <c r="IA190" s="160">
        <f t="shared" si="474"/>
        <v>158252</v>
      </c>
      <c r="IB190" s="171">
        <f t="shared" si="475"/>
        <v>183669</v>
      </c>
      <c r="IC190" s="171">
        <f t="shared" si="476"/>
        <v>136425</v>
      </c>
      <c r="ID190" s="171">
        <f t="shared" si="477"/>
        <v>199708</v>
      </c>
      <c r="IE190" s="171">
        <f t="shared" si="478"/>
        <v>245377</v>
      </c>
      <c r="IF190" s="171">
        <f t="shared" si="479"/>
        <v>234069</v>
      </c>
      <c r="IG190" s="171">
        <f t="shared" si="480"/>
        <v>361176</v>
      </c>
    </row>
    <row r="191" spans="1:241" outlineLevel="1" x14ac:dyDescent="0.3">
      <c r="A191" s="193"/>
      <c r="B191" s="239"/>
      <c r="C191" s="239"/>
      <c r="D191" s="239"/>
      <c r="E191" s="239"/>
      <c r="F191" s="239"/>
      <c r="G191" s="239"/>
      <c r="H191" s="239"/>
      <c r="I191" s="239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  <c r="AA191" s="239"/>
      <c r="AB191" s="239"/>
      <c r="AC191" s="239"/>
      <c r="AD191" s="239"/>
      <c r="AE191" s="239"/>
      <c r="AF191" s="239"/>
      <c r="AG191" s="239"/>
      <c r="AH191" s="239"/>
      <c r="AI191" s="239"/>
      <c r="AJ191" s="239"/>
      <c r="AK191" s="239"/>
      <c r="AL191" s="239"/>
      <c r="AM191" s="239"/>
      <c r="AN191" s="239"/>
      <c r="AO191" s="239"/>
      <c r="AP191" s="239"/>
      <c r="AQ191" s="239"/>
      <c r="AR191" s="239"/>
      <c r="AS191" s="239"/>
      <c r="AT191" s="239"/>
      <c r="AU191" s="239"/>
      <c r="AV191" s="239"/>
      <c r="AW191" s="239"/>
      <c r="AX191" s="239"/>
      <c r="AY191" s="239"/>
      <c r="AZ191" s="239"/>
      <c r="BA191" s="239"/>
      <c r="BB191" s="239"/>
      <c r="BC191" s="239"/>
      <c r="BD191" s="239"/>
      <c r="BE191" s="239"/>
      <c r="BF191" s="239"/>
      <c r="BG191" s="239"/>
      <c r="BH191" s="239"/>
      <c r="BI191" s="239"/>
      <c r="BJ191" s="239"/>
      <c r="BK191" s="255"/>
      <c r="BL191" s="255"/>
      <c r="BM191" s="255"/>
      <c r="BN191" s="255"/>
      <c r="BO191" s="255"/>
      <c r="BP191" s="255"/>
      <c r="BQ191" s="255"/>
      <c r="BR191" s="255"/>
      <c r="BS191" s="255"/>
      <c r="BT191" s="255"/>
      <c r="BU191" s="255"/>
      <c r="BV191" s="255"/>
      <c r="BW191" s="255"/>
      <c r="BX191" s="255"/>
      <c r="BY191" s="255"/>
      <c r="BZ191" s="255"/>
      <c r="CA191" s="255"/>
      <c r="CB191" s="255"/>
      <c r="CC191" s="255"/>
      <c r="CD191" s="255"/>
      <c r="CE191" s="255"/>
      <c r="CF191" s="255"/>
      <c r="CG191" s="255"/>
      <c r="CH191" s="255"/>
      <c r="CI191" s="255"/>
      <c r="CJ191" s="255"/>
      <c r="CK191" s="255"/>
      <c r="CL191" s="255"/>
      <c r="CM191" s="255"/>
      <c r="CN191" s="255"/>
      <c r="CO191" s="255"/>
      <c r="CP191" s="255"/>
      <c r="CQ191" s="255"/>
      <c r="CR191" s="255"/>
      <c r="CS191" s="255"/>
      <c r="CT191" s="255"/>
      <c r="CU191" s="255"/>
      <c r="CV191" s="255"/>
      <c r="CW191" s="255"/>
      <c r="CX191" s="255"/>
      <c r="CY191" s="255"/>
      <c r="CZ191" s="255"/>
      <c r="DA191" s="255"/>
      <c r="DB191" s="255"/>
      <c r="DC191" s="255"/>
      <c r="DD191" s="255"/>
      <c r="DE191" s="255"/>
      <c r="DF191" s="255"/>
      <c r="DG191" s="255"/>
      <c r="DH191" s="255"/>
      <c r="DI191" s="255"/>
      <c r="DJ191" s="255"/>
      <c r="DK191" s="255"/>
      <c r="DL191" s="255"/>
      <c r="DM191" s="255"/>
      <c r="DN191" s="255"/>
      <c r="DO191" s="255"/>
      <c r="DP191" s="255"/>
      <c r="DQ191" s="255"/>
      <c r="DR191" s="255"/>
      <c r="DS191" s="255"/>
      <c r="DT191" s="255"/>
      <c r="DU191" s="255"/>
      <c r="DV191" s="255"/>
      <c r="DW191" s="255"/>
      <c r="DX191" s="255"/>
      <c r="DY191" s="255"/>
      <c r="DZ191" s="255"/>
      <c r="EA191" s="255"/>
      <c r="EB191" s="255"/>
      <c r="EC191" s="255"/>
      <c r="ED191" s="255"/>
      <c r="EE191" s="255"/>
      <c r="EF191" s="255"/>
      <c r="EG191" s="255"/>
      <c r="EH191" s="255"/>
      <c r="EI191" s="255"/>
      <c r="EJ191" s="255"/>
      <c r="EK191" s="255"/>
      <c r="EL191" s="255"/>
      <c r="EM191" s="255"/>
      <c r="EN191" s="255"/>
      <c r="EO191" s="255"/>
      <c r="EP191" s="255"/>
      <c r="EQ191" s="255"/>
      <c r="ER191" s="255"/>
      <c r="ES191" s="255"/>
      <c r="ET191" s="255"/>
      <c r="EU191" s="255"/>
      <c r="EV191" s="255"/>
      <c r="EW191" s="255"/>
      <c r="EX191" s="255"/>
      <c r="EY191" s="255"/>
      <c r="EZ191" s="255"/>
      <c r="FA191" s="255"/>
      <c r="FB191" s="255"/>
      <c r="FC191" s="255"/>
      <c r="FD191" s="255"/>
      <c r="FE191" s="255"/>
      <c r="FF191" s="255"/>
      <c r="FG191" s="255"/>
      <c r="FH191" s="255"/>
      <c r="FI191" s="255"/>
      <c r="FJ191" s="255"/>
      <c r="HU191" s="155">
        <f t="shared" si="468"/>
        <v>0</v>
      </c>
      <c r="HV191" s="155">
        <f t="shared" si="469"/>
        <v>0</v>
      </c>
      <c r="HW191" s="155">
        <f t="shared" si="470"/>
        <v>0</v>
      </c>
      <c r="HX191" s="156">
        <f t="shared" si="471"/>
        <v>0</v>
      </c>
      <c r="HY191" s="146">
        <f t="shared" si="472"/>
        <v>0</v>
      </c>
      <c r="HZ191" s="146">
        <f t="shared" si="473"/>
        <v>0</v>
      </c>
      <c r="IA191" s="146">
        <f t="shared" si="474"/>
        <v>0</v>
      </c>
      <c r="IB191" s="157">
        <f t="shared" si="475"/>
        <v>0</v>
      </c>
      <c r="IC191" s="157">
        <f t="shared" si="476"/>
        <v>0</v>
      </c>
      <c r="ID191" s="157">
        <f t="shared" si="477"/>
        <v>0</v>
      </c>
      <c r="IE191" s="157">
        <f t="shared" si="478"/>
        <v>0</v>
      </c>
      <c r="IF191" s="157">
        <f t="shared" si="479"/>
        <v>0</v>
      </c>
      <c r="IG191" s="157">
        <f t="shared" si="480"/>
        <v>0</v>
      </c>
    </row>
    <row r="192" spans="1:241" outlineLevel="1" x14ac:dyDescent="0.3">
      <c r="A192" s="193"/>
      <c r="B192" s="239"/>
      <c r="C192" s="239"/>
      <c r="D192" s="239"/>
      <c r="E192" s="239"/>
      <c r="F192" s="239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  <c r="AA192" s="239"/>
      <c r="AB192" s="239"/>
      <c r="AC192" s="239"/>
      <c r="AD192" s="239"/>
      <c r="AE192" s="239"/>
      <c r="AF192" s="239"/>
      <c r="AG192" s="239"/>
      <c r="AH192" s="239"/>
      <c r="AI192" s="239"/>
      <c r="AJ192" s="239"/>
      <c r="AK192" s="239"/>
      <c r="AL192" s="239"/>
      <c r="AM192" s="239"/>
      <c r="AN192" s="239"/>
      <c r="AO192" s="239"/>
      <c r="AP192" s="239"/>
      <c r="AQ192" s="239"/>
      <c r="AR192" s="239"/>
      <c r="AS192" s="239"/>
      <c r="AT192" s="239"/>
      <c r="AU192" s="239"/>
      <c r="AV192" s="239"/>
      <c r="AW192" s="239"/>
      <c r="AX192" s="239"/>
      <c r="AY192" s="239"/>
      <c r="AZ192" s="239"/>
      <c r="BA192" s="239"/>
      <c r="BB192" s="239"/>
      <c r="BC192" s="239"/>
      <c r="BD192" s="239"/>
      <c r="BE192" s="239"/>
      <c r="BF192" s="239"/>
      <c r="BG192" s="239"/>
      <c r="BH192" s="239"/>
      <c r="BI192" s="239"/>
      <c r="BJ192" s="239"/>
      <c r="BK192" s="255"/>
      <c r="BL192" s="255"/>
      <c r="BM192" s="255"/>
      <c r="BN192" s="255"/>
      <c r="BO192" s="255"/>
      <c r="BP192" s="255"/>
      <c r="BQ192" s="255"/>
      <c r="BR192" s="255"/>
      <c r="BS192" s="255"/>
      <c r="BT192" s="255"/>
      <c r="BU192" s="255"/>
      <c r="BV192" s="255"/>
      <c r="BW192" s="255"/>
      <c r="BX192" s="255"/>
      <c r="BY192" s="255"/>
      <c r="BZ192" s="255"/>
      <c r="CA192" s="255"/>
      <c r="CB192" s="255"/>
      <c r="CC192" s="255"/>
      <c r="CD192" s="255"/>
      <c r="CE192" s="255"/>
      <c r="CF192" s="255"/>
      <c r="CG192" s="255"/>
      <c r="CH192" s="255"/>
      <c r="CI192" s="255"/>
      <c r="CJ192" s="255"/>
      <c r="CK192" s="255"/>
      <c r="CL192" s="255"/>
      <c r="CM192" s="255"/>
      <c r="CN192" s="255"/>
      <c r="CO192" s="255"/>
      <c r="CP192" s="255"/>
      <c r="CQ192" s="255"/>
      <c r="CR192" s="255"/>
      <c r="CS192" s="255"/>
      <c r="CT192" s="255"/>
      <c r="CU192" s="255"/>
      <c r="CV192" s="255"/>
      <c r="CW192" s="255"/>
      <c r="CX192" s="255"/>
      <c r="CY192" s="255"/>
      <c r="CZ192" s="255"/>
      <c r="DA192" s="255"/>
      <c r="DB192" s="255"/>
      <c r="DC192" s="255"/>
      <c r="DD192" s="255"/>
      <c r="DE192" s="255"/>
      <c r="DF192" s="255"/>
      <c r="DG192" s="255"/>
      <c r="DH192" s="255"/>
      <c r="DI192" s="255"/>
      <c r="DJ192" s="255"/>
      <c r="DK192" s="255"/>
      <c r="DL192" s="255"/>
      <c r="DM192" s="255"/>
      <c r="DN192" s="255"/>
      <c r="DO192" s="255"/>
      <c r="DP192" s="255"/>
      <c r="DQ192" s="255"/>
      <c r="DR192" s="255"/>
      <c r="DS192" s="255"/>
      <c r="DT192" s="255"/>
      <c r="DU192" s="255"/>
      <c r="DV192" s="255"/>
      <c r="DW192" s="255"/>
      <c r="DX192" s="255"/>
      <c r="DY192" s="255"/>
      <c r="DZ192" s="255"/>
      <c r="EA192" s="255"/>
      <c r="EB192" s="255"/>
      <c r="EC192" s="255"/>
      <c r="ED192" s="255"/>
      <c r="EE192" s="255"/>
      <c r="EF192" s="255"/>
      <c r="EG192" s="255"/>
      <c r="EH192" s="255"/>
      <c r="EI192" s="255"/>
      <c r="EJ192" s="255"/>
      <c r="EK192" s="255"/>
      <c r="EL192" s="255"/>
      <c r="EM192" s="255"/>
      <c r="EN192" s="255"/>
      <c r="EO192" s="255"/>
      <c r="EP192" s="255"/>
      <c r="EQ192" s="255"/>
      <c r="ER192" s="255"/>
      <c r="ES192" s="255"/>
      <c r="ET192" s="255"/>
      <c r="EU192" s="255"/>
      <c r="EV192" s="255"/>
      <c r="EW192" s="255"/>
      <c r="EX192" s="255"/>
      <c r="EY192" s="255"/>
      <c r="EZ192" s="255"/>
      <c r="FA192" s="255"/>
      <c r="FB192" s="255"/>
      <c r="FC192" s="255"/>
      <c r="FD192" s="255"/>
      <c r="FE192" s="255"/>
      <c r="FF192" s="255"/>
      <c r="FG192" s="255"/>
      <c r="FH192" s="255"/>
      <c r="FI192" s="255"/>
      <c r="FJ192" s="255"/>
      <c r="HU192" s="169">
        <f t="shared" si="468"/>
        <v>0</v>
      </c>
      <c r="HV192" s="169">
        <f t="shared" si="469"/>
        <v>0</v>
      </c>
      <c r="HW192" s="169">
        <f t="shared" si="470"/>
        <v>0</v>
      </c>
      <c r="HX192" s="170">
        <f t="shared" si="471"/>
        <v>0</v>
      </c>
      <c r="HY192" s="160">
        <f t="shared" si="472"/>
        <v>0</v>
      </c>
      <c r="HZ192" s="160">
        <f t="shared" si="473"/>
        <v>0</v>
      </c>
      <c r="IA192" s="160">
        <f t="shared" si="474"/>
        <v>0</v>
      </c>
      <c r="IB192" s="171">
        <f t="shared" si="475"/>
        <v>0</v>
      </c>
      <c r="IC192" s="171">
        <f t="shared" si="476"/>
        <v>0</v>
      </c>
      <c r="ID192" s="171">
        <f t="shared" si="477"/>
        <v>0</v>
      </c>
      <c r="IE192" s="171">
        <f t="shared" si="478"/>
        <v>0</v>
      </c>
      <c r="IF192" s="171">
        <f t="shared" si="479"/>
        <v>0</v>
      </c>
      <c r="IG192" s="171">
        <f t="shared" si="480"/>
        <v>0</v>
      </c>
    </row>
    <row r="193" spans="1:241" outlineLevel="1" x14ac:dyDescent="0.3">
      <c r="A193" s="193"/>
      <c r="B193" s="239"/>
      <c r="C193" s="239"/>
      <c r="D193" s="239"/>
      <c r="E193" s="239"/>
      <c r="F193" s="239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  <c r="AA193" s="239"/>
      <c r="AB193" s="239"/>
      <c r="AC193" s="239"/>
      <c r="AD193" s="239"/>
      <c r="AE193" s="239"/>
      <c r="AF193" s="239"/>
      <c r="AG193" s="239"/>
      <c r="AH193" s="239"/>
      <c r="AI193" s="239"/>
      <c r="AJ193" s="239"/>
      <c r="AK193" s="239"/>
      <c r="AL193" s="239"/>
      <c r="AM193" s="239"/>
      <c r="AN193" s="239"/>
      <c r="AO193" s="239"/>
      <c r="AP193" s="239"/>
      <c r="AQ193" s="239"/>
      <c r="AR193" s="239"/>
      <c r="AS193" s="239"/>
      <c r="AT193" s="239"/>
      <c r="AU193" s="239"/>
      <c r="AV193" s="239"/>
      <c r="AW193" s="239"/>
      <c r="AX193" s="239"/>
      <c r="AY193" s="239"/>
      <c r="AZ193" s="239"/>
      <c r="BA193" s="239"/>
      <c r="BB193" s="239"/>
      <c r="BC193" s="239"/>
      <c r="BD193" s="239"/>
      <c r="BE193" s="239"/>
      <c r="BF193" s="239"/>
      <c r="BG193" s="239"/>
      <c r="BH193" s="239"/>
      <c r="BI193" s="239"/>
      <c r="BJ193" s="239"/>
      <c r="BK193" s="255"/>
      <c r="BL193" s="255"/>
      <c r="BM193" s="255"/>
      <c r="BN193" s="255"/>
      <c r="BO193" s="255"/>
      <c r="BP193" s="255"/>
      <c r="BQ193" s="255"/>
      <c r="BR193" s="255"/>
      <c r="BS193" s="255"/>
      <c r="BT193" s="255"/>
      <c r="BU193" s="255"/>
      <c r="BV193" s="255"/>
      <c r="BW193" s="255"/>
      <c r="BX193" s="255"/>
      <c r="BY193" s="255"/>
      <c r="BZ193" s="255"/>
      <c r="CA193" s="255"/>
      <c r="CB193" s="255"/>
      <c r="CC193" s="255"/>
      <c r="CD193" s="255"/>
      <c r="CE193" s="255"/>
      <c r="CF193" s="255"/>
      <c r="CG193" s="255"/>
      <c r="CH193" s="255"/>
      <c r="CI193" s="255"/>
      <c r="CJ193" s="255"/>
      <c r="CK193" s="255"/>
      <c r="CL193" s="255"/>
      <c r="CM193" s="255"/>
      <c r="CN193" s="255"/>
      <c r="CO193" s="255"/>
      <c r="CP193" s="255"/>
      <c r="CQ193" s="255"/>
      <c r="CR193" s="255"/>
      <c r="CS193" s="255"/>
      <c r="CT193" s="255"/>
      <c r="CU193" s="255"/>
      <c r="CV193" s="255"/>
      <c r="CW193" s="255"/>
      <c r="CX193" s="255"/>
      <c r="CY193" s="255"/>
      <c r="CZ193" s="255"/>
      <c r="DA193" s="255"/>
      <c r="DB193" s="255"/>
      <c r="DC193" s="255"/>
      <c r="DD193" s="255"/>
      <c r="DE193" s="255"/>
      <c r="DF193" s="255"/>
      <c r="DG193" s="255"/>
      <c r="DH193" s="255"/>
      <c r="DI193" s="255"/>
      <c r="DJ193" s="255"/>
      <c r="DK193" s="255"/>
      <c r="DL193" s="255"/>
      <c r="DM193" s="255"/>
      <c r="DN193" s="255"/>
      <c r="DO193" s="255"/>
      <c r="DP193" s="255"/>
      <c r="DQ193" s="255"/>
      <c r="DR193" s="255"/>
      <c r="DS193" s="255"/>
      <c r="DT193" s="255"/>
      <c r="DU193" s="255"/>
      <c r="DV193" s="255"/>
      <c r="DW193" s="255"/>
      <c r="DX193" s="255"/>
      <c r="DY193" s="255"/>
      <c r="DZ193" s="255"/>
      <c r="EA193" s="255"/>
      <c r="EB193" s="255"/>
      <c r="EC193" s="255"/>
      <c r="ED193" s="255"/>
      <c r="EE193" s="255"/>
      <c r="EF193" s="255"/>
      <c r="EG193" s="255"/>
      <c r="EH193" s="255"/>
      <c r="EI193" s="255"/>
      <c r="EJ193" s="255"/>
      <c r="EK193" s="255"/>
      <c r="EL193" s="255"/>
      <c r="EM193" s="255"/>
      <c r="EN193" s="255"/>
      <c r="EO193" s="255"/>
      <c r="EP193" s="255"/>
      <c r="EQ193" s="255"/>
      <c r="ER193" s="255"/>
      <c r="ES193" s="255"/>
      <c r="ET193" s="255"/>
      <c r="EU193" s="255"/>
      <c r="EV193" s="255"/>
      <c r="EW193" s="255"/>
      <c r="EX193" s="255"/>
      <c r="EY193" s="255"/>
      <c r="EZ193" s="255"/>
      <c r="FA193" s="255"/>
      <c r="FB193" s="255"/>
      <c r="FC193" s="255"/>
      <c r="FD193" s="255"/>
      <c r="FE193" s="255"/>
      <c r="FF193" s="255"/>
      <c r="FG193" s="255"/>
      <c r="FH193" s="255"/>
      <c r="FI193" s="255"/>
      <c r="FJ193" s="255"/>
      <c r="HU193" s="155">
        <f t="shared" si="468"/>
        <v>0</v>
      </c>
      <c r="HV193" s="155">
        <f t="shared" si="469"/>
        <v>0</v>
      </c>
      <c r="HW193" s="155">
        <f t="shared" si="470"/>
        <v>0</v>
      </c>
      <c r="HX193" s="156">
        <f t="shared" si="471"/>
        <v>0</v>
      </c>
      <c r="HY193" s="146">
        <f t="shared" si="472"/>
        <v>0</v>
      </c>
      <c r="HZ193" s="146">
        <f t="shared" si="473"/>
        <v>0</v>
      </c>
      <c r="IA193" s="146">
        <f t="shared" si="474"/>
        <v>0</v>
      </c>
      <c r="IB193" s="157">
        <f t="shared" si="475"/>
        <v>0</v>
      </c>
      <c r="IC193" s="157">
        <f t="shared" si="476"/>
        <v>0</v>
      </c>
      <c r="ID193" s="157">
        <f t="shared" si="477"/>
        <v>0</v>
      </c>
      <c r="IE193" s="157">
        <f t="shared" si="478"/>
        <v>0</v>
      </c>
      <c r="IF193" s="157">
        <f t="shared" si="479"/>
        <v>0</v>
      </c>
      <c r="IG193" s="157">
        <f t="shared" si="480"/>
        <v>0</v>
      </c>
    </row>
    <row r="194" spans="1:241" outlineLevel="1" x14ac:dyDescent="0.3">
      <c r="A194" s="138" t="s">
        <v>179</v>
      </c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  <c r="AQ194" s="140"/>
      <c r="AR194" s="140"/>
      <c r="AS194" s="140"/>
      <c r="AT194" s="140"/>
      <c r="AU194" s="140"/>
      <c r="AV194" s="140"/>
      <c r="AW194" s="140"/>
      <c r="AX194" s="140"/>
      <c r="AY194" s="140"/>
      <c r="AZ194" s="140"/>
      <c r="BA194" s="140"/>
      <c r="BB194" s="140"/>
      <c r="BC194" s="140"/>
      <c r="BD194" s="140"/>
      <c r="BE194" s="140"/>
      <c r="BF194" s="140"/>
      <c r="BG194" s="140"/>
      <c r="BH194" s="140"/>
      <c r="BI194" s="140"/>
      <c r="BJ194" s="140"/>
      <c r="BK194" s="251"/>
      <c r="BL194" s="251"/>
      <c r="BM194" s="251"/>
      <c r="BN194" s="251"/>
      <c r="BO194" s="251"/>
      <c r="BP194" s="251"/>
      <c r="BQ194" s="251"/>
      <c r="BR194" s="251"/>
      <c r="BS194" s="251"/>
      <c r="BT194" s="251"/>
      <c r="BU194" s="251"/>
      <c r="BV194" s="251"/>
      <c r="BW194" s="251"/>
      <c r="BX194" s="251"/>
      <c r="BY194" s="251"/>
      <c r="BZ194" s="251"/>
      <c r="CA194" s="251"/>
      <c r="CB194" s="251"/>
      <c r="CC194" s="251"/>
      <c r="CD194" s="251"/>
      <c r="CE194" s="251"/>
      <c r="CF194" s="251"/>
      <c r="CG194" s="251"/>
      <c r="CH194" s="251"/>
      <c r="CI194" s="251"/>
      <c r="CJ194" s="251"/>
      <c r="CK194" s="251"/>
      <c r="CL194" s="251"/>
      <c r="CM194" s="251"/>
      <c r="CN194" s="251"/>
      <c r="CO194" s="251"/>
      <c r="CP194" s="251"/>
      <c r="CQ194" s="251"/>
      <c r="CR194" s="251"/>
      <c r="CS194" s="252"/>
      <c r="CT194" s="252"/>
      <c r="CU194" s="252"/>
      <c r="CV194" s="252"/>
      <c r="CW194" s="252"/>
      <c r="CX194" s="252"/>
      <c r="CY194" s="252"/>
      <c r="CZ194" s="252"/>
      <c r="DA194" s="252"/>
      <c r="DB194" s="252"/>
      <c r="DC194" s="252"/>
      <c r="DD194" s="252"/>
      <c r="DE194" s="252"/>
      <c r="DF194" s="252"/>
      <c r="DG194" s="252"/>
      <c r="DH194" s="252"/>
      <c r="DI194" s="252"/>
      <c r="DJ194" s="252"/>
      <c r="DK194" s="252"/>
      <c r="DL194" s="252"/>
      <c r="DM194" s="252"/>
      <c r="DN194" s="252"/>
      <c r="DO194" s="252"/>
      <c r="DP194" s="252"/>
      <c r="DQ194" s="252"/>
      <c r="DR194" s="252"/>
      <c r="DS194" s="252"/>
      <c r="DT194" s="252"/>
      <c r="DU194" s="252"/>
      <c r="DV194" s="252"/>
      <c r="DW194" s="252"/>
      <c r="DX194" s="252"/>
      <c r="DY194" s="252"/>
      <c r="DZ194" s="252"/>
      <c r="EA194" s="252"/>
      <c r="EB194" s="252"/>
      <c r="EC194" s="252"/>
      <c r="ED194" s="252"/>
      <c r="EE194" s="252"/>
      <c r="EF194" s="252"/>
      <c r="EG194" s="252"/>
      <c r="EH194" s="252"/>
      <c r="EI194" s="252"/>
      <c r="EJ194" s="252"/>
      <c r="EK194" s="252"/>
      <c r="EL194" s="252"/>
      <c r="EM194" s="252"/>
      <c r="EN194" s="252"/>
      <c r="EO194" s="252"/>
      <c r="EP194" s="252"/>
      <c r="EQ194" s="252"/>
      <c r="ER194" s="252"/>
      <c r="ES194" s="252"/>
      <c r="ET194" s="252"/>
      <c r="EU194" s="252"/>
      <c r="EV194" s="252"/>
      <c r="EW194" s="252"/>
      <c r="EX194" s="252"/>
      <c r="EY194" s="252"/>
      <c r="EZ194" s="252"/>
      <c r="FA194" s="252"/>
      <c r="FB194" s="252"/>
      <c r="FC194" s="252"/>
      <c r="FD194" s="252"/>
      <c r="FE194" s="252"/>
      <c r="FF194" s="252"/>
      <c r="FG194" s="252"/>
      <c r="FH194" s="252"/>
      <c r="FI194" s="252"/>
      <c r="FJ194" s="252"/>
      <c r="FN194" s="138"/>
      <c r="FO194" s="140"/>
      <c r="FP194" s="140"/>
      <c r="FQ194" s="140"/>
      <c r="FR194" s="140"/>
      <c r="FS194" s="140"/>
      <c r="FT194" s="140"/>
      <c r="FU194" s="140"/>
      <c r="FV194" s="140"/>
      <c r="FW194" s="140"/>
      <c r="FX194" s="140"/>
      <c r="FY194" s="140"/>
      <c r="FZ194" s="140"/>
      <c r="GA194" s="140"/>
      <c r="GB194" s="140"/>
      <c r="GC194" s="140"/>
      <c r="GD194" s="140"/>
      <c r="GE194" s="140"/>
      <c r="GF194" s="140"/>
      <c r="GG194" s="140"/>
      <c r="GH194" s="140"/>
      <c r="GI194" s="140"/>
      <c r="GJ194" s="140"/>
      <c r="GK194" s="140"/>
      <c r="GL194" s="140"/>
      <c r="GM194" s="140"/>
      <c r="GN194" s="140"/>
      <c r="GO194" s="140"/>
      <c r="GP194" s="140"/>
      <c r="GQ194" s="140"/>
      <c r="GR194" s="140"/>
      <c r="GS194" s="140"/>
      <c r="GT194" s="140"/>
      <c r="GU194" s="140"/>
      <c r="GV194" s="140"/>
      <c r="GW194" s="140"/>
      <c r="GX194" s="140"/>
      <c r="GY194" s="140"/>
      <c r="GZ194" s="140"/>
      <c r="HA194" s="140"/>
      <c r="HB194" s="140"/>
      <c r="HC194" s="140"/>
      <c r="HD194" s="140"/>
      <c r="HE194" s="140"/>
      <c r="HF194" s="140"/>
      <c r="HG194" s="140"/>
      <c r="HH194" s="140"/>
      <c r="HI194" s="140"/>
      <c r="HJ194" s="141"/>
      <c r="HK194" s="141"/>
      <c r="HL194" s="141"/>
      <c r="HM194" s="141"/>
      <c r="HN194" s="141"/>
      <c r="HO194" s="141"/>
      <c r="HP194" s="141"/>
      <c r="HQ194" s="141"/>
      <c r="HU194" s="169">
        <f t="shared" si="468"/>
        <v>0</v>
      </c>
      <c r="HV194" s="169">
        <f t="shared" si="469"/>
        <v>0</v>
      </c>
      <c r="HW194" s="169">
        <f t="shared" si="470"/>
        <v>0</v>
      </c>
      <c r="HX194" s="170">
        <f t="shared" si="471"/>
        <v>0</v>
      </c>
      <c r="HY194" s="160">
        <f t="shared" si="472"/>
        <v>0</v>
      </c>
      <c r="HZ194" s="160">
        <f t="shared" si="473"/>
        <v>0</v>
      </c>
      <c r="IA194" s="160">
        <f t="shared" si="474"/>
        <v>0</v>
      </c>
      <c r="IB194" s="171">
        <f t="shared" si="475"/>
        <v>0</v>
      </c>
      <c r="IC194" s="171">
        <f t="shared" si="476"/>
        <v>0</v>
      </c>
      <c r="ID194" s="171">
        <f t="shared" si="477"/>
        <v>0</v>
      </c>
      <c r="IE194" s="171">
        <f t="shared" si="478"/>
        <v>0</v>
      </c>
      <c r="IF194" s="171">
        <f t="shared" si="479"/>
        <v>0</v>
      </c>
      <c r="IG194" s="171">
        <f t="shared" si="480"/>
        <v>0</v>
      </c>
    </row>
    <row r="195" spans="1:241" outlineLevel="2" x14ac:dyDescent="0.3">
      <c r="A195" s="63" t="s">
        <v>165</v>
      </c>
      <c r="B195" s="131">
        <v>0</v>
      </c>
      <c r="C195" s="131">
        <v>0</v>
      </c>
      <c r="D195" s="131">
        <v>0</v>
      </c>
      <c r="E195" s="131">
        <v>0</v>
      </c>
      <c r="F195" s="146">
        <v>0</v>
      </c>
      <c r="G195" s="146">
        <v>0</v>
      </c>
      <c r="H195" s="146">
        <v>0</v>
      </c>
      <c r="I195" s="146">
        <v>0</v>
      </c>
      <c r="J195" s="146">
        <v>0</v>
      </c>
      <c r="K195" s="146">
        <v>0</v>
      </c>
      <c r="L195" s="146">
        <v>0</v>
      </c>
      <c r="M195" s="146">
        <v>0</v>
      </c>
      <c r="N195" s="146">
        <v>0</v>
      </c>
      <c r="O195" s="131">
        <v>0</v>
      </c>
      <c r="P195" s="131">
        <v>0</v>
      </c>
      <c r="Q195" s="146">
        <v>0</v>
      </c>
      <c r="R195" s="146">
        <v>0</v>
      </c>
      <c r="S195" s="131">
        <v>0</v>
      </c>
      <c r="T195" s="172"/>
      <c r="U195" s="131">
        <v>0</v>
      </c>
      <c r="V195" s="131">
        <v>0</v>
      </c>
      <c r="W195" s="131">
        <v>0</v>
      </c>
      <c r="X195" s="131">
        <v>0</v>
      </c>
      <c r="Y195" s="131">
        <v>0</v>
      </c>
      <c r="Z195" s="131">
        <v>0</v>
      </c>
      <c r="AA195" s="131">
        <v>0</v>
      </c>
      <c r="AB195" s="131">
        <v>0</v>
      </c>
      <c r="AC195" s="131">
        <v>0</v>
      </c>
      <c r="AD195" s="131">
        <v>0</v>
      </c>
      <c r="AE195" s="131">
        <v>0</v>
      </c>
      <c r="AF195" s="131">
        <v>0</v>
      </c>
      <c r="AG195" s="131"/>
      <c r="AH195" s="131">
        <v>0</v>
      </c>
      <c r="AI195" s="131"/>
      <c r="AJ195" s="131">
        <v>0</v>
      </c>
      <c r="AK195" s="131">
        <v>0</v>
      </c>
      <c r="AL195" s="131">
        <v>0</v>
      </c>
      <c r="AM195" s="131">
        <v>0</v>
      </c>
      <c r="AN195" s="131"/>
      <c r="AO195" s="131">
        <v>0</v>
      </c>
      <c r="AP195" s="146">
        <v>0</v>
      </c>
      <c r="AQ195" s="146">
        <v>0</v>
      </c>
      <c r="AR195" s="146">
        <v>0</v>
      </c>
      <c r="AS195" s="131"/>
      <c r="AT195" s="146"/>
      <c r="AU195" s="146">
        <v>0</v>
      </c>
      <c r="AV195" s="146">
        <v>0</v>
      </c>
      <c r="AW195" s="146"/>
      <c r="AX195" s="146"/>
      <c r="AY195" s="146"/>
      <c r="AZ195" s="146"/>
      <c r="BA195" s="146"/>
      <c r="BB195" s="146"/>
      <c r="BC195" s="146"/>
      <c r="BD195" s="146"/>
      <c r="BE195" s="146">
        <v>0</v>
      </c>
      <c r="BF195" s="146">
        <v>0</v>
      </c>
      <c r="BG195" s="146">
        <v>0</v>
      </c>
      <c r="BH195" s="146">
        <v>0</v>
      </c>
      <c r="BI195" s="146">
        <v>0</v>
      </c>
      <c r="BJ195" s="146">
        <v>0</v>
      </c>
      <c r="BK195" s="147"/>
      <c r="BL195" s="147"/>
      <c r="BM195" s="147"/>
      <c r="BN195" s="147"/>
      <c r="BO195" s="147"/>
      <c r="BP195" s="147"/>
      <c r="BQ195" s="147">
        <v>0</v>
      </c>
      <c r="BR195" s="147">
        <v>0</v>
      </c>
      <c r="BS195" s="147">
        <v>0</v>
      </c>
      <c r="BT195" s="147">
        <v>0</v>
      </c>
      <c r="BU195" s="147">
        <v>0</v>
      </c>
      <c r="BV195" s="147"/>
      <c r="BW195" s="147"/>
      <c r="BX195" s="147"/>
      <c r="BY195" s="147"/>
      <c r="BZ195" s="147"/>
      <c r="CA195" s="147"/>
      <c r="CB195" s="147"/>
      <c r="CC195" s="147"/>
      <c r="CD195" s="147"/>
      <c r="CE195" s="147"/>
      <c r="CF195" s="147"/>
      <c r="CG195" s="147"/>
      <c r="CH195" s="147"/>
      <c r="CI195" s="147"/>
      <c r="CJ195" s="147"/>
      <c r="CK195" s="147"/>
      <c r="CL195" s="147"/>
      <c r="CM195" s="147"/>
      <c r="CN195" s="147"/>
      <c r="CO195" s="147"/>
      <c r="CP195" s="147"/>
      <c r="CQ195" s="147"/>
      <c r="CR195" s="147"/>
      <c r="CS195" s="148"/>
      <c r="CT195" s="148"/>
      <c r="CU195" s="148"/>
      <c r="CV195" s="148"/>
      <c r="CW195" s="148"/>
      <c r="CX195" s="148"/>
      <c r="CY195" s="148"/>
      <c r="CZ195" s="148"/>
      <c r="DA195" s="148"/>
      <c r="DB195" s="148"/>
      <c r="DC195" s="148"/>
      <c r="DD195" s="148"/>
      <c r="DE195" s="148"/>
      <c r="DF195" s="148"/>
      <c r="DG195" s="148"/>
      <c r="DH195" s="148"/>
      <c r="DI195" s="148"/>
      <c r="DJ195" s="148"/>
      <c r="DK195" s="148"/>
      <c r="DL195" s="148"/>
      <c r="DM195" s="148"/>
      <c r="DN195" s="148"/>
      <c r="DO195" s="148"/>
      <c r="DP195" s="148"/>
      <c r="DQ195" s="148"/>
      <c r="DR195" s="148"/>
      <c r="DS195" s="148"/>
      <c r="DT195" s="148"/>
      <c r="DU195" s="148"/>
      <c r="DV195" s="148"/>
      <c r="DW195" s="148"/>
      <c r="DX195" s="148"/>
      <c r="DY195" s="148"/>
      <c r="DZ195" s="148"/>
      <c r="EA195" s="148"/>
      <c r="EB195" s="148"/>
      <c r="EC195" s="148"/>
      <c r="ED195" s="148"/>
      <c r="EE195" s="148"/>
      <c r="EF195" s="148"/>
      <c r="EG195" s="148"/>
      <c r="EH195" s="148"/>
      <c r="EI195" s="148"/>
      <c r="EJ195" s="148"/>
      <c r="EK195" s="148"/>
      <c r="EL195" s="148"/>
      <c r="EM195" s="148"/>
      <c r="EN195" s="148"/>
      <c r="EO195" s="148"/>
      <c r="EP195" s="148"/>
      <c r="EQ195" s="148"/>
      <c r="ER195" s="148"/>
      <c r="ES195" s="148"/>
      <c r="ET195" s="148"/>
      <c r="EU195" s="148"/>
      <c r="EV195" s="148"/>
      <c r="EW195" s="148"/>
      <c r="EX195" s="148"/>
      <c r="EY195" s="148"/>
      <c r="EZ195" s="148"/>
      <c r="FA195" s="148"/>
      <c r="FB195" s="148"/>
      <c r="FC195" s="148"/>
      <c r="FD195" s="148"/>
      <c r="FE195" s="148"/>
      <c r="FF195" s="148"/>
      <c r="FG195" s="148"/>
      <c r="FH195" s="148"/>
      <c r="FI195" s="148"/>
      <c r="FJ195" s="148"/>
      <c r="FN195" s="151">
        <f>+SUM(B195:D195)</f>
        <v>0</v>
      </c>
      <c r="FO195" s="152">
        <f>+SUM(E195:G195)</f>
        <v>0</v>
      </c>
      <c r="FP195" s="152">
        <f>+SUM(H195:J195)</f>
        <v>0</v>
      </c>
      <c r="FQ195" s="152">
        <f>+SUM(K195:M195)</f>
        <v>0</v>
      </c>
      <c r="FR195" s="152">
        <f>+SUM(N195:P195)</f>
        <v>0</v>
      </c>
      <c r="FS195" s="152">
        <f>+SUM(Q195:S195)</f>
        <v>0</v>
      </c>
      <c r="FT195" s="152">
        <f>+SUM(T195:V195)</f>
        <v>0</v>
      </c>
      <c r="FU195" s="152">
        <f>+SUM(W195:Y195)</f>
        <v>0</v>
      </c>
      <c r="FV195" s="152">
        <f>+SUM(Z195:AB195)</f>
        <v>0</v>
      </c>
      <c r="FW195" s="152">
        <f>+SUM(AC195:AE195)</f>
        <v>0</v>
      </c>
      <c r="FX195" s="152">
        <f>+SUM(AF195:AH195)</f>
        <v>0</v>
      </c>
      <c r="FY195" s="152">
        <f>+SUM(AI195:AK195)</f>
        <v>0</v>
      </c>
      <c r="FZ195" s="152">
        <f>+SUM(AL195:AN195)</f>
        <v>0</v>
      </c>
      <c r="GA195" s="152">
        <f>+SUM(AO195:AQ195)</f>
        <v>0</v>
      </c>
      <c r="GB195" s="152">
        <f>+SUM(AR195:AT195)</f>
        <v>0</v>
      </c>
      <c r="GC195" s="152">
        <f>+SUM(AU195:AW195)</f>
        <v>0</v>
      </c>
      <c r="GD195" s="152">
        <f>+SUM(AX195:AZ195)</f>
        <v>0</v>
      </c>
      <c r="GE195" s="152">
        <f>+SUM(BA195:BC195)</f>
        <v>0</v>
      </c>
      <c r="GF195" s="152">
        <f>+SUM(BD195:BF195)</f>
        <v>0</v>
      </c>
      <c r="GG195" s="152">
        <f>+SUM(BG195:BI195)</f>
        <v>0</v>
      </c>
      <c r="GH195" s="152">
        <f>+SUM(BJ195:BL195)</f>
        <v>0</v>
      </c>
      <c r="GI195" s="152">
        <f>+SUM(BM195:BO195)</f>
        <v>0</v>
      </c>
      <c r="GJ195" s="152">
        <f>+SUM(BP195:BR195)</f>
        <v>0</v>
      </c>
      <c r="GK195" s="152">
        <f>+SUM(BS195:BU195)</f>
        <v>0</v>
      </c>
      <c r="GL195" s="152">
        <f>+SUM(BV195:BX195)</f>
        <v>0</v>
      </c>
      <c r="GM195" s="152">
        <f>+SUM(BY195:CA195)</f>
        <v>0</v>
      </c>
      <c r="GN195" s="152">
        <f>+SUM(CB195:CD195)</f>
        <v>0</v>
      </c>
      <c r="GO195" s="152">
        <f>+SUM(CE195:CG195)</f>
        <v>0</v>
      </c>
      <c r="GP195" s="152">
        <f>+SUM(CH195:CJ195)</f>
        <v>0</v>
      </c>
      <c r="GQ195" s="152">
        <f>+SUM(CK195:CM195)</f>
        <v>0</v>
      </c>
      <c r="GR195" s="152">
        <f>+SUM(CN195:CP195)</f>
        <v>0</v>
      </c>
      <c r="GS195" s="152">
        <f>+SUM(CQ195:CS195)</f>
        <v>0</v>
      </c>
      <c r="GT195" s="152">
        <f>+SUM(CT195:CV195)</f>
        <v>0</v>
      </c>
      <c r="GU195" s="152">
        <f>+SUM(CW195:CY195)</f>
        <v>0</v>
      </c>
      <c r="GV195" s="152">
        <f>+SUM(CZ195:DB195)</f>
        <v>0</v>
      </c>
      <c r="GW195" s="152">
        <f>+SUM(DC195:DE195)</f>
        <v>0</v>
      </c>
      <c r="GX195" s="152">
        <f>+SUM(DF195:DH195)</f>
        <v>0</v>
      </c>
      <c r="GY195" s="152">
        <f>+SUM(DI195:DK195)</f>
        <v>0</v>
      </c>
      <c r="GZ195" s="152">
        <f>+SUM(DL195:DN195)</f>
        <v>0</v>
      </c>
      <c r="HA195" s="152">
        <f>+SUM(DO195:DQ195)</f>
        <v>0</v>
      </c>
      <c r="HB195" s="152">
        <f>+SUM(DR195:DT195)</f>
        <v>0</v>
      </c>
      <c r="HC195" s="152">
        <f>+SUM(DU195:DW195)</f>
        <v>0</v>
      </c>
      <c r="HD195" s="152">
        <f>+SUM(DX195:DZ195)</f>
        <v>0</v>
      </c>
      <c r="HE195" s="152">
        <f>+SUM(EA195:EC195)</f>
        <v>0</v>
      </c>
      <c r="HF195" s="152">
        <f>+SUM(ED195:EF195)</f>
        <v>0</v>
      </c>
      <c r="HG195" s="152">
        <f>+SUM(EG195:EI195)</f>
        <v>0</v>
      </c>
      <c r="HH195" s="152">
        <f>+SUM(EJ195:EL195)</f>
        <v>0</v>
      </c>
      <c r="HI195" s="152">
        <f>+SUM(EM195:EO195)</f>
        <v>0</v>
      </c>
      <c r="HJ195" s="153">
        <f t="shared" ref="HJ195:HJ200" si="543">SUM(EP195:ER195)</f>
        <v>0</v>
      </c>
      <c r="HK195" s="153">
        <f t="shared" ref="HK195:HK200" si="544">SUM(ES195:EU195)</f>
        <v>0</v>
      </c>
      <c r="HL195" s="153">
        <f t="shared" ref="HL195:HL200" si="545">SUM(EV195:EX195)</f>
        <v>0</v>
      </c>
      <c r="HM195" s="153">
        <f t="shared" ref="HM195:HM200" si="546">SUM(EY195:FA195)</f>
        <v>0</v>
      </c>
      <c r="HN195" s="153">
        <f t="shared" ref="HN195:HN200" si="547">SUM(FB195:FD195)</f>
        <v>0</v>
      </c>
      <c r="HO195" s="153">
        <f t="shared" ref="HO195:HO200" si="548">SUM(FE195:FG195)</f>
        <v>0</v>
      </c>
      <c r="HP195" s="153">
        <f t="shared" ref="HP195:HP200" si="549">SUM(FH195:FJ195)</f>
        <v>0</v>
      </c>
      <c r="HQ195" s="101"/>
      <c r="HU195" s="155">
        <f t="shared" si="468"/>
        <v>0</v>
      </c>
      <c r="HV195" s="155">
        <f t="shared" si="469"/>
        <v>0</v>
      </c>
      <c r="HW195" s="155">
        <f t="shared" si="470"/>
        <v>0</v>
      </c>
      <c r="HX195" s="156">
        <f t="shared" si="471"/>
        <v>0</v>
      </c>
      <c r="HY195" s="146">
        <f t="shared" si="472"/>
        <v>0</v>
      </c>
      <c r="HZ195" s="146">
        <f t="shared" si="473"/>
        <v>0</v>
      </c>
      <c r="IA195" s="146">
        <f t="shared" si="474"/>
        <v>0</v>
      </c>
      <c r="IB195" s="157">
        <f t="shared" si="475"/>
        <v>0</v>
      </c>
      <c r="IC195" s="157">
        <f t="shared" si="476"/>
        <v>0</v>
      </c>
      <c r="ID195" s="157">
        <f t="shared" si="477"/>
        <v>0</v>
      </c>
      <c r="IE195" s="157">
        <f t="shared" si="478"/>
        <v>0</v>
      </c>
      <c r="IF195" s="157">
        <f t="shared" si="479"/>
        <v>0</v>
      </c>
      <c r="IG195" s="157">
        <f t="shared" si="480"/>
        <v>0</v>
      </c>
    </row>
    <row r="196" spans="1:241" outlineLevel="2" x14ac:dyDescent="0.3">
      <c r="A196" s="71" t="s">
        <v>150</v>
      </c>
      <c r="B196" s="161">
        <v>0</v>
      </c>
      <c r="C196" s="161">
        <v>0</v>
      </c>
      <c r="D196" s="161">
        <v>20</v>
      </c>
      <c r="E196" s="161">
        <v>0</v>
      </c>
      <c r="F196" s="160">
        <v>10</v>
      </c>
      <c r="G196" s="160">
        <v>0</v>
      </c>
      <c r="H196" s="160">
        <v>15</v>
      </c>
      <c r="I196" s="160">
        <v>0</v>
      </c>
      <c r="J196" s="160">
        <v>0</v>
      </c>
      <c r="K196" s="160">
        <v>15</v>
      </c>
      <c r="L196" s="160">
        <v>10</v>
      </c>
      <c r="M196" s="160">
        <v>15</v>
      </c>
      <c r="N196" s="160">
        <v>0</v>
      </c>
      <c r="O196" s="161">
        <v>0</v>
      </c>
      <c r="P196" s="161">
        <v>6</v>
      </c>
      <c r="Q196" s="160">
        <v>0</v>
      </c>
      <c r="R196" s="160">
        <v>8</v>
      </c>
      <c r="S196" s="161">
        <v>19</v>
      </c>
      <c r="T196" s="161">
        <v>5</v>
      </c>
      <c r="U196" s="161">
        <v>10</v>
      </c>
      <c r="V196" s="161">
        <v>0</v>
      </c>
      <c r="W196" s="161">
        <v>15</v>
      </c>
      <c r="X196" s="161">
        <v>25</v>
      </c>
      <c r="Y196" s="161">
        <v>0</v>
      </c>
      <c r="Z196" s="161">
        <v>10</v>
      </c>
      <c r="AA196" s="161">
        <v>6</v>
      </c>
      <c r="AB196" s="161">
        <v>42</v>
      </c>
      <c r="AC196" s="161">
        <v>65</v>
      </c>
      <c r="AD196" s="161">
        <v>50</v>
      </c>
      <c r="AE196" s="161">
        <v>125</v>
      </c>
      <c r="AF196" s="161">
        <v>205</v>
      </c>
      <c r="AG196" s="161">
        <v>170</v>
      </c>
      <c r="AH196" s="161">
        <v>140</v>
      </c>
      <c r="AI196" s="161">
        <v>175</v>
      </c>
      <c r="AJ196" s="161">
        <v>240</v>
      </c>
      <c r="AK196" s="161">
        <v>285</v>
      </c>
      <c r="AL196" s="161">
        <v>125</v>
      </c>
      <c r="AM196" s="161">
        <v>320</v>
      </c>
      <c r="AN196" s="161">
        <v>365</v>
      </c>
      <c r="AO196" s="161">
        <v>319</v>
      </c>
      <c r="AP196" s="160">
        <v>140</v>
      </c>
      <c r="AQ196" s="160">
        <v>204</v>
      </c>
      <c r="AR196" s="160">
        <v>10</v>
      </c>
      <c r="AS196" s="161"/>
      <c r="AT196" s="160"/>
      <c r="AU196" s="160">
        <v>6</v>
      </c>
      <c r="AV196" s="160">
        <v>5</v>
      </c>
      <c r="AW196" s="160">
        <v>5</v>
      </c>
      <c r="AX196" s="160">
        <v>10</v>
      </c>
      <c r="AY196" s="160">
        <v>5</v>
      </c>
      <c r="AZ196" s="160">
        <v>30</v>
      </c>
      <c r="BA196" s="160">
        <v>61</v>
      </c>
      <c r="BB196" s="160">
        <v>4</v>
      </c>
      <c r="BC196" s="160">
        <v>0</v>
      </c>
      <c r="BD196" s="160">
        <v>0</v>
      </c>
      <c r="BE196" s="160">
        <v>0</v>
      </c>
      <c r="BF196" s="160">
        <v>15</v>
      </c>
      <c r="BG196" s="160"/>
      <c r="BH196" s="160">
        <v>0</v>
      </c>
      <c r="BI196" s="160">
        <v>0</v>
      </c>
      <c r="BJ196" s="160">
        <v>0</v>
      </c>
      <c r="BK196" s="162">
        <v>15</v>
      </c>
      <c r="BL196" s="162">
        <v>25</v>
      </c>
      <c r="BM196" s="162">
        <v>15</v>
      </c>
      <c r="BN196" s="162">
        <v>5</v>
      </c>
      <c r="BO196" s="162">
        <v>31</v>
      </c>
      <c r="BP196" s="162">
        <v>4</v>
      </c>
      <c r="BQ196" s="162">
        <v>0</v>
      </c>
      <c r="BR196" s="162">
        <v>0</v>
      </c>
      <c r="BS196" s="162">
        <v>0</v>
      </c>
      <c r="BT196" s="162">
        <v>17</v>
      </c>
      <c r="BU196" s="162">
        <v>15</v>
      </c>
      <c r="BV196" s="162">
        <v>79</v>
      </c>
      <c r="BW196" s="162">
        <v>76</v>
      </c>
      <c r="BX196" s="162">
        <v>95</v>
      </c>
      <c r="BY196" s="162">
        <v>165</v>
      </c>
      <c r="BZ196" s="162">
        <v>70</v>
      </c>
      <c r="CA196" s="162">
        <v>359</v>
      </c>
      <c r="CB196" s="162">
        <v>115</v>
      </c>
      <c r="CC196" s="162">
        <v>110</v>
      </c>
      <c r="CD196" s="162">
        <v>130</v>
      </c>
      <c r="CE196" s="162">
        <v>170</v>
      </c>
      <c r="CF196" s="162">
        <v>139</v>
      </c>
      <c r="CG196" s="162">
        <v>228</v>
      </c>
      <c r="CH196" s="162">
        <v>0</v>
      </c>
      <c r="CI196" s="162">
        <v>7</v>
      </c>
      <c r="CJ196" s="162">
        <v>92</v>
      </c>
      <c r="CK196" s="162">
        <v>110</v>
      </c>
      <c r="CL196" s="162">
        <v>109</v>
      </c>
      <c r="CM196" s="162">
        <v>160</v>
      </c>
      <c r="CN196" s="162">
        <v>173</v>
      </c>
      <c r="CO196" s="162">
        <v>75</v>
      </c>
      <c r="CP196" s="162">
        <v>180</v>
      </c>
      <c r="CQ196" s="162">
        <v>50</v>
      </c>
      <c r="CR196" s="162">
        <v>59</v>
      </c>
      <c r="CS196" s="163">
        <v>0</v>
      </c>
      <c r="CT196" s="163"/>
      <c r="CU196" s="163"/>
      <c r="CV196" s="163">
        <v>10</v>
      </c>
      <c r="CW196" s="163">
        <v>114</v>
      </c>
      <c r="CX196" s="163">
        <v>0</v>
      </c>
      <c r="CY196" s="163">
        <v>45</v>
      </c>
      <c r="CZ196" s="163">
        <v>86</v>
      </c>
      <c r="DA196" s="163">
        <v>63</v>
      </c>
      <c r="DB196" s="163">
        <v>219</v>
      </c>
      <c r="DC196" s="163">
        <v>56</v>
      </c>
      <c r="DD196" s="163">
        <v>99</v>
      </c>
      <c r="DE196" s="163">
        <v>106</v>
      </c>
      <c r="DF196" s="163">
        <v>16</v>
      </c>
      <c r="DG196" s="163">
        <v>33</v>
      </c>
      <c r="DH196" s="163">
        <v>112</v>
      </c>
      <c r="DI196" s="163">
        <v>0</v>
      </c>
      <c r="DJ196" s="163">
        <v>20</v>
      </c>
      <c r="DK196" s="163">
        <v>56</v>
      </c>
      <c r="DL196" s="163">
        <v>143</v>
      </c>
      <c r="DM196" s="163">
        <v>100</v>
      </c>
      <c r="DN196" s="163">
        <v>117</v>
      </c>
      <c r="DO196" s="163">
        <v>0</v>
      </c>
      <c r="DP196" s="163">
        <v>69</v>
      </c>
      <c r="DQ196" s="163">
        <v>23</v>
      </c>
      <c r="DR196" s="163">
        <v>50</v>
      </c>
      <c r="DS196" s="163">
        <v>0</v>
      </c>
      <c r="DT196" s="163">
        <v>97</v>
      </c>
      <c r="DU196" s="163">
        <v>165</v>
      </c>
      <c r="DV196" s="163">
        <v>35</v>
      </c>
      <c r="DW196" s="163">
        <v>0</v>
      </c>
      <c r="DX196" s="163">
        <v>0</v>
      </c>
      <c r="DY196" s="163">
        <v>0</v>
      </c>
      <c r="DZ196" s="163">
        <v>2</v>
      </c>
      <c r="EA196" s="163">
        <v>22</v>
      </c>
      <c r="EB196" s="163">
        <v>35</v>
      </c>
      <c r="EC196" s="163">
        <v>50</v>
      </c>
      <c r="ED196" s="163">
        <v>20</v>
      </c>
      <c r="EE196" s="163">
        <v>30</v>
      </c>
      <c r="EF196" s="163">
        <v>20</v>
      </c>
      <c r="EG196" s="163">
        <v>34</v>
      </c>
      <c r="EH196" s="163">
        <v>36</v>
      </c>
      <c r="EI196" s="163">
        <v>7</v>
      </c>
      <c r="EJ196" s="163">
        <v>28</v>
      </c>
      <c r="EK196" s="163">
        <v>2</v>
      </c>
      <c r="EL196" s="163">
        <v>15</v>
      </c>
      <c r="EM196" s="163">
        <v>19</v>
      </c>
      <c r="EN196" s="163">
        <v>20</v>
      </c>
      <c r="EO196" s="163">
        <v>10</v>
      </c>
      <c r="EP196" s="163">
        <v>10</v>
      </c>
      <c r="EQ196" s="163">
        <v>30</v>
      </c>
      <c r="ER196" s="163">
        <v>35</v>
      </c>
      <c r="ES196" s="163"/>
      <c r="ET196" s="163"/>
      <c r="EU196" s="163">
        <v>0</v>
      </c>
      <c r="EV196" s="163">
        <v>39</v>
      </c>
      <c r="EW196" s="163">
        <v>1</v>
      </c>
      <c r="EX196" s="163"/>
      <c r="EY196" s="163">
        <v>10</v>
      </c>
      <c r="EZ196" s="163">
        <v>12</v>
      </c>
      <c r="FA196" s="163">
        <v>3</v>
      </c>
      <c r="FB196" s="163">
        <v>3</v>
      </c>
      <c r="FC196" s="163"/>
      <c r="FD196" s="163">
        <v>10</v>
      </c>
      <c r="FE196" s="163"/>
      <c r="FF196" s="163">
        <v>5</v>
      </c>
      <c r="FG196" s="163">
        <v>15</v>
      </c>
      <c r="FH196" s="163">
        <v>567</v>
      </c>
      <c r="FI196" s="163"/>
      <c r="FJ196" s="163">
        <v>10</v>
      </c>
      <c r="FN196" s="165">
        <f>+SUM(B196:D196)</f>
        <v>20</v>
      </c>
      <c r="FO196" s="166">
        <f>+SUM(E196:G196)</f>
        <v>10</v>
      </c>
      <c r="FP196" s="166">
        <f>+SUM(H196:J196)</f>
        <v>15</v>
      </c>
      <c r="FQ196" s="166">
        <f>+SUM(K196:M196)</f>
        <v>40</v>
      </c>
      <c r="FR196" s="166">
        <f>+SUM(N196:P196)</f>
        <v>6</v>
      </c>
      <c r="FS196" s="166">
        <f>+SUM(Q196:S196)</f>
        <v>27</v>
      </c>
      <c r="FT196" s="166">
        <f>+SUM(T196:V196)</f>
        <v>15</v>
      </c>
      <c r="FU196" s="166">
        <f>+SUM(W196:Y196)</f>
        <v>40</v>
      </c>
      <c r="FV196" s="166">
        <f>+SUM(Z196:AB196)</f>
        <v>58</v>
      </c>
      <c r="FW196" s="166">
        <f>+SUM(AC196:AE196)</f>
        <v>240</v>
      </c>
      <c r="FX196" s="166">
        <f>+SUM(AF196:AH196)</f>
        <v>515</v>
      </c>
      <c r="FY196" s="166">
        <f>+SUM(AI196:AK196)</f>
        <v>700</v>
      </c>
      <c r="FZ196" s="166">
        <f>+SUM(AL196:AN196)</f>
        <v>810</v>
      </c>
      <c r="GA196" s="166">
        <f>+SUM(AO196:AQ196)</f>
        <v>663</v>
      </c>
      <c r="GB196" s="166">
        <f>+SUM(AR196:AT196)</f>
        <v>10</v>
      </c>
      <c r="GC196" s="166">
        <f>+SUM(AU196:AW196)</f>
        <v>16</v>
      </c>
      <c r="GD196" s="166">
        <f>+SUM(AX196:AZ196)</f>
        <v>45</v>
      </c>
      <c r="GE196" s="166">
        <f>+SUM(BA196:BC196)</f>
        <v>65</v>
      </c>
      <c r="GF196" s="166">
        <f>+SUM(BD196:BF196)</f>
        <v>15</v>
      </c>
      <c r="GG196" s="166">
        <f>+SUM(BG196:BI196)</f>
        <v>0</v>
      </c>
      <c r="GH196" s="166">
        <f>+SUM(BJ196:BL196)</f>
        <v>40</v>
      </c>
      <c r="GI196" s="166">
        <f>+SUM(BM196:BO196)</f>
        <v>51</v>
      </c>
      <c r="GJ196" s="166">
        <f>+SUM(BP196:BR196)</f>
        <v>4</v>
      </c>
      <c r="GK196" s="166">
        <f>+SUM(BS196:BU196)</f>
        <v>32</v>
      </c>
      <c r="GL196" s="166">
        <f>+SUM(BV196:BX196)</f>
        <v>250</v>
      </c>
      <c r="GM196" s="166">
        <f>+SUM(BY196:CA196)</f>
        <v>594</v>
      </c>
      <c r="GN196" s="166">
        <f>+SUM(CB196:CD196)</f>
        <v>355</v>
      </c>
      <c r="GO196" s="166">
        <f>+SUM(CE196:CG196)</f>
        <v>537</v>
      </c>
      <c r="GP196" s="166">
        <f>+SUM(CH196:CJ196)</f>
        <v>99</v>
      </c>
      <c r="GQ196" s="166">
        <f>+SUM(CK196:CM196)</f>
        <v>379</v>
      </c>
      <c r="GR196" s="166">
        <f>+SUM(CN196:CP196)</f>
        <v>428</v>
      </c>
      <c r="GS196" s="166">
        <f>+SUM(CQ196:CS196)</f>
        <v>109</v>
      </c>
      <c r="GT196" s="166">
        <f>+SUM(CT196:CV196)</f>
        <v>10</v>
      </c>
      <c r="GU196" s="166">
        <f>+SUM(CW196:CY196)</f>
        <v>159</v>
      </c>
      <c r="GV196" s="166">
        <f>+SUM(CZ196:DB196)</f>
        <v>368</v>
      </c>
      <c r="GW196" s="166">
        <f>+SUM(DC196:DE196)</f>
        <v>261</v>
      </c>
      <c r="GX196" s="166">
        <f>+SUM(DF196:DH196)</f>
        <v>161</v>
      </c>
      <c r="GY196" s="166">
        <f>+SUM(DI196:DK196)</f>
        <v>76</v>
      </c>
      <c r="GZ196" s="166">
        <f>+SUM(DL196:DN196)</f>
        <v>360</v>
      </c>
      <c r="HA196" s="166">
        <f>+SUM(DO196:DQ196)</f>
        <v>92</v>
      </c>
      <c r="HB196" s="166">
        <f>+SUM(DR196:DT196)</f>
        <v>147</v>
      </c>
      <c r="HC196" s="166">
        <f>+SUM(DU196:DW196)</f>
        <v>200</v>
      </c>
      <c r="HD196" s="166">
        <f>+SUM(DX196:DZ196)</f>
        <v>2</v>
      </c>
      <c r="HE196" s="166">
        <f>+SUM(EA196:EC196)</f>
        <v>107</v>
      </c>
      <c r="HF196" s="166">
        <f>+SUM(ED196:EF196)</f>
        <v>70</v>
      </c>
      <c r="HG196" s="166">
        <f>+SUM(EG196:EI196)</f>
        <v>77</v>
      </c>
      <c r="HH196" s="166">
        <f>+SUM(EJ196:EL196)</f>
        <v>45</v>
      </c>
      <c r="HI196" s="166">
        <f>+SUM(EM196:EO196)</f>
        <v>49</v>
      </c>
      <c r="HJ196" s="167">
        <f t="shared" si="543"/>
        <v>75</v>
      </c>
      <c r="HK196" s="167">
        <f t="shared" si="544"/>
        <v>0</v>
      </c>
      <c r="HL196" s="167">
        <f t="shared" si="545"/>
        <v>40</v>
      </c>
      <c r="HM196" s="167">
        <f t="shared" si="546"/>
        <v>25</v>
      </c>
      <c r="HN196" s="167">
        <f t="shared" si="547"/>
        <v>13</v>
      </c>
      <c r="HO196" s="167">
        <f t="shared" si="548"/>
        <v>20</v>
      </c>
      <c r="HP196" s="167">
        <f t="shared" si="549"/>
        <v>577</v>
      </c>
      <c r="HQ196" s="168"/>
      <c r="HU196" s="169">
        <f t="shared" si="468"/>
        <v>85</v>
      </c>
      <c r="HV196" s="169">
        <f t="shared" si="469"/>
        <v>88</v>
      </c>
      <c r="HW196" s="169">
        <f t="shared" si="470"/>
        <v>1513</v>
      </c>
      <c r="HX196" s="170">
        <f t="shared" si="471"/>
        <v>1499</v>
      </c>
      <c r="HY196" s="160">
        <f t="shared" si="472"/>
        <v>125</v>
      </c>
      <c r="HZ196" s="160">
        <f t="shared" si="473"/>
        <v>127</v>
      </c>
      <c r="IA196" s="160">
        <f t="shared" si="474"/>
        <v>1736</v>
      </c>
      <c r="IB196" s="171">
        <f t="shared" si="475"/>
        <v>1015</v>
      </c>
      <c r="IC196" s="171">
        <f t="shared" si="476"/>
        <v>798</v>
      </c>
      <c r="ID196" s="171">
        <f t="shared" si="477"/>
        <v>689</v>
      </c>
      <c r="IE196" s="171">
        <f t="shared" si="478"/>
        <v>456</v>
      </c>
      <c r="IF196" s="171">
        <f t="shared" si="479"/>
        <v>241</v>
      </c>
      <c r="IG196" s="171">
        <f t="shared" si="480"/>
        <v>140</v>
      </c>
    </row>
    <row r="197" spans="1:241" outlineLevel="2" x14ac:dyDescent="0.3">
      <c r="A197" s="63" t="s">
        <v>152</v>
      </c>
      <c r="B197" s="131">
        <v>122</v>
      </c>
      <c r="C197" s="131">
        <v>43</v>
      </c>
      <c r="D197" s="131">
        <v>80</v>
      </c>
      <c r="E197" s="131">
        <v>98</v>
      </c>
      <c r="F197" s="146">
        <v>129</v>
      </c>
      <c r="G197" s="146">
        <v>137</v>
      </c>
      <c r="H197" s="146">
        <v>77</v>
      </c>
      <c r="I197" s="146">
        <v>95</v>
      </c>
      <c r="J197" s="146">
        <v>110</v>
      </c>
      <c r="K197" s="146">
        <v>96</v>
      </c>
      <c r="L197" s="146">
        <v>102</v>
      </c>
      <c r="M197" s="146">
        <v>147</v>
      </c>
      <c r="N197" s="146">
        <v>38</v>
      </c>
      <c r="O197" s="131">
        <v>121</v>
      </c>
      <c r="P197" s="131">
        <v>72</v>
      </c>
      <c r="Q197" s="146">
        <v>65</v>
      </c>
      <c r="R197" s="146">
        <v>136</v>
      </c>
      <c r="S197" s="131">
        <v>161</v>
      </c>
      <c r="T197" s="131">
        <v>85</v>
      </c>
      <c r="U197" s="131">
        <v>56</v>
      </c>
      <c r="V197" s="131">
        <v>63</v>
      </c>
      <c r="W197" s="131">
        <v>52</v>
      </c>
      <c r="X197" s="131">
        <v>77</v>
      </c>
      <c r="Y197" s="131">
        <v>335</v>
      </c>
      <c r="Z197" s="131">
        <v>63</v>
      </c>
      <c r="AA197" s="131">
        <v>18</v>
      </c>
      <c r="AB197" s="131">
        <v>124</v>
      </c>
      <c r="AC197" s="131">
        <v>208</v>
      </c>
      <c r="AD197" s="131">
        <v>254</v>
      </c>
      <c r="AE197" s="131">
        <v>275</v>
      </c>
      <c r="AF197" s="131">
        <v>72</v>
      </c>
      <c r="AG197" s="131">
        <v>134</v>
      </c>
      <c r="AH197" s="131">
        <v>57</v>
      </c>
      <c r="AI197" s="131">
        <v>99</v>
      </c>
      <c r="AJ197" s="131">
        <v>164</v>
      </c>
      <c r="AK197" s="131">
        <v>146</v>
      </c>
      <c r="AL197" s="131">
        <v>69</v>
      </c>
      <c r="AM197" s="131">
        <v>42</v>
      </c>
      <c r="AN197" s="131">
        <v>148</v>
      </c>
      <c r="AO197" s="131">
        <v>160</v>
      </c>
      <c r="AP197" s="146">
        <v>88</v>
      </c>
      <c r="AQ197" s="146">
        <v>122</v>
      </c>
      <c r="AR197" s="146">
        <v>80</v>
      </c>
      <c r="AS197" s="131">
        <v>74</v>
      </c>
      <c r="AT197" s="146">
        <v>185</v>
      </c>
      <c r="AU197" s="146">
        <v>82</v>
      </c>
      <c r="AV197" s="146">
        <v>154</v>
      </c>
      <c r="AW197" s="146">
        <v>87</v>
      </c>
      <c r="AX197" s="146">
        <v>147</v>
      </c>
      <c r="AY197" s="146">
        <v>208</v>
      </c>
      <c r="AZ197" s="146">
        <v>141</v>
      </c>
      <c r="BA197" s="146">
        <v>244</v>
      </c>
      <c r="BB197" s="146">
        <v>386</v>
      </c>
      <c r="BC197" s="146">
        <v>296</v>
      </c>
      <c r="BD197" s="146">
        <v>81</v>
      </c>
      <c r="BE197" s="146">
        <v>72</v>
      </c>
      <c r="BF197" s="146">
        <v>4</v>
      </c>
      <c r="BG197" s="146">
        <v>241</v>
      </c>
      <c r="BH197" s="146">
        <v>27</v>
      </c>
      <c r="BI197" s="146">
        <v>21</v>
      </c>
      <c r="BJ197" s="146">
        <v>71</v>
      </c>
      <c r="BK197" s="147">
        <v>10</v>
      </c>
      <c r="BL197" s="147">
        <v>284</v>
      </c>
      <c r="BM197" s="147">
        <v>77</v>
      </c>
      <c r="BN197" s="147">
        <v>79</v>
      </c>
      <c r="BO197" s="147">
        <v>243</v>
      </c>
      <c r="BP197" s="147">
        <v>116</v>
      </c>
      <c r="BQ197" s="147">
        <v>91</v>
      </c>
      <c r="BR197" s="147">
        <v>45</v>
      </c>
      <c r="BS197" s="147">
        <v>261</v>
      </c>
      <c r="BT197" s="147">
        <v>91</v>
      </c>
      <c r="BU197" s="147">
        <v>112</v>
      </c>
      <c r="BV197" s="147">
        <v>79</v>
      </c>
      <c r="BW197" s="147">
        <v>129</v>
      </c>
      <c r="BX197" s="147">
        <v>91</v>
      </c>
      <c r="BY197" s="147">
        <v>66</v>
      </c>
      <c r="BZ197" s="147">
        <v>304</v>
      </c>
      <c r="CA197" s="147">
        <v>179</v>
      </c>
      <c r="CB197" s="147">
        <v>149</v>
      </c>
      <c r="CC197" s="147">
        <v>123</v>
      </c>
      <c r="CD197" s="147">
        <v>79</v>
      </c>
      <c r="CE197" s="147">
        <v>20</v>
      </c>
      <c r="CF197" s="147">
        <v>263</v>
      </c>
      <c r="CG197" s="147">
        <v>182</v>
      </c>
      <c r="CH197" s="147">
        <v>0</v>
      </c>
      <c r="CI197" s="147">
        <v>75</v>
      </c>
      <c r="CJ197" s="147">
        <v>137</v>
      </c>
      <c r="CK197" s="147">
        <v>85</v>
      </c>
      <c r="CL197" s="147">
        <v>139</v>
      </c>
      <c r="CM197" s="147">
        <v>54</v>
      </c>
      <c r="CN197" s="147">
        <v>28</v>
      </c>
      <c r="CO197" s="147">
        <v>65</v>
      </c>
      <c r="CP197" s="147">
        <v>119</v>
      </c>
      <c r="CQ197" s="147">
        <v>16</v>
      </c>
      <c r="CR197" s="147">
        <v>199</v>
      </c>
      <c r="CS197" s="148">
        <v>57</v>
      </c>
      <c r="CT197" s="148"/>
      <c r="CU197" s="148"/>
      <c r="CV197" s="148">
        <v>14</v>
      </c>
      <c r="CW197" s="148">
        <v>7</v>
      </c>
      <c r="CX197" s="148">
        <v>0</v>
      </c>
      <c r="CY197" s="148">
        <v>35</v>
      </c>
      <c r="CZ197" s="148">
        <v>40</v>
      </c>
      <c r="DA197" s="148">
        <v>123</v>
      </c>
      <c r="DB197" s="148">
        <v>45</v>
      </c>
      <c r="DC197" s="148">
        <v>76</v>
      </c>
      <c r="DD197" s="148">
        <v>125</v>
      </c>
      <c r="DE197" s="148">
        <v>176</v>
      </c>
      <c r="DF197" s="148">
        <v>50</v>
      </c>
      <c r="DG197" s="148">
        <v>0</v>
      </c>
      <c r="DH197" s="148">
        <v>285</v>
      </c>
      <c r="DI197" s="148">
        <v>3</v>
      </c>
      <c r="DJ197" s="148">
        <v>129</v>
      </c>
      <c r="DK197" s="148">
        <v>89</v>
      </c>
      <c r="DL197" s="148">
        <v>165</v>
      </c>
      <c r="DM197" s="148">
        <v>78</v>
      </c>
      <c r="DN197" s="148">
        <v>109</v>
      </c>
      <c r="DO197" s="148">
        <v>50</v>
      </c>
      <c r="DP197" s="148">
        <v>6</v>
      </c>
      <c r="DQ197" s="148">
        <v>9</v>
      </c>
      <c r="DR197" s="148">
        <v>126</v>
      </c>
      <c r="DS197" s="148">
        <v>23</v>
      </c>
      <c r="DT197" s="148">
        <v>0</v>
      </c>
      <c r="DU197" s="148">
        <v>0</v>
      </c>
      <c r="DV197" s="148">
        <v>9</v>
      </c>
      <c r="DW197" s="148">
        <v>30</v>
      </c>
      <c r="DX197" s="148">
        <v>1</v>
      </c>
      <c r="DY197" s="148">
        <v>24</v>
      </c>
      <c r="DZ197" s="148">
        <v>0</v>
      </c>
      <c r="EA197" s="148">
        <v>0</v>
      </c>
      <c r="EB197" s="148">
        <v>105</v>
      </c>
      <c r="EC197" s="148">
        <v>1074</v>
      </c>
      <c r="ED197" s="148">
        <v>264</v>
      </c>
      <c r="EE197" s="148">
        <v>1127</v>
      </c>
      <c r="EF197" s="148">
        <v>452</v>
      </c>
      <c r="EG197" s="148">
        <v>699</v>
      </c>
      <c r="EH197" s="148">
        <v>668</v>
      </c>
      <c r="EI197" s="148">
        <v>549</v>
      </c>
      <c r="EJ197" s="148">
        <v>866</v>
      </c>
      <c r="EK197" s="148">
        <v>457</v>
      </c>
      <c r="EL197" s="148">
        <v>499</v>
      </c>
      <c r="EM197" s="148">
        <v>561</v>
      </c>
      <c r="EN197" s="148">
        <v>764</v>
      </c>
      <c r="EO197" s="148">
        <v>453</v>
      </c>
      <c r="EP197" s="148">
        <v>263</v>
      </c>
      <c r="EQ197" s="148">
        <v>669</v>
      </c>
      <c r="ER197" s="148">
        <v>852</v>
      </c>
      <c r="ES197" s="148">
        <v>651</v>
      </c>
      <c r="ET197" s="148">
        <v>888</v>
      </c>
      <c r="EU197" s="148">
        <v>322</v>
      </c>
      <c r="EV197" s="148">
        <v>1078</v>
      </c>
      <c r="EW197" s="148">
        <v>580</v>
      </c>
      <c r="EX197" s="148">
        <v>789</v>
      </c>
      <c r="EY197" s="148">
        <v>1128</v>
      </c>
      <c r="EZ197" s="148">
        <v>990</v>
      </c>
      <c r="FA197" s="148">
        <v>806</v>
      </c>
      <c r="FB197" s="148">
        <v>333</v>
      </c>
      <c r="FC197" s="148">
        <v>868</v>
      </c>
      <c r="FD197" s="148">
        <v>1287</v>
      </c>
      <c r="FE197" s="148">
        <v>752</v>
      </c>
      <c r="FF197" s="148">
        <v>1069</v>
      </c>
      <c r="FG197" s="148">
        <v>780</v>
      </c>
      <c r="FH197" s="148"/>
      <c r="FI197" s="148">
        <v>1134</v>
      </c>
      <c r="FJ197" s="148">
        <v>693</v>
      </c>
      <c r="FN197" s="151">
        <f>+SUM(B197:D197)</f>
        <v>245</v>
      </c>
      <c r="FO197" s="152">
        <f>+SUM(E197:G197)</f>
        <v>364</v>
      </c>
      <c r="FP197" s="152">
        <f>+SUM(H197:J197)</f>
        <v>282</v>
      </c>
      <c r="FQ197" s="152">
        <f>+SUM(K197:M197)</f>
        <v>345</v>
      </c>
      <c r="FR197" s="152">
        <f>+SUM(N197:P197)</f>
        <v>231</v>
      </c>
      <c r="FS197" s="152">
        <f>+SUM(Q197:S197)</f>
        <v>362</v>
      </c>
      <c r="FT197" s="152">
        <f>+SUM(T197:V197)</f>
        <v>204</v>
      </c>
      <c r="FU197" s="152">
        <f>+SUM(W197:Y197)</f>
        <v>464</v>
      </c>
      <c r="FV197" s="152">
        <f>+SUM(Z197:AB197)</f>
        <v>205</v>
      </c>
      <c r="FW197" s="152">
        <f>+SUM(AC197:AE197)</f>
        <v>737</v>
      </c>
      <c r="FX197" s="152">
        <f>+SUM(AF197:AH197)</f>
        <v>263</v>
      </c>
      <c r="FY197" s="152">
        <f>+SUM(AI197:AK197)</f>
        <v>409</v>
      </c>
      <c r="FZ197" s="152">
        <f>+SUM(AL197:AN197)</f>
        <v>259</v>
      </c>
      <c r="GA197" s="152">
        <f>+SUM(AO197:AQ197)</f>
        <v>370</v>
      </c>
      <c r="GB197" s="152">
        <f>+SUM(AR197:AT197)</f>
        <v>339</v>
      </c>
      <c r="GC197" s="152">
        <f>+SUM(AU197:AW197)</f>
        <v>323</v>
      </c>
      <c r="GD197" s="152">
        <f>+SUM(AX197:AZ197)</f>
        <v>496</v>
      </c>
      <c r="GE197" s="152">
        <f>+SUM(BA197:BC197)</f>
        <v>926</v>
      </c>
      <c r="GF197" s="152">
        <f>+SUM(BD197:BF197)</f>
        <v>157</v>
      </c>
      <c r="GG197" s="152">
        <f>+SUM(BG197:BI197)</f>
        <v>289</v>
      </c>
      <c r="GH197" s="152">
        <f>+SUM(BJ197:BL197)</f>
        <v>365</v>
      </c>
      <c r="GI197" s="152">
        <f>+SUM(BM197:BO197)</f>
        <v>399</v>
      </c>
      <c r="GJ197" s="152">
        <f>+SUM(BP197:BR197)</f>
        <v>252</v>
      </c>
      <c r="GK197" s="152">
        <f>+SUM(BS197:BU197)</f>
        <v>464</v>
      </c>
      <c r="GL197" s="152">
        <f>+SUM(BV197:BX197)</f>
        <v>299</v>
      </c>
      <c r="GM197" s="152">
        <f>+SUM(BY197:CA197)</f>
        <v>549</v>
      </c>
      <c r="GN197" s="152">
        <f>+SUM(CB197:CD197)</f>
        <v>351</v>
      </c>
      <c r="GO197" s="152">
        <f>+SUM(CE197:CG197)</f>
        <v>465</v>
      </c>
      <c r="GP197" s="152">
        <f>+SUM(CH197:CJ197)</f>
        <v>212</v>
      </c>
      <c r="GQ197" s="152">
        <f>+SUM(CK197:CM197)</f>
        <v>278</v>
      </c>
      <c r="GR197" s="152">
        <f>+SUM(CN197:CP197)</f>
        <v>212</v>
      </c>
      <c r="GS197" s="152">
        <f>+SUM(CQ197:CS197)</f>
        <v>272</v>
      </c>
      <c r="GT197" s="152">
        <f>+SUM(CT197:CV197)</f>
        <v>14</v>
      </c>
      <c r="GU197" s="152">
        <f>+SUM(CW197:CY197)</f>
        <v>42</v>
      </c>
      <c r="GV197" s="152">
        <f>+SUM(CZ197:DB197)</f>
        <v>208</v>
      </c>
      <c r="GW197" s="152">
        <f>+SUM(DC197:DE197)</f>
        <v>377</v>
      </c>
      <c r="GX197" s="152">
        <f>+SUM(DF197:DH197)</f>
        <v>335</v>
      </c>
      <c r="GY197" s="152">
        <f>+SUM(DI197:DK197)</f>
        <v>221</v>
      </c>
      <c r="GZ197" s="152">
        <f>+SUM(DL197:DN197)</f>
        <v>352</v>
      </c>
      <c r="HA197" s="152">
        <f>+SUM(DO197:DQ197)</f>
        <v>65</v>
      </c>
      <c r="HB197" s="152">
        <f>+SUM(DR197:DT197)</f>
        <v>149</v>
      </c>
      <c r="HC197" s="152">
        <f>+SUM(DU197:DW197)</f>
        <v>39</v>
      </c>
      <c r="HD197" s="152">
        <f>+SUM(DX197:DZ197)</f>
        <v>25</v>
      </c>
      <c r="HE197" s="152">
        <f>+SUM(EA197:EC197)</f>
        <v>1179</v>
      </c>
      <c r="HF197" s="152">
        <f>+SUM(ED197:EF197)</f>
        <v>1843</v>
      </c>
      <c r="HG197" s="152">
        <f>+SUM(EG197:EI197)</f>
        <v>1916</v>
      </c>
      <c r="HH197" s="152">
        <f>+SUM(EJ197:EL197)</f>
        <v>1822</v>
      </c>
      <c r="HI197" s="152">
        <f>+SUM(EM197:EO197)</f>
        <v>1778</v>
      </c>
      <c r="HJ197" s="153">
        <f t="shared" si="543"/>
        <v>1784</v>
      </c>
      <c r="HK197" s="153">
        <f t="shared" si="544"/>
        <v>1861</v>
      </c>
      <c r="HL197" s="153">
        <f t="shared" si="545"/>
        <v>2447</v>
      </c>
      <c r="HM197" s="153">
        <f t="shared" si="546"/>
        <v>2924</v>
      </c>
      <c r="HN197" s="153">
        <f t="shared" si="547"/>
        <v>2488</v>
      </c>
      <c r="HO197" s="153">
        <f t="shared" si="548"/>
        <v>2601</v>
      </c>
      <c r="HP197" s="153">
        <f t="shared" si="549"/>
        <v>1827</v>
      </c>
      <c r="HQ197" s="101"/>
      <c r="HU197" s="155">
        <f t="shared" si="468"/>
        <v>1236</v>
      </c>
      <c r="HV197" s="155">
        <f t="shared" si="469"/>
        <v>1261</v>
      </c>
      <c r="HW197" s="155">
        <f t="shared" si="470"/>
        <v>1614</v>
      </c>
      <c r="HX197" s="156">
        <f t="shared" si="471"/>
        <v>1291</v>
      </c>
      <c r="HY197" s="146">
        <f t="shared" si="472"/>
        <v>1868</v>
      </c>
      <c r="HZ197" s="146">
        <f t="shared" si="473"/>
        <v>1480</v>
      </c>
      <c r="IA197" s="146">
        <f t="shared" si="474"/>
        <v>1664</v>
      </c>
      <c r="IB197" s="157">
        <f t="shared" si="475"/>
        <v>974</v>
      </c>
      <c r="IC197" s="157">
        <f t="shared" si="476"/>
        <v>641</v>
      </c>
      <c r="ID197" s="157">
        <f t="shared" si="477"/>
        <v>973</v>
      </c>
      <c r="IE197" s="157">
        <f t="shared" si="478"/>
        <v>1392</v>
      </c>
      <c r="IF197" s="157">
        <f t="shared" si="479"/>
        <v>7359</v>
      </c>
      <c r="IG197" s="157">
        <f t="shared" si="480"/>
        <v>9016</v>
      </c>
    </row>
    <row r="198" spans="1:241" outlineLevel="2" x14ac:dyDescent="0.3">
      <c r="A198" s="71" t="s">
        <v>157</v>
      </c>
      <c r="B198" s="161">
        <v>30</v>
      </c>
      <c r="C198" s="161">
        <v>43</v>
      </c>
      <c r="D198" s="161">
        <v>67</v>
      </c>
      <c r="E198" s="161">
        <v>41</v>
      </c>
      <c r="F198" s="160">
        <v>32</v>
      </c>
      <c r="G198" s="160">
        <v>74</v>
      </c>
      <c r="H198" s="160">
        <v>23</v>
      </c>
      <c r="I198" s="160">
        <v>23</v>
      </c>
      <c r="J198" s="160">
        <v>40</v>
      </c>
      <c r="K198" s="160">
        <v>52</v>
      </c>
      <c r="L198" s="160">
        <v>12</v>
      </c>
      <c r="M198" s="160">
        <v>11</v>
      </c>
      <c r="N198" s="160">
        <v>9</v>
      </c>
      <c r="O198" s="161">
        <v>14</v>
      </c>
      <c r="P198" s="161">
        <v>0</v>
      </c>
      <c r="Q198" s="160">
        <v>8</v>
      </c>
      <c r="R198" s="160">
        <v>18</v>
      </c>
      <c r="S198" s="161">
        <v>16</v>
      </c>
      <c r="T198" s="161">
        <v>10</v>
      </c>
      <c r="U198" s="161">
        <v>30</v>
      </c>
      <c r="V198" s="161">
        <v>0</v>
      </c>
      <c r="W198" s="161">
        <v>27</v>
      </c>
      <c r="X198" s="161">
        <v>5</v>
      </c>
      <c r="Y198" s="161">
        <v>5</v>
      </c>
      <c r="Z198" s="161">
        <v>2</v>
      </c>
      <c r="AA198" s="161">
        <v>35</v>
      </c>
      <c r="AB198" s="161">
        <v>17</v>
      </c>
      <c r="AC198" s="161">
        <v>11</v>
      </c>
      <c r="AD198" s="161">
        <v>29</v>
      </c>
      <c r="AE198" s="161">
        <v>36</v>
      </c>
      <c r="AF198" s="161">
        <v>5</v>
      </c>
      <c r="AG198" s="161">
        <v>39</v>
      </c>
      <c r="AH198" s="161">
        <v>5</v>
      </c>
      <c r="AI198" s="161">
        <v>33</v>
      </c>
      <c r="AJ198" s="161">
        <v>17</v>
      </c>
      <c r="AK198" s="161">
        <v>8</v>
      </c>
      <c r="AL198" s="161">
        <v>5</v>
      </c>
      <c r="AM198" s="161">
        <v>10</v>
      </c>
      <c r="AN198" s="161">
        <v>13</v>
      </c>
      <c r="AO198" s="161">
        <v>39</v>
      </c>
      <c r="AP198" s="160">
        <v>25</v>
      </c>
      <c r="AQ198" s="160">
        <v>10</v>
      </c>
      <c r="AR198" s="160">
        <v>10</v>
      </c>
      <c r="AS198" s="161">
        <v>19</v>
      </c>
      <c r="AT198" s="160">
        <v>22</v>
      </c>
      <c r="AU198" s="160">
        <v>104</v>
      </c>
      <c r="AV198" s="160">
        <v>37</v>
      </c>
      <c r="AW198" s="160">
        <v>31</v>
      </c>
      <c r="AX198" s="160">
        <v>28</v>
      </c>
      <c r="AY198" s="160">
        <v>0</v>
      </c>
      <c r="AZ198" s="160">
        <v>39</v>
      </c>
      <c r="BA198" s="160">
        <v>22</v>
      </c>
      <c r="BB198" s="160">
        <v>25</v>
      </c>
      <c r="BC198" s="160">
        <v>35</v>
      </c>
      <c r="BD198" s="160">
        <v>36</v>
      </c>
      <c r="BE198" s="160">
        <v>62</v>
      </c>
      <c r="BF198" s="160">
        <v>62</v>
      </c>
      <c r="BG198" s="160">
        <v>16</v>
      </c>
      <c r="BH198" s="160">
        <v>13</v>
      </c>
      <c r="BI198" s="160">
        <v>5</v>
      </c>
      <c r="BJ198" s="160">
        <v>0</v>
      </c>
      <c r="BK198" s="162">
        <v>0</v>
      </c>
      <c r="BL198" s="162">
        <v>2</v>
      </c>
      <c r="BM198" s="162">
        <v>15</v>
      </c>
      <c r="BN198" s="162">
        <v>0</v>
      </c>
      <c r="BO198" s="162">
        <v>15</v>
      </c>
      <c r="BP198" s="162">
        <v>49</v>
      </c>
      <c r="BQ198" s="162">
        <v>43</v>
      </c>
      <c r="BR198" s="162">
        <v>15</v>
      </c>
      <c r="BS198" s="162">
        <v>29</v>
      </c>
      <c r="BT198" s="162">
        <v>28</v>
      </c>
      <c r="BU198" s="162">
        <v>92</v>
      </c>
      <c r="BV198" s="162">
        <v>3</v>
      </c>
      <c r="BW198" s="162">
        <v>47</v>
      </c>
      <c r="BX198" s="162">
        <v>10</v>
      </c>
      <c r="BY198" s="162">
        <v>41</v>
      </c>
      <c r="BZ198" s="162">
        <v>40</v>
      </c>
      <c r="CA198" s="162">
        <v>86</v>
      </c>
      <c r="CB198" s="162">
        <v>61</v>
      </c>
      <c r="CC198" s="162">
        <v>58</v>
      </c>
      <c r="CD198" s="162">
        <v>66</v>
      </c>
      <c r="CE198" s="162">
        <v>51</v>
      </c>
      <c r="CF198" s="162">
        <v>52</v>
      </c>
      <c r="CG198" s="162">
        <v>114</v>
      </c>
      <c r="CH198" s="162">
        <v>53</v>
      </c>
      <c r="CI198" s="162">
        <v>39</v>
      </c>
      <c r="CJ198" s="162">
        <v>71</v>
      </c>
      <c r="CK198" s="162">
        <v>90</v>
      </c>
      <c r="CL198" s="162">
        <v>97</v>
      </c>
      <c r="CM198" s="162">
        <v>72</v>
      </c>
      <c r="CN198" s="162">
        <v>80</v>
      </c>
      <c r="CO198" s="162">
        <v>123</v>
      </c>
      <c r="CP198" s="162">
        <v>88</v>
      </c>
      <c r="CQ198" s="162">
        <v>92</v>
      </c>
      <c r="CR198" s="162">
        <v>80</v>
      </c>
      <c r="CS198" s="163">
        <v>18</v>
      </c>
      <c r="CT198" s="163"/>
      <c r="CU198" s="163"/>
      <c r="CV198" s="163"/>
      <c r="CW198" s="163"/>
      <c r="CX198" s="163"/>
      <c r="CY198" s="163"/>
      <c r="CZ198" s="163"/>
      <c r="DA198" s="163"/>
      <c r="DB198" s="163">
        <v>76</v>
      </c>
      <c r="DC198" s="163"/>
      <c r="DD198" s="163"/>
      <c r="DE198" s="163">
        <v>133</v>
      </c>
      <c r="DF198" s="163"/>
      <c r="DG198" s="163"/>
      <c r="DH198" s="163"/>
      <c r="DI198" s="163"/>
      <c r="DJ198" s="163"/>
      <c r="DK198" s="163"/>
      <c r="DL198" s="163"/>
      <c r="DM198" s="163"/>
      <c r="DN198" s="163"/>
      <c r="DO198" s="163"/>
      <c r="DP198" s="163"/>
      <c r="DQ198" s="163"/>
      <c r="DR198" s="163"/>
      <c r="DS198" s="163"/>
      <c r="DT198" s="163"/>
      <c r="DU198" s="163"/>
      <c r="DV198" s="163"/>
      <c r="DW198" s="163"/>
      <c r="DX198" s="163"/>
      <c r="DY198" s="163"/>
      <c r="DZ198" s="163"/>
      <c r="EA198" s="163"/>
      <c r="EB198" s="163"/>
      <c r="EC198" s="163"/>
      <c r="ED198" s="163"/>
      <c r="EE198" s="163"/>
      <c r="EF198" s="163"/>
      <c r="EG198" s="163"/>
      <c r="EH198" s="163"/>
      <c r="EI198" s="163"/>
      <c r="EJ198" s="163"/>
      <c r="EK198" s="163"/>
      <c r="EL198" s="163"/>
      <c r="EM198" s="163"/>
      <c r="EN198" s="163"/>
      <c r="EO198" s="163"/>
      <c r="EP198" s="163"/>
      <c r="EQ198" s="163"/>
      <c r="ER198" s="163"/>
      <c r="ES198" s="163"/>
      <c r="ET198" s="163"/>
      <c r="EU198" s="163"/>
      <c r="EV198" s="163"/>
      <c r="EW198" s="163"/>
      <c r="EX198" s="163"/>
      <c r="EY198" s="163"/>
      <c r="EZ198" s="163"/>
      <c r="FA198" s="163"/>
      <c r="FB198" s="163"/>
      <c r="FC198" s="163"/>
      <c r="FD198" s="163"/>
      <c r="FE198" s="163"/>
      <c r="FF198" s="163"/>
      <c r="FG198" s="163"/>
      <c r="FH198" s="163"/>
      <c r="FI198" s="163"/>
      <c r="FJ198" s="163"/>
      <c r="FN198" s="165">
        <f>+SUM(B198:D198)</f>
        <v>140</v>
      </c>
      <c r="FO198" s="166">
        <f>+SUM(E198:G198)</f>
        <v>147</v>
      </c>
      <c r="FP198" s="166">
        <f>+SUM(H198:J198)</f>
        <v>86</v>
      </c>
      <c r="FQ198" s="166">
        <f>+SUM(K198:M198)</f>
        <v>75</v>
      </c>
      <c r="FR198" s="166">
        <f>+SUM(N198:P198)</f>
        <v>23</v>
      </c>
      <c r="FS198" s="166">
        <f>+SUM(Q198:S198)</f>
        <v>42</v>
      </c>
      <c r="FT198" s="166">
        <f>+SUM(T198:V198)</f>
        <v>40</v>
      </c>
      <c r="FU198" s="166">
        <f>+SUM(W198:Y198)</f>
        <v>37</v>
      </c>
      <c r="FV198" s="166">
        <f>+SUM(Z198:AB198)</f>
        <v>54</v>
      </c>
      <c r="FW198" s="166">
        <f>+SUM(AC198:AE198)</f>
        <v>76</v>
      </c>
      <c r="FX198" s="166">
        <f>+SUM(AF198:AH198)</f>
        <v>49</v>
      </c>
      <c r="FY198" s="166">
        <f>+SUM(AI198:AK198)</f>
        <v>58</v>
      </c>
      <c r="FZ198" s="166">
        <f>+SUM(AL198:AN198)</f>
        <v>28</v>
      </c>
      <c r="GA198" s="166">
        <f>+SUM(AO198:AQ198)</f>
        <v>74</v>
      </c>
      <c r="GB198" s="166">
        <f>+SUM(AR198:AT198)</f>
        <v>51</v>
      </c>
      <c r="GC198" s="166">
        <f>+SUM(AU198:AW198)</f>
        <v>172</v>
      </c>
      <c r="GD198" s="166">
        <f>+SUM(AX198:AZ198)</f>
        <v>67</v>
      </c>
      <c r="GE198" s="166">
        <f>+SUM(BA198:BC198)</f>
        <v>82</v>
      </c>
      <c r="GF198" s="166">
        <f>+SUM(BD198:BF198)</f>
        <v>160</v>
      </c>
      <c r="GG198" s="166">
        <f>+SUM(BG198:BI198)</f>
        <v>34</v>
      </c>
      <c r="GH198" s="166">
        <f>+SUM(BJ198:BL198)</f>
        <v>2</v>
      </c>
      <c r="GI198" s="166">
        <f>+SUM(BM198:BO198)</f>
        <v>30</v>
      </c>
      <c r="GJ198" s="166">
        <f>+SUM(BP198:BR198)</f>
        <v>107</v>
      </c>
      <c r="GK198" s="166">
        <f>+SUM(BS198:BU198)</f>
        <v>149</v>
      </c>
      <c r="GL198" s="166">
        <f>+SUM(BV198:BX198)</f>
        <v>60</v>
      </c>
      <c r="GM198" s="166">
        <f>+SUM(BY198:CA198)</f>
        <v>167</v>
      </c>
      <c r="GN198" s="166">
        <f>+SUM(CB198:CD198)</f>
        <v>185</v>
      </c>
      <c r="GO198" s="166">
        <f>+SUM(CE198:CG198)</f>
        <v>217</v>
      </c>
      <c r="GP198" s="166">
        <f>+SUM(CH198:CJ198)</f>
        <v>163</v>
      </c>
      <c r="GQ198" s="166">
        <f>+SUM(CK198:CM198)</f>
        <v>259</v>
      </c>
      <c r="GR198" s="166">
        <f>+SUM(CN198:CP198)</f>
        <v>291</v>
      </c>
      <c r="GS198" s="166">
        <f>+SUM(CQ198:CS198)</f>
        <v>190</v>
      </c>
      <c r="GT198" s="166">
        <f>+SUM(CT198:CV198)</f>
        <v>0</v>
      </c>
      <c r="GU198" s="166">
        <f>+SUM(CW198:CY198)</f>
        <v>0</v>
      </c>
      <c r="GV198" s="166">
        <f>+SUM(CZ198:DB198)</f>
        <v>76</v>
      </c>
      <c r="GW198" s="166">
        <f>+SUM(DC198:DE198)</f>
        <v>133</v>
      </c>
      <c r="GX198" s="166">
        <f>+SUM(DF198:DH198)</f>
        <v>0</v>
      </c>
      <c r="GY198" s="166">
        <f>+SUM(DI198:DK198)</f>
        <v>0</v>
      </c>
      <c r="GZ198" s="166">
        <f>+SUM(DL198:DN198)</f>
        <v>0</v>
      </c>
      <c r="HA198" s="166">
        <f>+SUM(DO198:DQ198)</f>
        <v>0</v>
      </c>
      <c r="HB198" s="166">
        <f>+SUM(DR198:DT198)</f>
        <v>0</v>
      </c>
      <c r="HC198" s="166">
        <f>+SUM(DU198:DW198)</f>
        <v>0</v>
      </c>
      <c r="HD198" s="166">
        <f>+SUM(DX198:DZ198)</f>
        <v>0</v>
      </c>
      <c r="HE198" s="166">
        <f>+SUM(EA198:EC198)</f>
        <v>0</v>
      </c>
      <c r="HF198" s="166">
        <f>+SUM(ED198:EF198)</f>
        <v>0</v>
      </c>
      <c r="HG198" s="166">
        <f>+SUM(EG198:EI198)</f>
        <v>0</v>
      </c>
      <c r="HH198" s="166">
        <f>+SUM(EJ198:EL198)</f>
        <v>0</v>
      </c>
      <c r="HI198" s="166">
        <f>+SUM(EM198:EO198)</f>
        <v>0</v>
      </c>
      <c r="HJ198" s="167">
        <f t="shared" si="543"/>
        <v>0</v>
      </c>
      <c r="HK198" s="167">
        <f t="shared" si="544"/>
        <v>0</v>
      </c>
      <c r="HL198" s="167">
        <f t="shared" si="545"/>
        <v>0</v>
      </c>
      <c r="HM198" s="167">
        <f t="shared" si="546"/>
        <v>0</v>
      </c>
      <c r="HN198" s="167">
        <f t="shared" si="547"/>
        <v>0</v>
      </c>
      <c r="HO198" s="167">
        <f t="shared" si="548"/>
        <v>0</v>
      </c>
      <c r="HP198" s="167">
        <f t="shared" si="549"/>
        <v>0</v>
      </c>
      <c r="HQ198" s="168"/>
      <c r="HU198" s="169">
        <f t="shared" si="468"/>
        <v>448</v>
      </c>
      <c r="HV198" s="169">
        <f t="shared" si="469"/>
        <v>142</v>
      </c>
      <c r="HW198" s="169">
        <f t="shared" si="470"/>
        <v>237</v>
      </c>
      <c r="HX198" s="170">
        <f t="shared" si="471"/>
        <v>325</v>
      </c>
      <c r="HY198" s="160">
        <f t="shared" si="472"/>
        <v>343</v>
      </c>
      <c r="HZ198" s="160">
        <f t="shared" si="473"/>
        <v>288</v>
      </c>
      <c r="IA198" s="160">
        <f t="shared" si="474"/>
        <v>629</v>
      </c>
      <c r="IB198" s="171">
        <f t="shared" si="475"/>
        <v>903</v>
      </c>
      <c r="IC198" s="171">
        <f t="shared" si="476"/>
        <v>209</v>
      </c>
      <c r="ID198" s="171">
        <f t="shared" si="477"/>
        <v>0</v>
      </c>
      <c r="IE198" s="171">
        <f t="shared" si="478"/>
        <v>0</v>
      </c>
      <c r="IF198" s="171">
        <f t="shared" si="479"/>
        <v>0</v>
      </c>
      <c r="IG198" s="171">
        <f t="shared" si="480"/>
        <v>0</v>
      </c>
    </row>
    <row r="199" spans="1:241" outlineLevel="1" x14ac:dyDescent="0.3">
      <c r="A199" s="180" t="s">
        <v>180</v>
      </c>
      <c r="B199" s="191">
        <f t="shared" ref="B199:BM199" si="550">+SUM(B195:B198)</f>
        <v>152</v>
      </c>
      <c r="C199" s="191">
        <f t="shared" si="550"/>
        <v>86</v>
      </c>
      <c r="D199" s="191">
        <f t="shared" si="550"/>
        <v>167</v>
      </c>
      <c r="E199" s="191">
        <f t="shared" si="550"/>
        <v>139</v>
      </c>
      <c r="F199" s="191">
        <f t="shared" si="550"/>
        <v>171</v>
      </c>
      <c r="G199" s="191">
        <f t="shared" si="550"/>
        <v>211</v>
      </c>
      <c r="H199" s="191">
        <f t="shared" si="550"/>
        <v>115</v>
      </c>
      <c r="I199" s="191">
        <f t="shared" si="550"/>
        <v>118</v>
      </c>
      <c r="J199" s="191">
        <f t="shared" si="550"/>
        <v>150</v>
      </c>
      <c r="K199" s="191">
        <f t="shared" si="550"/>
        <v>163</v>
      </c>
      <c r="L199" s="191">
        <f t="shared" si="550"/>
        <v>124</v>
      </c>
      <c r="M199" s="191">
        <f t="shared" si="550"/>
        <v>173</v>
      </c>
      <c r="N199" s="191">
        <f t="shared" si="550"/>
        <v>47</v>
      </c>
      <c r="O199" s="191">
        <f t="shared" si="550"/>
        <v>135</v>
      </c>
      <c r="P199" s="191">
        <f t="shared" si="550"/>
        <v>78</v>
      </c>
      <c r="Q199" s="191">
        <f t="shared" si="550"/>
        <v>73</v>
      </c>
      <c r="R199" s="191">
        <f t="shared" si="550"/>
        <v>162</v>
      </c>
      <c r="S199" s="191">
        <f t="shared" si="550"/>
        <v>196</v>
      </c>
      <c r="T199" s="191">
        <f t="shared" si="550"/>
        <v>100</v>
      </c>
      <c r="U199" s="191">
        <f t="shared" si="550"/>
        <v>96</v>
      </c>
      <c r="V199" s="191">
        <f t="shared" si="550"/>
        <v>63</v>
      </c>
      <c r="W199" s="191">
        <f t="shared" si="550"/>
        <v>94</v>
      </c>
      <c r="X199" s="191">
        <f t="shared" si="550"/>
        <v>107</v>
      </c>
      <c r="Y199" s="191">
        <f t="shared" si="550"/>
        <v>340</v>
      </c>
      <c r="Z199" s="191">
        <f t="shared" si="550"/>
        <v>75</v>
      </c>
      <c r="AA199" s="191">
        <f t="shared" si="550"/>
        <v>59</v>
      </c>
      <c r="AB199" s="191">
        <f t="shared" si="550"/>
        <v>183</v>
      </c>
      <c r="AC199" s="191">
        <f t="shared" si="550"/>
        <v>284</v>
      </c>
      <c r="AD199" s="191">
        <f t="shared" si="550"/>
        <v>333</v>
      </c>
      <c r="AE199" s="191">
        <f t="shared" si="550"/>
        <v>436</v>
      </c>
      <c r="AF199" s="191">
        <f t="shared" si="550"/>
        <v>282</v>
      </c>
      <c r="AG199" s="191">
        <f t="shared" si="550"/>
        <v>343</v>
      </c>
      <c r="AH199" s="191">
        <f t="shared" si="550"/>
        <v>202</v>
      </c>
      <c r="AI199" s="191">
        <f t="shared" si="550"/>
        <v>307</v>
      </c>
      <c r="AJ199" s="191">
        <f t="shared" si="550"/>
        <v>421</v>
      </c>
      <c r="AK199" s="191">
        <f t="shared" si="550"/>
        <v>439</v>
      </c>
      <c r="AL199" s="191">
        <f t="shared" si="550"/>
        <v>199</v>
      </c>
      <c r="AM199" s="191">
        <f t="shared" si="550"/>
        <v>372</v>
      </c>
      <c r="AN199" s="191">
        <f t="shared" si="550"/>
        <v>526</v>
      </c>
      <c r="AO199" s="191">
        <f t="shared" si="550"/>
        <v>518</v>
      </c>
      <c r="AP199" s="191">
        <f t="shared" si="550"/>
        <v>253</v>
      </c>
      <c r="AQ199" s="191">
        <f t="shared" si="550"/>
        <v>336</v>
      </c>
      <c r="AR199" s="191">
        <f t="shared" si="550"/>
        <v>100</v>
      </c>
      <c r="AS199" s="191">
        <f t="shared" si="550"/>
        <v>93</v>
      </c>
      <c r="AT199" s="191">
        <f t="shared" si="550"/>
        <v>207</v>
      </c>
      <c r="AU199" s="191">
        <f t="shared" si="550"/>
        <v>192</v>
      </c>
      <c r="AV199" s="191">
        <f t="shared" si="550"/>
        <v>196</v>
      </c>
      <c r="AW199" s="191">
        <f t="shared" si="550"/>
        <v>123</v>
      </c>
      <c r="AX199" s="191">
        <f t="shared" si="550"/>
        <v>185</v>
      </c>
      <c r="AY199" s="191">
        <f t="shared" si="550"/>
        <v>213</v>
      </c>
      <c r="AZ199" s="191">
        <f t="shared" si="550"/>
        <v>210</v>
      </c>
      <c r="BA199" s="191">
        <f t="shared" si="550"/>
        <v>327</v>
      </c>
      <c r="BB199" s="191">
        <f t="shared" si="550"/>
        <v>415</v>
      </c>
      <c r="BC199" s="191">
        <f t="shared" si="550"/>
        <v>331</v>
      </c>
      <c r="BD199" s="191">
        <f t="shared" si="550"/>
        <v>117</v>
      </c>
      <c r="BE199" s="191">
        <f t="shared" si="550"/>
        <v>134</v>
      </c>
      <c r="BF199" s="191">
        <f t="shared" si="550"/>
        <v>81</v>
      </c>
      <c r="BG199" s="191">
        <f t="shared" si="550"/>
        <v>257</v>
      </c>
      <c r="BH199" s="191">
        <f t="shared" si="550"/>
        <v>40</v>
      </c>
      <c r="BI199" s="191">
        <f t="shared" si="550"/>
        <v>26</v>
      </c>
      <c r="BJ199" s="191">
        <f t="shared" si="550"/>
        <v>71</v>
      </c>
      <c r="BK199" s="191">
        <f t="shared" si="550"/>
        <v>25</v>
      </c>
      <c r="BL199" s="191">
        <f t="shared" si="550"/>
        <v>311</v>
      </c>
      <c r="BM199" s="191">
        <f t="shared" si="550"/>
        <v>107</v>
      </c>
      <c r="BN199" s="191">
        <f t="shared" ref="BN199:CD199" si="551">+SUM(BN195:BN198)</f>
        <v>84</v>
      </c>
      <c r="BO199" s="191">
        <f t="shared" si="551"/>
        <v>289</v>
      </c>
      <c r="BP199" s="191">
        <f t="shared" si="551"/>
        <v>169</v>
      </c>
      <c r="BQ199" s="191">
        <f t="shared" si="551"/>
        <v>134</v>
      </c>
      <c r="BR199" s="191">
        <f t="shared" si="551"/>
        <v>60</v>
      </c>
      <c r="BS199" s="191">
        <f t="shared" si="551"/>
        <v>290</v>
      </c>
      <c r="BT199" s="191">
        <f t="shared" si="551"/>
        <v>136</v>
      </c>
      <c r="BU199" s="191">
        <f t="shared" si="551"/>
        <v>219</v>
      </c>
      <c r="BV199" s="191">
        <f t="shared" si="551"/>
        <v>161</v>
      </c>
      <c r="BW199" s="191">
        <f t="shared" si="551"/>
        <v>252</v>
      </c>
      <c r="BX199" s="191">
        <f t="shared" si="551"/>
        <v>196</v>
      </c>
      <c r="BY199" s="191">
        <f t="shared" si="551"/>
        <v>272</v>
      </c>
      <c r="BZ199" s="191">
        <f t="shared" si="551"/>
        <v>414</v>
      </c>
      <c r="CA199" s="191">
        <f t="shared" si="551"/>
        <v>624</v>
      </c>
      <c r="CB199" s="191">
        <f t="shared" si="551"/>
        <v>325</v>
      </c>
      <c r="CC199" s="191">
        <f t="shared" si="551"/>
        <v>291</v>
      </c>
      <c r="CD199" s="191">
        <f t="shared" si="551"/>
        <v>275</v>
      </c>
      <c r="CE199" s="191">
        <v>241</v>
      </c>
      <c r="CF199" s="191">
        <f>SUM(CF196:CF198)</f>
        <v>454</v>
      </c>
      <c r="CG199" s="191">
        <v>524</v>
      </c>
      <c r="CH199" s="191">
        <f>SUM(CH196:CH198)</f>
        <v>53</v>
      </c>
      <c r="CI199" s="191">
        <f>SUM(CI196:CI198)</f>
        <v>121</v>
      </c>
      <c r="CJ199" s="191">
        <f>SUM(CJ196:CJ198)</f>
        <v>300</v>
      </c>
      <c r="CK199" s="191">
        <f>SUM(CK196:CK198)</f>
        <v>285</v>
      </c>
      <c r="CL199" s="191">
        <f>SUM(CL196:CL198)</f>
        <v>345</v>
      </c>
      <c r="CM199" s="191">
        <v>286</v>
      </c>
      <c r="CN199" s="191">
        <v>281</v>
      </c>
      <c r="CO199" s="191">
        <v>263</v>
      </c>
      <c r="CP199" s="191">
        <v>387</v>
      </c>
      <c r="CQ199" s="191">
        <v>158</v>
      </c>
      <c r="CR199" s="191">
        <v>338</v>
      </c>
      <c r="CS199" s="192">
        <v>75</v>
      </c>
      <c r="CT199" s="192"/>
      <c r="CU199" s="192">
        <v>0</v>
      </c>
      <c r="CV199" s="192">
        <v>24</v>
      </c>
      <c r="CW199" s="192">
        <v>121</v>
      </c>
      <c r="CX199" s="192">
        <v>0</v>
      </c>
      <c r="CY199" s="192">
        <v>80</v>
      </c>
      <c r="CZ199" s="192">
        <v>126</v>
      </c>
      <c r="DA199" s="192">
        <v>186</v>
      </c>
      <c r="DB199" s="192">
        <f t="shared" ref="DB199:DE199" si="552">SUM(DB196:DB198)</f>
        <v>340</v>
      </c>
      <c r="DC199" s="192">
        <f t="shared" si="552"/>
        <v>132</v>
      </c>
      <c r="DD199" s="192">
        <f t="shared" si="552"/>
        <v>224</v>
      </c>
      <c r="DE199" s="192">
        <f t="shared" si="552"/>
        <v>415</v>
      </c>
      <c r="DF199" s="192">
        <v>66</v>
      </c>
      <c r="DG199" s="192">
        <v>33</v>
      </c>
      <c r="DH199" s="192">
        <v>397</v>
      </c>
      <c r="DI199" s="192">
        <v>3</v>
      </c>
      <c r="DJ199" s="192">
        <v>149</v>
      </c>
      <c r="DK199" s="192">
        <v>145</v>
      </c>
      <c r="DL199" s="192">
        <v>308</v>
      </c>
      <c r="DM199" s="192">
        <v>178</v>
      </c>
      <c r="DN199" s="192">
        <v>226</v>
      </c>
      <c r="DO199" s="192">
        <v>50</v>
      </c>
      <c r="DP199" s="192">
        <v>75</v>
      </c>
      <c r="DQ199" s="192">
        <v>32</v>
      </c>
      <c r="DR199" s="192">
        <v>176</v>
      </c>
      <c r="DS199" s="192">
        <v>23</v>
      </c>
      <c r="DT199" s="192">
        <v>97</v>
      </c>
      <c r="DU199" s="192">
        <v>165</v>
      </c>
      <c r="DV199" s="192">
        <v>44</v>
      </c>
      <c r="DW199" s="192">
        <v>30</v>
      </c>
      <c r="DX199" s="192">
        <v>1</v>
      </c>
      <c r="DY199" s="192">
        <v>24</v>
      </c>
      <c r="DZ199" s="192">
        <v>2</v>
      </c>
      <c r="EA199" s="192">
        <v>22</v>
      </c>
      <c r="EB199" s="192">
        <v>140</v>
      </c>
      <c r="EC199" s="192">
        <v>1124</v>
      </c>
      <c r="ED199" s="192">
        <v>284</v>
      </c>
      <c r="EE199" s="192">
        <v>1157</v>
      </c>
      <c r="EF199" s="192">
        <v>472</v>
      </c>
      <c r="EG199" s="192">
        <v>733</v>
      </c>
      <c r="EH199" s="192">
        <v>704</v>
      </c>
      <c r="EI199" s="192">
        <v>556</v>
      </c>
      <c r="EJ199" s="192">
        <v>894</v>
      </c>
      <c r="EK199" s="192">
        <v>459</v>
      </c>
      <c r="EL199" s="192">
        <v>514</v>
      </c>
      <c r="EM199" s="192">
        <v>580</v>
      </c>
      <c r="EN199" s="192">
        <v>784</v>
      </c>
      <c r="EO199" s="192">
        <v>463</v>
      </c>
      <c r="EP199" s="192">
        <v>273</v>
      </c>
      <c r="EQ199" s="192">
        <v>699</v>
      </c>
      <c r="ER199" s="192">
        <v>887</v>
      </c>
      <c r="ES199" s="192">
        <v>651</v>
      </c>
      <c r="ET199" s="192">
        <v>888</v>
      </c>
      <c r="EU199" s="192">
        <v>322</v>
      </c>
      <c r="EV199" s="192">
        <v>1117</v>
      </c>
      <c r="EW199" s="192">
        <v>581</v>
      </c>
      <c r="EX199" s="192">
        <v>789</v>
      </c>
      <c r="EY199" s="192">
        <v>1138</v>
      </c>
      <c r="EZ199" s="192">
        <v>1002</v>
      </c>
      <c r="FA199" s="192">
        <v>809</v>
      </c>
      <c r="FB199" s="192">
        <v>333</v>
      </c>
      <c r="FC199" s="192">
        <v>868</v>
      </c>
      <c r="FD199" s="192">
        <v>1297</v>
      </c>
      <c r="FE199" s="192">
        <v>752</v>
      </c>
      <c r="FF199" s="192">
        <v>1074</v>
      </c>
      <c r="FG199" s="192">
        <v>795</v>
      </c>
      <c r="FH199" s="192">
        <v>567</v>
      </c>
      <c r="FI199" s="192">
        <v>1134</v>
      </c>
      <c r="FJ199" s="192">
        <v>703</v>
      </c>
      <c r="FN199" s="151">
        <f>+SUM(B199:D199)</f>
        <v>405</v>
      </c>
      <c r="FO199" s="152">
        <f>+SUM(E199:G199)</f>
        <v>521</v>
      </c>
      <c r="FP199" s="152">
        <f>+SUM(H199:J199)</f>
        <v>383</v>
      </c>
      <c r="FQ199" s="152">
        <f>+SUM(K199:M199)</f>
        <v>460</v>
      </c>
      <c r="FR199" s="152">
        <f>+SUM(N199:P199)</f>
        <v>260</v>
      </c>
      <c r="FS199" s="152">
        <f>+SUM(Q199:S199)</f>
        <v>431</v>
      </c>
      <c r="FT199" s="152">
        <f>+SUM(T199:V199)</f>
        <v>259</v>
      </c>
      <c r="FU199" s="152">
        <f>+SUM(W199:Y199)</f>
        <v>541</v>
      </c>
      <c r="FV199" s="152">
        <f>+SUM(Z199:AB199)</f>
        <v>317</v>
      </c>
      <c r="FW199" s="152">
        <f>+SUM(AC199:AE199)</f>
        <v>1053</v>
      </c>
      <c r="FX199" s="152">
        <f>+SUM(AF199:AH199)</f>
        <v>827</v>
      </c>
      <c r="FY199" s="152">
        <f>+SUM(AI199:AK199)</f>
        <v>1167</v>
      </c>
      <c r="FZ199" s="152">
        <f>+SUM(AL199:AN199)</f>
        <v>1097</v>
      </c>
      <c r="GA199" s="152">
        <f>+SUM(AO199:AQ199)</f>
        <v>1107</v>
      </c>
      <c r="GB199" s="152">
        <f>+SUM(AR199:AT199)</f>
        <v>400</v>
      </c>
      <c r="GC199" s="152">
        <f>+SUM(AU199:AW199)</f>
        <v>511</v>
      </c>
      <c r="GD199" s="152">
        <f>+SUM(AX199:AZ199)</f>
        <v>608</v>
      </c>
      <c r="GE199" s="152">
        <f>+SUM(BA199:BC199)</f>
        <v>1073</v>
      </c>
      <c r="GF199" s="152">
        <f>+SUM(BD199:BF199)</f>
        <v>332</v>
      </c>
      <c r="GG199" s="152">
        <f>+SUM(BG199:BI199)</f>
        <v>323</v>
      </c>
      <c r="GH199" s="152">
        <f>+SUM(BJ199:BL199)</f>
        <v>407</v>
      </c>
      <c r="GI199" s="152">
        <f>+SUM(BM199:BO199)</f>
        <v>480</v>
      </c>
      <c r="GJ199" s="152">
        <f>+SUM(BP199:BR199)</f>
        <v>363</v>
      </c>
      <c r="GK199" s="152">
        <f>+SUM(BS199:BU199)</f>
        <v>645</v>
      </c>
      <c r="GL199" s="152">
        <f>+SUM(BV199:BX199)</f>
        <v>609</v>
      </c>
      <c r="GM199" s="152">
        <f>+SUM(BY199:CA199)</f>
        <v>1310</v>
      </c>
      <c r="GN199" s="152">
        <f>+SUM(CB199:CD199)</f>
        <v>891</v>
      </c>
      <c r="GO199" s="152">
        <f>+SUM(CE199:CG199)</f>
        <v>1219</v>
      </c>
      <c r="GP199" s="152">
        <f>+SUM(CH199:CJ199)</f>
        <v>474</v>
      </c>
      <c r="GQ199" s="152">
        <f>+SUM(CK199:CM199)</f>
        <v>916</v>
      </c>
      <c r="GR199" s="152">
        <f>+SUM(CN199:CP199)</f>
        <v>931</v>
      </c>
      <c r="GS199" s="152">
        <f>+SUM(CQ199:CS199)</f>
        <v>571</v>
      </c>
      <c r="GT199" s="152">
        <f>+SUM(CT199:CV199)</f>
        <v>24</v>
      </c>
      <c r="GU199" s="152">
        <f>+SUM(CW199:CY199)</f>
        <v>201</v>
      </c>
      <c r="GV199" s="152">
        <f>+SUM(CZ199:DB199)</f>
        <v>652</v>
      </c>
      <c r="GW199" s="152">
        <f>+SUM(DC199:DE199)</f>
        <v>771</v>
      </c>
      <c r="GX199" s="152">
        <f>+SUM(DF199:DH199)</f>
        <v>496</v>
      </c>
      <c r="GY199" s="152">
        <f>+SUM(DI199:DK199)</f>
        <v>297</v>
      </c>
      <c r="GZ199" s="152">
        <f>+SUM(DL199:DN199)</f>
        <v>712</v>
      </c>
      <c r="HA199" s="152">
        <f>+SUM(DO199:DQ199)</f>
        <v>157</v>
      </c>
      <c r="HB199" s="152">
        <f>+SUM(DR199:DT199)</f>
        <v>296</v>
      </c>
      <c r="HC199" s="152">
        <f>+SUM(DU199:DW199)</f>
        <v>239</v>
      </c>
      <c r="HD199" s="152">
        <f>+SUM(DX199:DZ199)</f>
        <v>27</v>
      </c>
      <c r="HE199" s="152">
        <f>+SUM(EA199:EC199)</f>
        <v>1286</v>
      </c>
      <c r="HF199" s="152">
        <f>+SUM(ED199:EF199)</f>
        <v>1913</v>
      </c>
      <c r="HG199" s="152">
        <f>+SUM(EG199:EI199)</f>
        <v>1993</v>
      </c>
      <c r="HH199" s="152">
        <f>+SUM(EJ199:EL199)</f>
        <v>1867</v>
      </c>
      <c r="HI199" s="152">
        <f>+SUM(EM199:EO199)</f>
        <v>1827</v>
      </c>
      <c r="HJ199" s="153">
        <f t="shared" si="543"/>
        <v>1859</v>
      </c>
      <c r="HK199" s="153">
        <f t="shared" si="544"/>
        <v>1861</v>
      </c>
      <c r="HL199" s="153">
        <f t="shared" si="545"/>
        <v>2487</v>
      </c>
      <c r="HM199" s="153">
        <f t="shared" si="546"/>
        <v>2949</v>
      </c>
      <c r="HN199" s="153">
        <f t="shared" si="547"/>
        <v>2498</v>
      </c>
      <c r="HO199" s="153">
        <f t="shared" si="548"/>
        <v>2621</v>
      </c>
      <c r="HP199" s="153">
        <f t="shared" si="549"/>
        <v>2404</v>
      </c>
      <c r="HQ199" s="101"/>
      <c r="HU199" s="155">
        <f t="shared" si="468"/>
        <v>1769</v>
      </c>
      <c r="HV199" s="155">
        <f t="shared" si="469"/>
        <v>1491</v>
      </c>
      <c r="HW199" s="155">
        <f t="shared" si="470"/>
        <v>3364</v>
      </c>
      <c r="HX199" s="156">
        <f t="shared" si="471"/>
        <v>3115</v>
      </c>
      <c r="HY199" s="146">
        <f t="shared" si="472"/>
        <v>2336</v>
      </c>
      <c r="HZ199" s="146">
        <f t="shared" si="473"/>
        <v>1895</v>
      </c>
      <c r="IA199" s="146">
        <f t="shared" si="474"/>
        <v>4029</v>
      </c>
      <c r="IB199" s="157">
        <f t="shared" si="475"/>
        <v>2892</v>
      </c>
      <c r="IC199" s="157">
        <f t="shared" si="476"/>
        <v>1648</v>
      </c>
      <c r="ID199" s="157">
        <f t="shared" si="477"/>
        <v>1662</v>
      </c>
      <c r="IE199" s="157">
        <f t="shared" si="478"/>
        <v>1848</v>
      </c>
      <c r="IF199" s="157">
        <f t="shared" si="479"/>
        <v>7600</v>
      </c>
      <c r="IG199" s="157">
        <f t="shared" si="480"/>
        <v>9156</v>
      </c>
    </row>
    <row r="200" spans="1:241" outlineLevel="1" x14ac:dyDescent="0.3">
      <c r="A200" s="81" t="s">
        <v>181</v>
      </c>
      <c r="B200" s="253">
        <f>+B165+B190+B199</f>
        <v>38176</v>
      </c>
      <c r="C200" s="253">
        <f t="shared" ref="C200:BN200" si="553">+C165+C190+C199</f>
        <v>46242</v>
      </c>
      <c r="D200" s="253">
        <f t="shared" si="553"/>
        <v>54631</v>
      </c>
      <c r="E200" s="253">
        <f t="shared" si="553"/>
        <v>47956</v>
      </c>
      <c r="F200" s="253">
        <f t="shared" si="553"/>
        <v>36749</v>
      </c>
      <c r="G200" s="253">
        <f t="shared" si="553"/>
        <v>44010</v>
      </c>
      <c r="H200" s="253">
        <f t="shared" si="553"/>
        <v>43184</v>
      </c>
      <c r="I200" s="253">
        <f t="shared" si="553"/>
        <v>51667</v>
      </c>
      <c r="J200" s="253">
        <f t="shared" si="553"/>
        <v>52097</v>
      </c>
      <c r="K200" s="253">
        <f t="shared" si="553"/>
        <v>41460</v>
      </c>
      <c r="L200" s="253">
        <f t="shared" si="553"/>
        <v>46927</v>
      </c>
      <c r="M200" s="253">
        <f t="shared" si="553"/>
        <v>51807</v>
      </c>
      <c r="N200" s="253">
        <f t="shared" si="553"/>
        <v>42304</v>
      </c>
      <c r="O200" s="253">
        <f t="shared" si="553"/>
        <v>48311</v>
      </c>
      <c r="P200" s="253">
        <f t="shared" si="553"/>
        <v>43510</v>
      </c>
      <c r="Q200" s="253">
        <f t="shared" si="553"/>
        <v>57335</v>
      </c>
      <c r="R200" s="253">
        <f t="shared" si="553"/>
        <v>59903</v>
      </c>
      <c r="S200" s="253">
        <f t="shared" si="553"/>
        <v>56107</v>
      </c>
      <c r="T200" s="253">
        <f t="shared" si="553"/>
        <v>46119</v>
      </c>
      <c r="U200" s="253">
        <f t="shared" si="553"/>
        <v>44960</v>
      </c>
      <c r="V200" s="253">
        <f t="shared" si="553"/>
        <v>52520</v>
      </c>
      <c r="W200" s="253">
        <f t="shared" si="553"/>
        <v>38623</v>
      </c>
      <c r="X200" s="253">
        <f t="shared" si="553"/>
        <v>48364</v>
      </c>
      <c r="Y200" s="253">
        <f t="shared" si="553"/>
        <v>53261</v>
      </c>
      <c r="Z200" s="253">
        <f t="shared" si="553"/>
        <v>41759</v>
      </c>
      <c r="AA200" s="253">
        <f t="shared" si="553"/>
        <v>47461</v>
      </c>
      <c r="AB200" s="253">
        <f t="shared" si="553"/>
        <v>51533</v>
      </c>
      <c r="AC200" s="253">
        <f t="shared" si="553"/>
        <v>55499</v>
      </c>
      <c r="AD200" s="253">
        <f t="shared" si="553"/>
        <v>53055</v>
      </c>
      <c r="AE200" s="253">
        <f t="shared" si="553"/>
        <v>57609</v>
      </c>
      <c r="AF200" s="253">
        <f t="shared" si="553"/>
        <v>48827</v>
      </c>
      <c r="AG200" s="253">
        <f t="shared" si="553"/>
        <v>56384</v>
      </c>
      <c r="AH200" s="253">
        <f t="shared" si="553"/>
        <v>69496</v>
      </c>
      <c r="AI200" s="253">
        <f t="shared" si="553"/>
        <v>45287</v>
      </c>
      <c r="AJ200" s="253">
        <f t="shared" si="553"/>
        <v>47011</v>
      </c>
      <c r="AK200" s="253">
        <f t="shared" si="553"/>
        <v>47992</v>
      </c>
      <c r="AL200" s="253">
        <f t="shared" si="553"/>
        <v>50479</v>
      </c>
      <c r="AM200" s="253">
        <f t="shared" si="553"/>
        <v>51552</v>
      </c>
      <c r="AN200" s="253">
        <f t="shared" si="553"/>
        <v>40343</v>
      </c>
      <c r="AO200" s="253">
        <f t="shared" si="553"/>
        <v>60216</v>
      </c>
      <c r="AP200" s="253">
        <f t="shared" si="553"/>
        <v>59568</v>
      </c>
      <c r="AQ200" s="253">
        <f t="shared" si="553"/>
        <v>57421</v>
      </c>
      <c r="AR200" s="253">
        <f t="shared" si="553"/>
        <v>59255</v>
      </c>
      <c r="AS200" s="253">
        <f t="shared" si="553"/>
        <v>51381</v>
      </c>
      <c r="AT200" s="253">
        <f t="shared" si="553"/>
        <v>61570</v>
      </c>
      <c r="AU200" s="253">
        <f t="shared" si="553"/>
        <v>42084</v>
      </c>
      <c r="AV200" s="253">
        <f t="shared" si="553"/>
        <v>58009</v>
      </c>
      <c r="AW200" s="253">
        <f t="shared" si="553"/>
        <v>62011</v>
      </c>
      <c r="AX200" s="253">
        <f t="shared" si="553"/>
        <v>53651</v>
      </c>
      <c r="AY200" s="253">
        <f t="shared" si="553"/>
        <v>51522</v>
      </c>
      <c r="AZ200" s="253">
        <f t="shared" si="553"/>
        <v>53609</v>
      </c>
      <c r="BA200" s="253">
        <f t="shared" si="553"/>
        <v>61883</v>
      </c>
      <c r="BB200" s="253">
        <f t="shared" si="553"/>
        <v>75483</v>
      </c>
      <c r="BC200" s="253">
        <f t="shared" si="553"/>
        <v>70962</v>
      </c>
      <c r="BD200" s="253">
        <f t="shared" si="553"/>
        <v>67565</v>
      </c>
      <c r="BE200" s="253">
        <f t="shared" si="553"/>
        <v>64160</v>
      </c>
      <c r="BF200" s="253">
        <f t="shared" si="553"/>
        <v>77314</v>
      </c>
      <c r="BG200" s="253">
        <f t="shared" si="553"/>
        <v>48588</v>
      </c>
      <c r="BH200" s="253">
        <f t="shared" si="553"/>
        <v>62319</v>
      </c>
      <c r="BI200" s="253">
        <f t="shared" si="553"/>
        <v>71556</v>
      </c>
      <c r="BJ200" s="253">
        <f t="shared" si="553"/>
        <v>60687</v>
      </c>
      <c r="BK200" s="253">
        <f t="shared" si="553"/>
        <v>64707</v>
      </c>
      <c r="BL200" s="253">
        <f t="shared" si="553"/>
        <v>62248</v>
      </c>
      <c r="BM200" s="253">
        <f t="shared" si="553"/>
        <v>59404</v>
      </c>
      <c r="BN200" s="253">
        <f t="shared" si="553"/>
        <v>56754</v>
      </c>
      <c r="BO200" s="253">
        <f t="shared" ref="BO200:DE200" si="554">+BO165+BO190+BO199</f>
        <v>58291</v>
      </c>
      <c r="BP200" s="253">
        <f t="shared" si="554"/>
        <v>54510</v>
      </c>
      <c r="BQ200" s="253">
        <f t="shared" si="554"/>
        <v>63739</v>
      </c>
      <c r="BR200" s="253">
        <f t="shared" si="554"/>
        <v>76110</v>
      </c>
      <c r="BS200" s="253">
        <f t="shared" si="554"/>
        <v>56626</v>
      </c>
      <c r="BT200" s="253">
        <f t="shared" si="554"/>
        <v>60478</v>
      </c>
      <c r="BU200" s="253">
        <f t="shared" si="554"/>
        <v>72706</v>
      </c>
      <c r="BV200" s="253">
        <f t="shared" si="554"/>
        <v>50921</v>
      </c>
      <c r="BW200" s="253">
        <f t="shared" si="554"/>
        <v>59648</v>
      </c>
      <c r="BX200" s="253">
        <f t="shared" si="554"/>
        <v>56592</v>
      </c>
      <c r="BY200" s="253">
        <f t="shared" si="554"/>
        <v>63926</v>
      </c>
      <c r="BZ200" s="253">
        <f t="shared" si="554"/>
        <v>60811</v>
      </c>
      <c r="CA200" s="253">
        <f t="shared" si="554"/>
        <v>58059</v>
      </c>
      <c r="CB200" s="253">
        <f t="shared" si="554"/>
        <v>51582</v>
      </c>
      <c r="CC200" s="253">
        <f t="shared" si="554"/>
        <v>48652</v>
      </c>
      <c r="CD200" s="253">
        <f t="shared" si="554"/>
        <v>60120</v>
      </c>
      <c r="CE200" s="253">
        <f t="shared" si="554"/>
        <v>46885</v>
      </c>
      <c r="CF200" s="253">
        <f t="shared" si="554"/>
        <v>50923</v>
      </c>
      <c r="CG200" s="253">
        <f t="shared" si="554"/>
        <v>68080</v>
      </c>
      <c r="CH200" s="253">
        <f t="shared" si="554"/>
        <v>56829</v>
      </c>
      <c r="CI200" s="253">
        <f t="shared" si="554"/>
        <v>59538</v>
      </c>
      <c r="CJ200" s="253">
        <f t="shared" si="554"/>
        <v>56729</v>
      </c>
      <c r="CK200" s="253">
        <f t="shared" si="554"/>
        <v>61104</v>
      </c>
      <c r="CL200" s="253">
        <f t="shared" si="554"/>
        <v>69749</v>
      </c>
      <c r="CM200" s="253">
        <f t="shared" si="554"/>
        <v>61333</v>
      </c>
      <c r="CN200" s="253">
        <f t="shared" si="554"/>
        <v>50467</v>
      </c>
      <c r="CO200" s="253">
        <f t="shared" si="554"/>
        <v>58562</v>
      </c>
      <c r="CP200" s="253">
        <f t="shared" si="554"/>
        <v>66073</v>
      </c>
      <c r="CQ200" s="253">
        <f t="shared" si="554"/>
        <v>43524</v>
      </c>
      <c r="CR200" s="253">
        <f t="shared" si="554"/>
        <v>55437</v>
      </c>
      <c r="CS200" s="253">
        <f t="shared" si="554"/>
        <v>37964</v>
      </c>
      <c r="CT200" s="253"/>
      <c r="CU200" s="253">
        <f t="shared" si="554"/>
        <v>14966</v>
      </c>
      <c r="CV200" s="253">
        <f t="shared" si="554"/>
        <v>24708</v>
      </c>
      <c r="CW200" s="253">
        <f t="shared" si="554"/>
        <v>34183</v>
      </c>
      <c r="CX200" s="253">
        <f t="shared" si="554"/>
        <v>38116</v>
      </c>
      <c r="CY200" s="253">
        <f t="shared" si="554"/>
        <v>39146</v>
      </c>
      <c r="CZ200" s="253">
        <f t="shared" si="554"/>
        <v>40528</v>
      </c>
      <c r="DA200" s="253">
        <f t="shared" si="554"/>
        <v>38300</v>
      </c>
      <c r="DB200" s="253">
        <f t="shared" si="554"/>
        <v>57126</v>
      </c>
      <c r="DC200" s="253">
        <f t="shared" si="554"/>
        <v>37187</v>
      </c>
      <c r="DD200" s="253">
        <f t="shared" si="554"/>
        <v>35345</v>
      </c>
      <c r="DE200" s="253">
        <f t="shared" si="554"/>
        <v>40316</v>
      </c>
      <c r="DF200" s="253">
        <v>42025</v>
      </c>
      <c r="DG200" s="253">
        <v>31810</v>
      </c>
      <c r="DH200" s="253">
        <v>52935</v>
      </c>
      <c r="DI200" s="253">
        <v>52319</v>
      </c>
      <c r="DJ200" s="253">
        <v>51204</v>
      </c>
      <c r="DK200" s="253">
        <v>53586</v>
      </c>
      <c r="DL200" s="253">
        <v>39666</v>
      </c>
      <c r="DM200" s="253">
        <v>44265</v>
      </c>
      <c r="DN200" s="253">
        <v>54846</v>
      </c>
      <c r="DO200" s="253">
        <v>40787</v>
      </c>
      <c r="DP200" s="253">
        <v>51213</v>
      </c>
      <c r="DQ200" s="253">
        <v>61270</v>
      </c>
      <c r="DR200" s="253">
        <v>46548</v>
      </c>
      <c r="DS200" s="253">
        <v>56888</v>
      </c>
      <c r="DT200" s="253">
        <v>56605</v>
      </c>
      <c r="DU200" s="253">
        <v>54073</v>
      </c>
      <c r="DV200" s="253">
        <v>54733</v>
      </c>
      <c r="DW200" s="253">
        <v>51223</v>
      </c>
      <c r="DX200" s="253">
        <v>47660</v>
      </c>
      <c r="DY200" s="253">
        <v>53959</v>
      </c>
      <c r="DZ200" s="253">
        <v>67929</v>
      </c>
      <c r="EA200" s="253">
        <v>55551</v>
      </c>
      <c r="EB200" s="253">
        <v>46486</v>
      </c>
      <c r="EC200" s="253">
        <v>69026</v>
      </c>
      <c r="ED200" s="253">
        <v>40899</v>
      </c>
      <c r="EE200" s="253">
        <v>53237</v>
      </c>
      <c r="EF200" s="253">
        <v>57618</v>
      </c>
      <c r="EG200" s="253">
        <v>59594</v>
      </c>
      <c r="EH200" s="253">
        <v>63883</v>
      </c>
      <c r="EI200" s="253">
        <v>60079</v>
      </c>
      <c r="EJ200" s="253">
        <v>53920</v>
      </c>
      <c r="EK200" s="253">
        <v>54092</v>
      </c>
      <c r="EL200" s="253">
        <v>60767</v>
      </c>
      <c r="EM200" s="253">
        <v>49245</v>
      </c>
      <c r="EN200" s="253">
        <v>54043</v>
      </c>
      <c r="EO200" s="253">
        <v>61950</v>
      </c>
      <c r="EP200" s="253">
        <v>49563</v>
      </c>
      <c r="EQ200" s="253">
        <v>53991</v>
      </c>
      <c r="ER200" s="253">
        <v>76927</v>
      </c>
      <c r="ES200" s="253">
        <v>61929</v>
      </c>
      <c r="ET200" s="253">
        <v>66008</v>
      </c>
      <c r="EU200" s="253">
        <v>67379</v>
      </c>
      <c r="EV200" s="253">
        <v>61530</v>
      </c>
      <c r="EW200" s="253">
        <v>60551</v>
      </c>
      <c r="EX200" s="253">
        <v>78870</v>
      </c>
      <c r="EY200" s="253">
        <v>57585</v>
      </c>
      <c r="EZ200" s="253">
        <v>56638</v>
      </c>
      <c r="FA200" s="253">
        <v>77176</v>
      </c>
      <c r="FB200" s="253">
        <v>59395</v>
      </c>
      <c r="FC200" s="253">
        <v>67181</v>
      </c>
      <c r="FD200" s="253">
        <v>76719</v>
      </c>
      <c r="FE200" s="253">
        <v>67292</v>
      </c>
      <c r="FF200" s="253">
        <v>82246</v>
      </c>
      <c r="FG200" s="253">
        <v>87762</v>
      </c>
      <c r="FH200" s="253">
        <v>68738</v>
      </c>
      <c r="FI200" s="253">
        <v>84646</v>
      </c>
      <c r="FJ200" s="253">
        <v>69235</v>
      </c>
      <c r="FN200" s="253">
        <f t="shared" ref="FN200:HI200" si="555">+FN165+FN190+FN199</f>
        <v>139049</v>
      </c>
      <c r="FO200" s="253">
        <f t="shared" si="555"/>
        <v>128715</v>
      </c>
      <c r="FP200" s="253">
        <f t="shared" si="555"/>
        <v>146948</v>
      </c>
      <c r="FQ200" s="253">
        <f t="shared" si="555"/>
        <v>140194</v>
      </c>
      <c r="FR200" s="253">
        <f t="shared" si="555"/>
        <v>134125</v>
      </c>
      <c r="FS200" s="253">
        <f t="shared" si="555"/>
        <v>173345</v>
      </c>
      <c r="FT200" s="253">
        <f t="shared" si="555"/>
        <v>143599</v>
      </c>
      <c r="FU200" s="253">
        <f t="shared" si="555"/>
        <v>140248</v>
      </c>
      <c r="FV200" s="253">
        <f t="shared" si="555"/>
        <v>140753</v>
      </c>
      <c r="FW200" s="253">
        <f t="shared" si="555"/>
        <v>166163</v>
      </c>
      <c r="FX200" s="253">
        <f t="shared" si="555"/>
        <v>174707</v>
      </c>
      <c r="FY200" s="253">
        <f t="shared" si="555"/>
        <v>140290</v>
      </c>
      <c r="FZ200" s="253">
        <f t="shared" si="555"/>
        <v>142374</v>
      </c>
      <c r="GA200" s="253">
        <f t="shared" si="555"/>
        <v>177205</v>
      </c>
      <c r="GB200" s="253">
        <f t="shared" si="555"/>
        <v>172206</v>
      </c>
      <c r="GC200" s="253">
        <f t="shared" si="555"/>
        <v>162104</v>
      </c>
      <c r="GD200" s="253">
        <f t="shared" si="555"/>
        <v>158782</v>
      </c>
      <c r="GE200" s="253">
        <f t="shared" si="555"/>
        <v>208328</v>
      </c>
      <c r="GF200" s="253">
        <f t="shared" si="555"/>
        <v>209039</v>
      </c>
      <c r="GG200" s="253">
        <f t="shared" si="555"/>
        <v>182463</v>
      </c>
      <c r="GH200" s="253">
        <f t="shared" si="555"/>
        <v>187642</v>
      </c>
      <c r="GI200" s="253">
        <f t="shared" si="555"/>
        <v>174449</v>
      </c>
      <c r="GJ200" s="253">
        <f t="shared" si="555"/>
        <v>194359</v>
      </c>
      <c r="GK200" s="253">
        <f t="shared" si="555"/>
        <v>189810</v>
      </c>
      <c r="GL200" s="253">
        <f t="shared" si="555"/>
        <v>167161</v>
      </c>
      <c r="GM200" s="253">
        <f t="shared" si="555"/>
        <v>182796</v>
      </c>
      <c r="GN200" s="253">
        <f t="shared" si="555"/>
        <v>160354</v>
      </c>
      <c r="GO200" s="253">
        <f t="shared" si="555"/>
        <v>165888</v>
      </c>
      <c r="GP200" s="253">
        <f t="shared" si="555"/>
        <v>173096</v>
      </c>
      <c r="GQ200" s="253">
        <f t="shared" si="555"/>
        <v>192186</v>
      </c>
      <c r="GR200" s="253">
        <f t="shared" si="555"/>
        <v>175102</v>
      </c>
      <c r="GS200" s="253">
        <f t="shared" si="555"/>
        <v>136925</v>
      </c>
      <c r="GT200" s="253">
        <f t="shared" si="555"/>
        <v>39674</v>
      </c>
      <c r="GU200" s="253">
        <f t="shared" si="555"/>
        <v>111445</v>
      </c>
      <c r="GV200" s="253">
        <f t="shared" si="555"/>
        <v>135954</v>
      </c>
      <c r="GW200" s="253">
        <f t="shared" si="555"/>
        <v>112848</v>
      </c>
      <c r="GX200" s="253">
        <f t="shared" si="555"/>
        <v>126770</v>
      </c>
      <c r="GY200" s="253">
        <f t="shared" si="555"/>
        <v>157109</v>
      </c>
      <c r="GZ200" s="253">
        <f t="shared" si="555"/>
        <v>138777</v>
      </c>
      <c r="HA200" s="253">
        <f t="shared" si="555"/>
        <v>153270</v>
      </c>
      <c r="HB200" s="253">
        <f t="shared" si="555"/>
        <v>160041</v>
      </c>
      <c r="HC200" s="253">
        <f t="shared" si="555"/>
        <v>160029</v>
      </c>
      <c r="HD200" s="253">
        <f t="shared" si="555"/>
        <v>169548</v>
      </c>
      <c r="HE200" s="253">
        <f t="shared" si="555"/>
        <v>171063</v>
      </c>
      <c r="HF200" s="253">
        <f t="shared" si="555"/>
        <v>151754</v>
      </c>
      <c r="HG200" s="253">
        <f t="shared" si="555"/>
        <v>183556</v>
      </c>
      <c r="HH200" s="253">
        <f t="shared" si="555"/>
        <v>168779</v>
      </c>
      <c r="HI200" s="253">
        <f t="shared" si="555"/>
        <v>165238</v>
      </c>
      <c r="HJ200" s="256">
        <f t="shared" si="543"/>
        <v>180481</v>
      </c>
      <c r="HK200" s="256">
        <f t="shared" si="544"/>
        <v>195316</v>
      </c>
      <c r="HL200" s="256">
        <f t="shared" si="545"/>
        <v>200951</v>
      </c>
      <c r="HM200" s="256">
        <f t="shared" si="546"/>
        <v>191399</v>
      </c>
      <c r="HN200" s="256">
        <f t="shared" si="547"/>
        <v>203295</v>
      </c>
      <c r="HO200" s="256">
        <f t="shared" si="548"/>
        <v>237300</v>
      </c>
      <c r="HP200" s="256">
        <f t="shared" si="549"/>
        <v>222619</v>
      </c>
      <c r="HQ200" s="168"/>
      <c r="HU200" s="169">
        <f t="shared" si="468"/>
        <v>554906</v>
      </c>
      <c r="HV200" s="169">
        <f t="shared" si="469"/>
        <v>591317</v>
      </c>
      <c r="HW200" s="257">
        <f t="shared" si="470"/>
        <v>621913</v>
      </c>
      <c r="HX200" s="258">
        <f t="shared" si="471"/>
        <v>653889</v>
      </c>
      <c r="HY200" s="253">
        <f t="shared" si="472"/>
        <v>758612</v>
      </c>
      <c r="HZ200" s="253">
        <f t="shared" si="473"/>
        <v>746260</v>
      </c>
      <c r="IA200" s="253">
        <f t="shared" si="474"/>
        <v>676199</v>
      </c>
      <c r="IB200" s="256">
        <f t="shared" si="475"/>
        <v>677309</v>
      </c>
      <c r="IC200" s="256">
        <f t="shared" si="476"/>
        <v>399921</v>
      </c>
      <c r="ID200" s="256">
        <f t="shared" si="477"/>
        <v>575926</v>
      </c>
      <c r="IE200" s="256">
        <f t="shared" si="478"/>
        <v>660681</v>
      </c>
      <c r="IF200" s="256">
        <f t="shared" si="479"/>
        <v>669327</v>
      </c>
      <c r="IG200" s="256">
        <f t="shared" si="480"/>
        <v>768147</v>
      </c>
    </row>
    <row r="201" spans="1:241" x14ac:dyDescent="0.3">
      <c r="HU201" s="136">
        <f t="shared" ref="HU201:IG201" si="556">HU90/10^6</f>
        <v>3.220256</v>
      </c>
      <c r="HV201" s="136">
        <f t="shared" si="556"/>
        <v>3.0927829999999998</v>
      </c>
      <c r="HW201" s="136">
        <f t="shared" si="556"/>
        <v>3.2229459999999999</v>
      </c>
      <c r="HX201" s="136">
        <f t="shared" si="556"/>
        <v>3.4435669999999998</v>
      </c>
      <c r="HY201" s="136">
        <f t="shared" si="556"/>
        <v>3.8052790000000001</v>
      </c>
      <c r="HZ201" s="136">
        <f t="shared" si="556"/>
        <v>4.0342260000000003</v>
      </c>
      <c r="IA201" s="136">
        <f t="shared" si="556"/>
        <v>4.0536349999999999</v>
      </c>
      <c r="IB201" s="136">
        <f t="shared" si="556"/>
        <v>3.4502860000000002</v>
      </c>
      <c r="IC201" s="136">
        <f t="shared" si="556"/>
        <v>3.1109339999999999</v>
      </c>
      <c r="ID201" s="136">
        <f t="shared" si="556"/>
        <v>3.6339899999999998</v>
      </c>
      <c r="IE201" s="136">
        <f t="shared" si="556"/>
        <v>4.4988950000000001</v>
      </c>
      <c r="IF201" s="136">
        <f t="shared" si="556"/>
        <v>4.8756370000000002</v>
      </c>
      <c r="IG201" s="136">
        <f t="shared" si="556"/>
        <v>5.0533149999999996</v>
      </c>
    </row>
    <row r="203" spans="1:241" ht="17.399999999999999" x14ac:dyDescent="0.3">
      <c r="A203" s="49" t="s">
        <v>182</v>
      </c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>
        <f t="shared" ref="N203:BY203" si="557">+N216+N227+N240</f>
        <v>69403</v>
      </c>
      <c r="O203" s="50">
        <f t="shared" si="557"/>
        <v>60995</v>
      </c>
      <c r="P203" s="50">
        <f t="shared" si="557"/>
        <v>71613</v>
      </c>
      <c r="Q203" s="50">
        <f t="shared" si="557"/>
        <v>66175</v>
      </c>
      <c r="R203" s="50">
        <f t="shared" si="557"/>
        <v>66952</v>
      </c>
      <c r="S203" s="50">
        <f t="shared" si="557"/>
        <v>80489</v>
      </c>
      <c r="T203" s="50">
        <f t="shared" si="557"/>
        <v>76698</v>
      </c>
      <c r="U203" s="50">
        <f t="shared" si="557"/>
        <v>64926</v>
      </c>
      <c r="V203" s="50">
        <f t="shared" si="557"/>
        <v>67860</v>
      </c>
      <c r="W203" s="50">
        <f t="shared" si="557"/>
        <v>67641</v>
      </c>
      <c r="X203" s="50">
        <f t="shared" si="557"/>
        <v>70935</v>
      </c>
      <c r="Y203" s="50">
        <f t="shared" si="557"/>
        <v>67305</v>
      </c>
      <c r="Z203" s="50">
        <f t="shared" si="557"/>
        <v>60655</v>
      </c>
      <c r="AA203" s="50">
        <f t="shared" si="557"/>
        <v>70305</v>
      </c>
      <c r="AB203" s="50">
        <f t="shared" si="557"/>
        <v>77761</v>
      </c>
      <c r="AC203" s="50">
        <f t="shared" si="557"/>
        <v>88436</v>
      </c>
      <c r="AD203" s="50">
        <f t="shared" si="557"/>
        <v>91398</v>
      </c>
      <c r="AE203" s="50">
        <f t="shared" si="557"/>
        <v>93130</v>
      </c>
      <c r="AF203" s="50">
        <f t="shared" si="557"/>
        <v>87447</v>
      </c>
      <c r="AG203" s="50">
        <f t="shared" si="557"/>
        <v>83701</v>
      </c>
      <c r="AH203" s="50">
        <f t="shared" si="557"/>
        <v>76729</v>
      </c>
      <c r="AI203" s="50">
        <f t="shared" si="557"/>
        <v>72591</v>
      </c>
      <c r="AJ203" s="50">
        <f t="shared" si="557"/>
        <v>56374</v>
      </c>
      <c r="AK203" s="50">
        <f t="shared" si="557"/>
        <v>77975</v>
      </c>
      <c r="AL203" s="50">
        <f t="shared" si="557"/>
        <v>79999</v>
      </c>
      <c r="AM203" s="50">
        <f t="shared" si="557"/>
        <v>74840</v>
      </c>
      <c r="AN203" s="50">
        <f t="shared" si="557"/>
        <v>79820</v>
      </c>
      <c r="AO203" s="50">
        <f t="shared" si="557"/>
        <v>83129</v>
      </c>
      <c r="AP203" s="50">
        <f t="shared" si="557"/>
        <v>87575</v>
      </c>
      <c r="AQ203" s="50">
        <f t="shared" si="557"/>
        <v>93948</v>
      </c>
      <c r="AR203" s="50">
        <f t="shared" si="557"/>
        <v>84373</v>
      </c>
      <c r="AS203" s="50">
        <f t="shared" si="557"/>
        <v>72717</v>
      </c>
      <c r="AT203" s="50">
        <f t="shared" si="557"/>
        <v>72721</v>
      </c>
      <c r="AU203" s="50">
        <f t="shared" si="557"/>
        <v>70258</v>
      </c>
      <c r="AV203" s="50">
        <f t="shared" si="557"/>
        <v>67869</v>
      </c>
      <c r="AW203" s="50">
        <f t="shared" si="557"/>
        <v>72340</v>
      </c>
      <c r="AX203" s="50">
        <f t="shared" si="557"/>
        <v>62521</v>
      </c>
      <c r="AY203" s="50">
        <f t="shared" si="557"/>
        <v>67618</v>
      </c>
      <c r="AZ203" s="50">
        <f t="shared" si="557"/>
        <v>74267</v>
      </c>
      <c r="BA203" s="50">
        <f t="shared" si="557"/>
        <v>75732</v>
      </c>
      <c r="BB203" s="50">
        <f t="shared" si="557"/>
        <v>77064</v>
      </c>
      <c r="BC203" s="50">
        <f t="shared" si="557"/>
        <v>78859</v>
      </c>
      <c r="BD203" s="50">
        <f t="shared" si="557"/>
        <v>82660</v>
      </c>
      <c r="BE203" s="50">
        <f t="shared" si="557"/>
        <v>56952</v>
      </c>
      <c r="BF203" s="50">
        <f t="shared" si="557"/>
        <v>45332</v>
      </c>
      <c r="BG203" s="50">
        <f t="shared" si="557"/>
        <v>51321</v>
      </c>
      <c r="BH203" s="50">
        <f t="shared" si="557"/>
        <v>52895</v>
      </c>
      <c r="BI203" s="50">
        <f t="shared" si="557"/>
        <v>55437</v>
      </c>
      <c r="BJ203" s="50">
        <f t="shared" si="557"/>
        <v>58671</v>
      </c>
      <c r="BK203" s="50">
        <f t="shared" si="557"/>
        <v>62818</v>
      </c>
      <c r="BL203" s="50">
        <f t="shared" si="557"/>
        <v>64458</v>
      </c>
      <c r="BM203" s="50">
        <f t="shared" si="557"/>
        <v>71089</v>
      </c>
      <c r="BN203" s="50">
        <f t="shared" si="557"/>
        <v>82941</v>
      </c>
      <c r="BO203" s="50">
        <f t="shared" si="557"/>
        <v>96351</v>
      </c>
      <c r="BP203" s="50">
        <f t="shared" si="557"/>
        <v>91856</v>
      </c>
      <c r="BQ203" s="50">
        <f t="shared" si="557"/>
        <v>94318</v>
      </c>
      <c r="BR203" s="50">
        <f t="shared" si="557"/>
        <v>95116</v>
      </c>
      <c r="BS203" s="50">
        <f t="shared" si="557"/>
        <v>96352</v>
      </c>
      <c r="BT203" s="50">
        <f t="shared" si="557"/>
        <v>94695</v>
      </c>
      <c r="BU203" s="50">
        <f t="shared" si="557"/>
        <v>103844</v>
      </c>
      <c r="BV203" s="50">
        <f t="shared" si="557"/>
        <v>99510</v>
      </c>
      <c r="BW203" s="50">
        <f t="shared" si="557"/>
        <v>100517</v>
      </c>
      <c r="BX203" s="50">
        <f t="shared" si="557"/>
        <v>104118</v>
      </c>
      <c r="BY203" s="50">
        <f t="shared" si="557"/>
        <v>105861</v>
      </c>
      <c r="BZ203" s="50">
        <f t="shared" ref="BZ203:EK203" si="558">+BZ216+BZ227+BZ240</f>
        <v>113878</v>
      </c>
      <c r="CA203" s="50">
        <f t="shared" si="558"/>
        <v>117218</v>
      </c>
      <c r="CB203" s="50">
        <f t="shared" si="558"/>
        <v>121210</v>
      </c>
      <c r="CC203" s="50">
        <f t="shared" si="558"/>
        <v>99820</v>
      </c>
      <c r="CD203" s="50">
        <f t="shared" si="558"/>
        <v>82587</v>
      </c>
      <c r="CE203" s="50">
        <f t="shared" si="558"/>
        <v>97275</v>
      </c>
      <c r="CF203" s="50">
        <f t="shared" si="558"/>
        <v>105848</v>
      </c>
      <c r="CG203" s="50">
        <f t="shared" si="558"/>
        <v>114505</v>
      </c>
      <c r="CH203" s="50">
        <f t="shared" si="558"/>
        <v>91408</v>
      </c>
      <c r="CI203" s="50">
        <f t="shared" si="558"/>
        <v>90603</v>
      </c>
      <c r="CJ203" s="50">
        <f t="shared" si="558"/>
        <v>91249</v>
      </c>
      <c r="CK203" s="50">
        <f t="shared" si="558"/>
        <v>95577</v>
      </c>
      <c r="CL203" s="50">
        <f t="shared" si="558"/>
        <v>104553</v>
      </c>
      <c r="CM203" s="50">
        <f t="shared" si="558"/>
        <v>110238</v>
      </c>
      <c r="CN203" s="50">
        <f t="shared" si="558"/>
        <v>111454</v>
      </c>
      <c r="CO203" s="50">
        <f t="shared" si="558"/>
        <v>103150</v>
      </c>
      <c r="CP203" s="50">
        <f t="shared" si="558"/>
        <v>94001</v>
      </c>
      <c r="CQ203" s="50">
        <f t="shared" si="558"/>
        <v>103655</v>
      </c>
      <c r="CR203" s="50">
        <f t="shared" si="558"/>
        <v>83170</v>
      </c>
      <c r="CS203" s="50">
        <f t="shared" si="558"/>
        <v>53359</v>
      </c>
      <c r="CT203" s="50">
        <f t="shared" si="558"/>
        <v>0</v>
      </c>
      <c r="CU203" s="50">
        <f t="shared" si="558"/>
        <v>19941</v>
      </c>
      <c r="CV203" s="50">
        <f t="shared" si="558"/>
        <v>36042</v>
      </c>
      <c r="CW203" s="50">
        <f t="shared" si="558"/>
        <v>32313</v>
      </c>
      <c r="CX203" s="50">
        <f t="shared" si="558"/>
        <v>53785</v>
      </c>
      <c r="CY203" s="50">
        <f t="shared" si="558"/>
        <v>60367</v>
      </c>
      <c r="CZ203" s="50">
        <f t="shared" si="558"/>
        <v>68096</v>
      </c>
      <c r="DA203" s="50">
        <f t="shared" si="558"/>
        <v>60519</v>
      </c>
      <c r="DB203" s="50">
        <f t="shared" si="558"/>
        <v>60399</v>
      </c>
      <c r="DC203" s="50">
        <f t="shared" si="558"/>
        <v>66253</v>
      </c>
      <c r="DD203" s="50">
        <f t="shared" si="558"/>
        <v>67918</v>
      </c>
      <c r="DE203" s="50">
        <f t="shared" si="558"/>
        <v>70697</v>
      </c>
      <c r="DF203" s="50">
        <f t="shared" si="558"/>
        <v>59470</v>
      </c>
      <c r="DG203" s="50">
        <f t="shared" si="558"/>
        <v>44623</v>
      </c>
      <c r="DH203" s="50">
        <f t="shared" si="558"/>
        <v>54675</v>
      </c>
      <c r="DI203" s="50">
        <f t="shared" si="558"/>
        <v>62548</v>
      </c>
      <c r="DJ203" s="50">
        <f t="shared" si="558"/>
        <v>59496</v>
      </c>
      <c r="DK203" s="50">
        <f t="shared" si="558"/>
        <v>67205</v>
      </c>
      <c r="DL203" s="50">
        <f t="shared" si="558"/>
        <v>73618</v>
      </c>
      <c r="DM203" s="50">
        <f t="shared" si="558"/>
        <v>64323</v>
      </c>
      <c r="DN203" s="50">
        <f t="shared" si="558"/>
        <v>69645</v>
      </c>
      <c r="DO203" s="50">
        <f t="shared" si="558"/>
        <v>62001</v>
      </c>
      <c r="DP203" s="50">
        <f t="shared" si="558"/>
        <v>61859</v>
      </c>
      <c r="DQ203" s="50">
        <f t="shared" si="558"/>
        <v>70305</v>
      </c>
      <c r="DR203" s="50">
        <f t="shared" si="558"/>
        <v>56313</v>
      </c>
      <c r="DS203" s="50">
        <f t="shared" si="558"/>
        <v>55531</v>
      </c>
      <c r="DT203" s="50">
        <f t="shared" si="558"/>
        <v>58658</v>
      </c>
      <c r="DU203" s="50">
        <f t="shared" si="558"/>
        <v>66764</v>
      </c>
      <c r="DV203" s="50">
        <f t="shared" si="558"/>
        <v>80042</v>
      </c>
      <c r="DW203" s="50">
        <f t="shared" si="558"/>
        <v>79631</v>
      </c>
      <c r="DX203" s="50">
        <f t="shared" si="558"/>
        <v>85610</v>
      </c>
      <c r="DY203" s="50">
        <f t="shared" si="558"/>
        <v>73485</v>
      </c>
      <c r="DZ203" s="50">
        <f t="shared" si="558"/>
        <v>60602</v>
      </c>
      <c r="EA203" s="50">
        <f t="shared" si="558"/>
        <v>68402</v>
      </c>
      <c r="EB203" s="50">
        <f t="shared" si="558"/>
        <v>66874</v>
      </c>
      <c r="EC203" s="50">
        <f t="shared" si="558"/>
        <v>70249</v>
      </c>
      <c r="ED203" s="50">
        <f t="shared" si="558"/>
        <v>62972</v>
      </c>
      <c r="EE203" s="50">
        <f t="shared" si="558"/>
        <v>69118</v>
      </c>
      <c r="EF203" s="50">
        <f t="shared" si="558"/>
        <v>74379</v>
      </c>
      <c r="EG203" s="50">
        <f t="shared" si="558"/>
        <v>79664</v>
      </c>
      <c r="EH203" s="50">
        <f t="shared" si="558"/>
        <v>87260</v>
      </c>
      <c r="EI203" s="50">
        <f t="shared" si="558"/>
        <v>98513</v>
      </c>
      <c r="EJ203" s="50">
        <f t="shared" si="558"/>
        <v>97436</v>
      </c>
      <c r="EK203" s="50">
        <f t="shared" si="558"/>
        <v>82569</v>
      </c>
      <c r="EL203" s="50">
        <f t="shared" ref="EL203:FJ203" si="559">+EL216+EL227+EL240</f>
        <v>70800</v>
      </c>
      <c r="EM203" s="50">
        <f t="shared" si="559"/>
        <v>71453</v>
      </c>
      <c r="EN203" s="50">
        <f t="shared" si="559"/>
        <v>77798</v>
      </c>
      <c r="EO203" s="50">
        <f t="shared" si="559"/>
        <v>78391</v>
      </c>
      <c r="EP203" s="50">
        <f t="shared" si="559"/>
        <v>69902</v>
      </c>
      <c r="EQ203" s="50">
        <f t="shared" si="559"/>
        <v>76756</v>
      </c>
      <c r="ER203" s="50">
        <f t="shared" si="559"/>
        <v>83619</v>
      </c>
      <c r="ES203" s="50">
        <f t="shared" si="559"/>
        <v>83478</v>
      </c>
      <c r="ET203" s="50">
        <f t="shared" si="559"/>
        <v>95404</v>
      </c>
      <c r="EU203" s="50">
        <f t="shared" si="559"/>
        <v>102443</v>
      </c>
      <c r="EV203" s="50">
        <f t="shared" si="559"/>
        <v>100178</v>
      </c>
      <c r="EW203" s="50">
        <f t="shared" si="559"/>
        <v>80682</v>
      </c>
      <c r="EX203" s="50">
        <f t="shared" si="559"/>
        <v>76042</v>
      </c>
      <c r="EY203" s="50">
        <f t="shared" si="559"/>
        <v>80389</v>
      </c>
      <c r="EZ203" s="50">
        <f t="shared" si="559"/>
        <v>82539</v>
      </c>
      <c r="FA203" s="50">
        <f t="shared" si="559"/>
        <v>89849</v>
      </c>
      <c r="FB203" s="50">
        <f t="shared" si="559"/>
        <v>75580</v>
      </c>
      <c r="FC203" s="50">
        <f t="shared" si="559"/>
        <v>83912</v>
      </c>
      <c r="FD203" s="50">
        <f t="shared" si="559"/>
        <v>97232</v>
      </c>
      <c r="FE203" s="50">
        <f t="shared" si="559"/>
        <v>107027</v>
      </c>
      <c r="FF203" s="50">
        <f t="shared" si="559"/>
        <v>115495</v>
      </c>
      <c r="FG203" s="50">
        <f t="shared" si="559"/>
        <v>122723</v>
      </c>
      <c r="FH203" s="50">
        <f t="shared" si="559"/>
        <v>120681</v>
      </c>
      <c r="FI203" s="50">
        <f t="shared" si="559"/>
        <v>115888</v>
      </c>
      <c r="FJ203" s="50">
        <f t="shared" si="559"/>
        <v>99929</v>
      </c>
      <c r="FN203" s="50">
        <f t="shared" ref="FN203:HQ203" si="560">+FN216+FN227+FN240</f>
        <v>111251</v>
      </c>
      <c r="FO203" s="50">
        <f t="shared" si="560"/>
        <v>139257</v>
      </c>
      <c r="FP203" s="50">
        <f t="shared" si="560"/>
        <v>151612</v>
      </c>
      <c r="FQ203" s="50">
        <f t="shared" si="560"/>
        <v>136170</v>
      </c>
      <c r="FR203" s="50">
        <f t="shared" si="560"/>
        <v>202011</v>
      </c>
      <c r="FS203" s="50">
        <f t="shared" si="560"/>
        <v>213616</v>
      </c>
      <c r="FT203" s="50">
        <f t="shared" si="560"/>
        <v>209484</v>
      </c>
      <c r="FU203" s="50">
        <f t="shared" si="560"/>
        <v>205881</v>
      </c>
      <c r="FV203" s="50">
        <f t="shared" si="560"/>
        <v>208721</v>
      </c>
      <c r="FW203" s="50">
        <f t="shared" si="560"/>
        <v>272964</v>
      </c>
      <c r="FX203" s="50">
        <f t="shared" si="560"/>
        <v>247877</v>
      </c>
      <c r="FY203" s="50">
        <f t="shared" si="560"/>
        <v>206940</v>
      </c>
      <c r="FZ203" s="50">
        <f t="shared" si="560"/>
        <v>234659</v>
      </c>
      <c r="GA203" s="50">
        <f t="shared" si="560"/>
        <v>264652</v>
      </c>
      <c r="GB203" s="50">
        <f t="shared" si="560"/>
        <v>229811</v>
      </c>
      <c r="GC203" s="50">
        <f t="shared" si="560"/>
        <v>210467</v>
      </c>
      <c r="GD203" s="50">
        <f t="shared" si="560"/>
        <v>204406</v>
      </c>
      <c r="GE203" s="50">
        <f t="shared" si="560"/>
        <v>231655</v>
      </c>
      <c r="GF203" s="50">
        <f t="shared" si="560"/>
        <v>184944</v>
      </c>
      <c r="GG203" s="50">
        <f t="shared" si="560"/>
        <v>159653</v>
      </c>
      <c r="GH203" s="50">
        <f t="shared" si="560"/>
        <v>185947</v>
      </c>
      <c r="GI203" s="50">
        <f t="shared" si="560"/>
        <v>250381</v>
      </c>
      <c r="GJ203" s="50">
        <f t="shared" si="560"/>
        <v>281290</v>
      </c>
      <c r="GK203" s="50">
        <f t="shared" si="560"/>
        <v>294891</v>
      </c>
      <c r="GL203" s="50">
        <f t="shared" si="560"/>
        <v>304145</v>
      </c>
      <c r="GM203" s="50">
        <f t="shared" si="560"/>
        <v>336957</v>
      </c>
      <c r="GN203" s="50">
        <f t="shared" si="560"/>
        <v>303617</v>
      </c>
      <c r="GO203" s="50">
        <f t="shared" si="560"/>
        <v>317628</v>
      </c>
      <c r="GP203" s="50">
        <f t="shared" si="560"/>
        <v>273260</v>
      </c>
      <c r="GQ203" s="50">
        <f t="shared" si="560"/>
        <v>310368</v>
      </c>
      <c r="GR203" s="50">
        <f t="shared" si="560"/>
        <v>308605</v>
      </c>
      <c r="GS203" s="50">
        <f t="shared" si="560"/>
        <v>240184</v>
      </c>
      <c r="GT203" s="50">
        <f t="shared" si="560"/>
        <v>55983</v>
      </c>
      <c r="GU203" s="50">
        <f t="shared" si="560"/>
        <v>146465</v>
      </c>
      <c r="GV203" s="50">
        <f t="shared" si="560"/>
        <v>189014</v>
      </c>
      <c r="GW203" s="50">
        <f t="shared" si="560"/>
        <v>204868</v>
      </c>
      <c r="GX203" s="50">
        <f t="shared" si="560"/>
        <v>158768</v>
      </c>
      <c r="GY203" s="50">
        <f t="shared" si="560"/>
        <v>189249</v>
      </c>
      <c r="GZ203" s="50">
        <f t="shared" si="560"/>
        <v>207586</v>
      </c>
      <c r="HA203" s="50">
        <f t="shared" si="560"/>
        <v>194165</v>
      </c>
      <c r="HB203" s="50">
        <f t="shared" si="560"/>
        <v>170502</v>
      </c>
      <c r="HC203" s="50">
        <f t="shared" si="560"/>
        <v>226437</v>
      </c>
      <c r="HD203" s="50">
        <f t="shared" si="560"/>
        <v>219697</v>
      </c>
      <c r="HE203" s="50">
        <f t="shared" si="560"/>
        <v>205525</v>
      </c>
      <c r="HF203" s="50">
        <f t="shared" si="560"/>
        <v>206469</v>
      </c>
      <c r="HG203" s="50">
        <f t="shared" si="560"/>
        <v>265437</v>
      </c>
      <c r="HH203" s="50">
        <f t="shared" si="560"/>
        <v>250805</v>
      </c>
      <c r="HI203" s="50">
        <f t="shared" si="560"/>
        <v>227642</v>
      </c>
      <c r="HJ203" s="50">
        <f t="shared" si="560"/>
        <v>230277</v>
      </c>
      <c r="HK203" s="50">
        <f t="shared" si="560"/>
        <v>281325</v>
      </c>
      <c r="HL203" s="50">
        <f t="shared" si="560"/>
        <v>256902</v>
      </c>
      <c r="HM203" s="50">
        <f t="shared" si="560"/>
        <v>252777</v>
      </c>
      <c r="HN203" s="50">
        <f t="shared" si="560"/>
        <v>256724</v>
      </c>
      <c r="HO203" s="50">
        <f t="shared" si="560"/>
        <v>345245</v>
      </c>
      <c r="HP203" s="50">
        <f t="shared" si="560"/>
        <v>336498</v>
      </c>
      <c r="HQ203" s="50">
        <f t="shared" si="560"/>
        <v>0</v>
      </c>
      <c r="HU203" s="50"/>
      <c r="HV203" s="50">
        <f t="shared" ref="HV203:IG203" si="561">+HV216+HV227+HV240</f>
        <v>830992</v>
      </c>
      <c r="HW203" s="50">
        <f t="shared" si="561"/>
        <v>936502</v>
      </c>
      <c r="HX203" s="50">
        <f t="shared" si="561"/>
        <v>939589</v>
      </c>
      <c r="HY203" s="50">
        <f t="shared" si="561"/>
        <v>780658</v>
      </c>
      <c r="HZ203" s="50">
        <f t="shared" si="561"/>
        <v>1012509</v>
      </c>
      <c r="IA203" s="50">
        <f t="shared" si="561"/>
        <v>1262347</v>
      </c>
      <c r="IB203" s="50">
        <f t="shared" si="561"/>
        <v>1132417</v>
      </c>
      <c r="IC203" s="50">
        <f t="shared" si="561"/>
        <v>596330</v>
      </c>
      <c r="ID203" s="50">
        <f t="shared" si="561"/>
        <v>749768</v>
      </c>
      <c r="IE203" s="50">
        <f t="shared" si="561"/>
        <v>822161</v>
      </c>
      <c r="IF203" s="50">
        <f t="shared" si="561"/>
        <v>950353</v>
      </c>
      <c r="IG203" s="50">
        <f t="shared" si="561"/>
        <v>1021281</v>
      </c>
    </row>
    <row r="204" spans="1:241" outlineLevel="1" x14ac:dyDescent="0.3">
      <c r="A204" s="138" t="s">
        <v>183</v>
      </c>
    </row>
    <row r="205" spans="1:241" outlineLevel="2" x14ac:dyDescent="0.3">
      <c r="A205" s="259" t="s">
        <v>184</v>
      </c>
      <c r="B205" s="43">
        <v>935</v>
      </c>
      <c r="C205" s="43">
        <v>1117</v>
      </c>
      <c r="D205" s="43">
        <v>1294</v>
      </c>
      <c r="E205" s="43">
        <v>1363</v>
      </c>
      <c r="F205" s="43">
        <v>1386</v>
      </c>
      <c r="G205" s="43">
        <v>1552</v>
      </c>
      <c r="H205" s="43">
        <v>1898</v>
      </c>
      <c r="I205" s="43">
        <v>1796</v>
      </c>
      <c r="J205" s="43">
        <v>1475</v>
      </c>
      <c r="K205" s="43">
        <v>1468</v>
      </c>
      <c r="L205" s="43">
        <v>1226</v>
      </c>
      <c r="M205" s="43">
        <v>1535</v>
      </c>
      <c r="N205" s="43">
        <v>1139</v>
      </c>
      <c r="O205" s="43">
        <v>1342</v>
      </c>
      <c r="P205" s="43">
        <v>1614</v>
      </c>
      <c r="Q205" s="43">
        <v>1823</v>
      </c>
      <c r="R205" s="43">
        <v>2016</v>
      </c>
      <c r="S205" s="43">
        <v>2099</v>
      </c>
      <c r="T205" s="43">
        <v>2394</v>
      </c>
      <c r="U205" s="43">
        <v>1764</v>
      </c>
      <c r="V205" s="43">
        <v>2002</v>
      </c>
      <c r="W205" s="43">
        <v>1731</v>
      </c>
      <c r="X205" s="43">
        <v>1543</v>
      </c>
      <c r="Y205" s="43">
        <v>1655</v>
      </c>
      <c r="Z205" s="43">
        <v>1107</v>
      </c>
      <c r="AA205" s="43">
        <v>1398</v>
      </c>
      <c r="AB205" s="43">
        <v>1769</v>
      </c>
      <c r="AC205" s="43">
        <v>2130</v>
      </c>
      <c r="AD205" s="43">
        <v>2002</v>
      </c>
      <c r="AE205" s="43">
        <v>2432</v>
      </c>
      <c r="AF205" s="43">
        <v>2349</v>
      </c>
      <c r="AG205" s="43">
        <v>2033</v>
      </c>
      <c r="AH205" s="43">
        <v>1783</v>
      </c>
      <c r="AI205" s="43">
        <v>2023</v>
      </c>
      <c r="AJ205" s="43">
        <v>1755</v>
      </c>
      <c r="AK205" s="43">
        <v>1635</v>
      </c>
      <c r="AL205" s="43">
        <v>1157</v>
      </c>
      <c r="AM205" s="43">
        <v>1369</v>
      </c>
      <c r="AN205" s="43">
        <v>1811</v>
      </c>
      <c r="AO205" s="43">
        <v>2050</v>
      </c>
      <c r="AP205" s="43">
        <v>2188</v>
      </c>
      <c r="AQ205" s="43">
        <v>2558</v>
      </c>
      <c r="AR205" s="43">
        <v>2508</v>
      </c>
      <c r="AS205" s="43">
        <v>2302</v>
      </c>
      <c r="AT205" s="43">
        <v>2001</v>
      </c>
      <c r="AU205" s="43">
        <v>1881</v>
      </c>
      <c r="AV205" s="43">
        <v>1360</v>
      </c>
      <c r="AW205" s="43">
        <v>1213</v>
      </c>
      <c r="AX205" s="43">
        <v>517</v>
      </c>
      <c r="AY205" s="43">
        <v>1325</v>
      </c>
      <c r="AZ205" s="43">
        <v>1740</v>
      </c>
      <c r="BA205" s="43">
        <v>1658</v>
      </c>
      <c r="BB205" s="43">
        <v>2014</v>
      </c>
      <c r="BC205" s="43">
        <v>2437</v>
      </c>
      <c r="BD205" s="43">
        <v>2574</v>
      </c>
      <c r="BE205" s="43">
        <v>1656</v>
      </c>
      <c r="BF205" s="43">
        <v>946</v>
      </c>
      <c r="BG205" s="43">
        <v>1042</v>
      </c>
      <c r="BH205" s="43">
        <v>1028</v>
      </c>
      <c r="BI205" s="43">
        <v>1428</v>
      </c>
      <c r="BJ205" s="43">
        <v>954</v>
      </c>
      <c r="BK205" s="43">
        <v>1306</v>
      </c>
      <c r="BL205" s="43">
        <v>1478</v>
      </c>
      <c r="BM205" s="43">
        <v>1761</v>
      </c>
      <c r="BN205" s="43">
        <v>2126</v>
      </c>
      <c r="BO205" s="43">
        <v>2492</v>
      </c>
      <c r="BP205" s="43">
        <v>1627</v>
      </c>
      <c r="BQ205" s="43">
        <v>1806</v>
      </c>
      <c r="BR205" s="43">
        <v>1249</v>
      </c>
      <c r="BS205" s="43">
        <v>1792</v>
      </c>
      <c r="BT205" s="43">
        <v>1599</v>
      </c>
      <c r="BU205" s="43">
        <v>1720</v>
      </c>
      <c r="BV205" s="43">
        <v>1245</v>
      </c>
      <c r="BW205" s="43">
        <v>1667</v>
      </c>
      <c r="BX205" s="43">
        <v>1513</v>
      </c>
      <c r="BY205" s="43">
        <v>2124</v>
      </c>
      <c r="BZ205" s="43">
        <v>2306</v>
      </c>
      <c r="CA205" s="43">
        <v>2858</v>
      </c>
      <c r="CB205" s="43">
        <f>3025+59</f>
        <v>3084</v>
      </c>
      <c r="CC205" s="43">
        <v>1929</v>
      </c>
      <c r="CD205" s="43">
        <v>2299</v>
      </c>
      <c r="CE205" s="43">
        <v>1756</v>
      </c>
      <c r="CF205" s="43">
        <v>1876</v>
      </c>
      <c r="CG205" s="43">
        <v>2155</v>
      </c>
      <c r="CH205" s="43">
        <v>1447</v>
      </c>
      <c r="CI205" s="43">
        <v>1793</v>
      </c>
      <c r="CJ205" s="43">
        <v>1749</v>
      </c>
      <c r="CK205" s="43">
        <v>2180</v>
      </c>
      <c r="CL205" s="43">
        <v>2424</v>
      </c>
      <c r="CM205" s="43">
        <v>3081</v>
      </c>
      <c r="CN205" s="43">
        <v>3159</v>
      </c>
      <c r="CO205" s="43">
        <v>2229</v>
      </c>
      <c r="CP205" s="43">
        <v>2072</v>
      </c>
      <c r="CQ205" s="43">
        <v>1954</v>
      </c>
      <c r="CR205" s="43">
        <v>841</v>
      </c>
      <c r="CS205" s="43">
        <v>346</v>
      </c>
      <c r="CT205" s="43"/>
      <c r="CU205" s="43">
        <v>133</v>
      </c>
      <c r="CV205" s="43">
        <v>496</v>
      </c>
      <c r="CW205" s="43">
        <v>534</v>
      </c>
      <c r="CX205" s="43">
        <v>595</v>
      </c>
      <c r="CY205" s="43">
        <v>723</v>
      </c>
      <c r="CZ205" s="43">
        <v>870</v>
      </c>
      <c r="DA205" s="43">
        <v>626</v>
      </c>
      <c r="DB205" s="43">
        <v>871</v>
      </c>
      <c r="DC205" s="43">
        <v>596</v>
      </c>
      <c r="DD205" s="43">
        <v>624</v>
      </c>
      <c r="DE205" s="43">
        <v>799</v>
      </c>
      <c r="DF205" s="43">
        <v>389</v>
      </c>
      <c r="DG205" s="43">
        <v>8</v>
      </c>
      <c r="DH205" s="43">
        <v>308</v>
      </c>
      <c r="DI205" s="43">
        <v>520</v>
      </c>
      <c r="DJ205" s="43">
        <v>637</v>
      </c>
      <c r="DK205" s="43">
        <v>983</v>
      </c>
      <c r="DL205" s="43">
        <v>1090</v>
      </c>
      <c r="DM205" s="43">
        <v>598</v>
      </c>
      <c r="DN205" s="43">
        <v>913</v>
      </c>
      <c r="DO205" s="43">
        <v>709</v>
      </c>
      <c r="DP205" s="43">
        <v>637</v>
      </c>
      <c r="DQ205" s="43">
        <v>651</v>
      </c>
      <c r="DR205" s="43">
        <v>684</v>
      </c>
      <c r="DS205" s="43">
        <v>754</v>
      </c>
      <c r="DT205" s="43">
        <v>784</v>
      </c>
      <c r="DU205" s="43">
        <v>842</v>
      </c>
      <c r="DV205" s="43">
        <v>859</v>
      </c>
      <c r="DW205" s="43">
        <v>901</v>
      </c>
      <c r="DX205" s="43">
        <v>784</v>
      </c>
      <c r="DY205" s="43">
        <v>466</v>
      </c>
      <c r="DZ205" s="43">
        <v>529</v>
      </c>
      <c r="EA205" s="43">
        <v>586</v>
      </c>
      <c r="EB205" s="43">
        <v>415</v>
      </c>
      <c r="EC205" s="43">
        <v>555</v>
      </c>
      <c r="ED205" s="43">
        <v>201</v>
      </c>
      <c r="EE205" s="43">
        <v>450</v>
      </c>
      <c r="EF205" s="43">
        <v>506</v>
      </c>
      <c r="EG205" s="43">
        <v>662</v>
      </c>
      <c r="EH205" s="43">
        <v>814</v>
      </c>
      <c r="EI205" s="43">
        <v>950</v>
      </c>
      <c r="EJ205" s="43">
        <v>848</v>
      </c>
      <c r="EK205" s="43">
        <v>648</v>
      </c>
      <c r="EL205" s="43">
        <v>589</v>
      </c>
      <c r="EM205" s="43">
        <v>531</v>
      </c>
      <c r="EN205" s="43">
        <v>528</v>
      </c>
      <c r="EO205" s="43">
        <v>769</v>
      </c>
      <c r="EP205" s="43">
        <v>457</v>
      </c>
      <c r="EQ205" s="43">
        <v>569</v>
      </c>
      <c r="ER205" s="43">
        <v>745</v>
      </c>
      <c r="ES205" s="43">
        <v>813</v>
      </c>
      <c r="ET205" s="43">
        <v>1060</v>
      </c>
      <c r="EU205" s="43">
        <v>1161</v>
      </c>
      <c r="EV205" s="43">
        <v>1153</v>
      </c>
      <c r="EW205" s="43">
        <v>918</v>
      </c>
      <c r="EX205" s="43">
        <v>928</v>
      </c>
      <c r="EY205" s="43">
        <v>789</v>
      </c>
      <c r="EZ205" s="43">
        <v>866</v>
      </c>
      <c r="FA205" s="43">
        <v>1166</v>
      </c>
      <c r="FB205" s="43">
        <v>408</v>
      </c>
      <c r="FC205" s="43">
        <v>882</v>
      </c>
      <c r="FD205" s="43">
        <v>1050</v>
      </c>
      <c r="FE205" s="43">
        <v>1042</v>
      </c>
      <c r="FF205" s="43">
        <v>1059</v>
      </c>
      <c r="FG205" s="43">
        <v>1199</v>
      </c>
      <c r="FH205" s="43">
        <v>1246</v>
      </c>
      <c r="FI205" s="43">
        <v>971</v>
      </c>
      <c r="FJ205" s="43">
        <v>1031</v>
      </c>
      <c r="FK205" s="43"/>
      <c r="FL205" s="43"/>
      <c r="FM205" s="43"/>
      <c r="FN205" s="66">
        <f t="shared" ref="FN205:FN240" si="562">+SUM(B205:D205)</f>
        <v>3346</v>
      </c>
      <c r="FO205" s="67">
        <f t="shared" ref="FO205:FO240" si="563">+SUM(E205:G205)</f>
        <v>4301</v>
      </c>
      <c r="FP205" s="67">
        <f t="shared" ref="FP205:FP240" si="564">+SUM(H205:J205)</f>
        <v>5169</v>
      </c>
      <c r="FQ205" s="67">
        <f t="shared" ref="FQ205:FQ240" si="565">+SUM(K205:M205)</f>
        <v>4229</v>
      </c>
      <c r="FR205" s="67">
        <f t="shared" ref="FR205:FR240" si="566">+SUM(N205:P205)</f>
        <v>4095</v>
      </c>
      <c r="FS205" s="67">
        <f t="shared" ref="FS205:FS240" si="567">+SUM(Q205:S205)</f>
        <v>5938</v>
      </c>
      <c r="FT205" s="67">
        <f t="shared" ref="FT205:FT240" si="568">+SUM(T205:V205)</f>
        <v>6160</v>
      </c>
      <c r="FU205" s="67">
        <f t="shared" ref="FU205:FU240" si="569">+SUM(W205:Y205)</f>
        <v>4929</v>
      </c>
      <c r="FV205" s="67">
        <f t="shared" ref="FV205:FV240" si="570">+SUM(Z205:AB205)</f>
        <v>4274</v>
      </c>
      <c r="FW205" s="67">
        <f t="shared" ref="FW205:FW240" si="571">+SUM(AC205:AE205)</f>
        <v>6564</v>
      </c>
      <c r="FX205" s="67">
        <f t="shared" ref="FX205:FX240" si="572">+SUM(AF205:AH205)</f>
        <v>6165</v>
      </c>
      <c r="FY205" s="67">
        <f t="shared" ref="FY205:FY240" si="573">+SUM(AI205:AK205)</f>
        <v>5413</v>
      </c>
      <c r="FZ205" s="67">
        <f t="shared" ref="FZ205:FZ240" si="574">+SUM(AL205:AN205)</f>
        <v>4337</v>
      </c>
      <c r="GA205" s="67">
        <f t="shared" ref="GA205:GA240" si="575">+SUM(AO205:AQ205)</f>
        <v>6796</v>
      </c>
      <c r="GB205" s="67">
        <f t="shared" ref="GB205:GB240" si="576">+SUM(AR205:AT205)</f>
        <v>6811</v>
      </c>
      <c r="GC205" s="67">
        <f t="shared" ref="GC205:GC240" si="577">+SUM(AU205:AW205)</f>
        <v>4454</v>
      </c>
      <c r="GD205" s="67">
        <f t="shared" ref="GD205:GD240" si="578">+SUM(AX205:AZ205)</f>
        <v>3582</v>
      </c>
      <c r="GE205" s="67">
        <f t="shared" ref="GE205:GE240" si="579">+SUM(BA205:BC205)</f>
        <v>6109</v>
      </c>
      <c r="GF205" s="67">
        <f t="shared" ref="GF205:GF240" si="580">+SUM(BD205:BF205)</f>
        <v>5176</v>
      </c>
      <c r="GG205" s="67">
        <f t="shared" ref="GG205:GG240" si="581">+SUM(BG205:BI205)</f>
        <v>3498</v>
      </c>
      <c r="GH205" s="67">
        <f t="shared" ref="GH205:GH240" si="582">+SUM(BJ205:BL205)</f>
        <v>3738</v>
      </c>
      <c r="GI205" s="67">
        <f t="shared" ref="GI205:GI240" si="583">+SUM(BM205:BO205)</f>
        <v>6379</v>
      </c>
      <c r="GJ205" s="67">
        <f t="shared" ref="GJ205:GJ240" si="584">+SUM(BP205:BR205)</f>
        <v>4682</v>
      </c>
      <c r="GK205" s="67">
        <f t="shared" ref="GK205:GK240" si="585">+SUM(BS205:BU205)</f>
        <v>5111</v>
      </c>
      <c r="GL205" s="67">
        <f t="shared" ref="GL205:GL240" si="586">+SUM(BV205:BX205)</f>
        <v>4425</v>
      </c>
      <c r="GM205" s="67">
        <f t="shared" ref="GM205:GM240" si="587">+SUM(BY205:CA205)</f>
        <v>7288</v>
      </c>
      <c r="GN205" s="67">
        <f t="shared" ref="GN205:GN240" si="588">+SUM(CB205:CD205)</f>
        <v>7312</v>
      </c>
      <c r="GO205" s="67">
        <f t="shared" ref="GO205:GO240" si="589">+SUM(CE205:CG205)</f>
        <v>5787</v>
      </c>
      <c r="GP205" s="67">
        <f t="shared" ref="GP205:GP240" si="590">+SUM(CH205:CJ205)</f>
        <v>4989</v>
      </c>
      <c r="GQ205" s="67">
        <f t="shared" ref="GQ205:GQ240" si="591">+SUM(CK205:CM205)</f>
        <v>7685</v>
      </c>
      <c r="GR205" s="67">
        <f t="shared" ref="GR205:GR240" si="592">+SUM(CN205:CP205)</f>
        <v>7460</v>
      </c>
      <c r="GS205" s="67">
        <f t="shared" ref="GS205:GS240" si="593">+SUM(CQ205:CS205)</f>
        <v>3141</v>
      </c>
      <c r="GT205" s="67">
        <f t="shared" ref="GT205:GT240" si="594">+SUM(CT205:CV205)</f>
        <v>629</v>
      </c>
      <c r="GU205" s="67">
        <f t="shared" ref="GU205:GU240" si="595">+SUM(CW205:CY205)</f>
        <v>1852</v>
      </c>
      <c r="GV205" s="67">
        <f t="shared" ref="GV205:GV240" si="596">+SUM(CZ205:DB205)</f>
        <v>2367</v>
      </c>
      <c r="GW205" s="67">
        <f t="shared" ref="GW205:GW240" si="597">+SUM(DC205:DE205)</f>
        <v>2019</v>
      </c>
      <c r="GX205" s="67">
        <f t="shared" ref="GX205:GX240" si="598">+SUM(DF205:DH205)</f>
        <v>705</v>
      </c>
      <c r="GY205" s="67">
        <f t="shared" ref="GY205:GY240" si="599">+SUM(DI205:DK205)</f>
        <v>2140</v>
      </c>
      <c r="GZ205" s="67">
        <f t="shared" ref="GZ205:GZ240" si="600">+SUM(DL205:DN205)</f>
        <v>2601</v>
      </c>
      <c r="HA205" s="67">
        <f t="shared" ref="HA205:HA240" si="601">+SUM(DO205:DQ205)</f>
        <v>1997</v>
      </c>
      <c r="HB205" s="67">
        <f t="shared" ref="HB205:HB240" si="602">+SUM(DR205:DT205)</f>
        <v>2222</v>
      </c>
      <c r="HC205" s="67">
        <f t="shared" ref="HC205:HC240" si="603">+SUM(DU205:DW205)</f>
        <v>2602</v>
      </c>
      <c r="HD205" s="67">
        <f t="shared" ref="HD205:HD240" si="604">+SUM(DX205:DZ205)</f>
        <v>1779</v>
      </c>
      <c r="HE205" s="67">
        <f t="shared" ref="HE205:HE240" si="605">+SUM(EA205:EC205)</f>
        <v>1556</v>
      </c>
      <c r="HF205" s="67">
        <f t="shared" ref="HF205:HF240" si="606">+SUM(ED205:EF205)</f>
        <v>1157</v>
      </c>
      <c r="HG205" s="67">
        <f t="shared" ref="HG205:HG240" si="607">+SUM(EG205:EI205)</f>
        <v>2426</v>
      </c>
      <c r="HH205" s="67">
        <f t="shared" ref="HH205:HH240" si="608">+SUM(EJ205:EL205)</f>
        <v>2085</v>
      </c>
      <c r="HI205" s="67">
        <f t="shared" ref="HI205:HI240" si="609">+SUM(EM205:EO205)</f>
        <v>1828</v>
      </c>
      <c r="HJ205" s="210">
        <f t="shared" ref="HJ205:HJ240" si="610">SUM(EP205:ER205)</f>
        <v>1771</v>
      </c>
      <c r="HK205" s="210">
        <f t="shared" ref="HK205:HK240" si="611">SUM(ES205:EU205)</f>
        <v>3034</v>
      </c>
      <c r="HL205" s="210">
        <f t="shared" ref="HL205:HL240" si="612">SUM(EV205:EX205)</f>
        <v>2999</v>
      </c>
      <c r="HM205" s="210">
        <f t="shared" ref="HM205:HM240" si="613">SUM(EY205:FA205)</f>
        <v>2821</v>
      </c>
      <c r="HN205" s="210">
        <f t="shared" ref="HN205:HN216" si="614">SUM(FB205:FD205)</f>
        <v>2340</v>
      </c>
      <c r="HO205" s="210">
        <f t="shared" ref="HO205:HO216" si="615">SUM(FE205:FG205)</f>
        <v>3300</v>
      </c>
      <c r="HP205" s="210">
        <f t="shared" ref="HP205:HP216" si="616">SUM(FH205:FJ205)</f>
        <v>3248</v>
      </c>
      <c r="HQ205" s="60"/>
      <c r="HR205" s="43"/>
      <c r="HS205" s="43"/>
      <c r="HT205" s="43"/>
      <c r="HU205" s="211">
        <f>SUM(B205:M205)</f>
        <v>17045</v>
      </c>
      <c r="HV205" s="211">
        <f>SUM(N205:Y205)</f>
        <v>21122</v>
      </c>
      <c r="HW205" s="211">
        <f>SUM(Z205:AK205)</f>
        <v>22416</v>
      </c>
      <c r="HX205" s="212">
        <f>SUM(AL205:AW205)</f>
        <v>22398</v>
      </c>
      <c r="HY205" s="58">
        <f>SUM(AX205:BI205)</f>
        <v>18365</v>
      </c>
      <c r="HZ205" s="58">
        <f>SUM(BJ205:BU205)</f>
        <v>19910</v>
      </c>
      <c r="IA205" s="58">
        <f>SUM(BV205:CG205)</f>
        <v>24812</v>
      </c>
      <c r="IB205" s="64">
        <f>SUM(CH205:CS205)</f>
        <v>23275</v>
      </c>
      <c r="IC205" s="64">
        <f>SUM(CT205:DE205)</f>
        <v>6867</v>
      </c>
      <c r="ID205" s="64">
        <f t="shared" ref="ID205:ID215" si="617">SUM(DF205:DQ205)</f>
        <v>7443</v>
      </c>
      <c r="IE205" s="64">
        <f t="shared" ref="IE205:IE215" si="618">SUM(DR205:EC205)</f>
        <v>8159</v>
      </c>
      <c r="IF205" s="64">
        <f t="shared" ref="IF205:IF215" si="619">SUM(ED205:EO205)</f>
        <v>7496</v>
      </c>
      <c r="IG205" s="64">
        <f t="shared" ref="IG205:IG215" si="620">SUM(EP205:FA205)</f>
        <v>10625</v>
      </c>
    </row>
    <row r="206" spans="1:241" outlineLevel="2" x14ac:dyDescent="0.3">
      <c r="A206" s="260" t="s">
        <v>116</v>
      </c>
      <c r="B206" s="43">
        <v>11997</v>
      </c>
      <c r="C206" s="43">
        <v>14429</v>
      </c>
      <c r="D206" s="43">
        <v>17312</v>
      </c>
      <c r="E206" s="43">
        <v>17740</v>
      </c>
      <c r="F206" s="43">
        <v>17940</v>
      </c>
      <c r="G206" s="43">
        <v>20463</v>
      </c>
      <c r="H206" s="43">
        <v>23317</v>
      </c>
      <c r="I206" s="43">
        <v>20791</v>
      </c>
      <c r="J206" s="43">
        <v>19385</v>
      </c>
      <c r="K206" s="43">
        <v>23046</v>
      </c>
      <c r="L206" s="43">
        <v>18559</v>
      </c>
      <c r="M206" s="43">
        <v>18308</v>
      </c>
      <c r="N206" s="43">
        <v>13984</v>
      </c>
      <c r="O206" s="43">
        <v>15362</v>
      </c>
      <c r="P206" s="43">
        <v>15658</v>
      </c>
      <c r="Q206" s="43">
        <v>18129</v>
      </c>
      <c r="R206" s="43">
        <v>17039</v>
      </c>
      <c r="S206" s="43">
        <v>18658</v>
      </c>
      <c r="T206" s="43">
        <v>18303</v>
      </c>
      <c r="U206" s="43">
        <v>14243</v>
      </c>
      <c r="V206" s="43">
        <v>11456</v>
      </c>
      <c r="W206" s="43">
        <v>12658</v>
      </c>
      <c r="X206" s="43">
        <v>15101</v>
      </c>
      <c r="Y206" s="43">
        <v>16265</v>
      </c>
      <c r="Z206" s="43">
        <v>13941</v>
      </c>
      <c r="AA206" s="43">
        <v>18980</v>
      </c>
      <c r="AB206" s="43">
        <v>22701</v>
      </c>
      <c r="AC206" s="43">
        <v>24484</v>
      </c>
      <c r="AD206" s="43">
        <v>24366</v>
      </c>
      <c r="AE206" s="43">
        <v>25988</v>
      </c>
      <c r="AF206" s="43">
        <v>23189</v>
      </c>
      <c r="AG206" s="43">
        <v>15877</v>
      </c>
      <c r="AH206" s="43">
        <v>16191</v>
      </c>
      <c r="AI206" s="43">
        <v>16817</v>
      </c>
      <c r="AJ206" s="43">
        <v>14570</v>
      </c>
      <c r="AK206" s="43">
        <v>17241</v>
      </c>
      <c r="AL206" s="43">
        <v>14122</v>
      </c>
      <c r="AM206" s="43">
        <v>15946</v>
      </c>
      <c r="AN206" s="43">
        <v>20647</v>
      </c>
      <c r="AO206" s="43">
        <v>21870</v>
      </c>
      <c r="AP206" s="43">
        <v>22359</v>
      </c>
      <c r="AQ206" s="43">
        <v>22888</v>
      </c>
      <c r="AR206" s="43">
        <v>23135</v>
      </c>
      <c r="AS206" s="43">
        <v>19695</v>
      </c>
      <c r="AT206" s="43">
        <v>23204</v>
      </c>
      <c r="AU206" s="43">
        <v>20973</v>
      </c>
      <c r="AV206" s="43">
        <v>22011</v>
      </c>
      <c r="AW206" s="43">
        <v>26820</v>
      </c>
      <c r="AX206" s="43">
        <v>25010</v>
      </c>
      <c r="AY206" s="43">
        <v>23762</v>
      </c>
      <c r="AZ206" s="43">
        <v>24418</v>
      </c>
      <c r="BA206" s="43">
        <v>22724</v>
      </c>
      <c r="BB206" s="43">
        <v>24674</v>
      </c>
      <c r="BC206" s="43">
        <v>24222</v>
      </c>
      <c r="BD206" s="43">
        <v>24497</v>
      </c>
      <c r="BE206" s="43">
        <v>13890</v>
      </c>
      <c r="BF206" s="43">
        <v>12251</v>
      </c>
      <c r="BG206" s="43">
        <v>13336</v>
      </c>
      <c r="BH206" s="43">
        <v>15126</v>
      </c>
      <c r="BI206" s="43">
        <v>16075</v>
      </c>
      <c r="BJ206" s="43">
        <v>14693</v>
      </c>
      <c r="BK206" s="43">
        <v>15933</v>
      </c>
      <c r="BL206" s="43">
        <v>17374</v>
      </c>
      <c r="BM206" s="43">
        <v>20051</v>
      </c>
      <c r="BN206" s="43">
        <v>27343</v>
      </c>
      <c r="BO206" s="43">
        <v>32641</v>
      </c>
      <c r="BP206" s="43">
        <v>33988</v>
      </c>
      <c r="BQ206" s="43">
        <v>35521</v>
      </c>
      <c r="BR206" s="43">
        <v>34441</v>
      </c>
      <c r="BS206" s="43">
        <v>36889</v>
      </c>
      <c r="BT206" s="43">
        <v>36179</v>
      </c>
      <c r="BU206" s="43">
        <v>41793</v>
      </c>
      <c r="BV206" s="43">
        <v>26445</v>
      </c>
      <c r="BW206" s="43">
        <v>29462</v>
      </c>
      <c r="BX206" s="43">
        <v>30875</v>
      </c>
      <c r="BY206" s="43">
        <v>33721</v>
      </c>
      <c r="BZ206" s="43">
        <v>34648</v>
      </c>
      <c r="CA206" s="43">
        <v>36285</v>
      </c>
      <c r="CB206" s="43">
        <f>35930</f>
        <v>35930</v>
      </c>
      <c r="CC206" s="43">
        <v>27025</v>
      </c>
      <c r="CD206" s="43">
        <v>20887</v>
      </c>
      <c r="CE206" s="43">
        <v>25369</v>
      </c>
      <c r="CF206" s="43">
        <v>32155</v>
      </c>
      <c r="CG206" s="43">
        <v>35396</v>
      </c>
      <c r="CH206" s="43">
        <v>23358</v>
      </c>
      <c r="CI206" s="43">
        <v>26745</v>
      </c>
      <c r="CJ206" s="43">
        <v>27015</v>
      </c>
      <c r="CK206" s="43">
        <v>31529</v>
      </c>
      <c r="CL206" s="43">
        <v>32658</v>
      </c>
      <c r="CM206" s="43">
        <v>35168</v>
      </c>
      <c r="CN206" s="43">
        <v>33594</v>
      </c>
      <c r="CO206" s="43">
        <v>28672</v>
      </c>
      <c r="CP206" s="43">
        <v>26495</v>
      </c>
      <c r="CQ206" s="43">
        <v>33191</v>
      </c>
      <c r="CR206" s="43">
        <v>19904</v>
      </c>
      <c r="CS206" s="43">
        <v>16385</v>
      </c>
      <c r="CT206" s="43"/>
      <c r="CU206" s="43">
        <v>550</v>
      </c>
      <c r="CV206" s="43">
        <v>2778</v>
      </c>
      <c r="CW206" s="43">
        <v>4653</v>
      </c>
      <c r="CX206" s="43">
        <v>5064</v>
      </c>
      <c r="CY206" s="43">
        <v>6350</v>
      </c>
      <c r="CZ206" s="43">
        <v>9068</v>
      </c>
      <c r="DA206" s="43">
        <v>7475</v>
      </c>
      <c r="DB206" s="43">
        <v>8391</v>
      </c>
      <c r="DC206" s="43">
        <v>10584</v>
      </c>
      <c r="DD206" s="43">
        <v>12813</v>
      </c>
      <c r="DE206" s="43">
        <v>13892</v>
      </c>
      <c r="DF206" s="43">
        <v>6056</v>
      </c>
      <c r="DG206" s="43">
        <v>406</v>
      </c>
      <c r="DH206" s="43">
        <v>4843</v>
      </c>
      <c r="DI206" s="43">
        <v>8422</v>
      </c>
      <c r="DJ206" s="43">
        <v>11658</v>
      </c>
      <c r="DK206" s="43">
        <v>14915</v>
      </c>
      <c r="DL206" s="43">
        <v>16011</v>
      </c>
      <c r="DM206" s="43">
        <v>11024</v>
      </c>
      <c r="DN206" s="43">
        <v>15610</v>
      </c>
      <c r="DO206" s="43">
        <v>12141</v>
      </c>
      <c r="DP206" s="43">
        <v>13126</v>
      </c>
      <c r="DQ206" s="43">
        <v>15960</v>
      </c>
      <c r="DR206" s="43">
        <v>6414</v>
      </c>
      <c r="DS206" s="43">
        <v>13453</v>
      </c>
      <c r="DT206" s="43">
        <v>10649</v>
      </c>
      <c r="DU206" s="43">
        <v>15928</v>
      </c>
      <c r="DV206" s="43">
        <v>20203</v>
      </c>
      <c r="DW206" s="43">
        <v>28825</v>
      </c>
      <c r="DX206" s="43">
        <v>32123</v>
      </c>
      <c r="DY206" s="43">
        <v>25451</v>
      </c>
      <c r="DZ206" s="43">
        <v>20468</v>
      </c>
      <c r="EA206" s="43">
        <v>28853</v>
      </c>
      <c r="EB206" s="43">
        <v>28889</v>
      </c>
      <c r="EC206" s="43">
        <v>30130</v>
      </c>
      <c r="ED206" s="43">
        <v>28320</v>
      </c>
      <c r="EE206" s="43">
        <v>29532</v>
      </c>
      <c r="EF206" s="43">
        <v>29713</v>
      </c>
      <c r="EG206" s="43">
        <v>33104</v>
      </c>
      <c r="EH206" s="43">
        <v>39907</v>
      </c>
      <c r="EI206" s="43">
        <v>45860</v>
      </c>
      <c r="EJ206" s="43">
        <v>45910</v>
      </c>
      <c r="EK206" s="43">
        <v>34554</v>
      </c>
      <c r="EL206" s="43">
        <v>28443</v>
      </c>
      <c r="EM206" s="43">
        <v>32028</v>
      </c>
      <c r="EN206" s="43">
        <v>31801</v>
      </c>
      <c r="EO206" s="43">
        <v>32435</v>
      </c>
      <c r="EP206" s="43">
        <v>28119</v>
      </c>
      <c r="EQ206" s="43">
        <v>32458</v>
      </c>
      <c r="ER206" s="43">
        <v>34890</v>
      </c>
      <c r="ES206" s="43">
        <v>37852</v>
      </c>
      <c r="ET206" s="43">
        <v>40977</v>
      </c>
      <c r="EU206" s="43">
        <v>46948</v>
      </c>
      <c r="EV206" s="43">
        <v>42047</v>
      </c>
      <c r="EW206" s="43">
        <v>32428</v>
      </c>
      <c r="EX206" s="43">
        <v>29229</v>
      </c>
      <c r="EY206" s="43">
        <v>31777</v>
      </c>
      <c r="EZ206" s="43">
        <v>31864</v>
      </c>
      <c r="FA206" s="43">
        <v>32566</v>
      </c>
      <c r="FB206" s="43">
        <v>27570</v>
      </c>
      <c r="FC206" s="43">
        <v>29914</v>
      </c>
      <c r="FD206" s="43">
        <v>34322</v>
      </c>
      <c r="FE206" s="43">
        <v>38759</v>
      </c>
      <c r="FF206" s="43">
        <v>42754</v>
      </c>
      <c r="FG206" s="43">
        <v>46914</v>
      </c>
      <c r="FH206" s="43">
        <v>42113</v>
      </c>
      <c r="FI206" s="43">
        <v>39404</v>
      </c>
      <c r="FJ206" s="43">
        <v>31140</v>
      </c>
      <c r="FK206" s="43"/>
      <c r="FL206" s="43"/>
      <c r="FM206" s="43"/>
      <c r="FN206" s="66">
        <f t="shared" si="562"/>
        <v>43738</v>
      </c>
      <c r="FO206" s="67">
        <f t="shared" si="563"/>
        <v>56143</v>
      </c>
      <c r="FP206" s="67">
        <f t="shared" si="564"/>
        <v>63493</v>
      </c>
      <c r="FQ206" s="67">
        <f t="shared" si="565"/>
        <v>59913</v>
      </c>
      <c r="FR206" s="67">
        <f t="shared" si="566"/>
        <v>45004</v>
      </c>
      <c r="FS206" s="67">
        <f t="shared" si="567"/>
        <v>53826</v>
      </c>
      <c r="FT206" s="67">
        <f t="shared" si="568"/>
        <v>44002</v>
      </c>
      <c r="FU206" s="67">
        <f t="shared" si="569"/>
        <v>44024</v>
      </c>
      <c r="FV206" s="67">
        <f t="shared" si="570"/>
        <v>55622</v>
      </c>
      <c r="FW206" s="67">
        <f t="shared" si="571"/>
        <v>74838</v>
      </c>
      <c r="FX206" s="67">
        <f t="shared" si="572"/>
        <v>55257</v>
      </c>
      <c r="FY206" s="67">
        <f t="shared" si="573"/>
        <v>48628</v>
      </c>
      <c r="FZ206" s="67">
        <f t="shared" si="574"/>
        <v>50715</v>
      </c>
      <c r="GA206" s="67">
        <f t="shared" si="575"/>
        <v>67117</v>
      </c>
      <c r="GB206" s="67">
        <f t="shared" si="576"/>
        <v>66034</v>
      </c>
      <c r="GC206" s="67">
        <f t="shared" si="577"/>
        <v>69804</v>
      </c>
      <c r="GD206" s="67">
        <f t="shared" si="578"/>
        <v>73190</v>
      </c>
      <c r="GE206" s="67">
        <f t="shared" si="579"/>
        <v>71620</v>
      </c>
      <c r="GF206" s="67">
        <f t="shared" si="580"/>
        <v>50638</v>
      </c>
      <c r="GG206" s="67">
        <f t="shared" si="581"/>
        <v>44537</v>
      </c>
      <c r="GH206" s="67">
        <f t="shared" si="582"/>
        <v>48000</v>
      </c>
      <c r="GI206" s="67">
        <f t="shared" si="583"/>
        <v>80035</v>
      </c>
      <c r="GJ206" s="67">
        <f t="shared" si="584"/>
        <v>103950</v>
      </c>
      <c r="GK206" s="67">
        <f t="shared" si="585"/>
        <v>114861</v>
      </c>
      <c r="GL206" s="67">
        <f t="shared" si="586"/>
        <v>86782</v>
      </c>
      <c r="GM206" s="67">
        <f t="shared" si="587"/>
        <v>104654</v>
      </c>
      <c r="GN206" s="67">
        <f t="shared" si="588"/>
        <v>83842</v>
      </c>
      <c r="GO206" s="67">
        <f t="shared" si="589"/>
        <v>92920</v>
      </c>
      <c r="GP206" s="67">
        <f t="shared" si="590"/>
        <v>77118</v>
      </c>
      <c r="GQ206" s="67">
        <f t="shared" si="591"/>
        <v>99355</v>
      </c>
      <c r="GR206" s="67">
        <f t="shared" si="592"/>
        <v>88761</v>
      </c>
      <c r="GS206" s="67">
        <f t="shared" si="593"/>
        <v>69480</v>
      </c>
      <c r="GT206" s="67">
        <f t="shared" si="594"/>
        <v>3328</v>
      </c>
      <c r="GU206" s="67">
        <f t="shared" si="595"/>
        <v>16067</v>
      </c>
      <c r="GV206" s="67">
        <f t="shared" si="596"/>
        <v>24934</v>
      </c>
      <c r="GW206" s="67">
        <f t="shared" si="597"/>
        <v>37289</v>
      </c>
      <c r="GX206" s="67">
        <f t="shared" si="598"/>
        <v>11305</v>
      </c>
      <c r="GY206" s="67">
        <f t="shared" si="599"/>
        <v>34995</v>
      </c>
      <c r="GZ206" s="67">
        <f t="shared" si="600"/>
        <v>42645</v>
      </c>
      <c r="HA206" s="67">
        <f t="shared" si="601"/>
        <v>41227</v>
      </c>
      <c r="HB206" s="67">
        <f t="shared" si="602"/>
        <v>30516</v>
      </c>
      <c r="HC206" s="67">
        <f t="shared" si="603"/>
        <v>64956</v>
      </c>
      <c r="HD206" s="67">
        <f t="shared" si="604"/>
        <v>78042</v>
      </c>
      <c r="HE206" s="67">
        <f t="shared" si="605"/>
        <v>87872</v>
      </c>
      <c r="HF206" s="67">
        <f t="shared" si="606"/>
        <v>87565</v>
      </c>
      <c r="HG206" s="67">
        <f t="shared" si="607"/>
        <v>118871</v>
      </c>
      <c r="HH206" s="67">
        <f t="shared" si="608"/>
        <v>108907</v>
      </c>
      <c r="HI206" s="67">
        <f t="shared" si="609"/>
        <v>96264</v>
      </c>
      <c r="HJ206" s="210">
        <f t="shared" si="610"/>
        <v>95467</v>
      </c>
      <c r="HK206" s="210">
        <f t="shared" si="611"/>
        <v>125777</v>
      </c>
      <c r="HL206" s="210">
        <f t="shared" si="612"/>
        <v>103704</v>
      </c>
      <c r="HM206" s="210">
        <f t="shared" si="613"/>
        <v>96207</v>
      </c>
      <c r="HN206" s="210">
        <f t="shared" si="614"/>
        <v>91806</v>
      </c>
      <c r="HO206" s="210">
        <f t="shared" si="615"/>
        <v>128427</v>
      </c>
      <c r="HP206" s="210">
        <f t="shared" si="616"/>
        <v>112657</v>
      </c>
      <c r="HQ206" s="60"/>
      <c r="HR206" s="43"/>
      <c r="HS206" s="43"/>
      <c r="HT206" s="43"/>
      <c r="HU206" s="211">
        <f>SUM(B206:M206)</f>
        <v>223287</v>
      </c>
      <c r="HV206" s="211">
        <f>SUM(N206:Y206)</f>
        <v>186856</v>
      </c>
      <c r="HW206" s="211">
        <f>SUM(Z206:AK206)</f>
        <v>234345</v>
      </c>
      <c r="HX206" s="212">
        <f>SUM(AL206:AW206)</f>
        <v>253670</v>
      </c>
      <c r="HY206" s="58">
        <f>SUM(AX206:BI206)</f>
        <v>239985</v>
      </c>
      <c r="HZ206" s="58">
        <f>SUM(BJ206:BU206)</f>
        <v>346846</v>
      </c>
      <c r="IA206" s="58">
        <f>SUM(BV206:CG206)</f>
        <v>368198</v>
      </c>
      <c r="IB206" s="64">
        <f>SUM(CH206:CS206)</f>
        <v>334714</v>
      </c>
      <c r="IC206" s="64">
        <f>SUM(CT206:DE206)</f>
        <v>81618</v>
      </c>
      <c r="ID206" s="64">
        <f t="shared" si="617"/>
        <v>130172</v>
      </c>
      <c r="IE206" s="64">
        <f t="shared" si="618"/>
        <v>261386</v>
      </c>
      <c r="IF206" s="64">
        <f t="shared" si="619"/>
        <v>411607</v>
      </c>
      <c r="IG206" s="64">
        <f t="shared" si="620"/>
        <v>421155</v>
      </c>
    </row>
    <row r="207" spans="1:241" outlineLevel="2" x14ac:dyDescent="0.3">
      <c r="A207" s="260" t="s">
        <v>185</v>
      </c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>
        <v>55</v>
      </c>
      <c r="DL207" s="43">
        <v>223</v>
      </c>
      <c r="DM207" s="43">
        <v>123</v>
      </c>
      <c r="DN207" s="43">
        <v>144</v>
      </c>
      <c r="DO207" s="43">
        <v>136</v>
      </c>
      <c r="DP207" s="43">
        <v>125</v>
      </c>
      <c r="DQ207" s="43">
        <v>98</v>
      </c>
      <c r="DR207" s="43">
        <v>160</v>
      </c>
      <c r="DS207" s="43">
        <v>156</v>
      </c>
      <c r="DT207" s="43">
        <v>186</v>
      </c>
      <c r="DU207" s="43">
        <v>204</v>
      </c>
      <c r="DV207" s="43">
        <v>231</v>
      </c>
      <c r="DW207" s="43">
        <v>226</v>
      </c>
      <c r="DX207" s="43">
        <v>91</v>
      </c>
      <c r="DY207" s="43">
        <v>142</v>
      </c>
      <c r="DZ207" s="43">
        <v>79</v>
      </c>
      <c r="EA207" s="43">
        <v>111</v>
      </c>
      <c r="EB207" s="43">
        <v>83</v>
      </c>
      <c r="EC207" s="43">
        <v>128</v>
      </c>
      <c r="ED207" s="43">
        <v>34</v>
      </c>
      <c r="EE207" s="43">
        <v>147</v>
      </c>
      <c r="EF207" s="43">
        <v>109</v>
      </c>
      <c r="EG207" s="43">
        <v>102</v>
      </c>
      <c r="EH207" s="43">
        <v>77</v>
      </c>
      <c r="EI207" s="43">
        <v>96</v>
      </c>
      <c r="EJ207" s="43">
        <v>95</v>
      </c>
      <c r="EK207" s="43">
        <v>86</v>
      </c>
      <c r="EL207" s="43">
        <v>52</v>
      </c>
      <c r="EM207" s="43">
        <v>68</v>
      </c>
      <c r="EN207" s="43">
        <v>53</v>
      </c>
      <c r="EO207" s="43">
        <v>57</v>
      </c>
      <c r="EP207" s="43">
        <v>80</v>
      </c>
      <c r="EQ207" s="43">
        <v>43</v>
      </c>
      <c r="ER207" s="43">
        <v>84</v>
      </c>
      <c r="ES207" s="43">
        <v>98</v>
      </c>
      <c r="ET207" s="43">
        <v>80</v>
      </c>
      <c r="EU207" s="43">
        <v>118</v>
      </c>
      <c r="EV207" s="43">
        <v>197</v>
      </c>
      <c r="EW207" s="43">
        <v>111</v>
      </c>
      <c r="EX207" s="43">
        <v>186</v>
      </c>
      <c r="EY207" s="43">
        <v>273</v>
      </c>
      <c r="EZ207" s="43">
        <v>192</v>
      </c>
      <c r="FA207" s="43">
        <v>448</v>
      </c>
      <c r="FB207" s="43">
        <v>27</v>
      </c>
      <c r="FC207" s="43">
        <v>11</v>
      </c>
      <c r="FD207" s="43">
        <v>43</v>
      </c>
      <c r="FE207" s="43">
        <v>54</v>
      </c>
      <c r="FF207" s="43">
        <v>131</v>
      </c>
      <c r="FG207" s="43">
        <v>247</v>
      </c>
      <c r="FH207" s="43">
        <v>291</v>
      </c>
      <c r="FI207" s="43">
        <v>207</v>
      </c>
      <c r="FJ207" s="43">
        <v>48</v>
      </c>
      <c r="FK207" s="43"/>
      <c r="FL207" s="43"/>
      <c r="FM207" s="43"/>
      <c r="FN207" s="66">
        <f t="shared" ref="FN207" si="621">+SUM(B207:D207)</f>
        <v>0</v>
      </c>
      <c r="FO207" s="67">
        <f t="shared" ref="FO207" si="622">+SUM(E207:G207)</f>
        <v>0</v>
      </c>
      <c r="FP207" s="67">
        <f t="shared" si="564"/>
        <v>0</v>
      </c>
      <c r="FQ207" s="67">
        <f t="shared" si="565"/>
        <v>0</v>
      </c>
      <c r="FR207" s="67">
        <f t="shared" si="566"/>
        <v>0</v>
      </c>
      <c r="FS207" s="67">
        <f t="shared" si="567"/>
        <v>0</v>
      </c>
      <c r="FT207" s="67">
        <f t="shared" si="568"/>
        <v>0</v>
      </c>
      <c r="FU207" s="67">
        <f t="shared" si="569"/>
        <v>0</v>
      </c>
      <c r="FV207" s="67">
        <f t="shared" si="570"/>
        <v>0</v>
      </c>
      <c r="FW207" s="67">
        <f t="shared" si="571"/>
        <v>0</v>
      </c>
      <c r="FX207" s="67">
        <f t="shared" si="572"/>
        <v>0</v>
      </c>
      <c r="FY207" s="67">
        <f t="shared" si="573"/>
        <v>0</v>
      </c>
      <c r="FZ207" s="67">
        <f t="shared" si="574"/>
        <v>0</v>
      </c>
      <c r="GA207" s="67">
        <f t="shared" si="575"/>
        <v>0</v>
      </c>
      <c r="GB207" s="67">
        <f t="shared" si="576"/>
        <v>0</v>
      </c>
      <c r="GC207" s="67">
        <f t="shared" si="577"/>
        <v>0</v>
      </c>
      <c r="GD207" s="67">
        <f t="shared" si="578"/>
        <v>0</v>
      </c>
      <c r="GE207" s="67">
        <f t="shared" si="579"/>
        <v>0</v>
      </c>
      <c r="GF207" s="67">
        <f t="shared" si="580"/>
        <v>0</v>
      </c>
      <c r="GG207" s="67">
        <f t="shared" si="581"/>
        <v>0</v>
      </c>
      <c r="GH207" s="67">
        <f t="shared" si="582"/>
        <v>0</v>
      </c>
      <c r="GI207" s="67">
        <f t="shared" si="583"/>
        <v>0</v>
      </c>
      <c r="GJ207" s="67">
        <f t="shared" si="584"/>
        <v>0</v>
      </c>
      <c r="GK207" s="67">
        <f t="shared" si="585"/>
        <v>0</v>
      </c>
      <c r="GL207" s="67">
        <f t="shared" si="586"/>
        <v>0</v>
      </c>
      <c r="GM207" s="67">
        <f t="shared" si="587"/>
        <v>0</v>
      </c>
      <c r="GN207" s="67">
        <f t="shared" si="588"/>
        <v>0</v>
      </c>
      <c r="GO207" s="67">
        <f t="shared" si="589"/>
        <v>0</v>
      </c>
      <c r="GP207" s="67">
        <f t="shared" si="590"/>
        <v>0</v>
      </c>
      <c r="GQ207" s="67">
        <f t="shared" si="591"/>
        <v>0</v>
      </c>
      <c r="GR207" s="67">
        <f t="shared" si="592"/>
        <v>0</v>
      </c>
      <c r="GS207" s="67">
        <f t="shared" si="593"/>
        <v>0</v>
      </c>
      <c r="GT207" s="67">
        <f t="shared" si="594"/>
        <v>0</v>
      </c>
      <c r="GU207" s="67">
        <f t="shared" si="595"/>
        <v>0</v>
      </c>
      <c r="GV207" s="67">
        <f t="shared" si="596"/>
        <v>0</v>
      </c>
      <c r="GW207" s="67">
        <f t="shared" si="597"/>
        <v>0</v>
      </c>
      <c r="GX207" s="67">
        <f t="shared" si="598"/>
        <v>0</v>
      </c>
      <c r="GY207" s="67">
        <f t="shared" si="599"/>
        <v>55</v>
      </c>
      <c r="GZ207" s="67">
        <f t="shared" si="600"/>
        <v>490</v>
      </c>
      <c r="HA207" s="67">
        <f t="shared" si="601"/>
        <v>359</v>
      </c>
      <c r="HB207" s="67">
        <f t="shared" si="602"/>
        <v>502</v>
      </c>
      <c r="HC207" s="67">
        <f t="shared" si="603"/>
        <v>661</v>
      </c>
      <c r="HD207" s="67">
        <f t="shared" si="604"/>
        <v>312</v>
      </c>
      <c r="HE207" s="67">
        <f t="shared" si="605"/>
        <v>322</v>
      </c>
      <c r="HF207" s="67">
        <f t="shared" si="606"/>
        <v>290</v>
      </c>
      <c r="HG207" s="67">
        <f t="shared" si="607"/>
        <v>275</v>
      </c>
      <c r="HH207" s="67">
        <f t="shared" si="608"/>
        <v>233</v>
      </c>
      <c r="HI207" s="67">
        <f t="shared" si="609"/>
        <v>178</v>
      </c>
      <c r="HJ207" s="210">
        <f t="shared" si="610"/>
        <v>207</v>
      </c>
      <c r="HK207" s="210">
        <f t="shared" si="611"/>
        <v>296</v>
      </c>
      <c r="HL207" s="210">
        <f t="shared" si="612"/>
        <v>494</v>
      </c>
      <c r="HM207" s="210">
        <f t="shared" si="613"/>
        <v>913</v>
      </c>
      <c r="HN207" s="210">
        <f t="shared" si="614"/>
        <v>81</v>
      </c>
      <c r="HO207" s="210">
        <f t="shared" si="615"/>
        <v>432</v>
      </c>
      <c r="HP207" s="210">
        <f t="shared" si="616"/>
        <v>546</v>
      </c>
      <c r="HQ207" s="60"/>
      <c r="HR207" s="43"/>
      <c r="HS207" s="43"/>
      <c r="HT207" s="43"/>
      <c r="HU207" s="211">
        <f t="shared" ref="HU207:HU215" si="623">SUM(B207:M207)</f>
        <v>0</v>
      </c>
      <c r="HV207" s="211">
        <f t="shared" ref="HV207:HV215" si="624">SUM(N207:Y207)</f>
        <v>0</v>
      </c>
      <c r="HW207" s="211">
        <f t="shared" ref="HW207:HW215" si="625">SUM(Z207:AK207)</f>
        <v>0</v>
      </c>
      <c r="HX207" s="212">
        <f t="shared" ref="HX207:HX215" si="626">SUM(AL207:AW207)</f>
        <v>0</v>
      </c>
      <c r="HY207" s="58">
        <f t="shared" ref="HY207:HY215" si="627">SUM(AX207:BI207)</f>
        <v>0</v>
      </c>
      <c r="HZ207" s="58">
        <f t="shared" ref="HZ207:HZ215" si="628">SUM(BJ207:BU207)</f>
        <v>0</v>
      </c>
      <c r="IA207" s="58">
        <f t="shared" ref="IA207:IA215" si="629">SUM(BV207:CG207)</f>
        <v>0</v>
      </c>
      <c r="IB207" s="64">
        <f t="shared" ref="IB207:IB215" si="630">SUM(CH207:CS207)</f>
        <v>0</v>
      </c>
      <c r="IC207" s="64">
        <f t="shared" ref="IC207:IC215" si="631">SUM(CT207:DE207)</f>
        <v>0</v>
      </c>
      <c r="ID207" s="64">
        <f t="shared" si="617"/>
        <v>904</v>
      </c>
      <c r="IE207" s="64">
        <f t="shared" si="618"/>
        <v>1797</v>
      </c>
      <c r="IF207" s="64">
        <f t="shared" si="619"/>
        <v>976</v>
      </c>
      <c r="IG207" s="64">
        <f t="shared" si="620"/>
        <v>1910</v>
      </c>
    </row>
    <row r="208" spans="1:241" outlineLevel="2" x14ac:dyDescent="0.3">
      <c r="A208" s="259" t="s">
        <v>165</v>
      </c>
      <c r="B208" s="43">
        <v>0</v>
      </c>
      <c r="C208" s="43">
        <v>0</v>
      </c>
      <c r="D208" s="43">
        <v>1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  <c r="V208" s="43">
        <v>0</v>
      </c>
      <c r="W208" s="43">
        <v>0</v>
      </c>
      <c r="X208" s="43">
        <v>0</v>
      </c>
      <c r="Y208" s="43">
        <v>0</v>
      </c>
      <c r="Z208" s="43">
        <v>0</v>
      </c>
      <c r="AA208" s="43">
        <v>0</v>
      </c>
      <c r="AB208" s="43">
        <v>0</v>
      </c>
      <c r="AC208" s="43">
        <v>0</v>
      </c>
      <c r="AD208" s="43">
        <v>0</v>
      </c>
      <c r="AE208" s="43">
        <v>0</v>
      </c>
      <c r="AF208" s="43">
        <v>0</v>
      </c>
      <c r="AG208" s="43">
        <v>0</v>
      </c>
      <c r="AH208" s="43">
        <v>0</v>
      </c>
      <c r="AI208" s="43">
        <v>0</v>
      </c>
      <c r="AJ208" s="43">
        <v>0</v>
      </c>
      <c r="AK208" s="43">
        <v>0</v>
      </c>
      <c r="AL208" s="43">
        <v>0</v>
      </c>
      <c r="AM208" s="43">
        <v>0</v>
      </c>
      <c r="AN208" s="43"/>
      <c r="AO208" s="43">
        <v>0</v>
      </c>
      <c r="AP208" s="43"/>
      <c r="AQ208" s="43">
        <v>0</v>
      </c>
      <c r="AR208" s="43"/>
      <c r="AS208" s="43"/>
      <c r="AT208" s="43"/>
      <c r="AU208" s="43"/>
      <c r="AV208" s="43">
        <v>0</v>
      </c>
      <c r="AW208" s="43">
        <v>0</v>
      </c>
      <c r="AX208" s="43"/>
      <c r="AY208" s="43">
        <v>0</v>
      </c>
      <c r="AZ208" s="43">
        <v>0</v>
      </c>
      <c r="BA208" s="43">
        <v>0</v>
      </c>
      <c r="BB208" s="43">
        <v>0</v>
      </c>
      <c r="BC208" s="43">
        <v>0</v>
      </c>
      <c r="BD208" s="43">
        <v>0</v>
      </c>
      <c r="BE208" s="43">
        <v>0</v>
      </c>
      <c r="BF208" s="43">
        <v>0</v>
      </c>
      <c r="BG208" s="43">
        <v>0</v>
      </c>
      <c r="BH208" s="43">
        <v>0</v>
      </c>
      <c r="BI208" s="43">
        <v>0</v>
      </c>
      <c r="BJ208" s="43">
        <v>0</v>
      </c>
      <c r="BK208" s="43">
        <v>0</v>
      </c>
      <c r="BL208" s="43">
        <v>0</v>
      </c>
      <c r="BM208" s="43">
        <v>0</v>
      </c>
      <c r="BN208" s="43">
        <v>0</v>
      </c>
      <c r="BO208" s="43">
        <v>0</v>
      </c>
      <c r="BP208" s="43">
        <v>0</v>
      </c>
      <c r="BQ208" s="43">
        <v>0</v>
      </c>
      <c r="BR208" s="43">
        <v>0</v>
      </c>
      <c r="BS208" s="43">
        <v>0</v>
      </c>
      <c r="BT208" s="43">
        <v>0</v>
      </c>
      <c r="BU208" s="43">
        <v>0</v>
      </c>
      <c r="BV208" s="43">
        <v>0</v>
      </c>
      <c r="BW208" s="43">
        <v>0</v>
      </c>
      <c r="BX208" s="43">
        <v>0</v>
      </c>
      <c r="BY208" s="43">
        <v>0</v>
      </c>
      <c r="BZ208" s="43">
        <v>0</v>
      </c>
      <c r="CA208" s="43">
        <v>0</v>
      </c>
      <c r="CB208" s="43">
        <v>0</v>
      </c>
      <c r="CC208" s="43">
        <v>0</v>
      </c>
      <c r="CD208" s="43">
        <v>0</v>
      </c>
      <c r="CE208" s="43">
        <v>0</v>
      </c>
      <c r="CF208" s="43">
        <v>0</v>
      </c>
      <c r="CG208" s="43">
        <v>0</v>
      </c>
      <c r="CH208" s="43">
        <v>0</v>
      </c>
      <c r="CI208" s="43">
        <v>0</v>
      </c>
      <c r="CJ208" s="43">
        <v>0</v>
      </c>
      <c r="CK208" s="43">
        <v>0</v>
      </c>
      <c r="CL208" s="43">
        <v>0</v>
      </c>
      <c r="CM208" s="43">
        <v>0</v>
      </c>
      <c r="CN208" s="43">
        <v>0</v>
      </c>
      <c r="CO208" s="43">
        <v>4</v>
      </c>
      <c r="CP208" s="43">
        <v>0</v>
      </c>
      <c r="CQ208" s="43">
        <v>0</v>
      </c>
      <c r="CR208" s="43">
        <v>0</v>
      </c>
      <c r="CS208" s="43">
        <v>0</v>
      </c>
      <c r="CT208" s="43"/>
      <c r="CU208" s="43">
        <v>0</v>
      </c>
      <c r="CV208" s="43">
        <v>0</v>
      </c>
      <c r="CW208" s="43">
        <v>0</v>
      </c>
      <c r="CX208" s="43">
        <v>0</v>
      </c>
      <c r="CY208" s="43">
        <v>0</v>
      </c>
      <c r="CZ208" s="43">
        <v>0</v>
      </c>
      <c r="DA208" s="43">
        <v>0</v>
      </c>
      <c r="DB208" s="43">
        <v>0</v>
      </c>
      <c r="DC208" s="43">
        <v>0</v>
      </c>
      <c r="DD208" s="43">
        <v>0</v>
      </c>
      <c r="DE208" s="43">
        <v>0</v>
      </c>
      <c r="DF208" s="43">
        <v>0</v>
      </c>
      <c r="DG208" s="43">
        <v>0</v>
      </c>
      <c r="DH208" s="43">
        <v>0</v>
      </c>
      <c r="DI208" s="43">
        <v>0</v>
      </c>
      <c r="DJ208" s="43">
        <v>0</v>
      </c>
      <c r="DK208" s="43">
        <v>0</v>
      </c>
      <c r="DL208" s="43">
        <v>0</v>
      </c>
      <c r="DM208" s="43">
        <v>0</v>
      </c>
      <c r="DN208" s="43">
        <v>0</v>
      </c>
      <c r="DO208" s="43">
        <v>0</v>
      </c>
      <c r="DP208" s="43">
        <v>0</v>
      </c>
      <c r="DQ208" s="43">
        <v>0</v>
      </c>
      <c r="DR208" s="43">
        <v>0</v>
      </c>
      <c r="DS208" s="43">
        <v>0</v>
      </c>
      <c r="DT208" s="43">
        <v>0</v>
      </c>
      <c r="DU208" s="43">
        <v>0</v>
      </c>
      <c r="DV208" s="43">
        <v>0</v>
      </c>
      <c r="DW208" s="43">
        <v>0</v>
      </c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43">
        <v>0</v>
      </c>
      <c r="EU208" s="43">
        <v>0</v>
      </c>
      <c r="EV208" s="43">
        <v>0</v>
      </c>
      <c r="EW208" s="43">
        <v>0</v>
      </c>
      <c r="EX208" s="43">
        <v>0</v>
      </c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66">
        <f t="shared" si="562"/>
        <v>1</v>
      </c>
      <c r="FO208" s="67">
        <f t="shared" si="563"/>
        <v>0</v>
      </c>
      <c r="FP208" s="67">
        <f t="shared" si="564"/>
        <v>0</v>
      </c>
      <c r="FQ208" s="67">
        <f t="shared" si="565"/>
        <v>0</v>
      </c>
      <c r="FR208" s="67">
        <f t="shared" si="566"/>
        <v>0</v>
      </c>
      <c r="FS208" s="67">
        <f t="shared" si="567"/>
        <v>0</v>
      </c>
      <c r="FT208" s="67">
        <f t="shared" si="568"/>
        <v>0</v>
      </c>
      <c r="FU208" s="67">
        <f t="shared" si="569"/>
        <v>0</v>
      </c>
      <c r="FV208" s="67">
        <f t="shared" si="570"/>
        <v>0</v>
      </c>
      <c r="FW208" s="67">
        <f t="shared" si="571"/>
        <v>0</v>
      </c>
      <c r="FX208" s="67">
        <f t="shared" si="572"/>
        <v>0</v>
      </c>
      <c r="FY208" s="67">
        <f t="shared" si="573"/>
        <v>0</v>
      </c>
      <c r="FZ208" s="67">
        <f t="shared" si="574"/>
        <v>0</v>
      </c>
      <c r="GA208" s="67">
        <f t="shared" si="575"/>
        <v>0</v>
      </c>
      <c r="GB208" s="67">
        <f t="shared" si="576"/>
        <v>0</v>
      </c>
      <c r="GC208" s="67">
        <f t="shared" si="577"/>
        <v>0</v>
      </c>
      <c r="GD208" s="67">
        <f t="shared" si="578"/>
        <v>0</v>
      </c>
      <c r="GE208" s="67">
        <f t="shared" si="579"/>
        <v>0</v>
      </c>
      <c r="GF208" s="67">
        <f t="shared" si="580"/>
        <v>0</v>
      </c>
      <c r="GG208" s="67">
        <f t="shared" si="581"/>
        <v>0</v>
      </c>
      <c r="GH208" s="67">
        <f t="shared" si="582"/>
        <v>0</v>
      </c>
      <c r="GI208" s="67">
        <f t="shared" si="583"/>
        <v>0</v>
      </c>
      <c r="GJ208" s="67">
        <f t="shared" si="584"/>
        <v>0</v>
      </c>
      <c r="GK208" s="67">
        <f t="shared" si="585"/>
        <v>0</v>
      </c>
      <c r="GL208" s="67">
        <f t="shared" si="586"/>
        <v>0</v>
      </c>
      <c r="GM208" s="67">
        <f t="shared" si="587"/>
        <v>0</v>
      </c>
      <c r="GN208" s="67">
        <f t="shared" si="588"/>
        <v>0</v>
      </c>
      <c r="GO208" s="67">
        <f t="shared" si="589"/>
        <v>0</v>
      </c>
      <c r="GP208" s="67">
        <f t="shared" si="590"/>
        <v>0</v>
      </c>
      <c r="GQ208" s="67">
        <f t="shared" si="591"/>
        <v>0</v>
      </c>
      <c r="GR208" s="67">
        <f t="shared" si="592"/>
        <v>4</v>
      </c>
      <c r="GS208" s="67">
        <f t="shared" si="593"/>
        <v>0</v>
      </c>
      <c r="GT208" s="67">
        <f t="shared" si="594"/>
        <v>0</v>
      </c>
      <c r="GU208" s="67">
        <f t="shared" si="595"/>
        <v>0</v>
      </c>
      <c r="GV208" s="67">
        <f t="shared" si="596"/>
        <v>0</v>
      </c>
      <c r="GW208" s="67">
        <f t="shared" si="597"/>
        <v>0</v>
      </c>
      <c r="GX208" s="67">
        <f t="shared" si="598"/>
        <v>0</v>
      </c>
      <c r="GY208" s="67">
        <f t="shared" si="599"/>
        <v>0</v>
      </c>
      <c r="GZ208" s="67">
        <f t="shared" si="600"/>
        <v>0</v>
      </c>
      <c r="HA208" s="67">
        <f t="shared" si="601"/>
        <v>0</v>
      </c>
      <c r="HB208" s="67">
        <f t="shared" si="602"/>
        <v>0</v>
      </c>
      <c r="HC208" s="67">
        <f t="shared" si="603"/>
        <v>0</v>
      </c>
      <c r="HD208" s="67">
        <f t="shared" si="604"/>
        <v>0</v>
      </c>
      <c r="HE208" s="67">
        <f t="shared" si="605"/>
        <v>0</v>
      </c>
      <c r="HF208" s="67">
        <f t="shared" si="606"/>
        <v>0</v>
      </c>
      <c r="HG208" s="67">
        <f t="shared" si="607"/>
        <v>0</v>
      </c>
      <c r="HH208" s="67">
        <f t="shared" si="608"/>
        <v>0</v>
      </c>
      <c r="HI208" s="67">
        <f t="shared" si="609"/>
        <v>0</v>
      </c>
      <c r="HJ208" s="210">
        <f t="shared" si="610"/>
        <v>0</v>
      </c>
      <c r="HK208" s="210">
        <f t="shared" si="611"/>
        <v>0</v>
      </c>
      <c r="HL208" s="210">
        <f t="shared" si="612"/>
        <v>0</v>
      </c>
      <c r="HM208" s="210">
        <f t="shared" si="613"/>
        <v>0</v>
      </c>
      <c r="HN208" s="210">
        <f t="shared" si="614"/>
        <v>0</v>
      </c>
      <c r="HO208" s="210">
        <f t="shared" si="615"/>
        <v>0</v>
      </c>
      <c r="HP208" s="210">
        <f t="shared" si="616"/>
        <v>0</v>
      </c>
      <c r="HQ208" s="60"/>
      <c r="HR208" s="43"/>
      <c r="HS208" s="43"/>
      <c r="HT208" s="43"/>
      <c r="HU208" s="211">
        <f t="shared" si="623"/>
        <v>1</v>
      </c>
      <c r="HV208" s="211">
        <f t="shared" si="624"/>
        <v>0</v>
      </c>
      <c r="HW208" s="211">
        <f t="shared" si="625"/>
        <v>0</v>
      </c>
      <c r="HX208" s="212">
        <f t="shared" si="626"/>
        <v>0</v>
      </c>
      <c r="HY208" s="58">
        <f t="shared" si="627"/>
        <v>0</v>
      </c>
      <c r="HZ208" s="58">
        <f t="shared" si="628"/>
        <v>0</v>
      </c>
      <c r="IA208" s="58">
        <f t="shared" si="629"/>
        <v>0</v>
      </c>
      <c r="IB208" s="64">
        <f t="shared" si="630"/>
        <v>4</v>
      </c>
      <c r="IC208" s="64">
        <f t="shared" si="631"/>
        <v>0</v>
      </c>
      <c r="ID208" s="64">
        <f t="shared" si="617"/>
        <v>0</v>
      </c>
      <c r="IE208" s="64">
        <f t="shared" si="618"/>
        <v>0</v>
      </c>
      <c r="IF208" s="64">
        <f t="shared" si="619"/>
        <v>0</v>
      </c>
      <c r="IG208" s="64">
        <f t="shared" si="620"/>
        <v>0</v>
      </c>
    </row>
    <row r="209" spans="1:241" outlineLevel="2" x14ac:dyDescent="0.3">
      <c r="A209" s="260" t="s">
        <v>150</v>
      </c>
      <c r="B209" s="43">
        <v>3326</v>
      </c>
      <c r="C209" s="43">
        <v>3076</v>
      </c>
      <c r="D209" s="43">
        <v>3383</v>
      </c>
      <c r="E209" s="43">
        <v>3819</v>
      </c>
      <c r="F209" s="43">
        <v>4324</v>
      </c>
      <c r="G209" s="43">
        <v>4294</v>
      </c>
      <c r="H209" s="43">
        <v>5191</v>
      </c>
      <c r="I209" s="43">
        <v>4829</v>
      </c>
      <c r="J209" s="43">
        <v>3596</v>
      </c>
      <c r="K209" s="43">
        <v>3634</v>
      </c>
      <c r="L209" s="43">
        <v>3111</v>
      </c>
      <c r="M209" s="43">
        <v>2798</v>
      </c>
      <c r="N209" s="43">
        <v>2441</v>
      </c>
      <c r="O209" s="43">
        <v>2632</v>
      </c>
      <c r="P209" s="43">
        <v>2890</v>
      </c>
      <c r="Q209" s="43">
        <v>3280</v>
      </c>
      <c r="R209" s="43">
        <v>3611</v>
      </c>
      <c r="S209" s="43">
        <v>4471</v>
      </c>
      <c r="T209" s="43">
        <v>4848</v>
      </c>
      <c r="U209" s="43">
        <v>4016</v>
      </c>
      <c r="V209" s="43">
        <v>3409</v>
      </c>
      <c r="W209" s="43">
        <v>2733</v>
      </c>
      <c r="X209" s="43">
        <v>2584</v>
      </c>
      <c r="Y209" s="43">
        <v>3734</v>
      </c>
      <c r="Z209" s="43">
        <v>2066</v>
      </c>
      <c r="AA209" s="43">
        <v>2171</v>
      </c>
      <c r="AB209" s="43">
        <v>2855</v>
      </c>
      <c r="AC209" s="43">
        <v>3199</v>
      </c>
      <c r="AD209" s="43">
        <v>3466</v>
      </c>
      <c r="AE209" s="43">
        <v>4003</v>
      </c>
      <c r="AF209" s="43">
        <v>3529</v>
      </c>
      <c r="AG209" s="43">
        <v>2973</v>
      </c>
      <c r="AH209" s="43">
        <v>2297</v>
      </c>
      <c r="AI209" s="43">
        <v>2492</v>
      </c>
      <c r="AJ209" s="43">
        <v>2315</v>
      </c>
      <c r="AK209" s="43">
        <v>2656</v>
      </c>
      <c r="AL209" s="43">
        <v>1998</v>
      </c>
      <c r="AM209" s="43">
        <v>2442</v>
      </c>
      <c r="AN209" s="43">
        <v>3116</v>
      </c>
      <c r="AO209" s="43">
        <v>3243</v>
      </c>
      <c r="AP209" s="43">
        <v>3484</v>
      </c>
      <c r="AQ209" s="43">
        <v>4107</v>
      </c>
      <c r="AR209" s="43">
        <v>4007</v>
      </c>
      <c r="AS209" s="43">
        <v>3241</v>
      </c>
      <c r="AT209" s="43">
        <v>2500</v>
      </c>
      <c r="AU209" s="43">
        <v>2531</v>
      </c>
      <c r="AV209" s="43">
        <v>2178</v>
      </c>
      <c r="AW209" s="43">
        <v>2813</v>
      </c>
      <c r="AX209" s="43">
        <v>2129</v>
      </c>
      <c r="AY209" s="43">
        <v>2367</v>
      </c>
      <c r="AZ209" s="43">
        <v>2780</v>
      </c>
      <c r="BA209" s="43">
        <v>3160</v>
      </c>
      <c r="BB209" s="43">
        <v>3091</v>
      </c>
      <c r="BC209" s="43">
        <v>3945</v>
      </c>
      <c r="BD209" s="43">
        <v>3845</v>
      </c>
      <c r="BE209" s="43">
        <v>2445</v>
      </c>
      <c r="BF209" s="43">
        <v>1849</v>
      </c>
      <c r="BG209" s="43">
        <v>1786</v>
      </c>
      <c r="BH209" s="43">
        <v>1662</v>
      </c>
      <c r="BI209" s="43">
        <v>2789</v>
      </c>
      <c r="BJ209" s="43">
        <v>2211</v>
      </c>
      <c r="BK209" s="43">
        <v>2438</v>
      </c>
      <c r="BL209" s="43">
        <v>1610</v>
      </c>
      <c r="BM209" s="43">
        <v>2430</v>
      </c>
      <c r="BN209" s="43">
        <v>2600</v>
      </c>
      <c r="BO209" s="43">
        <v>4153</v>
      </c>
      <c r="BP209" s="43">
        <v>3938</v>
      </c>
      <c r="BQ209" s="43">
        <v>3171</v>
      </c>
      <c r="BR209" s="43">
        <v>2653</v>
      </c>
      <c r="BS209" s="43">
        <v>3465</v>
      </c>
      <c r="BT209" s="43">
        <v>3486</v>
      </c>
      <c r="BU209" s="43">
        <v>4479</v>
      </c>
      <c r="BV209" s="43">
        <v>2959</v>
      </c>
      <c r="BW209" s="43">
        <v>2908</v>
      </c>
      <c r="BX209" s="43">
        <v>3095</v>
      </c>
      <c r="BY209" s="43">
        <v>3936</v>
      </c>
      <c r="BZ209" s="43">
        <v>3953</v>
      </c>
      <c r="CA209" s="43">
        <v>5267</v>
      </c>
      <c r="CB209" s="43">
        <f>4390+906</f>
        <v>5296</v>
      </c>
      <c r="CC209" s="43">
        <v>4109</v>
      </c>
      <c r="CD209" s="43">
        <v>3510</v>
      </c>
      <c r="CE209" s="43">
        <v>4270</v>
      </c>
      <c r="CF209" s="43">
        <v>3932</v>
      </c>
      <c r="CG209" s="43">
        <v>4781</v>
      </c>
      <c r="CH209" s="43">
        <v>2714</v>
      </c>
      <c r="CI209" s="43">
        <v>3051</v>
      </c>
      <c r="CJ209" s="43">
        <v>3040</v>
      </c>
      <c r="CK209" s="43">
        <v>3329</v>
      </c>
      <c r="CL209" s="43">
        <v>3967</v>
      </c>
      <c r="CM209" s="43">
        <v>5539</v>
      </c>
      <c r="CN209" s="43">
        <v>5127</v>
      </c>
      <c r="CO209" s="43">
        <v>4446</v>
      </c>
      <c r="CP209" s="43">
        <v>3570</v>
      </c>
      <c r="CQ209" s="43">
        <v>5621</v>
      </c>
      <c r="CR209" s="43">
        <v>2597</v>
      </c>
      <c r="CS209" s="43">
        <v>241</v>
      </c>
      <c r="CT209" s="43"/>
      <c r="CU209" s="43">
        <v>39</v>
      </c>
      <c r="CV209" s="43">
        <v>13</v>
      </c>
      <c r="CW209" s="43">
        <v>83</v>
      </c>
      <c r="CX209" s="43">
        <v>307</v>
      </c>
      <c r="CY209" s="43">
        <v>574</v>
      </c>
      <c r="CZ209" s="43">
        <v>2396</v>
      </c>
      <c r="DA209" s="43">
        <v>2124</v>
      </c>
      <c r="DB209" s="43">
        <v>893</v>
      </c>
      <c r="DC209" s="43">
        <v>1096</v>
      </c>
      <c r="DD209" s="43">
        <v>1098</v>
      </c>
      <c r="DE209" s="43">
        <v>2012</v>
      </c>
      <c r="DF209" s="43">
        <v>1181</v>
      </c>
      <c r="DG209" s="43">
        <v>88</v>
      </c>
      <c r="DH209" s="43">
        <v>339</v>
      </c>
      <c r="DI209" s="43">
        <v>891</v>
      </c>
      <c r="DJ209" s="43">
        <v>1382</v>
      </c>
      <c r="DK209" s="43">
        <v>1781</v>
      </c>
      <c r="DL209" s="43">
        <v>2037</v>
      </c>
      <c r="DM209" s="43">
        <v>1645</v>
      </c>
      <c r="DN209" s="43">
        <v>1620</v>
      </c>
      <c r="DO209" s="43">
        <v>1910</v>
      </c>
      <c r="DP209" s="43">
        <v>2507</v>
      </c>
      <c r="DQ209" s="43">
        <v>2508</v>
      </c>
      <c r="DR209" s="43">
        <v>1714</v>
      </c>
      <c r="DS209" s="43">
        <v>2411</v>
      </c>
      <c r="DT209" s="43">
        <v>1469</v>
      </c>
      <c r="DU209" s="43">
        <v>1493</v>
      </c>
      <c r="DV209" s="43">
        <v>1767</v>
      </c>
      <c r="DW209" s="43">
        <v>1884</v>
      </c>
      <c r="DX209" s="43">
        <v>1879</v>
      </c>
      <c r="DY209" s="43">
        <v>1797</v>
      </c>
      <c r="DZ209" s="43">
        <v>1535</v>
      </c>
      <c r="EA209" s="43">
        <v>2264</v>
      </c>
      <c r="EB209" s="43">
        <v>1768</v>
      </c>
      <c r="EC209" s="43">
        <v>1865</v>
      </c>
      <c r="ED209" s="43">
        <v>2119</v>
      </c>
      <c r="EE209" s="43">
        <v>2615</v>
      </c>
      <c r="EF209" s="43">
        <v>2805</v>
      </c>
      <c r="EG209" s="43">
        <v>3313</v>
      </c>
      <c r="EH209" s="43">
        <v>3484</v>
      </c>
      <c r="EI209" s="43">
        <v>3364</v>
      </c>
      <c r="EJ209" s="43">
        <v>4440</v>
      </c>
      <c r="EK209" s="43">
        <v>3704</v>
      </c>
      <c r="EL209" s="43">
        <v>2637</v>
      </c>
      <c r="EM209" s="43">
        <v>3395</v>
      </c>
      <c r="EN209" s="43">
        <v>3278</v>
      </c>
      <c r="EO209" s="43">
        <v>2513</v>
      </c>
      <c r="EP209" s="43">
        <v>3272</v>
      </c>
      <c r="EQ209" s="43">
        <v>4253</v>
      </c>
      <c r="ER209" s="43">
        <v>4550</v>
      </c>
      <c r="ES209" s="43">
        <v>1319</v>
      </c>
      <c r="ET209" s="43">
        <v>6581</v>
      </c>
      <c r="EU209" s="43">
        <v>7319</v>
      </c>
      <c r="EV209" s="43">
        <v>7417</v>
      </c>
      <c r="EW209" s="43">
        <v>6229</v>
      </c>
      <c r="EX209" s="43">
        <v>4555</v>
      </c>
      <c r="EY209" s="43">
        <v>5890</v>
      </c>
      <c r="EZ209" s="43">
        <v>4841</v>
      </c>
      <c r="FA209" s="43">
        <v>6010</v>
      </c>
      <c r="FB209" s="43">
        <v>4391</v>
      </c>
      <c r="FC209" s="43">
        <v>5313</v>
      </c>
      <c r="FD209" s="43">
        <v>6780</v>
      </c>
      <c r="FE209" s="43">
        <v>7845</v>
      </c>
      <c r="FF209" s="43">
        <v>8741</v>
      </c>
      <c r="FG209" s="43">
        <v>10937</v>
      </c>
      <c r="FH209" s="43">
        <v>10502</v>
      </c>
      <c r="FI209" s="43">
        <v>6954</v>
      </c>
      <c r="FJ209" s="43">
        <v>6230</v>
      </c>
      <c r="FK209" s="43"/>
      <c r="FL209" s="43"/>
      <c r="FM209" s="43"/>
      <c r="FN209" s="66">
        <f t="shared" si="562"/>
        <v>9785</v>
      </c>
      <c r="FO209" s="67">
        <f t="shared" si="563"/>
        <v>12437</v>
      </c>
      <c r="FP209" s="67">
        <f t="shared" si="564"/>
        <v>13616</v>
      </c>
      <c r="FQ209" s="67">
        <f t="shared" si="565"/>
        <v>9543</v>
      </c>
      <c r="FR209" s="67">
        <f t="shared" si="566"/>
        <v>7963</v>
      </c>
      <c r="FS209" s="67">
        <f t="shared" si="567"/>
        <v>11362</v>
      </c>
      <c r="FT209" s="67">
        <f t="shared" si="568"/>
        <v>12273</v>
      </c>
      <c r="FU209" s="67">
        <f t="shared" si="569"/>
        <v>9051</v>
      </c>
      <c r="FV209" s="67">
        <f t="shared" si="570"/>
        <v>7092</v>
      </c>
      <c r="FW209" s="67">
        <f t="shared" si="571"/>
        <v>10668</v>
      </c>
      <c r="FX209" s="67">
        <f t="shared" si="572"/>
        <v>8799</v>
      </c>
      <c r="FY209" s="67">
        <f t="shared" si="573"/>
        <v>7463</v>
      </c>
      <c r="FZ209" s="67">
        <f t="shared" si="574"/>
        <v>7556</v>
      </c>
      <c r="GA209" s="67">
        <f t="shared" si="575"/>
        <v>10834</v>
      </c>
      <c r="GB209" s="67">
        <f t="shared" si="576"/>
        <v>9748</v>
      </c>
      <c r="GC209" s="67">
        <f t="shared" si="577"/>
        <v>7522</v>
      </c>
      <c r="GD209" s="67">
        <f t="shared" si="578"/>
        <v>7276</v>
      </c>
      <c r="GE209" s="67">
        <f t="shared" si="579"/>
        <v>10196</v>
      </c>
      <c r="GF209" s="67">
        <f t="shared" si="580"/>
        <v>8139</v>
      </c>
      <c r="GG209" s="67">
        <f t="shared" si="581"/>
        <v>6237</v>
      </c>
      <c r="GH209" s="67">
        <f t="shared" si="582"/>
        <v>6259</v>
      </c>
      <c r="GI209" s="67">
        <f t="shared" si="583"/>
        <v>9183</v>
      </c>
      <c r="GJ209" s="67">
        <f t="shared" si="584"/>
        <v>9762</v>
      </c>
      <c r="GK209" s="67">
        <f t="shared" si="585"/>
        <v>11430</v>
      </c>
      <c r="GL209" s="67">
        <f t="shared" si="586"/>
        <v>8962</v>
      </c>
      <c r="GM209" s="67">
        <f t="shared" si="587"/>
        <v>13156</v>
      </c>
      <c r="GN209" s="67">
        <f t="shared" si="588"/>
        <v>12915</v>
      </c>
      <c r="GO209" s="67">
        <f t="shared" si="589"/>
        <v>12983</v>
      </c>
      <c r="GP209" s="67">
        <f t="shared" si="590"/>
        <v>8805</v>
      </c>
      <c r="GQ209" s="67">
        <f t="shared" si="591"/>
        <v>12835</v>
      </c>
      <c r="GR209" s="67">
        <f t="shared" si="592"/>
        <v>13143</v>
      </c>
      <c r="GS209" s="67">
        <f t="shared" si="593"/>
        <v>8459</v>
      </c>
      <c r="GT209" s="67">
        <f t="shared" si="594"/>
        <v>52</v>
      </c>
      <c r="GU209" s="67">
        <f t="shared" si="595"/>
        <v>964</v>
      </c>
      <c r="GV209" s="67">
        <f t="shared" si="596"/>
        <v>5413</v>
      </c>
      <c r="GW209" s="67">
        <f t="shared" si="597"/>
        <v>4206</v>
      </c>
      <c r="GX209" s="67">
        <f t="shared" si="598"/>
        <v>1608</v>
      </c>
      <c r="GY209" s="67">
        <f t="shared" si="599"/>
        <v>4054</v>
      </c>
      <c r="GZ209" s="67">
        <f t="shared" si="600"/>
        <v>5302</v>
      </c>
      <c r="HA209" s="67">
        <f t="shared" si="601"/>
        <v>6925</v>
      </c>
      <c r="HB209" s="67">
        <f t="shared" si="602"/>
        <v>5594</v>
      </c>
      <c r="HC209" s="67">
        <f t="shared" si="603"/>
        <v>5144</v>
      </c>
      <c r="HD209" s="67">
        <f t="shared" si="604"/>
        <v>5211</v>
      </c>
      <c r="HE209" s="67">
        <f t="shared" si="605"/>
        <v>5897</v>
      </c>
      <c r="HF209" s="67">
        <f t="shared" si="606"/>
        <v>7539</v>
      </c>
      <c r="HG209" s="67">
        <f t="shared" si="607"/>
        <v>10161</v>
      </c>
      <c r="HH209" s="67">
        <f t="shared" si="608"/>
        <v>10781</v>
      </c>
      <c r="HI209" s="67">
        <f t="shared" si="609"/>
        <v>9186</v>
      </c>
      <c r="HJ209" s="210">
        <f t="shared" si="610"/>
        <v>12075</v>
      </c>
      <c r="HK209" s="210">
        <f t="shared" si="611"/>
        <v>15219</v>
      </c>
      <c r="HL209" s="210">
        <f t="shared" si="612"/>
        <v>18201</v>
      </c>
      <c r="HM209" s="210">
        <f t="shared" si="613"/>
        <v>16741</v>
      </c>
      <c r="HN209" s="210">
        <f t="shared" si="614"/>
        <v>16484</v>
      </c>
      <c r="HO209" s="210">
        <f t="shared" si="615"/>
        <v>27523</v>
      </c>
      <c r="HP209" s="210">
        <f t="shared" si="616"/>
        <v>23686</v>
      </c>
      <c r="HQ209" s="60"/>
      <c r="HR209" s="43"/>
      <c r="HS209" s="43"/>
      <c r="HT209" s="43"/>
      <c r="HU209" s="211">
        <f t="shared" si="623"/>
        <v>45381</v>
      </c>
      <c r="HV209" s="211">
        <f t="shared" si="624"/>
        <v>40649</v>
      </c>
      <c r="HW209" s="211">
        <f t="shared" si="625"/>
        <v>34022</v>
      </c>
      <c r="HX209" s="212">
        <f t="shared" si="626"/>
        <v>35660</v>
      </c>
      <c r="HY209" s="58">
        <f t="shared" si="627"/>
        <v>31848</v>
      </c>
      <c r="HZ209" s="58">
        <f t="shared" si="628"/>
        <v>36634</v>
      </c>
      <c r="IA209" s="58">
        <f t="shared" si="629"/>
        <v>48016</v>
      </c>
      <c r="IB209" s="64">
        <f t="shared" si="630"/>
        <v>43242</v>
      </c>
      <c r="IC209" s="64">
        <f t="shared" si="631"/>
        <v>10635</v>
      </c>
      <c r="ID209" s="64">
        <f t="shared" si="617"/>
        <v>17889</v>
      </c>
      <c r="IE209" s="64">
        <f t="shared" si="618"/>
        <v>21846</v>
      </c>
      <c r="IF209" s="64">
        <f t="shared" si="619"/>
        <v>37667</v>
      </c>
      <c r="IG209" s="64">
        <f t="shared" si="620"/>
        <v>62236</v>
      </c>
    </row>
    <row r="210" spans="1:241" outlineLevel="2" x14ac:dyDescent="0.3">
      <c r="A210" s="260" t="s">
        <v>151</v>
      </c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>
        <v>0</v>
      </c>
      <c r="BT210" s="43">
        <v>0</v>
      </c>
      <c r="BU210" s="43">
        <v>0</v>
      </c>
      <c r="BV210" s="43"/>
      <c r="BW210" s="43"/>
      <c r="BX210" s="43">
        <v>0</v>
      </c>
      <c r="BY210" s="43"/>
      <c r="BZ210" s="43"/>
      <c r="CA210" s="43"/>
      <c r="CB210" s="43"/>
      <c r="CC210" s="43"/>
      <c r="CD210" s="43">
        <v>79</v>
      </c>
      <c r="CE210" s="43">
        <v>143</v>
      </c>
      <c r="CF210" s="43">
        <v>113</v>
      </c>
      <c r="CG210" s="43">
        <v>214</v>
      </c>
      <c r="CH210" s="43">
        <v>240</v>
      </c>
      <c r="CI210" s="43">
        <v>125</v>
      </c>
      <c r="CJ210" s="43">
        <v>74</v>
      </c>
      <c r="CK210" s="43">
        <v>144</v>
      </c>
      <c r="CL210" s="43">
        <v>327</v>
      </c>
      <c r="CM210" s="43">
        <v>431</v>
      </c>
      <c r="CN210" s="43">
        <v>453</v>
      </c>
      <c r="CO210" s="43">
        <v>555</v>
      </c>
      <c r="CP210" s="43">
        <v>500</v>
      </c>
      <c r="CQ210" s="43">
        <v>461</v>
      </c>
      <c r="CR210" s="43">
        <v>552</v>
      </c>
      <c r="CS210" s="43">
        <v>178</v>
      </c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43"/>
      <c r="EU210" s="43"/>
      <c r="EV210" s="43"/>
      <c r="EW210" s="43"/>
      <c r="EX210" s="43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66">
        <f t="shared" si="562"/>
        <v>0</v>
      </c>
      <c r="FO210" s="67">
        <f t="shared" si="563"/>
        <v>0</v>
      </c>
      <c r="FP210" s="67">
        <f t="shared" si="564"/>
        <v>0</v>
      </c>
      <c r="FQ210" s="67">
        <f t="shared" si="565"/>
        <v>0</v>
      </c>
      <c r="FR210" s="67">
        <f t="shared" si="566"/>
        <v>0</v>
      </c>
      <c r="FS210" s="67">
        <f t="shared" si="567"/>
        <v>0</v>
      </c>
      <c r="FT210" s="67">
        <f t="shared" si="568"/>
        <v>0</v>
      </c>
      <c r="FU210" s="67">
        <f t="shared" si="569"/>
        <v>0</v>
      </c>
      <c r="FV210" s="67">
        <f t="shared" si="570"/>
        <v>0</v>
      </c>
      <c r="FW210" s="67">
        <f t="shared" si="571"/>
        <v>0</v>
      </c>
      <c r="FX210" s="67">
        <f t="shared" si="572"/>
        <v>0</v>
      </c>
      <c r="FY210" s="67">
        <f t="shared" si="573"/>
        <v>0</v>
      </c>
      <c r="FZ210" s="67">
        <f t="shared" si="574"/>
        <v>0</v>
      </c>
      <c r="GA210" s="67">
        <f t="shared" si="575"/>
        <v>0</v>
      </c>
      <c r="GB210" s="67">
        <f t="shared" si="576"/>
        <v>0</v>
      </c>
      <c r="GC210" s="67">
        <f t="shared" si="577"/>
        <v>0</v>
      </c>
      <c r="GD210" s="67">
        <f t="shared" si="578"/>
        <v>0</v>
      </c>
      <c r="GE210" s="67">
        <f t="shared" si="579"/>
        <v>0</v>
      </c>
      <c r="GF210" s="67">
        <f t="shared" si="580"/>
        <v>0</v>
      </c>
      <c r="GG210" s="67">
        <f t="shared" si="581"/>
        <v>0</v>
      </c>
      <c r="GH210" s="67">
        <f t="shared" si="582"/>
        <v>0</v>
      </c>
      <c r="GI210" s="67">
        <f t="shared" si="583"/>
        <v>0</v>
      </c>
      <c r="GJ210" s="67">
        <f t="shared" si="584"/>
        <v>0</v>
      </c>
      <c r="GK210" s="67">
        <f t="shared" si="585"/>
        <v>0</v>
      </c>
      <c r="GL210" s="67">
        <f t="shared" si="586"/>
        <v>0</v>
      </c>
      <c r="GM210" s="67">
        <f t="shared" si="587"/>
        <v>0</v>
      </c>
      <c r="GN210" s="67">
        <f t="shared" si="588"/>
        <v>79</v>
      </c>
      <c r="GO210" s="67">
        <f t="shared" si="589"/>
        <v>470</v>
      </c>
      <c r="GP210" s="67">
        <f t="shared" si="590"/>
        <v>439</v>
      </c>
      <c r="GQ210" s="67">
        <f t="shared" si="591"/>
        <v>902</v>
      </c>
      <c r="GR210" s="67">
        <f t="shared" si="592"/>
        <v>1508</v>
      </c>
      <c r="GS210" s="67">
        <f t="shared" si="593"/>
        <v>1191</v>
      </c>
      <c r="GT210" s="67">
        <f t="shared" si="594"/>
        <v>0</v>
      </c>
      <c r="GU210" s="67">
        <f t="shared" si="595"/>
        <v>0</v>
      </c>
      <c r="GV210" s="67">
        <f t="shared" si="596"/>
        <v>0</v>
      </c>
      <c r="GW210" s="67">
        <f t="shared" si="597"/>
        <v>0</v>
      </c>
      <c r="GX210" s="67">
        <f t="shared" si="598"/>
        <v>0</v>
      </c>
      <c r="GY210" s="67">
        <f t="shared" si="599"/>
        <v>0</v>
      </c>
      <c r="GZ210" s="67">
        <f t="shared" si="600"/>
        <v>0</v>
      </c>
      <c r="HA210" s="67">
        <f t="shared" si="601"/>
        <v>0</v>
      </c>
      <c r="HB210" s="67">
        <f t="shared" si="602"/>
        <v>0</v>
      </c>
      <c r="HC210" s="67">
        <f t="shared" si="603"/>
        <v>0</v>
      </c>
      <c r="HD210" s="67">
        <f t="shared" si="604"/>
        <v>0</v>
      </c>
      <c r="HE210" s="67">
        <f t="shared" si="605"/>
        <v>0</v>
      </c>
      <c r="HF210" s="67">
        <f t="shared" si="606"/>
        <v>0</v>
      </c>
      <c r="HG210" s="67">
        <f t="shared" si="607"/>
        <v>0</v>
      </c>
      <c r="HH210" s="67">
        <f t="shared" si="608"/>
        <v>0</v>
      </c>
      <c r="HI210" s="67">
        <f t="shared" si="609"/>
        <v>0</v>
      </c>
      <c r="HJ210" s="210">
        <f t="shared" si="610"/>
        <v>0</v>
      </c>
      <c r="HK210" s="210">
        <f t="shared" si="611"/>
        <v>0</v>
      </c>
      <c r="HL210" s="210">
        <f t="shared" si="612"/>
        <v>0</v>
      </c>
      <c r="HM210" s="210">
        <f t="shared" si="613"/>
        <v>0</v>
      </c>
      <c r="HN210" s="210">
        <f t="shared" si="614"/>
        <v>0</v>
      </c>
      <c r="HO210" s="210">
        <f t="shared" si="615"/>
        <v>0</v>
      </c>
      <c r="HP210" s="210">
        <f t="shared" si="616"/>
        <v>0</v>
      </c>
      <c r="HQ210" s="60"/>
      <c r="HR210" s="43"/>
      <c r="HS210" s="43"/>
      <c r="HT210" s="43"/>
      <c r="HU210" s="211">
        <f t="shared" si="623"/>
        <v>0</v>
      </c>
      <c r="HV210" s="211">
        <f t="shared" si="624"/>
        <v>0</v>
      </c>
      <c r="HW210" s="211">
        <f t="shared" si="625"/>
        <v>0</v>
      </c>
      <c r="HX210" s="212">
        <f t="shared" si="626"/>
        <v>0</v>
      </c>
      <c r="HY210" s="58">
        <f t="shared" si="627"/>
        <v>0</v>
      </c>
      <c r="HZ210" s="58">
        <f t="shared" si="628"/>
        <v>0</v>
      </c>
      <c r="IA210" s="58">
        <f t="shared" si="629"/>
        <v>549</v>
      </c>
      <c r="IB210" s="64">
        <f t="shared" si="630"/>
        <v>4040</v>
      </c>
      <c r="IC210" s="64">
        <f t="shared" si="631"/>
        <v>0</v>
      </c>
      <c r="ID210" s="64">
        <f t="shared" si="617"/>
        <v>0</v>
      </c>
      <c r="IE210" s="64">
        <f t="shared" si="618"/>
        <v>0</v>
      </c>
      <c r="IF210" s="64">
        <f t="shared" si="619"/>
        <v>0</v>
      </c>
      <c r="IG210" s="64">
        <f t="shared" si="620"/>
        <v>0</v>
      </c>
    </row>
    <row r="211" spans="1:241" outlineLevel="2" x14ac:dyDescent="0.3">
      <c r="A211" s="259" t="s">
        <v>122</v>
      </c>
      <c r="B211" s="43">
        <v>7704</v>
      </c>
      <c r="C211" s="43">
        <v>9386</v>
      </c>
      <c r="D211" s="43">
        <v>10743</v>
      </c>
      <c r="E211" s="43">
        <v>11566</v>
      </c>
      <c r="F211" s="43">
        <v>12077</v>
      </c>
      <c r="G211" s="43">
        <v>12375</v>
      </c>
      <c r="H211" s="43">
        <v>13180</v>
      </c>
      <c r="I211" s="43">
        <v>13096</v>
      </c>
      <c r="J211" s="43">
        <v>10627</v>
      </c>
      <c r="K211" s="43">
        <v>10189</v>
      </c>
      <c r="L211" s="43">
        <v>10949</v>
      </c>
      <c r="M211" s="43">
        <v>10409</v>
      </c>
      <c r="N211" s="43">
        <v>8529</v>
      </c>
      <c r="O211" s="43">
        <v>8291</v>
      </c>
      <c r="P211" s="43">
        <v>10005</v>
      </c>
      <c r="Q211" s="43">
        <v>10304</v>
      </c>
      <c r="R211" s="43">
        <v>11201</v>
      </c>
      <c r="S211" s="43">
        <v>12038</v>
      </c>
      <c r="T211" s="43">
        <v>12611</v>
      </c>
      <c r="U211" s="43">
        <v>10540</v>
      </c>
      <c r="V211" s="43">
        <v>8780</v>
      </c>
      <c r="W211" s="43">
        <v>8638</v>
      </c>
      <c r="X211" s="43">
        <v>8456</v>
      </c>
      <c r="Y211" s="43">
        <v>7987</v>
      </c>
      <c r="Z211" s="43">
        <v>8032</v>
      </c>
      <c r="AA211" s="43">
        <v>8535</v>
      </c>
      <c r="AB211" s="43">
        <v>10098</v>
      </c>
      <c r="AC211" s="43">
        <v>11732</v>
      </c>
      <c r="AD211" s="43">
        <v>12391</v>
      </c>
      <c r="AE211" s="43">
        <v>13303</v>
      </c>
      <c r="AF211" s="43">
        <v>12221</v>
      </c>
      <c r="AG211" s="43">
        <v>9924</v>
      </c>
      <c r="AH211" s="43">
        <v>8932</v>
      </c>
      <c r="AI211" s="43">
        <v>7842</v>
      </c>
      <c r="AJ211" s="43">
        <v>5487</v>
      </c>
      <c r="AK211" s="43">
        <v>9952</v>
      </c>
      <c r="AL211" s="43">
        <v>7198</v>
      </c>
      <c r="AM211" s="43">
        <v>8212</v>
      </c>
      <c r="AN211" s="43">
        <v>8861</v>
      </c>
      <c r="AO211" s="43">
        <v>9110</v>
      </c>
      <c r="AP211" s="43">
        <v>9409</v>
      </c>
      <c r="AQ211" s="43">
        <v>10580</v>
      </c>
      <c r="AR211" s="43">
        <v>11603</v>
      </c>
      <c r="AS211" s="43">
        <v>10209</v>
      </c>
      <c r="AT211" s="43">
        <v>9026</v>
      </c>
      <c r="AU211" s="43">
        <v>8021</v>
      </c>
      <c r="AV211" s="43">
        <v>8194</v>
      </c>
      <c r="AW211" s="43">
        <v>8766</v>
      </c>
      <c r="AX211" s="43">
        <v>8088</v>
      </c>
      <c r="AY211" s="43">
        <v>8935</v>
      </c>
      <c r="AZ211" s="43">
        <v>9362</v>
      </c>
      <c r="BA211" s="43">
        <v>8733</v>
      </c>
      <c r="BB211" s="43">
        <v>9953</v>
      </c>
      <c r="BC211" s="43">
        <v>10416</v>
      </c>
      <c r="BD211" s="43">
        <v>11369</v>
      </c>
      <c r="BE211" s="43">
        <v>6051</v>
      </c>
      <c r="BF211" s="43">
        <v>5673</v>
      </c>
      <c r="BG211" s="43">
        <v>4907</v>
      </c>
      <c r="BH211" s="43">
        <v>6243</v>
      </c>
      <c r="BI211" s="43">
        <v>6794</v>
      </c>
      <c r="BJ211" s="43">
        <v>6102</v>
      </c>
      <c r="BK211" s="43">
        <v>6206</v>
      </c>
      <c r="BL211" s="43">
        <v>6858</v>
      </c>
      <c r="BM211" s="43">
        <v>7576</v>
      </c>
      <c r="BN211" s="43">
        <v>8292</v>
      </c>
      <c r="BO211" s="43">
        <v>9937</v>
      </c>
      <c r="BP211" s="43">
        <v>9924</v>
      </c>
      <c r="BQ211" s="43">
        <v>7770</v>
      </c>
      <c r="BR211" s="43">
        <v>7779</v>
      </c>
      <c r="BS211" s="43">
        <v>8008</v>
      </c>
      <c r="BT211" s="43">
        <v>8108</v>
      </c>
      <c r="BU211" s="43">
        <v>9696</v>
      </c>
      <c r="BV211" s="43">
        <v>7937</v>
      </c>
      <c r="BW211" s="43">
        <v>8524</v>
      </c>
      <c r="BX211" s="43">
        <v>9487</v>
      </c>
      <c r="BY211" s="43">
        <v>8777</v>
      </c>
      <c r="BZ211" s="43">
        <v>10332</v>
      </c>
      <c r="CA211" s="43">
        <v>11897</v>
      </c>
      <c r="CB211" s="43">
        <v>12446</v>
      </c>
      <c r="CC211" s="43">
        <v>8392</v>
      </c>
      <c r="CD211" s="43">
        <v>7004</v>
      </c>
      <c r="CE211" s="43">
        <v>9521</v>
      </c>
      <c r="CF211" s="43">
        <v>8542</v>
      </c>
      <c r="CG211" s="43">
        <v>9464</v>
      </c>
      <c r="CH211" s="43">
        <v>7497</v>
      </c>
      <c r="CI211" s="43">
        <v>8704</v>
      </c>
      <c r="CJ211" s="43">
        <v>8465</v>
      </c>
      <c r="CK211" s="43">
        <v>8800</v>
      </c>
      <c r="CL211" s="43">
        <v>9645</v>
      </c>
      <c r="CM211" s="43">
        <v>10904</v>
      </c>
      <c r="CN211" s="43">
        <v>12079</v>
      </c>
      <c r="CO211" s="43">
        <v>8936</v>
      </c>
      <c r="CP211" s="43">
        <v>10423</v>
      </c>
      <c r="CQ211" s="43">
        <v>7991</v>
      </c>
      <c r="CR211" s="43">
        <v>7586</v>
      </c>
      <c r="CS211" s="43">
        <v>4432</v>
      </c>
      <c r="CT211" s="43"/>
      <c r="CU211" s="43">
        <v>552</v>
      </c>
      <c r="CV211" s="43">
        <v>1774</v>
      </c>
      <c r="CW211" s="43">
        <v>754</v>
      </c>
      <c r="CX211" s="43">
        <v>1256</v>
      </c>
      <c r="CY211" s="43">
        <v>3080</v>
      </c>
      <c r="CZ211" s="43">
        <v>3300</v>
      </c>
      <c r="DA211" s="43">
        <v>2885</v>
      </c>
      <c r="DB211" s="43">
        <v>2271</v>
      </c>
      <c r="DC211" s="43">
        <v>3835</v>
      </c>
      <c r="DD211" s="43">
        <v>3166</v>
      </c>
      <c r="DE211" s="43">
        <v>3805</v>
      </c>
      <c r="DF211" s="43">
        <v>1210</v>
      </c>
      <c r="DG211" s="43">
        <v>79</v>
      </c>
      <c r="DH211" s="43">
        <v>92</v>
      </c>
      <c r="DI211" s="43">
        <v>795</v>
      </c>
      <c r="DJ211" s="43">
        <v>1307</v>
      </c>
      <c r="DK211" s="43">
        <v>1850</v>
      </c>
      <c r="DL211" s="43">
        <v>2308</v>
      </c>
      <c r="DM211" s="43">
        <v>2048</v>
      </c>
      <c r="DN211" s="43">
        <v>2189</v>
      </c>
      <c r="DO211" s="43">
        <v>1948</v>
      </c>
      <c r="DP211" s="43">
        <v>2074</v>
      </c>
      <c r="DQ211" s="43">
        <v>2583</v>
      </c>
      <c r="DR211" s="43">
        <v>3065</v>
      </c>
      <c r="DS211" s="43">
        <v>3403</v>
      </c>
      <c r="DT211" s="43">
        <v>3937</v>
      </c>
      <c r="DU211" s="43">
        <v>3313</v>
      </c>
      <c r="DV211" s="43">
        <v>4698</v>
      </c>
      <c r="DW211" s="43">
        <v>5422</v>
      </c>
      <c r="DX211" s="43">
        <v>4867</v>
      </c>
      <c r="DY211" s="43">
        <v>4769</v>
      </c>
      <c r="DZ211" s="43">
        <v>4653</v>
      </c>
      <c r="EA211" s="43">
        <v>3669</v>
      </c>
      <c r="EB211" s="43">
        <v>6314</v>
      </c>
      <c r="EC211" s="43">
        <v>6159</v>
      </c>
      <c r="ED211" s="43">
        <v>2363</v>
      </c>
      <c r="EE211" s="43">
        <v>4546</v>
      </c>
      <c r="EF211" s="43">
        <v>6524</v>
      </c>
      <c r="EG211" s="43">
        <v>5637</v>
      </c>
      <c r="EH211" s="43">
        <v>6348</v>
      </c>
      <c r="EI211" s="43">
        <v>7493</v>
      </c>
      <c r="EJ211" s="43">
        <v>7829</v>
      </c>
      <c r="EK211" s="43">
        <v>6626</v>
      </c>
      <c r="EL211" s="43">
        <v>5786</v>
      </c>
      <c r="EM211" s="43">
        <v>3907</v>
      </c>
      <c r="EN211" s="43">
        <v>4901</v>
      </c>
      <c r="EO211" s="43">
        <v>5068</v>
      </c>
      <c r="EP211" s="43">
        <v>5222</v>
      </c>
      <c r="EQ211" s="43">
        <v>5746</v>
      </c>
      <c r="ER211" s="43">
        <v>6180</v>
      </c>
      <c r="ES211" s="43">
        <v>5324</v>
      </c>
      <c r="ET211" s="43">
        <v>6831</v>
      </c>
      <c r="EU211" s="43">
        <v>7211</v>
      </c>
      <c r="EV211" s="43">
        <v>8125</v>
      </c>
      <c r="EW211" s="43">
        <v>5394</v>
      </c>
      <c r="EX211" s="43">
        <v>4719</v>
      </c>
      <c r="EY211" s="43">
        <v>4644</v>
      </c>
      <c r="EZ211" s="43">
        <v>4918</v>
      </c>
      <c r="FA211" s="43">
        <v>5474</v>
      </c>
      <c r="FB211" s="43">
        <v>3845</v>
      </c>
      <c r="FC211" s="43">
        <v>4222</v>
      </c>
      <c r="FD211" s="43">
        <v>4747</v>
      </c>
      <c r="FE211" s="43">
        <v>5317</v>
      </c>
      <c r="FF211" s="43">
        <v>5328</v>
      </c>
      <c r="FG211" s="43">
        <v>5919</v>
      </c>
      <c r="FH211" s="43">
        <v>6436</v>
      </c>
      <c r="FI211" s="43">
        <v>5724</v>
      </c>
      <c r="FJ211" s="43">
        <v>5550</v>
      </c>
      <c r="FK211" s="43"/>
      <c r="FL211" s="43"/>
      <c r="FM211" s="43"/>
      <c r="FN211" s="66">
        <f t="shared" si="562"/>
        <v>27833</v>
      </c>
      <c r="FO211" s="67">
        <f t="shared" si="563"/>
        <v>36018</v>
      </c>
      <c r="FP211" s="67">
        <f t="shared" si="564"/>
        <v>36903</v>
      </c>
      <c r="FQ211" s="67">
        <f t="shared" si="565"/>
        <v>31547</v>
      </c>
      <c r="FR211" s="67">
        <f t="shared" si="566"/>
        <v>26825</v>
      </c>
      <c r="FS211" s="67">
        <f t="shared" si="567"/>
        <v>33543</v>
      </c>
      <c r="FT211" s="67">
        <f t="shared" si="568"/>
        <v>31931</v>
      </c>
      <c r="FU211" s="67">
        <f t="shared" si="569"/>
        <v>25081</v>
      </c>
      <c r="FV211" s="67">
        <f t="shared" si="570"/>
        <v>26665</v>
      </c>
      <c r="FW211" s="67">
        <f t="shared" si="571"/>
        <v>37426</v>
      </c>
      <c r="FX211" s="67">
        <f t="shared" si="572"/>
        <v>31077</v>
      </c>
      <c r="FY211" s="67">
        <f t="shared" si="573"/>
        <v>23281</v>
      </c>
      <c r="FZ211" s="67">
        <f t="shared" si="574"/>
        <v>24271</v>
      </c>
      <c r="GA211" s="67">
        <f t="shared" si="575"/>
        <v>29099</v>
      </c>
      <c r="GB211" s="67">
        <f t="shared" si="576"/>
        <v>30838</v>
      </c>
      <c r="GC211" s="67">
        <f t="shared" si="577"/>
        <v>24981</v>
      </c>
      <c r="GD211" s="67">
        <f t="shared" si="578"/>
        <v>26385</v>
      </c>
      <c r="GE211" s="67">
        <f t="shared" si="579"/>
        <v>29102</v>
      </c>
      <c r="GF211" s="67">
        <f t="shared" si="580"/>
        <v>23093</v>
      </c>
      <c r="GG211" s="67">
        <f t="shared" si="581"/>
        <v>17944</v>
      </c>
      <c r="GH211" s="67">
        <f t="shared" si="582"/>
        <v>19166</v>
      </c>
      <c r="GI211" s="67">
        <f t="shared" si="583"/>
        <v>25805</v>
      </c>
      <c r="GJ211" s="67">
        <f t="shared" si="584"/>
        <v>25473</v>
      </c>
      <c r="GK211" s="67">
        <f t="shared" si="585"/>
        <v>25812</v>
      </c>
      <c r="GL211" s="67">
        <f t="shared" si="586"/>
        <v>25948</v>
      </c>
      <c r="GM211" s="67">
        <f t="shared" si="587"/>
        <v>31006</v>
      </c>
      <c r="GN211" s="67">
        <f t="shared" si="588"/>
        <v>27842</v>
      </c>
      <c r="GO211" s="67">
        <f t="shared" si="589"/>
        <v>27527</v>
      </c>
      <c r="GP211" s="67">
        <f t="shared" si="590"/>
        <v>24666</v>
      </c>
      <c r="GQ211" s="67">
        <f t="shared" si="591"/>
        <v>29349</v>
      </c>
      <c r="GR211" s="67">
        <f t="shared" si="592"/>
        <v>31438</v>
      </c>
      <c r="GS211" s="67">
        <f t="shared" si="593"/>
        <v>20009</v>
      </c>
      <c r="GT211" s="67">
        <f t="shared" si="594"/>
        <v>2326</v>
      </c>
      <c r="GU211" s="67">
        <f t="shared" si="595"/>
        <v>5090</v>
      </c>
      <c r="GV211" s="67">
        <f t="shared" si="596"/>
        <v>8456</v>
      </c>
      <c r="GW211" s="67">
        <f t="shared" si="597"/>
        <v>10806</v>
      </c>
      <c r="GX211" s="67">
        <f t="shared" si="598"/>
        <v>1381</v>
      </c>
      <c r="GY211" s="67">
        <f t="shared" si="599"/>
        <v>3952</v>
      </c>
      <c r="GZ211" s="67">
        <f t="shared" si="600"/>
        <v>6545</v>
      </c>
      <c r="HA211" s="67">
        <f t="shared" si="601"/>
        <v>6605</v>
      </c>
      <c r="HB211" s="67">
        <f t="shared" si="602"/>
        <v>10405</v>
      </c>
      <c r="HC211" s="67">
        <f t="shared" si="603"/>
        <v>13433</v>
      </c>
      <c r="HD211" s="67">
        <f t="shared" si="604"/>
        <v>14289</v>
      </c>
      <c r="HE211" s="67">
        <f t="shared" si="605"/>
        <v>16142</v>
      </c>
      <c r="HF211" s="67">
        <f t="shared" si="606"/>
        <v>13433</v>
      </c>
      <c r="HG211" s="67">
        <f t="shared" si="607"/>
        <v>19478</v>
      </c>
      <c r="HH211" s="67">
        <f t="shared" si="608"/>
        <v>20241</v>
      </c>
      <c r="HI211" s="67">
        <f t="shared" si="609"/>
        <v>13876</v>
      </c>
      <c r="HJ211" s="210">
        <f t="shared" si="610"/>
        <v>17148</v>
      </c>
      <c r="HK211" s="210">
        <f t="shared" si="611"/>
        <v>19366</v>
      </c>
      <c r="HL211" s="210">
        <f t="shared" si="612"/>
        <v>18238</v>
      </c>
      <c r="HM211" s="210">
        <f t="shared" si="613"/>
        <v>15036</v>
      </c>
      <c r="HN211" s="210">
        <f t="shared" si="614"/>
        <v>12814</v>
      </c>
      <c r="HO211" s="210">
        <f t="shared" si="615"/>
        <v>16564</v>
      </c>
      <c r="HP211" s="210">
        <f t="shared" si="616"/>
        <v>17710</v>
      </c>
      <c r="HQ211" s="60"/>
      <c r="HR211" s="43"/>
      <c r="HS211" s="43"/>
      <c r="HT211" s="43"/>
      <c r="HU211" s="211">
        <f t="shared" si="623"/>
        <v>132301</v>
      </c>
      <c r="HV211" s="211">
        <f t="shared" si="624"/>
        <v>117380</v>
      </c>
      <c r="HW211" s="211">
        <f t="shared" si="625"/>
        <v>118449</v>
      </c>
      <c r="HX211" s="212">
        <f t="shared" si="626"/>
        <v>109189</v>
      </c>
      <c r="HY211" s="58">
        <f t="shared" si="627"/>
        <v>96524</v>
      </c>
      <c r="HZ211" s="58">
        <f t="shared" si="628"/>
        <v>96256</v>
      </c>
      <c r="IA211" s="58">
        <f t="shared" si="629"/>
        <v>112323</v>
      </c>
      <c r="IB211" s="64">
        <f t="shared" si="630"/>
        <v>105462</v>
      </c>
      <c r="IC211" s="64">
        <f t="shared" si="631"/>
        <v>26678</v>
      </c>
      <c r="ID211" s="64">
        <f t="shared" si="617"/>
        <v>18483</v>
      </c>
      <c r="IE211" s="64">
        <f t="shared" si="618"/>
        <v>54269</v>
      </c>
      <c r="IF211" s="64">
        <f t="shared" si="619"/>
        <v>67028</v>
      </c>
      <c r="IG211" s="64">
        <f t="shared" si="620"/>
        <v>69788</v>
      </c>
    </row>
    <row r="212" spans="1:241" outlineLevel="2" x14ac:dyDescent="0.3">
      <c r="A212" s="260" t="s">
        <v>186</v>
      </c>
      <c r="B212" s="43">
        <v>356</v>
      </c>
      <c r="C212" s="43">
        <v>576</v>
      </c>
      <c r="D212" s="43">
        <v>583</v>
      </c>
      <c r="E212" s="43">
        <v>736</v>
      </c>
      <c r="F212" s="43">
        <v>642</v>
      </c>
      <c r="G212" s="43">
        <v>630</v>
      </c>
      <c r="H212" s="43">
        <v>754</v>
      </c>
      <c r="I212" s="43">
        <v>598</v>
      </c>
      <c r="J212" s="43">
        <v>555</v>
      </c>
      <c r="K212" s="43">
        <v>709</v>
      </c>
      <c r="L212" s="43">
        <v>737</v>
      </c>
      <c r="M212" s="43">
        <v>617</v>
      </c>
      <c r="N212" s="43">
        <v>353</v>
      </c>
      <c r="O212" s="43">
        <v>517</v>
      </c>
      <c r="P212" s="43">
        <v>451</v>
      </c>
      <c r="Q212" s="43">
        <v>542</v>
      </c>
      <c r="R212" s="43">
        <v>458</v>
      </c>
      <c r="S212" s="43">
        <v>569</v>
      </c>
      <c r="T212" s="43">
        <v>667</v>
      </c>
      <c r="U212" s="43">
        <v>490</v>
      </c>
      <c r="V212" s="43">
        <v>553</v>
      </c>
      <c r="W212" s="43">
        <v>533</v>
      </c>
      <c r="X212" s="43">
        <v>520</v>
      </c>
      <c r="Y212" s="43">
        <v>748</v>
      </c>
      <c r="Z212" s="43">
        <v>196</v>
      </c>
      <c r="AA212" s="43">
        <v>428</v>
      </c>
      <c r="AB212" s="43">
        <v>544</v>
      </c>
      <c r="AC212" s="43">
        <v>426</v>
      </c>
      <c r="AD212" s="43">
        <v>438</v>
      </c>
      <c r="AE212" s="43">
        <v>536</v>
      </c>
      <c r="AF212" s="43">
        <v>377</v>
      </c>
      <c r="AG212" s="43">
        <v>503</v>
      </c>
      <c r="AH212" s="43">
        <v>300</v>
      </c>
      <c r="AI212" s="43">
        <v>360</v>
      </c>
      <c r="AJ212" s="43">
        <v>510</v>
      </c>
      <c r="AK212" s="43">
        <v>570</v>
      </c>
      <c r="AL212" s="43">
        <v>137</v>
      </c>
      <c r="AM212" s="43">
        <v>283</v>
      </c>
      <c r="AN212" s="43">
        <v>376</v>
      </c>
      <c r="AO212" s="43">
        <v>405</v>
      </c>
      <c r="AP212" s="43">
        <f>174+375</f>
        <v>549</v>
      </c>
      <c r="AQ212" s="43">
        <v>429</v>
      </c>
      <c r="AR212" s="43">
        <v>462</v>
      </c>
      <c r="AS212" s="43">
        <v>381</v>
      </c>
      <c r="AT212" s="43">
        <v>492</v>
      </c>
      <c r="AU212" s="43">
        <v>307</v>
      </c>
      <c r="AV212" s="43">
        <v>347</v>
      </c>
      <c r="AW212" s="43">
        <v>470</v>
      </c>
      <c r="AX212" s="43">
        <v>247</v>
      </c>
      <c r="AY212" s="43">
        <v>279</v>
      </c>
      <c r="AZ212" s="43">
        <v>378</v>
      </c>
      <c r="BA212" s="43">
        <v>286</v>
      </c>
      <c r="BB212" s="43">
        <v>222</v>
      </c>
      <c r="BC212" s="43">
        <v>276</v>
      </c>
      <c r="BD212" s="43">
        <v>157</v>
      </c>
      <c r="BE212" s="43">
        <v>388</v>
      </c>
      <c r="BF212" s="43">
        <v>199</v>
      </c>
      <c r="BG212" s="43">
        <v>280</v>
      </c>
      <c r="BH212" s="43">
        <v>188</v>
      </c>
      <c r="BI212" s="43">
        <v>140</v>
      </c>
      <c r="BJ212" s="43">
        <v>0</v>
      </c>
      <c r="BK212" s="43">
        <v>0</v>
      </c>
      <c r="BL212" s="43">
        <v>25</v>
      </c>
      <c r="BM212" s="43">
        <v>36</v>
      </c>
      <c r="BN212" s="43">
        <v>169</v>
      </c>
      <c r="BO212" s="43">
        <v>183</v>
      </c>
      <c r="BP212" s="43">
        <v>0</v>
      </c>
      <c r="BQ212" s="43">
        <v>133</v>
      </c>
      <c r="BR212" s="43">
        <v>207</v>
      </c>
      <c r="BS212" s="43">
        <v>231</v>
      </c>
      <c r="BT212" s="43">
        <v>194</v>
      </c>
      <c r="BU212" s="43">
        <v>170</v>
      </c>
      <c r="BV212" s="43">
        <v>84</v>
      </c>
      <c r="BW212" s="43">
        <v>208</v>
      </c>
      <c r="BX212" s="43">
        <v>76</v>
      </c>
      <c r="BY212" s="43">
        <v>119</v>
      </c>
      <c r="BZ212" s="43">
        <v>132</v>
      </c>
      <c r="CA212" s="43">
        <v>160</v>
      </c>
      <c r="CB212" s="43">
        <f>37+124</f>
        <v>161</v>
      </c>
      <c r="CC212" s="43">
        <v>143</v>
      </c>
      <c r="CD212" s="43">
        <v>175</v>
      </c>
      <c r="CE212" s="43">
        <v>158</v>
      </c>
      <c r="CF212" s="43">
        <v>200</v>
      </c>
      <c r="CG212" s="43">
        <v>186</v>
      </c>
      <c r="CH212" s="43">
        <v>190</v>
      </c>
      <c r="CI212" s="43">
        <v>131</v>
      </c>
      <c r="CJ212" s="43">
        <v>176</v>
      </c>
      <c r="CK212" s="43">
        <v>177</v>
      </c>
      <c r="CL212" s="43">
        <v>187</v>
      </c>
      <c r="CM212" s="43">
        <v>162</v>
      </c>
      <c r="CN212" s="43">
        <v>310</v>
      </c>
      <c r="CO212" s="43">
        <v>98</v>
      </c>
      <c r="CP212" s="43">
        <v>200</v>
      </c>
      <c r="CQ212" s="43">
        <v>278</v>
      </c>
      <c r="CR212" s="43">
        <v>241</v>
      </c>
      <c r="CS212" s="43">
        <v>194</v>
      </c>
      <c r="CT212" s="43"/>
      <c r="CU212" s="43">
        <v>0</v>
      </c>
      <c r="CV212" s="43">
        <v>5</v>
      </c>
      <c r="CW212" s="43">
        <v>1</v>
      </c>
      <c r="CX212" s="43">
        <v>0</v>
      </c>
      <c r="CY212" s="43">
        <v>5</v>
      </c>
      <c r="CZ212" s="43">
        <v>0</v>
      </c>
      <c r="DA212" s="43">
        <v>6</v>
      </c>
      <c r="DB212" s="43">
        <v>0</v>
      </c>
      <c r="DC212" s="43">
        <v>6</v>
      </c>
      <c r="DD212" s="43">
        <v>0</v>
      </c>
      <c r="DE212" s="43">
        <v>0</v>
      </c>
      <c r="DF212" s="43"/>
      <c r="DG212" s="43"/>
      <c r="DH212" s="43">
        <v>0</v>
      </c>
      <c r="DI212" s="43">
        <v>0</v>
      </c>
      <c r="DJ212" s="43">
        <v>0</v>
      </c>
      <c r="DK212" s="43">
        <v>0</v>
      </c>
      <c r="DL212" s="43">
        <v>0</v>
      </c>
      <c r="DM212" s="43">
        <v>0</v>
      </c>
      <c r="DN212" s="43">
        <v>0</v>
      </c>
      <c r="DO212" s="43">
        <v>0</v>
      </c>
      <c r="DP212" s="43">
        <v>0</v>
      </c>
      <c r="DQ212" s="43">
        <v>0</v>
      </c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/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43"/>
      <c r="EU212" s="43"/>
      <c r="EV212" s="43"/>
      <c r="EW212" s="43"/>
      <c r="EX212" s="43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66">
        <f t="shared" si="562"/>
        <v>1515</v>
      </c>
      <c r="FO212" s="67">
        <f t="shared" si="563"/>
        <v>2008</v>
      </c>
      <c r="FP212" s="67">
        <f t="shared" si="564"/>
        <v>1907</v>
      </c>
      <c r="FQ212" s="67">
        <f t="shared" si="565"/>
        <v>2063</v>
      </c>
      <c r="FR212" s="67">
        <f t="shared" si="566"/>
        <v>1321</v>
      </c>
      <c r="FS212" s="67">
        <f t="shared" si="567"/>
        <v>1569</v>
      </c>
      <c r="FT212" s="67">
        <f t="shared" si="568"/>
        <v>1710</v>
      </c>
      <c r="FU212" s="67">
        <f t="shared" si="569"/>
        <v>1801</v>
      </c>
      <c r="FV212" s="67">
        <f t="shared" si="570"/>
        <v>1168</v>
      </c>
      <c r="FW212" s="67">
        <f t="shared" si="571"/>
        <v>1400</v>
      </c>
      <c r="FX212" s="67">
        <f t="shared" si="572"/>
        <v>1180</v>
      </c>
      <c r="FY212" s="67">
        <f t="shared" si="573"/>
        <v>1440</v>
      </c>
      <c r="FZ212" s="67">
        <f t="shared" si="574"/>
        <v>796</v>
      </c>
      <c r="GA212" s="67">
        <f t="shared" si="575"/>
        <v>1383</v>
      </c>
      <c r="GB212" s="67">
        <f t="shared" si="576"/>
        <v>1335</v>
      </c>
      <c r="GC212" s="67">
        <f t="shared" si="577"/>
        <v>1124</v>
      </c>
      <c r="GD212" s="67">
        <f t="shared" si="578"/>
        <v>904</v>
      </c>
      <c r="GE212" s="67">
        <f t="shared" si="579"/>
        <v>784</v>
      </c>
      <c r="GF212" s="67">
        <f t="shared" si="580"/>
        <v>744</v>
      </c>
      <c r="GG212" s="67">
        <f t="shared" si="581"/>
        <v>608</v>
      </c>
      <c r="GH212" s="67">
        <f t="shared" si="582"/>
        <v>25</v>
      </c>
      <c r="GI212" s="67">
        <f t="shared" si="583"/>
        <v>388</v>
      </c>
      <c r="GJ212" s="67">
        <f t="shared" si="584"/>
        <v>340</v>
      </c>
      <c r="GK212" s="67">
        <f t="shared" si="585"/>
        <v>595</v>
      </c>
      <c r="GL212" s="67">
        <f t="shared" si="586"/>
        <v>368</v>
      </c>
      <c r="GM212" s="67">
        <f t="shared" si="587"/>
        <v>411</v>
      </c>
      <c r="GN212" s="67">
        <f t="shared" si="588"/>
        <v>479</v>
      </c>
      <c r="GO212" s="67">
        <f t="shared" si="589"/>
        <v>544</v>
      </c>
      <c r="GP212" s="67">
        <f t="shared" si="590"/>
        <v>497</v>
      </c>
      <c r="GQ212" s="67">
        <f t="shared" si="591"/>
        <v>526</v>
      </c>
      <c r="GR212" s="67">
        <f t="shared" si="592"/>
        <v>608</v>
      </c>
      <c r="GS212" s="67">
        <f t="shared" si="593"/>
        <v>713</v>
      </c>
      <c r="GT212" s="67">
        <f t="shared" si="594"/>
        <v>5</v>
      </c>
      <c r="GU212" s="67">
        <f t="shared" si="595"/>
        <v>6</v>
      </c>
      <c r="GV212" s="67">
        <f t="shared" si="596"/>
        <v>6</v>
      </c>
      <c r="GW212" s="67">
        <f t="shared" si="597"/>
        <v>6</v>
      </c>
      <c r="GX212" s="67">
        <f t="shared" si="598"/>
        <v>0</v>
      </c>
      <c r="GY212" s="67">
        <f t="shared" si="599"/>
        <v>0</v>
      </c>
      <c r="GZ212" s="67">
        <f t="shared" si="600"/>
        <v>0</v>
      </c>
      <c r="HA212" s="67">
        <f t="shared" si="601"/>
        <v>0</v>
      </c>
      <c r="HB212" s="67">
        <f t="shared" si="602"/>
        <v>0</v>
      </c>
      <c r="HC212" s="67">
        <f t="shared" si="603"/>
        <v>0</v>
      </c>
      <c r="HD212" s="67">
        <f t="shared" si="604"/>
        <v>0</v>
      </c>
      <c r="HE212" s="67">
        <f t="shared" si="605"/>
        <v>0</v>
      </c>
      <c r="HF212" s="67">
        <f t="shared" si="606"/>
        <v>0</v>
      </c>
      <c r="HG212" s="67">
        <f t="shared" si="607"/>
        <v>0</v>
      </c>
      <c r="HH212" s="67">
        <f t="shared" si="608"/>
        <v>0</v>
      </c>
      <c r="HI212" s="67">
        <f t="shared" si="609"/>
        <v>0</v>
      </c>
      <c r="HJ212" s="210">
        <f t="shared" si="610"/>
        <v>0</v>
      </c>
      <c r="HK212" s="210">
        <f t="shared" si="611"/>
        <v>0</v>
      </c>
      <c r="HL212" s="210">
        <f t="shared" si="612"/>
        <v>0</v>
      </c>
      <c r="HM212" s="210">
        <f t="shared" si="613"/>
        <v>0</v>
      </c>
      <c r="HN212" s="210">
        <f t="shared" si="614"/>
        <v>0</v>
      </c>
      <c r="HO212" s="210">
        <f t="shared" si="615"/>
        <v>0</v>
      </c>
      <c r="HP212" s="210">
        <f t="shared" si="616"/>
        <v>0</v>
      </c>
      <c r="HQ212" s="60"/>
      <c r="HR212" s="43"/>
      <c r="HS212" s="43"/>
      <c r="HT212" s="43"/>
      <c r="HU212" s="211">
        <f t="shared" si="623"/>
        <v>7493</v>
      </c>
      <c r="HV212" s="211">
        <f t="shared" si="624"/>
        <v>6401</v>
      </c>
      <c r="HW212" s="211">
        <f t="shared" si="625"/>
        <v>5188</v>
      </c>
      <c r="HX212" s="212">
        <f t="shared" si="626"/>
        <v>4638</v>
      </c>
      <c r="HY212" s="58">
        <f t="shared" si="627"/>
        <v>3040</v>
      </c>
      <c r="HZ212" s="58">
        <f t="shared" si="628"/>
        <v>1348</v>
      </c>
      <c r="IA212" s="58">
        <f t="shared" si="629"/>
        <v>1802</v>
      </c>
      <c r="IB212" s="64">
        <f t="shared" si="630"/>
        <v>2344</v>
      </c>
      <c r="IC212" s="64">
        <f t="shared" si="631"/>
        <v>23</v>
      </c>
      <c r="ID212" s="64">
        <f t="shared" si="617"/>
        <v>0</v>
      </c>
      <c r="IE212" s="64">
        <f t="shared" si="618"/>
        <v>0</v>
      </c>
      <c r="IF212" s="64">
        <f t="shared" si="619"/>
        <v>0</v>
      </c>
      <c r="IG212" s="64">
        <f t="shared" si="620"/>
        <v>0</v>
      </c>
    </row>
    <row r="213" spans="1:241" outlineLevel="2" x14ac:dyDescent="0.3">
      <c r="A213" s="259" t="s">
        <v>124</v>
      </c>
      <c r="B213" s="43">
        <v>1002</v>
      </c>
      <c r="C213" s="43">
        <v>1215</v>
      </c>
      <c r="D213" s="43">
        <v>1050</v>
      </c>
      <c r="E213" s="43">
        <v>1251</v>
      </c>
      <c r="F213" s="43">
        <v>1200</v>
      </c>
      <c r="G213" s="43">
        <v>2088</v>
      </c>
      <c r="H213" s="43">
        <v>1602</v>
      </c>
      <c r="I213" s="43">
        <v>1701</v>
      </c>
      <c r="J213" s="43">
        <v>1404</v>
      </c>
      <c r="K213" s="43">
        <v>1101</v>
      </c>
      <c r="L213" s="43">
        <v>1000</v>
      </c>
      <c r="M213" s="43">
        <v>1002</v>
      </c>
      <c r="N213" s="43">
        <v>707</v>
      </c>
      <c r="O213" s="43">
        <v>639</v>
      </c>
      <c r="P213" s="43">
        <v>750</v>
      </c>
      <c r="Q213" s="43">
        <v>1000</v>
      </c>
      <c r="R213" s="43">
        <v>1015</v>
      </c>
      <c r="S213" s="43">
        <v>1100</v>
      </c>
      <c r="T213" s="43">
        <v>1449</v>
      </c>
      <c r="U213" s="43">
        <v>1352</v>
      </c>
      <c r="V213" s="43">
        <v>858</v>
      </c>
      <c r="W213" s="43">
        <v>1300</v>
      </c>
      <c r="X213" s="43">
        <v>1300</v>
      </c>
      <c r="Y213" s="43">
        <v>1045</v>
      </c>
      <c r="Z213" s="43">
        <v>1126</v>
      </c>
      <c r="AA213" s="43">
        <v>1436</v>
      </c>
      <c r="AB213" s="43">
        <v>1461</v>
      </c>
      <c r="AC213" s="43">
        <v>1535</v>
      </c>
      <c r="AD213" s="43">
        <v>1861</v>
      </c>
      <c r="AE213" s="43">
        <v>1767</v>
      </c>
      <c r="AF213" s="43">
        <v>1895</v>
      </c>
      <c r="AG213" s="43">
        <v>1378</v>
      </c>
      <c r="AH213" s="43">
        <v>1473</v>
      </c>
      <c r="AI213" s="43">
        <v>1285</v>
      </c>
      <c r="AJ213" s="43">
        <v>1332</v>
      </c>
      <c r="AK213" s="43">
        <v>1057</v>
      </c>
      <c r="AL213" s="43">
        <v>995</v>
      </c>
      <c r="AM213" s="43">
        <v>951</v>
      </c>
      <c r="AN213" s="43">
        <v>1305</v>
      </c>
      <c r="AO213" s="43">
        <v>1545</v>
      </c>
      <c r="AP213" s="43">
        <v>1430</v>
      </c>
      <c r="AQ213" s="43">
        <v>1246</v>
      </c>
      <c r="AR213" s="43">
        <v>1449</v>
      </c>
      <c r="AS213" s="43">
        <v>1290</v>
      </c>
      <c r="AT213" s="43">
        <v>1155</v>
      </c>
      <c r="AU213" s="43">
        <v>1500</v>
      </c>
      <c r="AV213" s="43">
        <v>1464</v>
      </c>
      <c r="AW213" s="43">
        <v>1206</v>
      </c>
      <c r="AX213" s="43">
        <v>1050</v>
      </c>
      <c r="AY213" s="43">
        <v>1352</v>
      </c>
      <c r="AZ213" s="43">
        <v>1189</v>
      </c>
      <c r="BA213" s="43">
        <v>1205</v>
      </c>
      <c r="BB213" s="43">
        <v>1222</v>
      </c>
      <c r="BC213" s="43">
        <v>1119</v>
      </c>
      <c r="BD213" s="43">
        <v>1327</v>
      </c>
      <c r="BE213" s="43">
        <v>643</v>
      </c>
      <c r="BF213" s="43">
        <v>794</v>
      </c>
      <c r="BG213" s="43">
        <v>848</v>
      </c>
      <c r="BH213" s="43">
        <v>644</v>
      </c>
      <c r="BI213" s="43">
        <v>884</v>
      </c>
      <c r="BJ213" s="43">
        <v>4736</v>
      </c>
      <c r="BK213" s="43">
        <v>863</v>
      </c>
      <c r="BL213" s="43">
        <v>884</v>
      </c>
      <c r="BM213" s="43">
        <v>818</v>
      </c>
      <c r="BN213" s="43">
        <v>1415</v>
      </c>
      <c r="BO213" s="43">
        <v>1719</v>
      </c>
      <c r="BP213" s="43">
        <v>1602</v>
      </c>
      <c r="BQ213" s="43">
        <v>1620</v>
      </c>
      <c r="BR213" s="43">
        <v>1313</v>
      </c>
      <c r="BS213" s="43">
        <v>2007</v>
      </c>
      <c r="BT213" s="43">
        <v>1756</v>
      </c>
      <c r="BU213" s="43">
        <v>1865</v>
      </c>
      <c r="BV213" s="43">
        <v>1393</v>
      </c>
      <c r="BW213" s="43">
        <v>1416</v>
      </c>
      <c r="BX213" s="43">
        <v>1467</v>
      </c>
      <c r="BY213" s="43">
        <v>1555</v>
      </c>
      <c r="BZ213" s="43">
        <v>1501</v>
      </c>
      <c r="CA213" s="43">
        <v>1650</v>
      </c>
      <c r="CB213" s="43">
        <v>1513</v>
      </c>
      <c r="CC213" s="43">
        <v>1236</v>
      </c>
      <c r="CD213" s="43">
        <v>1227</v>
      </c>
      <c r="CE213" s="43">
        <v>1326</v>
      </c>
      <c r="CF213" s="43">
        <v>1201</v>
      </c>
      <c r="CG213" s="43">
        <v>1230</v>
      </c>
      <c r="CH213" s="43">
        <v>916</v>
      </c>
      <c r="CI213" s="43">
        <v>980</v>
      </c>
      <c r="CJ213" s="43">
        <v>923</v>
      </c>
      <c r="CK213" s="43">
        <v>982</v>
      </c>
      <c r="CL213" s="43">
        <v>1225</v>
      </c>
      <c r="CM213" s="43">
        <v>1180</v>
      </c>
      <c r="CN213" s="43">
        <v>1345</v>
      </c>
      <c r="CO213" s="43">
        <v>1300</v>
      </c>
      <c r="CP213" s="43">
        <v>815</v>
      </c>
      <c r="CQ213" s="43">
        <v>1129</v>
      </c>
      <c r="CR213" s="43">
        <v>700</v>
      </c>
      <c r="CS213" s="43">
        <v>439</v>
      </c>
      <c r="CT213" s="43"/>
      <c r="CU213" s="43">
        <v>132</v>
      </c>
      <c r="CV213" s="43">
        <v>447</v>
      </c>
      <c r="CW213" s="43">
        <v>708</v>
      </c>
      <c r="CX213" s="43">
        <v>713</v>
      </c>
      <c r="CY213" s="43">
        <v>767</v>
      </c>
      <c r="CZ213" s="43">
        <v>824</v>
      </c>
      <c r="DA213" s="43">
        <v>846</v>
      </c>
      <c r="DB213" s="43">
        <v>903</v>
      </c>
      <c r="DC213" s="43">
        <v>1007</v>
      </c>
      <c r="DD213" s="43">
        <v>813</v>
      </c>
      <c r="DE213" s="43">
        <v>1106</v>
      </c>
      <c r="DF213" s="43">
        <v>412</v>
      </c>
      <c r="DG213" s="43">
        <v>131</v>
      </c>
      <c r="DH213" s="43">
        <v>227</v>
      </c>
      <c r="DI213" s="43">
        <v>553</v>
      </c>
      <c r="DJ213" s="43">
        <v>731</v>
      </c>
      <c r="DK213" s="43">
        <v>773</v>
      </c>
      <c r="DL213" s="43">
        <v>1023</v>
      </c>
      <c r="DM213" s="43">
        <v>721</v>
      </c>
      <c r="DN213" s="43">
        <v>729</v>
      </c>
      <c r="DO213" s="43">
        <v>1104</v>
      </c>
      <c r="DP213" s="43">
        <v>900</v>
      </c>
      <c r="DQ213" s="43">
        <v>1211</v>
      </c>
      <c r="DR213" s="43">
        <v>1300</v>
      </c>
      <c r="DS213" s="43">
        <v>1218</v>
      </c>
      <c r="DT213" s="43">
        <v>909</v>
      </c>
      <c r="DU213" s="43">
        <v>647</v>
      </c>
      <c r="DV213" s="43">
        <v>1347</v>
      </c>
      <c r="DW213" s="43">
        <v>2105</v>
      </c>
      <c r="DX213" s="43">
        <v>1502</v>
      </c>
      <c r="DY213" s="43">
        <v>1223</v>
      </c>
      <c r="DZ213" s="43">
        <v>1209</v>
      </c>
      <c r="EA213" s="43">
        <v>1578</v>
      </c>
      <c r="EB213" s="43">
        <v>1308</v>
      </c>
      <c r="EC213" s="43">
        <v>1294</v>
      </c>
      <c r="ED213" s="43">
        <v>1571</v>
      </c>
      <c r="EE213" s="43">
        <v>1300</v>
      </c>
      <c r="EF213" s="43">
        <v>1433</v>
      </c>
      <c r="EG213" s="43">
        <v>1493</v>
      </c>
      <c r="EH213" s="43">
        <v>1686</v>
      </c>
      <c r="EI213" s="43">
        <v>1738</v>
      </c>
      <c r="EJ213" s="43">
        <v>1767</v>
      </c>
      <c r="EK213" s="43">
        <v>1984</v>
      </c>
      <c r="EL213" s="43">
        <v>1488</v>
      </c>
      <c r="EM213" s="43">
        <v>1908</v>
      </c>
      <c r="EN213" s="43">
        <v>2021</v>
      </c>
      <c r="EO213" s="43">
        <v>2071</v>
      </c>
      <c r="EP213" s="43">
        <v>1575</v>
      </c>
      <c r="EQ213" s="43">
        <v>1776</v>
      </c>
      <c r="ER213" s="43">
        <v>1826</v>
      </c>
      <c r="ES213" s="43">
        <v>2284</v>
      </c>
      <c r="ET213" s="43">
        <v>2529</v>
      </c>
      <c r="EU213" s="43">
        <v>2317</v>
      </c>
      <c r="EV213" s="43">
        <v>2788</v>
      </c>
      <c r="EW213" s="43">
        <v>2136</v>
      </c>
      <c r="EX213" s="43">
        <v>2206</v>
      </c>
      <c r="EY213" s="43">
        <v>2684</v>
      </c>
      <c r="EZ213" s="43">
        <v>2901</v>
      </c>
      <c r="FA213" s="43">
        <v>3588</v>
      </c>
      <c r="FB213" s="43">
        <v>3360</v>
      </c>
      <c r="FC213" s="43">
        <v>3540</v>
      </c>
      <c r="FD213" s="43">
        <v>3832</v>
      </c>
      <c r="FE213" s="43">
        <v>4993</v>
      </c>
      <c r="FF213" s="43">
        <v>5298</v>
      </c>
      <c r="FG213" s="43">
        <v>5672</v>
      </c>
      <c r="FH213" s="43">
        <v>6111</v>
      </c>
      <c r="FI213" s="43">
        <v>5577</v>
      </c>
      <c r="FJ213" s="43">
        <v>4989</v>
      </c>
      <c r="FK213" s="43"/>
      <c r="FL213" s="43"/>
      <c r="FM213" s="43"/>
      <c r="FN213" s="66">
        <f t="shared" si="562"/>
        <v>3267</v>
      </c>
      <c r="FO213" s="67">
        <f t="shared" si="563"/>
        <v>4539</v>
      </c>
      <c r="FP213" s="67">
        <f t="shared" si="564"/>
        <v>4707</v>
      </c>
      <c r="FQ213" s="67">
        <f t="shared" si="565"/>
        <v>3103</v>
      </c>
      <c r="FR213" s="67">
        <f t="shared" si="566"/>
        <v>2096</v>
      </c>
      <c r="FS213" s="67">
        <f t="shared" si="567"/>
        <v>3115</v>
      </c>
      <c r="FT213" s="67">
        <f t="shared" si="568"/>
        <v>3659</v>
      </c>
      <c r="FU213" s="67">
        <f t="shared" si="569"/>
        <v>3645</v>
      </c>
      <c r="FV213" s="67">
        <f t="shared" si="570"/>
        <v>4023</v>
      </c>
      <c r="FW213" s="67">
        <f t="shared" si="571"/>
        <v>5163</v>
      </c>
      <c r="FX213" s="67">
        <f t="shared" si="572"/>
        <v>4746</v>
      </c>
      <c r="FY213" s="67">
        <f t="shared" si="573"/>
        <v>3674</v>
      </c>
      <c r="FZ213" s="67">
        <f t="shared" si="574"/>
        <v>3251</v>
      </c>
      <c r="GA213" s="67">
        <f t="shared" si="575"/>
        <v>4221</v>
      </c>
      <c r="GB213" s="67">
        <f t="shared" si="576"/>
        <v>3894</v>
      </c>
      <c r="GC213" s="67">
        <f t="shared" si="577"/>
        <v>4170</v>
      </c>
      <c r="GD213" s="67">
        <f t="shared" si="578"/>
        <v>3591</v>
      </c>
      <c r="GE213" s="67">
        <f t="shared" si="579"/>
        <v>3546</v>
      </c>
      <c r="GF213" s="67">
        <f t="shared" si="580"/>
        <v>2764</v>
      </c>
      <c r="GG213" s="67">
        <f t="shared" si="581"/>
        <v>2376</v>
      </c>
      <c r="GH213" s="67">
        <f t="shared" si="582"/>
        <v>6483</v>
      </c>
      <c r="GI213" s="67">
        <f t="shared" si="583"/>
        <v>3952</v>
      </c>
      <c r="GJ213" s="67">
        <f t="shared" si="584"/>
        <v>4535</v>
      </c>
      <c r="GK213" s="67">
        <f t="shared" si="585"/>
        <v>5628</v>
      </c>
      <c r="GL213" s="67">
        <f t="shared" si="586"/>
        <v>4276</v>
      </c>
      <c r="GM213" s="67">
        <f t="shared" si="587"/>
        <v>4706</v>
      </c>
      <c r="GN213" s="67">
        <f t="shared" si="588"/>
        <v>3976</v>
      </c>
      <c r="GO213" s="67">
        <f t="shared" si="589"/>
        <v>3757</v>
      </c>
      <c r="GP213" s="67">
        <f t="shared" si="590"/>
        <v>2819</v>
      </c>
      <c r="GQ213" s="67">
        <f t="shared" si="591"/>
        <v>3387</v>
      </c>
      <c r="GR213" s="67">
        <f t="shared" si="592"/>
        <v>3460</v>
      </c>
      <c r="GS213" s="67">
        <f t="shared" si="593"/>
        <v>2268</v>
      </c>
      <c r="GT213" s="67">
        <f t="shared" si="594"/>
        <v>579</v>
      </c>
      <c r="GU213" s="67">
        <f t="shared" si="595"/>
        <v>2188</v>
      </c>
      <c r="GV213" s="67">
        <f t="shared" si="596"/>
        <v>2573</v>
      </c>
      <c r="GW213" s="67">
        <f t="shared" si="597"/>
        <v>2926</v>
      </c>
      <c r="GX213" s="67">
        <f t="shared" si="598"/>
        <v>770</v>
      </c>
      <c r="GY213" s="67">
        <f t="shared" si="599"/>
        <v>2057</v>
      </c>
      <c r="GZ213" s="67">
        <f t="shared" si="600"/>
        <v>2473</v>
      </c>
      <c r="HA213" s="67">
        <f t="shared" si="601"/>
        <v>3215</v>
      </c>
      <c r="HB213" s="67">
        <f t="shared" si="602"/>
        <v>3427</v>
      </c>
      <c r="HC213" s="67">
        <f t="shared" si="603"/>
        <v>4099</v>
      </c>
      <c r="HD213" s="67">
        <f t="shared" si="604"/>
        <v>3934</v>
      </c>
      <c r="HE213" s="67">
        <f t="shared" si="605"/>
        <v>4180</v>
      </c>
      <c r="HF213" s="67">
        <f t="shared" si="606"/>
        <v>4304</v>
      </c>
      <c r="HG213" s="67">
        <f t="shared" si="607"/>
        <v>4917</v>
      </c>
      <c r="HH213" s="67">
        <f t="shared" si="608"/>
        <v>5239</v>
      </c>
      <c r="HI213" s="67">
        <f t="shared" si="609"/>
        <v>6000</v>
      </c>
      <c r="HJ213" s="210">
        <f t="shared" si="610"/>
        <v>5177</v>
      </c>
      <c r="HK213" s="210">
        <f t="shared" si="611"/>
        <v>7130</v>
      </c>
      <c r="HL213" s="210">
        <f t="shared" si="612"/>
        <v>7130</v>
      </c>
      <c r="HM213" s="210">
        <f t="shared" si="613"/>
        <v>9173</v>
      </c>
      <c r="HN213" s="210">
        <f t="shared" si="614"/>
        <v>10732</v>
      </c>
      <c r="HO213" s="210">
        <f t="shared" si="615"/>
        <v>15963</v>
      </c>
      <c r="HP213" s="210">
        <f t="shared" si="616"/>
        <v>16677</v>
      </c>
      <c r="HQ213" s="60"/>
      <c r="HR213" s="43"/>
      <c r="HS213" s="43"/>
      <c r="HT213" s="43"/>
      <c r="HU213" s="211">
        <f t="shared" si="623"/>
        <v>15616</v>
      </c>
      <c r="HV213" s="211">
        <f t="shared" si="624"/>
        <v>12515</v>
      </c>
      <c r="HW213" s="211">
        <f t="shared" si="625"/>
        <v>17606</v>
      </c>
      <c r="HX213" s="212">
        <f t="shared" si="626"/>
        <v>15536</v>
      </c>
      <c r="HY213" s="58">
        <f t="shared" si="627"/>
        <v>12277</v>
      </c>
      <c r="HZ213" s="58">
        <f t="shared" si="628"/>
        <v>20598</v>
      </c>
      <c r="IA213" s="58">
        <f t="shared" si="629"/>
        <v>16715</v>
      </c>
      <c r="IB213" s="64">
        <f t="shared" si="630"/>
        <v>11934</v>
      </c>
      <c r="IC213" s="64">
        <f t="shared" si="631"/>
        <v>8266</v>
      </c>
      <c r="ID213" s="64">
        <f t="shared" si="617"/>
        <v>8515</v>
      </c>
      <c r="IE213" s="64">
        <f t="shared" si="618"/>
        <v>15640</v>
      </c>
      <c r="IF213" s="64">
        <f t="shared" si="619"/>
        <v>20460</v>
      </c>
      <c r="IG213" s="64">
        <f t="shared" si="620"/>
        <v>28610</v>
      </c>
    </row>
    <row r="214" spans="1:241" outlineLevel="2" x14ac:dyDescent="0.3">
      <c r="A214" s="259" t="s">
        <v>187</v>
      </c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/>
      <c r="EJ214" s="43"/>
      <c r="EK214" s="43"/>
      <c r="EL214" s="43"/>
      <c r="EM214" s="43"/>
      <c r="EN214" s="43"/>
      <c r="EO214" s="43"/>
      <c r="EP214" s="43"/>
      <c r="EQ214" s="43">
        <v>600</v>
      </c>
      <c r="ER214" s="43">
        <v>505</v>
      </c>
      <c r="ES214" s="43">
        <v>641</v>
      </c>
      <c r="ET214" s="43">
        <v>640</v>
      </c>
      <c r="EU214" s="43">
        <v>752</v>
      </c>
      <c r="EV214" s="43">
        <v>804</v>
      </c>
      <c r="EW214" s="43">
        <v>509</v>
      </c>
      <c r="EX214" s="43">
        <v>553</v>
      </c>
      <c r="EY214" s="43">
        <v>617</v>
      </c>
      <c r="EZ214" s="43">
        <v>529</v>
      </c>
      <c r="FA214" s="43">
        <v>510</v>
      </c>
      <c r="FB214" s="43">
        <v>566</v>
      </c>
      <c r="FC214" s="43">
        <v>472</v>
      </c>
      <c r="FD214" s="43">
        <v>570</v>
      </c>
      <c r="FE214" s="43">
        <v>677</v>
      </c>
      <c r="FF214" s="43">
        <v>524</v>
      </c>
      <c r="FG214" s="43">
        <v>746</v>
      </c>
      <c r="FH214" s="43">
        <v>569</v>
      </c>
      <c r="FI214" s="43">
        <v>557</v>
      </c>
      <c r="FJ214" s="43">
        <v>438</v>
      </c>
      <c r="FK214" s="43"/>
      <c r="FL214" s="43"/>
      <c r="FM214" s="43"/>
      <c r="FN214" s="66">
        <f t="shared" ref="FN214:FN215" si="632">+SUM(B214:D214)</f>
        <v>0</v>
      </c>
      <c r="FO214" s="67">
        <f t="shared" ref="FO214:FO215" si="633">+SUM(E214:G214)</f>
        <v>0</v>
      </c>
      <c r="FP214" s="67">
        <f t="shared" si="564"/>
        <v>0</v>
      </c>
      <c r="FQ214" s="67">
        <f t="shared" si="565"/>
        <v>0</v>
      </c>
      <c r="FR214" s="67">
        <f t="shared" si="566"/>
        <v>0</v>
      </c>
      <c r="FS214" s="67">
        <f t="shared" si="567"/>
        <v>0</v>
      </c>
      <c r="FT214" s="67">
        <f t="shared" si="568"/>
        <v>0</v>
      </c>
      <c r="FU214" s="67">
        <f t="shared" si="569"/>
        <v>0</v>
      </c>
      <c r="FV214" s="67">
        <f t="shared" si="570"/>
        <v>0</v>
      </c>
      <c r="FW214" s="67">
        <f t="shared" si="571"/>
        <v>0</v>
      </c>
      <c r="FX214" s="67">
        <f t="shared" si="572"/>
        <v>0</v>
      </c>
      <c r="FY214" s="67">
        <f t="shared" si="573"/>
        <v>0</v>
      </c>
      <c r="FZ214" s="67">
        <f t="shared" si="574"/>
        <v>0</v>
      </c>
      <c r="GA214" s="67">
        <f t="shared" si="575"/>
        <v>0</v>
      </c>
      <c r="GB214" s="67">
        <f t="shared" si="576"/>
        <v>0</v>
      </c>
      <c r="GC214" s="67">
        <f t="shared" si="577"/>
        <v>0</v>
      </c>
      <c r="GD214" s="67">
        <f t="shared" si="578"/>
        <v>0</v>
      </c>
      <c r="GE214" s="67">
        <f t="shared" si="579"/>
        <v>0</v>
      </c>
      <c r="GF214" s="67">
        <f t="shared" si="580"/>
        <v>0</v>
      </c>
      <c r="GG214" s="67">
        <f t="shared" si="581"/>
        <v>0</v>
      </c>
      <c r="GH214" s="67">
        <f t="shared" si="582"/>
        <v>0</v>
      </c>
      <c r="GI214" s="67">
        <f t="shared" si="583"/>
        <v>0</v>
      </c>
      <c r="GJ214" s="67">
        <f t="shared" si="584"/>
        <v>0</v>
      </c>
      <c r="GK214" s="67">
        <f t="shared" si="585"/>
        <v>0</v>
      </c>
      <c r="GL214" s="67">
        <f t="shared" si="586"/>
        <v>0</v>
      </c>
      <c r="GM214" s="67">
        <f t="shared" si="587"/>
        <v>0</v>
      </c>
      <c r="GN214" s="67">
        <f t="shared" si="588"/>
        <v>0</v>
      </c>
      <c r="GO214" s="67">
        <f t="shared" si="589"/>
        <v>0</v>
      </c>
      <c r="GP214" s="67">
        <f t="shared" si="590"/>
        <v>0</v>
      </c>
      <c r="GQ214" s="67">
        <f t="shared" si="591"/>
        <v>0</v>
      </c>
      <c r="GR214" s="67">
        <f t="shared" si="592"/>
        <v>0</v>
      </c>
      <c r="GS214" s="67">
        <f t="shared" si="593"/>
        <v>0</v>
      </c>
      <c r="GT214" s="67">
        <f t="shared" si="594"/>
        <v>0</v>
      </c>
      <c r="GU214" s="67">
        <f t="shared" si="595"/>
        <v>0</v>
      </c>
      <c r="GV214" s="67">
        <f t="shared" si="596"/>
        <v>0</v>
      </c>
      <c r="GW214" s="67">
        <f t="shared" si="597"/>
        <v>0</v>
      </c>
      <c r="GX214" s="67">
        <f t="shared" si="598"/>
        <v>0</v>
      </c>
      <c r="GY214" s="67">
        <f t="shared" si="599"/>
        <v>0</v>
      </c>
      <c r="GZ214" s="67">
        <f t="shared" si="600"/>
        <v>0</v>
      </c>
      <c r="HA214" s="67">
        <f t="shared" si="601"/>
        <v>0</v>
      </c>
      <c r="HB214" s="67">
        <f t="shared" si="602"/>
        <v>0</v>
      </c>
      <c r="HC214" s="67">
        <f t="shared" si="603"/>
        <v>0</v>
      </c>
      <c r="HD214" s="67">
        <f t="shared" si="604"/>
        <v>0</v>
      </c>
      <c r="HE214" s="67">
        <f t="shared" si="605"/>
        <v>0</v>
      </c>
      <c r="HF214" s="67">
        <f t="shared" si="606"/>
        <v>0</v>
      </c>
      <c r="HG214" s="67">
        <f t="shared" si="607"/>
        <v>0</v>
      </c>
      <c r="HH214" s="67">
        <f t="shared" si="608"/>
        <v>0</v>
      </c>
      <c r="HI214" s="67">
        <f t="shared" si="609"/>
        <v>0</v>
      </c>
      <c r="HJ214" s="210">
        <f t="shared" si="610"/>
        <v>1105</v>
      </c>
      <c r="HK214" s="210">
        <f t="shared" si="611"/>
        <v>2033</v>
      </c>
      <c r="HL214" s="210">
        <f t="shared" si="612"/>
        <v>1866</v>
      </c>
      <c r="HM214" s="210">
        <f t="shared" si="613"/>
        <v>1656</v>
      </c>
      <c r="HN214" s="210">
        <f t="shared" si="614"/>
        <v>1608</v>
      </c>
      <c r="HO214" s="210">
        <f t="shared" si="615"/>
        <v>1947</v>
      </c>
      <c r="HP214" s="210">
        <f t="shared" si="616"/>
        <v>1564</v>
      </c>
      <c r="HQ214" s="60"/>
      <c r="HR214" s="43"/>
      <c r="HS214" s="43"/>
      <c r="HT214" s="43"/>
      <c r="HU214" s="211">
        <f t="shared" si="623"/>
        <v>0</v>
      </c>
      <c r="HV214" s="211">
        <f t="shared" si="624"/>
        <v>0</v>
      </c>
      <c r="HW214" s="211">
        <f t="shared" si="625"/>
        <v>0</v>
      </c>
      <c r="HX214" s="212">
        <f t="shared" si="626"/>
        <v>0</v>
      </c>
      <c r="HY214" s="58">
        <f t="shared" si="627"/>
        <v>0</v>
      </c>
      <c r="HZ214" s="58">
        <f t="shared" si="628"/>
        <v>0</v>
      </c>
      <c r="IA214" s="58">
        <f t="shared" si="629"/>
        <v>0</v>
      </c>
      <c r="IB214" s="64">
        <f t="shared" si="630"/>
        <v>0</v>
      </c>
      <c r="IC214" s="64">
        <f t="shared" si="631"/>
        <v>0</v>
      </c>
      <c r="ID214" s="64">
        <f t="shared" si="617"/>
        <v>0</v>
      </c>
      <c r="IE214" s="64">
        <f t="shared" si="618"/>
        <v>0</v>
      </c>
      <c r="IF214" s="64">
        <f t="shared" si="619"/>
        <v>0</v>
      </c>
      <c r="IG214" s="64">
        <f t="shared" si="620"/>
        <v>6660</v>
      </c>
    </row>
    <row r="215" spans="1:241" outlineLevel="2" x14ac:dyDescent="0.3">
      <c r="A215" s="259" t="s">
        <v>188</v>
      </c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43"/>
      <c r="EU215" s="43"/>
      <c r="EV215" s="43"/>
      <c r="EW215" s="43"/>
      <c r="EX215" s="43"/>
      <c r="EY215" s="43"/>
      <c r="EZ215" s="43"/>
      <c r="FA215" s="43"/>
      <c r="FB215" s="43"/>
      <c r="FC215" s="43"/>
      <c r="FD215" s="43">
        <v>6</v>
      </c>
      <c r="FE215" s="43">
        <v>6</v>
      </c>
      <c r="FF215" s="43">
        <v>19</v>
      </c>
      <c r="FG215" s="43">
        <v>23</v>
      </c>
      <c r="FH215" s="43">
        <v>46</v>
      </c>
      <c r="FI215" s="43">
        <v>52</v>
      </c>
      <c r="FJ215" s="43">
        <v>59</v>
      </c>
      <c r="FK215" s="43"/>
      <c r="FL215" s="43"/>
      <c r="FM215" s="43"/>
      <c r="FN215" s="66">
        <f t="shared" si="632"/>
        <v>0</v>
      </c>
      <c r="FO215" s="67">
        <f t="shared" si="633"/>
        <v>0</v>
      </c>
      <c r="FP215" s="67">
        <f t="shared" si="564"/>
        <v>0</v>
      </c>
      <c r="FQ215" s="67">
        <f t="shared" si="565"/>
        <v>0</v>
      </c>
      <c r="FR215" s="67">
        <f t="shared" si="566"/>
        <v>0</v>
      </c>
      <c r="FS215" s="67">
        <f t="shared" si="567"/>
        <v>0</v>
      </c>
      <c r="FT215" s="67">
        <f t="shared" si="568"/>
        <v>0</v>
      </c>
      <c r="FU215" s="67">
        <f t="shared" si="569"/>
        <v>0</v>
      </c>
      <c r="FV215" s="67">
        <f t="shared" si="570"/>
        <v>0</v>
      </c>
      <c r="FW215" s="67">
        <f t="shared" si="571"/>
        <v>0</v>
      </c>
      <c r="FX215" s="67">
        <f t="shared" si="572"/>
        <v>0</v>
      </c>
      <c r="FY215" s="67">
        <f t="shared" si="573"/>
        <v>0</v>
      </c>
      <c r="FZ215" s="67">
        <f t="shared" si="574"/>
        <v>0</v>
      </c>
      <c r="GA215" s="67">
        <f t="shared" si="575"/>
        <v>0</v>
      </c>
      <c r="GB215" s="67">
        <f t="shared" si="576"/>
        <v>0</v>
      </c>
      <c r="GC215" s="67">
        <f t="shared" si="577"/>
        <v>0</v>
      </c>
      <c r="GD215" s="67">
        <f t="shared" si="578"/>
        <v>0</v>
      </c>
      <c r="GE215" s="67">
        <f t="shared" si="579"/>
        <v>0</v>
      </c>
      <c r="GF215" s="67">
        <f t="shared" si="580"/>
        <v>0</v>
      </c>
      <c r="GG215" s="67">
        <f t="shared" si="581"/>
        <v>0</v>
      </c>
      <c r="GH215" s="67">
        <f t="shared" si="582"/>
        <v>0</v>
      </c>
      <c r="GI215" s="67">
        <f t="shared" si="583"/>
        <v>0</v>
      </c>
      <c r="GJ215" s="67">
        <f t="shared" si="584"/>
        <v>0</v>
      </c>
      <c r="GK215" s="67">
        <f t="shared" si="585"/>
        <v>0</v>
      </c>
      <c r="GL215" s="67">
        <f t="shared" si="586"/>
        <v>0</v>
      </c>
      <c r="GM215" s="67">
        <f t="shared" si="587"/>
        <v>0</v>
      </c>
      <c r="GN215" s="67">
        <f t="shared" si="588"/>
        <v>0</v>
      </c>
      <c r="GO215" s="67">
        <f t="shared" si="589"/>
        <v>0</v>
      </c>
      <c r="GP215" s="67">
        <f t="shared" si="590"/>
        <v>0</v>
      </c>
      <c r="GQ215" s="67">
        <f t="shared" si="591"/>
        <v>0</v>
      </c>
      <c r="GR215" s="67">
        <f t="shared" si="592"/>
        <v>0</v>
      </c>
      <c r="GS215" s="67">
        <f t="shared" si="593"/>
        <v>0</v>
      </c>
      <c r="GT215" s="67">
        <f t="shared" si="594"/>
        <v>0</v>
      </c>
      <c r="GU215" s="67">
        <f t="shared" si="595"/>
        <v>0</v>
      </c>
      <c r="GV215" s="67">
        <f t="shared" si="596"/>
        <v>0</v>
      </c>
      <c r="GW215" s="67">
        <f t="shared" si="597"/>
        <v>0</v>
      </c>
      <c r="GX215" s="67">
        <f t="shared" si="598"/>
        <v>0</v>
      </c>
      <c r="GY215" s="67">
        <f t="shared" si="599"/>
        <v>0</v>
      </c>
      <c r="GZ215" s="67">
        <f t="shared" si="600"/>
        <v>0</v>
      </c>
      <c r="HA215" s="67">
        <f t="shared" si="601"/>
        <v>0</v>
      </c>
      <c r="HB215" s="67">
        <f t="shared" si="602"/>
        <v>0</v>
      </c>
      <c r="HC215" s="67">
        <f t="shared" si="603"/>
        <v>0</v>
      </c>
      <c r="HD215" s="67">
        <f t="shared" si="604"/>
        <v>0</v>
      </c>
      <c r="HE215" s="67">
        <f t="shared" si="605"/>
        <v>0</v>
      </c>
      <c r="HF215" s="67">
        <f t="shared" si="606"/>
        <v>0</v>
      </c>
      <c r="HG215" s="67">
        <f t="shared" si="607"/>
        <v>0</v>
      </c>
      <c r="HH215" s="67">
        <f t="shared" si="608"/>
        <v>0</v>
      </c>
      <c r="HI215" s="67">
        <f t="shared" si="609"/>
        <v>0</v>
      </c>
      <c r="HJ215" s="210">
        <f t="shared" si="610"/>
        <v>0</v>
      </c>
      <c r="HK215" s="210">
        <f t="shared" si="611"/>
        <v>0</v>
      </c>
      <c r="HL215" s="210">
        <f t="shared" si="612"/>
        <v>0</v>
      </c>
      <c r="HM215" s="210">
        <f t="shared" si="613"/>
        <v>0</v>
      </c>
      <c r="HN215" s="210">
        <f t="shared" si="614"/>
        <v>6</v>
      </c>
      <c r="HO215" s="210">
        <f t="shared" si="615"/>
        <v>48</v>
      </c>
      <c r="HP215" s="210">
        <f t="shared" si="616"/>
        <v>157</v>
      </c>
      <c r="HQ215" s="60"/>
      <c r="HR215" s="43"/>
      <c r="HS215" s="43"/>
      <c r="HT215" s="43"/>
      <c r="HU215" s="211">
        <f t="shared" si="623"/>
        <v>0</v>
      </c>
      <c r="HV215" s="211">
        <f t="shared" si="624"/>
        <v>0</v>
      </c>
      <c r="HW215" s="211">
        <f t="shared" si="625"/>
        <v>0</v>
      </c>
      <c r="HX215" s="212">
        <f t="shared" si="626"/>
        <v>0</v>
      </c>
      <c r="HY215" s="58">
        <f t="shared" si="627"/>
        <v>0</v>
      </c>
      <c r="HZ215" s="58">
        <f t="shared" si="628"/>
        <v>0</v>
      </c>
      <c r="IA215" s="58">
        <f t="shared" si="629"/>
        <v>0</v>
      </c>
      <c r="IB215" s="64">
        <f t="shared" si="630"/>
        <v>0</v>
      </c>
      <c r="IC215" s="64">
        <f t="shared" si="631"/>
        <v>0</v>
      </c>
      <c r="ID215" s="64">
        <f t="shared" si="617"/>
        <v>0</v>
      </c>
      <c r="IE215" s="64">
        <f t="shared" si="618"/>
        <v>0</v>
      </c>
      <c r="IF215" s="64">
        <f t="shared" si="619"/>
        <v>0</v>
      </c>
      <c r="IG215" s="64">
        <f t="shared" si="620"/>
        <v>0</v>
      </c>
    </row>
    <row r="216" spans="1:241" outlineLevel="1" x14ac:dyDescent="0.3">
      <c r="A216" s="81" t="s">
        <v>189</v>
      </c>
      <c r="B216" s="83">
        <f>+SUM(B205:B213)</f>
        <v>25320</v>
      </c>
      <c r="C216" s="83">
        <f t="shared" ref="C216:AI216" si="634">+SUM(C205:C213)</f>
        <v>29799</v>
      </c>
      <c r="D216" s="83">
        <f t="shared" si="634"/>
        <v>34366</v>
      </c>
      <c r="E216" s="83">
        <f t="shared" si="634"/>
        <v>36475</v>
      </c>
      <c r="F216" s="83">
        <f t="shared" si="634"/>
        <v>37569</v>
      </c>
      <c r="G216" s="83">
        <f t="shared" si="634"/>
        <v>41402</v>
      </c>
      <c r="H216" s="83">
        <f t="shared" si="634"/>
        <v>45942</v>
      </c>
      <c r="I216" s="83">
        <f t="shared" si="634"/>
        <v>42811</v>
      </c>
      <c r="J216" s="83">
        <f t="shared" si="634"/>
        <v>37042</v>
      </c>
      <c r="K216" s="83">
        <f t="shared" si="634"/>
        <v>40147</v>
      </c>
      <c r="L216" s="83">
        <f t="shared" si="634"/>
        <v>35582</v>
      </c>
      <c r="M216" s="83">
        <f t="shared" si="634"/>
        <v>34669</v>
      </c>
      <c r="N216" s="83">
        <f t="shared" si="634"/>
        <v>27153</v>
      </c>
      <c r="O216" s="83">
        <f t="shared" si="634"/>
        <v>28783</v>
      </c>
      <c r="P216" s="83">
        <f t="shared" si="634"/>
        <v>31368</v>
      </c>
      <c r="Q216" s="83">
        <f t="shared" si="634"/>
        <v>35078</v>
      </c>
      <c r="R216" s="83">
        <f t="shared" si="634"/>
        <v>35340</v>
      </c>
      <c r="S216" s="83">
        <f t="shared" si="634"/>
        <v>38935</v>
      </c>
      <c r="T216" s="83">
        <f t="shared" si="634"/>
        <v>40272</v>
      </c>
      <c r="U216" s="83">
        <f t="shared" si="634"/>
        <v>32405</v>
      </c>
      <c r="V216" s="83">
        <f t="shared" si="634"/>
        <v>27058</v>
      </c>
      <c r="W216" s="83">
        <f t="shared" si="634"/>
        <v>27593</v>
      </c>
      <c r="X216" s="83">
        <f t="shared" si="634"/>
        <v>29504</v>
      </c>
      <c r="Y216" s="83">
        <f t="shared" si="634"/>
        <v>31434</v>
      </c>
      <c r="Z216" s="83">
        <f t="shared" si="634"/>
        <v>26468</v>
      </c>
      <c r="AA216" s="83">
        <f t="shared" si="634"/>
        <v>32948</v>
      </c>
      <c r="AB216" s="83">
        <f t="shared" si="634"/>
        <v>39428</v>
      </c>
      <c r="AC216" s="83">
        <f t="shared" si="634"/>
        <v>43506</v>
      </c>
      <c r="AD216" s="83">
        <f t="shared" si="634"/>
        <v>44524</v>
      </c>
      <c r="AE216" s="83">
        <f t="shared" si="634"/>
        <v>48029</v>
      </c>
      <c r="AF216" s="83">
        <f t="shared" si="634"/>
        <v>43560</v>
      </c>
      <c r="AG216" s="83">
        <f t="shared" si="634"/>
        <v>32688</v>
      </c>
      <c r="AH216" s="83">
        <f t="shared" si="634"/>
        <v>30976</v>
      </c>
      <c r="AI216" s="83">
        <f t="shared" si="634"/>
        <v>30819</v>
      </c>
      <c r="AJ216" s="83">
        <v>25969</v>
      </c>
      <c r="AK216" s="83">
        <f t="shared" ref="AK216:BN216" si="635">+SUM(AK205:AK213)</f>
        <v>33111</v>
      </c>
      <c r="AL216" s="83">
        <f t="shared" si="635"/>
        <v>25607</v>
      </c>
      <c r="AM216" s="83">
        <f t="shared" si="635"/>
        <v>29203</v>
      </c>
      <c r="AN216" s="83">
        <f t="shared" si="635"/>
        <v>36116</v>
      </c>
      <c r="AO216" s="83">
        <f t="shared" si="635"/>
        <v>38223</v>
      </c>
      <c r="AP216" s="83">
        <f t="shared" si="635"/>
        <v>39419</v>
      </c>
      <c r="AQ216" s="83">
        <f t="shared" si="635"/>
        <v>41808</v>
      </c>
      <c r="AR216" s="83">
        <f t="shared" si="635"/>
        <v>43164</v>
      </c>
      <c r="AS216" s="83">
        <f t="shared" si="635"/>
        <v>37118</v>
      </c>
      <c r="AT216" s="83">
        <f t="shared" si="635"/>
        <v>38378</v>
      </c>
      <c r="AU216" s="83">
        <f t="shared" si="635"/>
        <v>35213</v>
      </c>
      <c r="AV216" s="83">
        <f t="shared" si="635"/>
        <v>35554</v>
      </c>
      <c r="AW216" s="83">
        <f t="shared" si="635"/>
        <v>41288</v>
      </c>
      <c r="AX216" s="83">
        <f t="shared" si="635"/>
        <v>37041</v>
      </c>
      <c r="AY216" s="83">
        <f t="shared" si="635"/>
        <v>38020</v>
      </c>
      <c r="AZ216" s="83">
        <f t="shared" si="635"/>
        <v>39867</v>
      </c>
      <c r="BA216" s="83">
        <f t="shared" si="635"/>
        <v>37766</v>
      </c>
      <c r="BB216" s="83">
        <f t="shared" si="635"/>
        <v>41176</v>
      </c>
      <c r="BC216" s="83">
        <f t="shared" si="635"/>
        <v>42415</v>
      </c>
      <c r="BD216" s="83">
        <f t="shared" si="635"/>
        <v>43769</v>
      </c>
      <c r="BE216" s="83">
        <f t="shared" si="635"/>
        <v>25073</v>
      </c>
      <c r="BF216" s="83">
        <f t="shared" si="635"/>
        <v>21712</v>
      </c>
      <c r="BG216" s="83">
        <f t="shared" si="635"/>
        <v>22199</v>
      </c>
      <c r="BH216" s="83">
        <f t="shared" si="635"/>
        <v>24891</v>
      </c>
      <c r="BI216" s="83">
        <f t="shared" si="635"/>
        <v>28110</v>
      </c>
      <c r="BJ216" s="83">
        <f t="shared" si="635"/>
        <v>28696</v>
      </c>
      <c r="BK216" s="83">
        <f t="shared" si="635"/>
        <v>26746</v>
      </c>
      <c r="BL216" s="83">
        <f t="shared" si="635"/>
        <v>28229</v>
      </c>
      <c r="BM216" s="83">
        <f t="shared" si="635"/>
        <v>32672</v>
      </c>
      <c r="BN216" s="83">
        <f t="shared" si="635"/>
        <v>41945</v>
      </c>
      <c r="BO216" s="83">
        <f>SUM(BO205:BO213)</f>
        <v>51125</v>
      </c>
      <c r="BP216" s="83">
        <f>SUM(BP205:BP213)</f>
        <v>51079</v>
      </c>
      <c r="BQ216" s="83">
        <f t="shared" ref="BQ216:CD216" si="636">SUM(BQ205:BQ213)</f>
        <v>50021</v>
      </c>
      <c r="BR216" s="83">
        <f t="shared" si="636"/>
        <v>47642</v>
      </c>
      <c r="BS216" s="83">
        <f t="shared" si="636"/>
        <v>52392</v>
      </c>
      <c r="BT216" s="83">
        <f t="shared" si="636"/>
        <v>51322</v>
      </c>
      <c r="BU216" s="83">
        <f t="shared" si="636"/>
        <v>59723</v>
      </c>
      <c r="BV216" s="83">
        <f t="shared" si="636"/>
        <v>40063</v>
      </c>
      <c r="BW216" s="83">
        <f>SUM(BW205:BW213)</f>
        <v>44185</v>
      </c>
      <c r="BX216" s="83">
        <f t="shared" si="636"/>
        <v>46513</v>
      </c>
      <c r="BY216" s="83">
        <f t="shared" si="636"/>
        <v>50232</v>
      </c>
      <c r="BZ216" s="83">
        <f t="shared" si="636"/>
        <v>52872</v>
      </c>
      <c r="CA216" s="83">
        <f t="shared" si="636"/>
        <v>58117</v>
      </c>
      <c r="CB216" s="83">
        <f t="shared" si="636"/>
        <v>58430</v>
      </c>
      <c r="CC216" s="83">
        <f t="shared" si="636"/>
        <v>42834</v>
      </c>
      <c r="CD216" s="83">
        <f t="shared" si="636"/>
        <v>35181</v>
      </c>
      <c r="CE216" s="83">
        <f>SUM(CE205:CE213)</f>
        <v>42543</v>
      </c>
      <c r="CF216" s="83">
        <f>SUM(CF205:CF213)</f>
        <v>48019</v>
      </c>
      <c r="CG216" s="83">
        <f t="shared" ref="CG216:CN216" si="637">SUM(CG205:CG213)</f>
        <v>53426</v>
      </c>
      <c r="CH216" s="83">
        <f t="shared" si="637"/>
        <v>36362</v>
      </c>
      <c r="CI216" s="83">
        <f t="shared" si="637"/>
        <v>41529</v>
      </c>
      <c r="CJ216" s="83">
        <f t="shared" si="637"/>
        <v>41442</v>
      </c>
      <c r="CK216" s="83">
        <f t="shared" si="637"/>
        <v>47141</v>
      </c>
      <c r="CL216" s="83">
        <f t="shared" si="637"/>
        <v>50433</v>
      </c>
      <c r="CM216" s="83">
        <f t="shared" si="637"/>
        <v>56465</v>
      </c>
      <c r="CN216" s="83">
        <f t="shared" si="637"/>
        <v>56067</v>
      </c>
      <c r="CO216" s="83">
        <v>46240</v>
      </c>
      <c r="CP216" s="83">
        <v>44075</v>
      </c>
      <c r="CQ216" s="83">
        <v>50625</v>
      </c>
      <c r="CR216" s="83">
        <v>32421</v>
      </c>
      <c r="CS216" s="83">
        <v>22215</v>
      </c>
      <c r="CT216" s="83"/>
      <c r="CU216" s="83">
        <v>1406</v>
      </c>
      <c r="CV216" s="83">
        <v>5513</v>
      </c>
      <c r="CW216" s="83">
        <v>6733</v>
      </c>
      <c r="CX216" s="83">
        <v>7935</v>
      </c>
      <c r="CY216" s="83">
        <v>11499</v>
      </c>
      <c r="CZ216" s="83">
        <v>16458</v>
      </c>
      <c r="DA216" s="83">
        <v>13962</v>
      </c>
      <c r="DB216" s="83">
        <v>13329</v>
      </c>
      <c r="DC216" s="83">
        <v>17124</v>
      </c>
      <c r="DD216" s="83">
        <v>18514</v>
      </c>
      <c r="DE216" s="83">
        <v>21614</v>
      </c>
      <c r="DF216" s="83">
        <v>9248</v>
      </c>
      <c r="DG216" s="83">
        <v>712</v>
      </c>
      <c r="DH216" s="83">
        <v>5809</v>
      </c>
      <c r="DI216" s="83">
        <v>11181</v>
      </c>
      <c r="DJ216" s="83">
        <v>15715</v>
      </c>
      <c r="DK216" s="83">
        <v>20357</v>
      </c>
      <c r="DL216" s="83">
        <v>22692</v>
      </c>
      <c r="DM216" s="83">
        <v>16159</v>
      </c>
      <c r="DN216" s="83">
        <v>21205</v>
      </c>
      <c r="DO216" s="83">
        <v>17948</v>
      </c>
      <c r="DP216" s="83">
        <v>19369</v>
      </c>
      <c r="DQ216" s="83">
        <v>23011</v>
      </c>
      <c r="DR216" s="83">
        <v>13337</v>
      </c>
      <c r="DS216" s="83">
        <v>21395</v>
      </c>
      <c r="DT216" s="83">
        <v>17934</v>
      </c>
      <c r="DU216" s="83">
        <v>22427</v>
      </c>
      <c r="DV216" s="83">
        <v>29105</v>
      </c>
      <c r="DW216" s="83">
        <v>39363</v>
      </c>
      <c r="DX216" s="83">
        <v>41246</v>
      </c>
      <c r="DY216" s="83">
        <v>33848</v>
      </c>
      <c r="DZ216" s="83">
        <v>28473</v>
      </c>
      <c r="EA216" s="83">
        <v>37061</v>
      </c>
      <c r="EB216" s="83">
        <v>38777</v>
      </c>
      <c r="EC216" s="83">
        <v>40131</v>
      </c>
      <c r="ED216" s="83">
        <v>34608</v>
      </c>
      <c r="EE216" s="83">
        <v>38590</v>
      </c>
      <c r="EF216" s="83">
        <v>41090</v>
      </c>
      <c r="EG216" s="83">
        <v>44311</v>
      </c>
      <c r="EH216" s="83">
        <v>52316</v>
      </c>
      <c r="EI216" s="83">
        <v>59501</v>
      </c>
      <c r="EJ216" s="83">
        <v>60889</v>
      </c>
      <c r="EK216" s="83">
        <v>47602</v>
      </c>
      <c r="EL216" s="83">
        <v>38995</v>
      </c>
      <c r="EM216" s="83">
        <v>41837</v>
      </c>
      <c r="EN216" s="83">
        <v>42582</v>
      </c>
      <c r="EO216" s="83">
        <v>42913</v>
      </c>
      <c r="EP216" s="83">
        <v>38725</v>
      </c>
      <c r="EQ216" s="83">
        <v>45445</v>
      </c>
      <c r="ER216" s="83">
        <v>48780</v>
      </c>
      <c r="ES216" s="83">
        <v>48331</v>
      </c>
      <c r="ET216" s="83">
        <v>58698</v>
      </c>
      <c r="EU216" s="83">
        <v>65826</v>
      </c>
      <c r="EV216" s="83">
        <v>62531</v>
      </c>
      <c r="EW216" s="83">
        <v>47725</v>
      </c>
      <c r="EX216" s="83">
        <v>42376</v>
      </c>
      <c r="EY216" s="83">
        <v>46674</v>
      </c>
      <c r="EZ216" s="83">
        <v>46111</v>
      </c>
      <c r="FA216" s="83">
        <v>49762</v>
      </c>
      <c r="FB216" s="83">
        <v>40167</v>
      </c>
      <c r="FC216" s="83">
        <v>44354</v>
      </c>
      <c r="FD216" s="83">
        <v>51350</v>
      </c>
      <c r="FE216" s="83">
        <v>58693</v>
      </c>
      <c r="FF216" s="83">
        <v>63854</v>
      </c>
      <c r="FG216" s="83">
        <v>71657</v>
      </c>
      <c r="FH216" s="83">
        <v>67314</v>
      </c>
      <c r="FI216" s="83">
        <v>59446</v>
      </c>
      <c r="FJ216" s="83">
        <v>49485</v>
      </c>
      <c r="FK216" s="43"/>
      <c r="FL216" s="43"/>
      <c r="FM216" s="43"/>
      <c r="FN216" s="83">
        <f t="shared" si="562"/>
        <v>89485</v>
      </c>
      <c r="FO216" s="83">
        <f t="shared" si="563"/>
        <v>115446</v>
      </c>
      <c r="FP216" s="83">
        <f t="shared" si="564"/>
        <v>125795</v>
      </c>
      <c r="FQ216" s="83">
        <f t="shared" si="565"/>
        <v>110398</v>
      </c>
      <c r="FR216" s="83">
        <f t="shared" si="566"/>
        <v>87304</v>
      </c>
      <c r="FS216" s="83">
        <f t="shared" si="567"/>
        <v>109353</v>
      </c>
      <c r="FT216" s="83">
        <f t="shared" si="568"/>
        <v>99735</v>
      </c>
      <c r="FU216" s="83">
        <f t="shared" si="569"/>
        <v>88531</v>
      </c>
      <c r="FV216" s="83">
        <f t="shared" si="570"/>
        <v>98844</v>
      </c>
      <c r="FW216" s="83">
        <f t="shared" si="571"/>
        <v>136059</v>
      </c>
      <c r="FX216" s="83">
        <f t="shared" si="572"/>
        <v>107224</v>
      </c>
      <c r="FY216" s="83">
        <f t="shared" si="573"/>
        <v>89899</v>
      </c>
      <c r="FZ216" s="83">
        <f t="shared" si="574"/>
        <v>90926</v>
      </c>
      <c r="GA216" s="83">
        <f t="shared" si="575"/>
        <v>119450</v>
      </c>
      <c r="GB216" s="83">
        <f t="shared" si="576"/>
        <v>118660</v>
      </c>
      <c r="GC216" s="83">
        <f t="shared" si="577"/>
        <v>112055</v>
      </c>
      <c r="GD216" s="83">
        <f t="shared" si="578"/>
        <v>114928</v>
      </c>
      <c r="GE216" s="83">
        <f t="shared" si="579"/>
        <v>121357</v>
      </c>
      <c r="GF216" s="83">
        <f t="shared" si="580"/>
        <v>90554</v>
      </c>
      <c r="GG216" s="83">
        <f t="shared" si="581"/>
        <v>75200</v>
      </c>
      <c r="GH216" s="83">
        <f t="shared" si="582"/>
        <v>83671</v>
      </c>
      <c r="GI216" s="83">
        <f t="shared" si="583"/>
        <v>125742</v>
      </c>
      <c r="GJ216" s="83">
        <f t="shared" si="584"/>
        <v>148742</v>
      </c>
      <c r="GK216" s="83">
        <f t="shared" si="585"/>
        <v>163437</v>
      </c>
      <c r="GL216" s="83">
        <f t="shared" si="586"/>
        <v>130761</v>
      </c>
      <c r="GM216" s="83">
        <f t="shared" si="587"/>
        <v>161221</v>
      </c>
      <c r="GN216" s="83">
        <f t="shared" si="588"/>
        <v>136445</v>
      </c>
      <c r="GO216" s="83">
        <f t="shared" si="589"/>
        <v>143988</v>
      </c>
      <c r="GP216" s="83">
        <f t="shared" si="590"/>
        <v>119333</v>
      </c>
      <c r="GQ216" s="83">
        <f t="shared" si="591"/>
        <v>154039</v>
      </c>
      <c r="GR216" s="83">
        <f t="shared" si="592"/>
        <v>146382</v>
      </c>
      <c r="GS216" s="83">
        <f t="shared" si="593"/>
        <v>105261</v>
      </c>
      <c r="GT216" s="83">
        <f t="shared" si="594"/>
        <v>6919</v>
      </c>
      <c r="GU216" s="83">
        <f t="shared" si="595"/>
        <v>26167</v>
      </c>
      <c r="GV216" s="83">
        <f t="shared" si="596"/>
        <v>43749</v>
      </c>
      <c r="GW216" s="83">
        <f t="shared" si="597"/>
        <v>57252</v>
      </c>
      <c r="GX216" s="83">
        <f t="shared" si="598"/>
        <v>15769</v>
      </c>
      <c r="GY216" s="83">
        <f t="shared" si="599"/>
        <v>47253</v>
      </c>
      <c r="GZ216" s="83">
        <f t="shared" si="600"/>
        <v>60056</v>
      </c>
      <c r="HA216" s="83">
        <f t="shared" si="601"/>
        <v>60328</v>
      </c>
      <c r="HB216" s="83">
        <f t="shared" si="602"/>
        <v>52666</v>
      </c>
      <c r="HC216" s="83">
        <f t="shared" si="603"/>
        <v>90895</v>
      </c>
      <c r="HD216" s="83">
        <f t="shared" si="604"/>
        <v>103567</v>
      </c>
      <c r="HE216" s="83">
        <f t="shared" si="605"/>
        <v>115969</v>
      </c>
      <c r="HF216" s="83">
        <f t="shared" si="606"/>
        <v>114288</v>
      </c>
      <c r="HG216" s="83">
        <f t="shared" si="607"/>
        <v>156128</v>
      </c>
      <c r="HH216" s="83">
        <f t="shared" si="608"/>
        <v>147486</v>
      </c>
      <c r="HI216" s="83">
        <f t="shared" si="609"/>
        <v>127332</v>
      </c>
      <c r="HJ216" s="84">
        <f t="shared" si="610"/>
        <v>132950</v>
      </c>
      <c r="HK216" s="84">
        <f t="shared" si="611"/>
        <v>172855</v>
      </c>
      <c r="HL216" s="84">
        <f t="shared" si="612"/>
        <v>152632</v>
      </c>
      <c r="HM216" s="84">
        <f t="shared" si="613"/>
        <v>142547</v>
      </c>
      <c r="HN216" s="84">
        <f t="shared" si="614"/>
        <v>135871</v>
      </c>
      <c r="HO216" s="84">
        <f t="shared" si="615"/>
        <v>194204</v>
      </c>
      <c r="HP216" s="84">
        <f t="shared" si="616"/>
        <v>176245</v>
      </c>
      <c r="HQ216" s="77"/>
      <c r="HR216" s="43"/>
      <c r="HS216" s="43"/>
      <c r="HT216" s="43"/>
      <c r="HU216" s="216">
        <f>SUM(B216:M216)</f>
        <v>441124</v>
      </c>
      <c r="HV216" s="216">
        <f>SUM(N216:Y216)</f>
        <v>384923</v>
      </c>
      <c r="HW216" s="261">
        <f>SUM(Z216:AK216)</f>
        <v>432026</v>
      </c>
      <c r="HX216" s="262">
        <f>SUM(AL216:AW216)</f>
        <v>441091</v>
      </c>
      <c r="HY216" s="83">
        <f>SUM(AX216:BI216)</f>
        <v>402039</v>
      </c>
      <c r="HZ216" s="83">
        <f>SUM(BJ216:BU216)</f>
        <v>521592</v>
      </c>
      <c r="IA216" s="83">
        <f>SUM(BV216:CG216)</f>
        <v>572415</v>
      </c>
      <c r="IB216" s="84">
        <f>SUM(CH216:CS216)</f>
        <v>525015</v>
      </c>
      <c r="IC216" s="84">
        <f>SUM(CT216:DE216)</f>
        <v>134087</v>
      </c>
      <c r="ID216" s="84">
        <f>SUM(DF216:DQ216)</f>
        <v>183406</v>
      </c>
      <c r="IE216" s="84">
        <f>SUM(DR216:EC216)</f>
        <v>363097</v>
      </c>
      <c r="IF216" s="84">
        <f>SUM(ED216:EO216)</f>
        <v>545234</v>
      </c>
      <c r="IG216" s="84">
        <f>SUM(EP216:FA216)</f>
        <v>600984</v>
      </c>
    </row>
    <row r="217" spans="1:241" outlineLevel="1" x14ac:dyDescent="0.3">
      <c r="A217" s="263" t="s">
        <v>190</v>
      </c>
      <c r="N217" s="264"/>
      <c r="O217" s="264"/>
      <c r="P217" s="264"/>
      <c r="Q217" s="264"/>
      <c r="R217" s="264"/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64"/>
      <c r="AK217" s="264"/>
      <c r="AL217" s="264"/>
      <c r="AM217" s="264"/>
      <c r="AN217" s="264"/>
      <c r="AO217" s="264"/>
      <c r="AP217" s="264"/>
      <c r="AQ217" s="264"/>
      <c r="AR217" s="264"/>
      <c r="AS217" s="264"/>
      <c r="AT217" s="264"/>
      <c r="AU217" s="264"/>
      <c r="AV217" s="264"/>
      <c r="AW217" s="264"/>
      <c r="AX217" s="264"/>
      <c r="AY217" s="264"/>
      <c r="AZ217" s="264"/>
      <c r="BA217" s="264"/>
      <c r="BB217" s="264"/>
      <c r="BC217" s="264"/>
      <c r="BD217" s="264"/>
      <c r="BE217" s="264"/>
      <c r="BF217" s="264"/>
      <c r="BG217" s="264"/>
      <c r="BH217" s="264"/>
      <c r="BI217" s="264"/>
      <c r="BJ217" s="264"/>
      <c r="BK217" s="264"/>
      <c r="BL217" s="264"/>
      <c r="BM217" s="264"/>
      <c r="BN217" s="264"/>
      <c r="BO217" s="264"/>
      <c r="BP217" s="264"/>
      <c r="BQ217" s="264"/>
      <c r="BR217" s="264"/>
      <c r="BS217" s="264"/>
      <c r="BT217" s="264"/>
      <c r="BU217" s="264"/>
      <c r="BV217" s="264"/>
      <c r="BW217" s="264"/>
      <c r="BX217" s="264"/>
      <c r="BY217" s="264"/>
      <c r="BZ217" s="264"/>
      <c r="CA217" s="264"/>
      <c r="CB217" s="264"/>
      <c r="CC217" s="264"/>
      <c r="CD217" s="264"/>
      <c r="CE217" s="264"/>
      <c r="CF217" s="264"/>
      <c r="CG217" s="264"/>
      <c r="CH217" s="264"/>
      <c r="CI217" s="264"/>
      <c r="CJ217" s="264"/>
      <c r="CK217" s="264"/>
      <c r="CL217" s="264"/>
      <c r="CM217" s="264"/>
      <c r="CN217" s="264"/>
      <c r="CO217" s="264"/>
      <c r="CP217" s="264"/>
      <c r="CQ217" s="264"/>
      <c r="CR217" s="264"/>
      <c r="CS217" s="264"/>
      <c r="CU217" s="264"/>
      <c r="CV217" s="264"/>
      <c r="CW217" s="264"/>
      <c r="CX217" s="264"/>
      <c r="CY217" s="264"/>
      <c r="CZ217" s="264"/>
      <c r="DA217" s="264"/>
      <c r="DB217" s="264"/>
      <c r="DC217" s="264"/>
      <c r="DD217" s="264"/>
      <c r="DE217" s="264"/>
      <c r="DF217" s="264"/>
      <c r="DG217" s="264"/>
      <c r="DH217" s="264"/>
      <c r="DI217" s="264"/>
      <c r="DJ217" s="264"/>
      <c r="DK217" s="264"/>
      <c r="DL217" s="264"/>
      <c r="DM217" s="264"/>
      <c r="DN217" s="264"/>
      <c r="DO217" s="264"/>
      <c r="DP217" s="264"/>
      <c r="DQ217" s="264"/>
      <c r="DR217" s="264"/>
      <c r="DS217" s="264"/>
      <c r="DT217" s="264"/>
      <c r="DU217" s="264"/>
      <c r="DV217" s="264"/>
      <c r="DW217" s="264"/>
      <c r="DX217" s="264"/>
      <c r="DY217" s="264"/>
      <c r="DZ217" s="264"/>
      <c r="EA217" s="264"/>
      <c r="EB217" s="264"/>
      <c r="EC217" s="264"/>
      <c r="ED217" s="264"/>
      <c r="EE217" s="264"/>
      <c r="EF217" s="264"/>
      <c r="EG217" s="264"/>
      <c r="EH217" s="264"/>
      <c r="EI217" s="264"/>
      <c r="EJ217" s="264"/>
      <c r="EK217" s="264"/>
      <c r="EL217" s="264"/>
      <c r="EM217" s="264"/>
      <c r="EN217" s="264"/>
      <c r="EO217" s="264"/>
      <c r="EP217" s="264"/>
      <c r="EQ217" s="264"/>
      <c r="ER217" s="264"/>
      <c r="ES217" s="264"/>
      <c r="ET217" s="264"/>
      <c r="EU217" s="264"/>
      <c r="EV217" s="264"/>
      <c r="EW217" s="264"/>
      <c r="EX217" s="264"/>
      <c r="EY217" s="264"/>
      <c r="EZ217" s="264"/>
      <c r="FA217" s="264"/>
      <c r="FB217" s="264"/>
      <c r="FC217" s="264"/>
      <c r="FD217" s="264"/>
      <c r="FE217" s="264"/>
      <c r="FF217" s="264"/>
      <c r="FG217" s="264"/>
      <c r="FH217" s="264"/>
      <c r="FI217" s="264"/>
      <c r="FJ217" s="264"/>
      <c r="FN217" s="151"/>
      <c r="FO217" s="152"/>
      <c r="FP217" s="152"/>
      <c r="FQ217" s="152"/>
      <c r="FR217" s="152"/>
      <c r="FS217" s="152"/>
      <c r="FT217" s="152"/>
      <c r="FU217" s="152"/>
      <c r="FV217" s="152"/>
      <c r="FW217" s="152"/>
      <c r="FX217" s="152"/>
      <c r="FY217" s="152"/>
      <c r="FZ217" s="152"/>
      <c r="GA217" s="152"/>
      <c r="GB217" s="152"/>
      <c r="GC217" s="152"/>
      <c r="GD217" s="152"/>
      <c r="GE217" s="152"/>
      <c r="GF217" s="152"/>
      <c r="GG217" s="152"/>
      <c r="GH217" s="152"/>
      <c r="GI217" s="152"/>
      <c r="GJ217" s="152"/>
      <c r="GK217" s="152"/>
      <c r="GL217" s="152"/>
      <c r="GM217" s="152"/>
      <c r="GN217" s="152"/>
      <c r="GO217" s="152"/>
      <c r="GP217" s="152"/>
      <c r="GQ217" s="152"/>
      <c r="GR217" s="152"/>
      <c r="GS217" s="152"/>
      <c r="GT217" s="152"/>
      <c r="GU217" s="152"/>
      <c r="GV217" s="152"/>
      <c r="GW217" s="152"/>
      <c r="GX217" s="152"/>
      <c r="GY217" s="152"/>
      <c r="GZ217" s="152"/>
      <c r="HA217" s="152"/>
      <c r="HB217" s="152"/>
      <c r="HC217" s="152"/>
      <c r="HD217" s="152"/>
      <c r="HE217" s="152"/>
      <c r="HF217" s="152"/>
      <c r="HG217" s="152"/>
      <c r="HH217" s="152"/>
      <c r="HI217" s="152"/>
      <c r="HJ217" s="153"/>
      <c r="HK217" s="153"/>
      <c r="HL217" s="153"/>
      <c r="HM217" s="153"/>
      <c r="HN217" s="153"/>
      <c r="HO217" s="153"/>
      <c r="HP217" s="153"/>
      <c r="HQ217" s="101"/>
      <c r="HU217" s="155"/>
      <c r="HV217" s="155"/>
      <c r="HW217" s="155"/>
      <c r="HX217" s="156"/>
      <c r="HY217" s="146"/>
      <c r="HZ217" s="146"/>
      <c r="IA217" s="146"/>
      <c r="IB217" s="157"/>
      <c r="IC217" s="157"/>
      <c r="ID217" s="157"/>
      <c r="IE217" s="157"/>
      <c r="IF217" s="157"/>
      <c r="IG217" s="157"/>
    </row>
    <row r="218" spans="1:241" outlineLevel="1" x14ac:dyDescent="0.3">
      <c r="A218" s="265"/>
      <c r="FN218" s="151"/>
      <c r="FO218" s="152"/>
      <c r="FP218" s="152"/>
      <c r="FQ218" s="152"/>
      <c r="FR218" s="152"/>
      <c r="FS218" s="152"/>
      <c r="FT218" s="152"/>
      <c r="FU218" s="152"/>
      <c r="FV218" s="152"/>
      <c r="FW218" s="152"/>
      <c r="FX218" s="152"/>
      <c r="FY218" s="152"/>
      <c r="FZ218" s="152"/>
      <c r="GA218" s="152"/>
      <c r="GB218" s="152"/>
      <c r="GC218" s="152"/>
      <c r="GD218" s="152"/>
      <c r="GE218" s="152"/>
      <c r="GF218" s="152"/>
      <c r="GG218" s="152"/>
      <c r="GH218" s="152"/>
      <c r="GI218" s="152"/>
      <c r="GJ218" s="152"/>
      <c r="GK218" s="152"/>
      <c r="GL218" s="152"/>
      <c r="GM218" s="152"/>
      <c r="GN218" s="152"/>
      <c r="GO218" s="152"/>
      <c r="GP218" s="152"/>
      <c r="GQ218" s="152"/>
      <c r="GR218" s="152"/>
      <c r="GS218" s="152"/>
      <c r="GT218" s="152"/>
      <c r="GU218" s="152"/>
      <c r="GV218" s="152"/>
      <c r="GW218" s="152"/>
      <c r="GX218" s="152"/>
      <c r="GY218" s="152"/>
      <c r="GZ218" s="152"/>
      <c r="HA218" s="152"/>
      <c r="HB218" s="152"/>
      <c r="HC218" s="152"/>
      <c r="HD218" s="152"/>
      <c r="HE218" s="152"/>
      <c r="HF218" s="152"/>
      <c r="HG218" s="152"/>
      <c r="HH218" s="152"/>
      <c r="HI218" s="152"/>
      <c r="HJ218" s="153"/>
      <c r="HK218" s="153"/>
      <c r="HL218" s="153"/>
      <c r="HM218" s="153"/>
      <c r="HN218" s="153"/>
      <c r="HO218" s="153"/>
      <c r="HP218" s="153"/>
      <c r="HQ218" s="101"/>
      <c r="HU218" s="155"/>
      <c r="HV218" s="155"/>
      <c r="HW218" s="155"/>
      <c r="HX218" s="156"/>
      <c r="HY218" s="146"/>
      <c r="HZ218" s="146"/>
      <c r="IA218" s="146"/>
      <c r="IB218" s="157"/>
      <c r="IC218" s="157"/>
      <c r="ID218" s="157"/>
      <c r="IE218" s="157"/>
      <c r="IF218" s="157"/>
      <c r="IG218" s="157"/>
    </row>
    <row r="219" spans="1:241" outlineLevel="1" x14ac:dyDescent="0.3">
      <c r="A219" s="138" t="s">
        <v>191</v>
      </c>
      <c r="FN219" s="151"/>
      <c r="FO219" s="152"/>
      <c r="FP219" s="152"/>
      <c r="FQ219" s="152"/>
      <c r="FR219" s="152"/>
      <c r="FS219" s="152"/>
      <c r="FT219" s="152"/>
      <c r="FU219" s="152"/>
      <c r="FV219" s="152"/>
      <c r="FW219" s="152"/>
      <c r="FX219" s="152"/>
      <c r="FY219" s="152"/>
      <c r="FZ219" s="152"/>
      <c r="GA219" s="152"/>
      <c r="GB219" s="152"/>
      <c r="GC219" s="152"/>
      <c r="GD219" s="152"/>
      <c r="GE219" s="152"/>
      <c r="GF219" s="152"/>
      <c r="GG219" s="152"/>
      <c r="GH219" s="152"/>
      <c r="GI219" s="152"/>
      <c r="GJ219" s="152"/>
      <c r="GK219" s="152"/>
      <c r="GL219" s="152"/>
      <c r="GM219" s="152"/>
      <c r="GN219" s="152"/>
      <c r="GO219" s="152"/>
      <c r="GP219" s="152"/>
      <c r="GQ219" s="152"/>
      <c r="GR219" s="152"/>
      <c r="GS219" s="152"/>
      <c r="GT219" s="152"/>
      <c r="GU219" s="152"/>
      <c r="GV219" s="152"/>
      <c r="GW219" s="152"/>
      <c r="GX219" s="152"/>
      <c r="GY219" s="152"/>
      <c r="GZ219" s="152"/>
      <c r="HA219" s="152"/>
      <c r="HB219" s="152"/>
      <c r="HC219" s="152"/>
      <c r="HD219" s="152"/>
      <c r="HE219" s="152"/>
      <c r="HF219" s="152"/>
      <c r="HG219" s="152"/>
      <c r="HH219" s="152"/>
      <c r="HI219" s="152"/>
      <c r="HJ219" s="153"/>
      <c r="HK219" s="153"/>
      <c r="HL219" s="153"/>
      <c r="HM219" s="153"/>
      <c r="HN219" s="153"/>
      <c r="HO219" s="153"/>
      <c r="HP219" s="153"/>
      <c r="HQ219" s="101"/>
      <c r="HU219" s="155"/>
      <c r="HV219" s="155"/>
      <c r="HW219" s="155"/>
      <c r="HX219" s="156"/>
      <c r="HY219" s="146"/>
      <c r="HZ219" s="146"/>
      <c r="IA219" s="146"/>
      <c r="IB219" s="157"/>
      <c r="IC219" s="157"/>
      <c r="ID219" s="157"/>
      <c r="IE219" s="157"/>
      <c r="IF219" s="157"/>
      <c r="IG219" s="157"/>
    </row>
    <row r="220" spans="1:241" outlineLevel="2" x14ac:dyDescent="0.3">
      <c r="A220" s="259" t="s">
        <v>184</v>
      </c>
      <c r="B220" s="43">
        <v>1247</v>
      </c>
      <c r="C220" s="43">
        <v>987</v>
      </c>
      <c r="D220" s="43">
        <v>1146</v>
      </c>
      <c r="E220" s="43">
        <v>1146</v>
      </c>
      <c r="F220" s="43">
        <v>936</v>
      </c>
      <c r="G220" s="43">
        <v>1175</v>
      </c>
      <c r="H220" s="43">
        <v>1432</v>
      </c>
      <c r="I220" s="43">
        <v>1210</v>
      </c>
      <c r="J220" s="43">
        <v>1312</v>
      </c>
      <c r="K220" s="43">
        <v>1340</v>
      </c>
      <c r="L220" s="43">
        <v>1354</v>
      </c>
      <c r="M220" s="43">
        <v>1458</v>
      </c>
      <c r="N220" s="43">
        <v>1111</v>
      </c>
      <c r="O220" s="43">
        <v>1134</v>
      </c>
      <c r="P220" s="43">
        <v>1123</v>
      </c>
      <c r="Q220" s="43">
        <v>1106</v>
      </c>
      <c r="R220" s="43">
        <v>1188</v>
      </c>
      <c r="S220" s="43">
        <v>1227</v>
      </c>
      <c r="T220" s="43">
        <v>1616</v>
      </c>
      <c r="U220" s="43">
        <v>1380</v>
      </c>
      <c r="V220" s="43">
        <v>1485</v>
      </c>
      <c r="W220" s="43">
        <v>1599</v>
      </c>
      <c r="X220" s="43">
        <v>1402</v>
      </c>
      <c r="Y220" s="43">
        <v>1479</v>
      </c>
      <c r="Z220" s="43">
        <v>1196</v>
      </c>
      <c r="AA220" s="43">
        <v>1282</v>
      </c>
      <c r="AB220" s="43">
        <v>1317</v>
      </c>
      <c r="AC220" s="43">
        <v>1379</v>
      </c>
      <c r="AD220" s="43">
        <v>1360</v>
      </c>
      <c r="AE220" s="43">
        <v>1703</v>
      </c>
      <c r="AF220" s="43">
        <v>1675</v>
      </c>
      <c r="AG220" s="43">
        <v>1643</v>
      </c>
      <c r="AH220" s="43">
        <v>1762</v>
      </c>
      <c r="AI220" s="43">
        <v>1430</v>
      </c>
      <c r="AJ220" s="43">
        <v>1485</v>
      </c>
      <c r="AK220" s="43">
        <v>1486</v>
      </c>
      <c r="AL220" s="43">
        <v>1205</v>
      </c>
      <c r="AM220" s="43">
        <v>1330</v>
      </c>
      <c r="AN220" s="43">
        <v>1399</v>
      </c>
      <c r="AO220" s="43">
        <v>1479</v>
      </c>
      <c r="AP220" s="43">
        <v>1457</v>
      </c>
      <c r="AQ220" s="43">
        <v>1661</v>
      </c>
      <c r="AR220" s="43">
        <v>2021</v>
      </c>
      <c r="AS220" s="43">
        <v>1693</v>
      </c>
      <c r="AT220" s="43">
        <v>1949</v>
      </c>
      <c r="AU220" s="43">
        <v>1826</v>
      </c>
      <c r="AV220" s="43">
        <v>1996</v>
      </c>
      <c r="AW220" s="43">
        <v>1947</v>
      </c>
      <c r="AX220" s="43">
        <v>599</v>
      </c>
      <c r="AY220" s="43">
        <v>1561</v>
      </c>
      <c r="AZ220" s="43">
        <v>1528</v>
      </c>
      <c r="BA220" s="43">
        <v>1393</v>
      </c>
      <c r="BB220" s="43">
        <v>1688</v>
      </c>
      <c r="BC220" s="43">
        <v>2063</v>
      </c>
      <c r="BD220" s="43">
        <v>2098</v>
      </c>
      <c r="BE220" s="43">
        <v>1660</v>
      </c>
      <c r="BF220" s="43">
        <v>1182</v>
      </c>
      <c r="BG220" s="43">
        <v>1111</v>
      </c>
      <c r="BH220" s="43">
        <v>1809</v>
      </c>
      <c r="BI220" s="43">
        <v>1450</v>
      </c>
      <c r="BJ220" s="43">
        <v>1248</v>
      </c>
      <c r="BK220" s="43">
        <v>1595</v>
      </c>
      <c r="BL220" s="43">
        <v>1528</v>
      </c>
      <c r="BM220" s="43">
        <v>1462</v>
      </c>
      <c r="BN220" s="43">
        <v>1736</v>
      </c>
      <c r="BO220" s="43">
        <v>1918</v>
      </c>
      <c r="BP220" s="43">
        <v>1505</v>
      </c>
      <c r="BQ220" s="43">
        <v>1599</v>
      </c>
      <c r="BR220" s="43">
        <v>1352</v>
      </c>
      <c r="BS220" s="43">
        <v>1748</v>
      </c>
      <c r="BT220" s="43">
        <v>1731</v>
      </c>
      <c r="BU220" s="43">
        <v>2001</v>
      </c>
      <c r="BV220" s="43">
        <v>1161</v>
      </c>
      <c r="BW220" s="43">
        <v>1557</v>
      </c>
      <c r="BX220" s="43">
        <v>1692</v>
      </c>
      <c r="BY220" s="43">
        <v>1247</v>
      </c>
      <c r="BZ220" s="43">
        <v>1699</v>
      </c>
      <c r="CA220" s="43">
        <v>1768</v>
      </c>
      <c r="CB220" s="43">
        <f>1944+12</f>
        <v>1956</v>
      </c>
      <c r="CC220" s="43">
        <v>1684</v>
      </c>
      <c r="CD220" s="43">
        <v>1693</v>
      </c>
      <c r="CE220" s="43">
        <v>1559</v>
      </c>
      <c r="CF220" s="43">
        <v>1724</v>
      </c>
      <c r="CG220" s="43">
        <v>1961</v>
      </c>
      <c r="CH220" s="43">
        <v>1370</v>
      </c>
      <c r="CI220" s="43">
        <v>1465</v>
      </c>
      <c r="CJ220" s="43">
        <v>1554</v>
      </c>
      <c r="CK220" s="43">
        <v>853</v>
      </c>
      <c r="CL220" s="43">
        <v>1156</v>
      </c>
      <c r="CM220" s="43">
        <v>1669</v>
      </c>
      <c r="CN220" s="43">
        <v>1765</v>
      </c>
      <c r="CO220" s="43">
        <v>1687</v>
      </c>
      <c r="CP220" s="43">
        <v>1828</v>
      </c>
      <c r="CQ220" s="43">
        <v>1447</v>
      </c>
      <c r="CR220" s="43">
        <v>2020</v>
      </c>
      <c r="CS220" s="43">
        <v>622</v>
      </c>
      <c r="CT220" s="43"/>
      <c r="CU220" s="43">
        <v>73</v>
      </c>
      <c r="CV220" s="43">
        <v>527</v>
      </c>
      <c r="CW220" s="43">
        <v>572</v>
      </c>
      <c r="CX220" s="43">
        <v>626</v>
      </c>
      <c r="CY220" s="43">
        <v>817</v>
      </c>
      <c r="CZ220" s="43">
        <v>1335</v>
      </c>
      <c r="DA220" s="43">
        <v>882</v>
      </c>
      <c r="DB220" s="43">
        <v>818</v>
      </c>
      <c r="DC220" s="43">
        <v>1013</v>
      </c>
      <c r="DD220" s="43">
        <v>885</v>
      </c>
      <c r="DE220" s="43">
        <v>911</v>
      </c>
      <c r="DF220" s="43">
        <v>440</v>
      </c>
      <c r="DG220" s="43">
        <v>92</v>
      </c>
      <c r="DH220" s="43">
        <v>416</v>
      </c>
      <c r="DI220" s="43">
        <v>619</v>
      </c>
      <c r="DJ220" s="43">
        <v>585</v>
      </c>
      <c r="DK220" s="43">
        <v>718</v>
      </c>
      <c r="DL220" s="43">
        <v>855</v>
      </c>
      <c r="DM220" s="43">
        <v>547</v>
      </c>
      <c r="DN220" s="43">
        <v>690</v>
      </c>
      <c r="DO220" s="43">
        <v>717</v>
      </c>
      <c r="DP220" s="43">
        <v>588</v>
      </c>
      <c r="DQ220" s="43">
        <v>660</v>
      </c>
      <c r="DR220" s="43">
        <v>664</v>
      </c>
      <c r="DS220" s="43">
        <v>664</v>
      </c>
      <c r="DT220" s="43">
        <v>540</v>
      </c>
      <c r="DU220" s="43">
        <v>491</v>
      </c>
      <c r="DV220" s="43">
        <v>429</v>
      </c>
      <c r="DW220" s="43">
        <v>794</v>
      </c>
      <c r="DX220" s="43">
        <v>918</v>
      </c>
      <c r="DY220" s="43">
        <v>990</v>
      </c>
      <c r="DZ220" s="43">
        <v>1089</v>
      </c>
      <c r="EA220" s="43">
        <v>1108</v>
      </c>
      <c r="EB220" s="43">
        <v>1160</v>
      </c>
      <c r="EC220" s="43">
        <v>1672</v>
      </c>
      <c r="ED220" s="43">
        <v>0</v>
      </c>
      <c r="EE220" s="43">
        <v>5</v>
      </c>
      <c r="EF220" s="43">
        <v>18</v>
      </c>
      <c r="EG220" s="43">
        <v>795</v>
      </c>
      <c r="EH220" s="43">
        <v>955</v>
      </c>
      <c r="EI220" s="43">
        <v>945</v>
      </c>
      <c r="EJ220" s="43">
        <v>1199</v>
      </c>
      <c r="EK220" s="43">
        <v>812</v>
      </c>
      <c r="EL220" s="43">
        <v>1082</v>
      </c>
      <c r="EM220" s="43">
        <v>1078</v>
      </c>
      <c r="EN220" s="43">
        <v>967</v>
      </c>
      <c r="EO220" s="43">
        <v>1248</v>
      </c>
      <c r="EP220" s="43">
        <v>746</v>
      </c>
      <c r="EQ220" s="43">
        <v>922</v>
      </c>
      <c r="ER220" s="43">
        <v>842</v>
      </c>
      <c r="ES220" s="43">
        <v>925</v>
      </c>
      <c r="ET220" s="43">
        <v>838</v>
      </c>
      <c r="EU220" s="43">
        <v>1046</v>
      </c>
      <c r="EV220" s="43">
        <v>1309</v>
      </c>
      <c r="EW220" s="43">
        <v>1091</v>
      </c>
      <c r="EX220" s="43">
        <v>1241</v>
      </c>
      <c r="EY220" s="43">
        <v>1070</v>
      </c>
      <c r="EZ220" s="43">
        <v>1178</v>
      </c>
      <c r="FA220" s="43">
        <v>1752</v>
      </c>
      <c r="FB220" s="43">
        <v>531</v>
      </c>
      <c r="FC220" s="43">
        <v>1106</v>
      </c>
      <c r="FD220" s="43">
        <v>959</v>
      </c>
      <c r="FE220" s="43">
        <v>961</v>
      </c>
      <c r="FF220" s="43">
        <v>967</v>
      </c>
      <c r="FG220" s="43">
        <v>1233</v>
      </c>
      <c r="FH220" s="43">
        <v>1505</v>
      </c>
      <c r="FI220" s="43">
        <v>1185</v>
      </c>
      <c r="FJ220" s="43">
        <v>1436</v>
      </c>
      <c r="FK220" s="43"/>
      <c r="FL220" s="43"/>
      <c r="FM220" s="43"/>
      <c r="FN220" s="66">
        <f t="shared" si="562"/>
        <v>3380</v>
      </c>
      <c r="FO220" s="67">
        <f t="shared" si="563"/>
        <v>3257</v>
      </c>
      <c r="FP220" s="67">
        <f t="shared" si="564"/>
        <v>3954</v>
      </c>
      <c r="FQ220" s="67">
        <f t="shared" si="565"/>
        <v>4152</v>
      </c>
      <c r="FR220" s="67">
        <f t="shared" si="566"/>
        <v>3368</v>
      </c>
      <c r="FS220" s="67">
        <f t="shared" si="567"/>
        <v>3521</v>
      </c>
      <c r="FT220" s="67">
        <f t="shared" si="568"/>
        <v>4481</v>
      </c>
      <c r="FU220" s="67">
        <f t="shared" si="569"/>
        <v>4480</v>
      </c>
      <c r="FV220" s="67">
        <f t="shared" si="570"/>
        <v>3795</v>
      </c>
      <c r="FW220" s="67">
        <f t="shared" si="571"/>
        <v>4442</v>
      </c>
      <c r="FX220" s="67">
        <f t="shared" si="572"/>
        <v>5080</v>
      </c>
      <c r="FY220" s="67">
        <f t="shared" si="573"/>
        <v>4401</v>
      </c>
      <c r="FZ220" s="67">
        <f t="shared" si="574"/>
        <v>3934</v>
      </c>
      <c r="GA220" s="67">
        <f t="shared" si="575"/>
        <v>4597</v>
      </c>
      <c r="GB220" s="67">
        <f t="shared" si="576"/>
        <v>5663</v>
      </c>
      <c r="GC220" s="67">
        <f t="shared" si="577"/>
        <v>5769</v>
      </c>
      <c r="GD220" s="67">
        <f t="shared" si="578"/>
        <v>3688</v>
      </c>
      <c r="GE220" s="67">
        <f t="shared" si="579"/>
        <v>5144</v>
      </c>
      <c r="GF220" s="67">
        <f t="shared" si="580"/>
        <v>4940</v>
      </c>
      <c r="GG220" s="67">
        <f t="shared" si="581"/>
        <v>4370</v>
      </c>
      <c r="GH220" s="67">
        <f t="shared" si="582"/>
        <v>4371</v>
      </c>
      <c r="GI220" s="67">
        <f t="shared" si="583"/>
        <v>5116</v>
      </c>
      <c r="GJ220" s="67">
        <f t="shared" si="584"/>
        <v>4456</v>
      </c>
      <c r="GK220" s="67">
        <f t="shared" si="585"/>
        <v>5480</v>
      </c>
      <c r="GL220" s="67">
        <f t="shared" si="586"/>
        <v>4410</v>
      </c>
      <c r="GM220" s="67">
        <f t="shared" si="587"/>
        <v>4714</v>
      </c>
      <c r="GN220" s="67">
        <f t="shared" si="588"/>
        <v>5333</v>
      </c>
      <c r="GO220" s="67">
        <f t="shared" si="589"/>
        <v>5244</v>
      </c>
      <c r="GP220" s="67">
        <f t="shared" si="590"/>
        <v>4389</v>
      </c>
      <c r="GQ220" s="67">
        <f t="shared" si="591"/>
        <v>3678</v>
      </c>
      <c r="GR220" s="67">
        <f t="shared" si="592"/>
        <v>5280</v>
      </c>
      <c r="GS220" s="67">
        <f t="shared" si="593"/>
        <v>4089</v>
      </c>
      <c r="GT220" s="67">
        <f t="shared" si="594"/>
        <v>600</v>
      </c>
      <c r="GU220" s="67">
        <f t="shared" si="595"/>
        <v>2015</v>
      </c>
      <c r="GV220" s="67">
        <f t="shared" si="596"/>
        <v>3035</v>
      </c>
      <c r="GW220" s="67">
        <f t="shared" si="597"/>
        <v>2809</v>
      </c>
      <c r="GX220" s="67">
        <f t="shared" si="598"/>
        <v>948</v>
      </c>
      <c r="GY220" s="67">
        <f t="shared" si="599"/>
        <v>1922</v>
      </c>
      <c r="GZ220" s="67">
        <f t="shared" si="600"/>
        <v>2092</v>
      </c>
      <c r="HA220" s="67">
        <f t="shared" si="601"/>
        <v>1965</v>
      </c>
      <c r="HB220" s="67">
        <f t="shared" si="602"/>
        <v>1868</v>
      </c>
      <c r="HC220" s="67">
        <f t="shared" si="603"/>
        <v>1714</v>
      </c>
      <c r="HD220" s="67">
        <f t="shared" si="604"/>
        <v>2997</v>
      </c>
      <c r="HE220" s="67">
        <f t="shared" si="605"/>
        <v>3940</v>
      </c>
      <c r="HF220" s="67">
        <f t="shared" si="606"/>
        <v>23</v>
      </c>
      <c r="HG220" s="67">
        <f t="shared" si="607"/>
        <v>2695</v>
      </c>
      <c r="HH220" s="67">
        <f t="shared" si="608"/>
        <v>3093</v>
      </c>
      <c r="HI220" s="67">
        <f t="shared" si="609"/>
        <v>3293</v>
      </c>
      <c r="HJ220" s="210">
        <f t="shared" si="610"/>
        <v>2510</v>
      </c>
      <c r="HK220" s="210">
        <f t="shared" si="611"/>
        <v>2809</v>
      </c>
      <c r="HL220" s="210">
        <f t="shared" si="612"/>
        <v>3641</v>
      </c>
      <c r="HM220" s="210">
        <f t="shared" si="613"/>
        <v>4000</v>
      </c>
      <c r="HN220" s="210">
        <f t="shared" ref="HN220:HN227" si="638">SUM(FB220:FD220)</f>
        <v>2596</v>
      </c>
      <c r="HO220" s="210">
        <f t="shared" ref="HO220:HO227" si="639">SUM(FE220:FG220)</f>
        <v>3161</v>
      </c>
      <c r="HP220" s="210">
        <f t="shared" ref="HP220:HP227" si="640">SUM(FH220:FJ220)</f>
        <v>4126</v>
      </c>
      <c r="HQ220" s="60"/>
      <c r="HR220" s="43"/>
      <c r="HS220" s="43"/>
      <c r="HT220" s="43"/>
      <c r="HU220" s="211">
        <f>SUM(B220:M220)</f>
        <v>14743</v>
      </c>
      <c r="HV220" s="211">
        <f>SUM(N220:Y220)</f>
        <v>15850</v>
      </c>
      <c r="HW220" s="211">
        <f>SUM(Z220:AK220)</f>
        <v>17718</v>
      </c>
      <c r="HX220" s="212">
        <f>SUM(AL220:AW220)</f>
        <v>19963</v>
      </c>
      <c r="HY220" s="58">
        <f>SUM(AX220:BI220)</f>
        <v>18142</v>
      </c>
      <c r="HZ220" s="58">
        <f>SUM(BJ220:BU220)</f>
        <v>19423</v>
      </c>
      <c r="IA220" s="58">
        <f>SUM(BV220:CG220)</f>
        <v>19701</v>
      </c>
      <c r="IB220" s="64">
        <f>SUM(CH220:CS220)</f>
        <v>17436</v>
      </c>
      <c r="IC220" s="64">
        <f>SUM(CT220:DE220)</f>
        <v>8459</v>
      </c>
      <c r="ID220" s="64">
        <f t="shared" ref="ID220:ID227" si="641">SUM(DF220:DQ220)</f>
        <v>6927</v>
      </c>
      <c r="IE220" s="64">
        <f t="shared" ref="IE220:IE227" si="642">SUM(DR220:EC220)</f>
        <v>10519</v>
      </c>
      <c r="IF220" s="64">
        <f t="shared" ref="IF220:IF227" si="643">SUM(ED220:EO220)</f>
        <v>9104</v>
      </c>
      <c r="IG220" s="64">
        <f t="shared" ref="IG220:IG227" si="644">SUM(EP220:FA220)</f>
        <v>12960</v>
      </c>
    </row>
    <row r="221" spans="1:241" outlineLevel="2" x14ac:dyDescent="0.3">
      <c r="A221" s="260" t="s">
        <v>116</v>
      </c>
      <c r="B221" s="43">
        <v>355</v>
      </c>
      <c r="C221" s="43">
        <v>466</v>
      </c>
      <c r="D221" s="43">
        <v>278</v>
      </c>
      <c r="E221" s="43">
        <v>374</v>
      </c>
      <c r="F221" s="43">
        <v>311</v>
      </c>
      <c r="G221" s="43">
        <v>219</v>
      </c>
      <c r="H221" s="43">
        <v>323</v>
      </c>
      <c r="I221" s="43">
        <v>201</v>
      </c>
      <c r="J221" s="43">
        <v>151</v>
      </c>
      <c r="K221" s="43">
        <v>73</v>
      </c>
      <c r="L221" s="43">
        <v>47</v>
      </c>
      <c r="M221" s="43">
        <v>46</v>
      </c>
      <c r="N221" s="43">
        <v>27</v>
      </c>
      <c r="O221" s="43">
        <v>22</v>
      </c>
      <c r="P221" s="43">
        <v>4</v>
      </c>
      <c r="Q221" s="43">
        <v>2</v>
      </c>
      <c r="R221" s="43">
        <v>0</v>
      </c>
      <c r="S221" s="43">
        <v>0</v>
      </c>
      <c r="T221" s="43">
        <v>0</v>
      </c>
      <c r="U221" s="43">
        <v>1</v>
      </c>
      <c r="V221" s="43">
        <v>0</v>
      </c>
      <c r="W221" s="43">
        <v>0</v>
      </c>
      <c r="X221" s="43">
        <v>0</v>
      </c>
      <c r="Y221" s="43">
        <v>0</v>
      </c>
      <c r="Z221" s="43">
        <v>0</v>
      </c>
      <c r="AA221" s="43">
        <v>0</v>
      </c>
      <c r="AB221" s="43">
        <v>0</v>
      </c>
      <c r="AC221" s="43">
        <v>0</v>
      </c>
      <c r="AD221" s="43">
        <v>0</v>
      </c>
      <c r="AE221" s="43">
        <v>0</v>
      </c>
      <c r="AF221" s="43">
        <v>0</v>
      </c>
      <c r="AG221" s="43">
        <v>0</v>
      </c>
      <c r="AH221" s="43">
        <v>0</v>
      </c>
      <c r="AI221" s="43">
        <v>0</v>
      </c>
      <c r="AJ221" s="43">
        <v>0</v>
      </c>
      <c r="AK221" s="43">
        <v>0</v>
      </c>
      <c r="AL221" s="43"/>
      <c r="AM221" s="43"/>
      <c r="AN221" s="43"/>
      <c r="AO221" s="43"/>
      <c r="AP221" s="43"/>
      <c r="AQ221" s="43"/>
      <c r="AR221" s="43"/>
      <c r="AS221" s="43"/>
      <c r="AT221" s="43"/>
      <c r="AU221" s="43">
        <v>44</v>
      </c>
      <c r="AV221" s="43">
        <v>608</v>
      </c>
      <c r="AW221" s="43">
        <v>673</v>
      </c>
      <c r="AX221" s="43">
        <v>690</v>
      </c>
      <c r="AY221" s="43">
        <v>650</v>
      </c>
      <c r="AZ221" s="43">
        <v>674</v>
      </c>
      <c r="BA221" s="43">
        <v>974</v>
      </c>
      <c r="BB221" s="43">
        <v>921</v>
      </c>
      <c r="BC221" s="43">
        <v>868</v>
      </c>
      <c r="BD221" s="43">
        <v>1287</v>
      </c>
      <c r="BE221" s="43">
        <v>868</v>
      </c>
      <c r="BF221" s="43">
        <v>809</v>
      </c>
      <c r="BG221" s="43">
        <v>2049</v>
      </c>
      <c r="BH221" s="43">
        <v>1696</v>
      </c>
      <c r="BI221" s="43">
        <v>1676</v>
      </c>
      <c r="BJ221" s="43">
        <v>1264</v>
      </c>
      <c r="BK221" s="43">
        <v>1591</v>
      </c>
      <c r="BL221" s="43">
        <v>1492</v>
      </c>
      <c r="BM221" s="43">
        <v>1531</v>
      </c>
      <c r="BN221" s="43">
        <v>1652</v>
      </c>
      <c r="BO221" s="43">
        <v>1720</v>
      </c>
      <c r="BP221" s="43">
        <v>1669</v>
      </c>
      <c r="BQ221" s="43">
        <v>2366</v>
      </c>
      <c r="BR221" s="43">
        <v>2138</v>
      </c>
      <c r="BS221" s="43">
        <v>2193</v>
      </c>
      <c r="BT221" s="43">
        <v>2355</v>
      </c>
      <c r="BU221" s="43">
        <v>2820</v>
      </c>
      <c r="BV221" s="43">
        <v>2277</v>
      </c>
      <c r="BW221" s="43">
        <v>2620</v>
      </c>
      <c r="BX221" s="43">
        <v>2752</v>
      </c>
      <c r="BY221" s="43">
        <v>2357</v>
      </c>
      <c r="BZ221" s="43">
        <v>2479</v>
      </c>
      <c r="CA221" s="43">
        <v>2168</v>
      </c>
      <c r="CB221" s="43">
        <v>2355</v>
      </c>
      <c r="CC221" s="43">
        <v>2523</v>
      </c>
      <c r="CD221" s="43">
        <v>2208</v>
      </c>
      <c r="CE221" s="43">
        <v>2734</v>
      </c>
      <c r="CF221" s="43">
        <v>2926</v>
      </c>
      <c r="CG221" s="43">
        <v>3229</v>
      </c>
      <c r="CH221" s="43">
        <v>2646</v>
      </c>
      <c r="CI221" s="43">
        <v>3050</v>
      </c>
      <c r="CJ221" s="43">
        <v>2783</v>
      </c>
      <c r="CK221" s="43">
        <v>2882</v>
      </c>
      <c r="CL221" s="43">
        <v>2372</v>
      </c>
      <c r="CM221" s="43">
        <v>2925</v>
      </c>
      <c r="CN221" s="43">
        <v>2579</v>
      </c>
      <c r="CO221" s="43">
        <v>2748</v>
      </c>
      <c r="CP221" s="43">
        <v>2510</v>
      </c>
      <c r="CQ221" s="43">
        <v>1821</v>
      </c>
      <c r="CR221" s="43">
        <v>1912</v>
      </c>
      <c r="CS221" s="43">
        <v>1875</v>
      </c>
      <c r="CT221" s="43"/>
      <c r="CU221" s="43">
        <v>265</v>
      </c>
      <c r="CV221" s="43">
        <v>1716</v>
      </c>
      <c r="CW221" s="43">
        <v>1849</v>
      </c>
      <c r="CX221" s="43">
        <v>2595</v>
      </c>
      <c r="CY221" s="43">
        <v>2881</v>
      </c>
      <c r="CZ221" s="43">
        <v>3461</v>
      </c>
      <c r="DA221" s="43">
        <v>3262</v>
      </c>
      <c r="DB221" s="43">
        <v>2573</v>
      </c>
      <c r="DC221" s="43">
        <v>2769</v>
      </c>
      <c r="DD221" s="43">
        <v>3056</v>
      </c>
      <c r="DE221" s="43">
        <v>3259</v>
      </c>
      <c r="DF221" s="43">
        <v>1845</v>
      </c>
      <c r="DG221" s="43">
        <v>82</v>
      </c>
      <c r="DH221" s="43">
        <v>1353</v>
      </c>
      <c r="DI221" s="43">
        <v>2617</v>
      </c>
      <c r="DJ221" s="43">
        <v>2963</v>
      </c>
      <c r="DK221" s="43">
        <v>3487</v>
      </c>
      <c r="DL221" s="43">
        <v>3814</v>
      </c>
      <c r="DM221" s="43">
        <v>2732</v>
      </c>
      <c r="DN221" s="43">
        <v>2766</v>
      </c>
      <c r="DO221" s="43">
        <v>2018</v>
      </c>
      <c r="DP221" s="43">
        <v>3088</v>
      </c>
      <c r="DQ221" s="43">
        <v>3662</v>
      </c>
      <c r="DR221" s="43">
        <v>2504</v>
      </c>
      <c r="DS221" s="43">
        <v>2725</v>
      </c>
      <c r="DT221" s="43">
        <v>2572</v>
      </c>
      <c r="DU221" s="43">
        <v>2591</v>
      </c>
      <c r="DV221" s="43">
        <v>2650</v>
      </c>
      <c r="DW221" s="43">
        <v>2855</v>
      </c>
      <c r="DX221" s="43">
        <v>4592</v>
      </c>
      <c r="DY221" s="43">
        <v>3715</v>
      </c>
      <c r="DZ221" s="43">
        <v>2542</v>
      </c>
      <c r="EA221" s="43">
        <v>3917</v>
      </c>
      <c r="EB221" s="43">
        <v>3960</v>
      </c>
      <c r="EC221" s="43">
        <v>4000</v>
      </c>
      <c r="ED221" s="43">
        <v>2963</v>
      </c>
      <c r="EE221" s="43">
        <v>4023</v>
      </c>
      <c r="EF221" s="43">
        <v>3931</v>
      </c>
      <c r="EG221" s="43">
        <v>4051</v>
      </c>
      <c r="EH221" s="43">
        <v>4263</v>
      </c>
      <c r="EI221" s="43">
        <v>4735</v>
      </c>
      <c r="EJ221" s="43">
        <v>5141</v>
      </c>
      <c r="EK221" s="43">
        <v>4530</v>
      </c>
      <c r="EL221" s="43">
        <v>4084</v>
      </c>
      <c r="EM221" s="43">
        <v>4632</v>
      </c>
      <c r="EN221" s="43">
        <v>4530</v>
      </c>
      <c r="EO221" s="43">
        <v>4923</v>
      </c>
      <c r="EP221" s="43">
        <v>3995</v>
      </c>
      <c r="EQ221" s="43">
        <v>4257</v>
      </c>
      <c r="ER221" s="43">
        <v>4326</v>
      </c>
      <c r="ES221" s="43">
        <v>4279</v>
      </c>
      <c r="ET221" s="43">
        <v>4223</v>
      </c>
      <c r="EU221" s="43">
        <v>5603</v>
      </c>
      <c r="EV221" s="43">
        <v>5871</v>
      </c>
      <c r="EW221" s="43">
        <v>4815</v>
      </c>
      <c r="EX221" s="43">
        <v>4851</v>
      </c>
      <c r="EY221" s="43">
        <v>5282</v>
      </c>
      <c r="EZ221" s="43">
        <v>5410</v>
      </c>
      <c r="FA221" s="43">
        <v>5249</v>
      </c>
      <c r="FB221" s="43">
        <v>4427</v>
      </c>
      <c r="FC221" s="43">
        <v>4406</v>
      </c>
      <c r="FD221" s="43">
        <v>4821</v>
      </c>
      <c r="FE221" s="43">
        <v>5076</v>
      </c>
      <c r="FF221" s="43">
        <v>5210</v>
      </c>
      <c r="FG221" s="43">
        <v>4990</v>
      </c>
      <c r="FH221" s="43">
        <v>5517</v>
      </c>
      <c r="FI221" s="43">
        <v>5393</v>
      </c>
      <c r="FJ221" s="43">
        <v>5684</v>
      </c>
      <c r="FK221" s="43"/>
      <c r="FL221" s="43"/>
      <c r="FM221" s="43"/>
      <c r="FN221" s="66">
        <f t="shared" si="562"/>
        <v>1099</v>
      </c>
      <c r="FO221" s="67">
        <f t="shared" si="563"/>
        <v>904</v>
      </c>
      <c r="FP221" s="67">
        <f t="shared" si="564"/>
        <v>675</v>
      </c>
      <c r="FQ221" s="67">
        <f t="shared" si="565"/>
        <v>166</v>
      </c>
      <c r="FR221" s="67">
        <f t="shared" si="566"/>
        <v>53</v>
      </c>
      <c r="FS221" s="67">
        <f t="shared" si="567"/>
        <v>2</v>
      </c>
      <c r="FT221" s="67">
        <f t="shared" si="568"/>
        <v>1</v>
      </c>
      <c r="FU221" s="67">
        <f t="shared" si="569"/>
        <v>0</v>
      </c>
      <c r="FV221" s="67">
        <f t="shared" si="570"/>
        <v>0</v>
      </c>
      <c r="FW221" s="67">
        <f t="shared" si="571"/>
        <v>0</v>
      </c>
      <c r="FX221" s="67">
        <f t="shared" si="572"/>
        <v>0</v>
      </c>
      <c r="FY221" s="67">
        <f t="shared" si="573"/>
        <v>0</v>
      </c>
      <c r="FZ221" s="67">
        <f t="shared" si="574"/>
        <v>0</v>
      </c>
      <c r="GA221" s="67">
        <f t="shared" si="575"/>
        <v>0</v>
      </c>
      <c r="GB221" s="67">
        <f t="shared" si="576"/>
        <v>0</v>
      </c>
      <c r="GC221" s="67">
        <f t="shared" si="577"/>
        <v>1325</v>
      </c>
      <c r="GD221" s="67">
        <f t="shared" si="578"/>
        <v>2014</v>
      </c>
      <c r="GE221" s="67">
        <f t="shared" si="579"/>
        <v>2763</v>
      </c>
      <c r="GF221" s="67">
        <f t="shared" si="580"/>
        <v>2964</v>
      </c>
      <c r="GG221" s="67">
        <f t="shared" si="581"/>
        <v>5421</v>
      </c>
      <c r="GH221" s="67">
        <f t="shared" si="582"/>
        <v>4347</v>
      </c>
      <c r="GI221" s="67">
        <f t="shared" si="583"/>
        <v>4903</v>
      </c>
      <c r="GJ221" s="67">
        <f t="shared" si="584"/>
        <v>6173</v>
      </c>
      <c r="GK221" s="67">
        <f t="shared" si="585"/>
        <v>7368</v>
      </c>
      <c r="GL221" s="67">
        <f t="shared" si="586"/>
        <v>7649</v>
      </c>
      <c r="GM221" s="67">
        <f t="shared" si="587"/>
        <v>7004</v>
      </c>
      <c r="GN221" s="67">
        <f t="shared" si="588"/>
        <v>7086</v>
      </c>
      <c r="GO221" s="67">
        <f t="shared" si="589"/>
        <v>8889</v>
      </c>
      <c r="GP221" s="67">
        <f t="shared" si="590"/>
        <v>8479</v>
      </c>
      <c r="GQ221" s="67">
        <f t="shared" si="591"/>
        <v>8179</v>
      </c>
      <c r="GR221" s="67">
        <f t="shared" si="592"/>
        <v>7837</v>
      </c>
      <c r="GS221" s="67">
        <f t="shared" si="593"/>
        <v>5608</v>
      </c>
      <c r="GT221" s="67">
        <f t="shared" si="594"/>
        <v>1981</v>
      </c>
      <c r="GU221" s="67">
        <f t="shared" si="595"/>
        <v>7325</v>
      </c>
      <c r="GV221" s="67">
        <f t="shared" si="596"/>
        <v>9296</v>
      </c>
      <c r="GW221" s="67">
        <f t="shared" si="597"/>
        <v>9084</v>
      </c>
      <c r="GX221" s="67">
        <f t="shared" si="598"/>
        <v>3280</v>
      </c>
      <c r="GY221" s="67">
        <f t="shared" si="599"/>
        <v>9067</v>
      </c>
      <c r="GZ221" s="67">
        <f t="shared" si="600"/>
        <v>9312</v>
      </c>
      <c r="HA221" s="67">
        <f t="shared" si="601"/>
        <v>8768</v>
      </c>
      <c r="HB221" s="67">
        <f t="shared" si="602"/>
        <v>7801</v>
      </c>
      <c r="HC221" s="67">
        <f t="shared" si="603"/>
        <v>8096</v>
      </c>
      <c r="HD221" s="67">
        <f t="shared" si="604"/>
        <v>10849</v>
      </c>
      <c r="HE221" s="67">
        <f t="shared" si="605"/>
        <v>11877</v>
      </c>
      <c r="HF221" s="67">
        <f t="shared" si="606"/>
        <v>10917</v>
      </c>
      <c r="HG221" s="67">
        <f t="shared" si="607"/>
        <v>13049</v>
      </c>
      <c r="HH221" s="67">
        <f t="shared" si="608"/>
        <v>13755</v>
      </c>
      <c r="HI221" s="67">
        <f t="shared" si="609"/>
        <v>14085</v>
      </c>
      <c r="HJ221" s="210">
        <f t="shared" si="610"/>
        <v>12578</v>
      </c>
      <c r="HK221" s="210">
        <f t="shared" si="611"/>
        <v>14105</v>
      </c>
      <c r="HL221" s="210">
        <f t="shared" si="612"/>
        <v>15537</v>
      </c>
      <c r="HM221" s="210">
        <f t="shared" si="613"/>
        <v>15941</v>
      </c>
      <c r="HN221" s="210">
        <f t="shared" si="638"/>
        <v>13654</v>
      </c>
      <c r="HO221" s="210">
        <f t="shared" si="639"/>
        <v>15276</v>
      </c>
      <c r="HP221" s="210">
        <f t="shared" si="640"/>
        <v>16594</v>
      </c>
      <c r="HQ221" s="60"/>
      <c r="HR221" s="43"/>
      <c r="HS221" s="43"/>
      <c r="HT221" s="43"/>
      <c r="HU221" s="211">
        <f>SUM(B221:M221)</f>
        <v>2844</v>
      </c>
      <c r="HV221" s="211">
        <f>SUM(N221:Y221)</f>
        <v>56</v>
      </c>
      <c r="HW221" s="211">
        <f>SUM(Z221:AK221)</f>
        <v>0</v>
      </c>
      <c r="HX221" s="212">
        <f>SUM(AL221:AW221)</f>
        <v>1325</v>
      </c>
      <c r="HY221" s="58">
        <f>SUM(AX221:BI221)</f>
        <v>13162</v>
      </c>
      <c r="HZ221" s="58">
        <f>SUM(BJ221:BU221)</f>
        <v>22791</v>
      </c>
      <c r="IA221" s="58">
        <f>SUM(BV221:CG221)</f>
        <v>30628</v>
      </c>
      <c r="IB221" s="64">
        <f>SUM(CH221:CS221)</f>
        <v>30103</v>
      </c>
      <c r="IC221" s="64">
        <f>SUM(CT221:DE221)</f>
        <v>27686</v>
      </c>
      <c r="ID221" s="64">
        <f t="shared" si="641"/>
        <v>30427</v>
      </c>
      <c r="IE221" s="64">
        <f t="shared" si="642"/>
        <v>38623</v>
      </c>
      <c r="IF221" s="64">
        <f t="shared" si="643"/>
        <v>51806</v>
      </c>
      <c r="IG221" s="64">
        <f t="shared" si="644"/>
        <v>58161</v>
      </c>
    </row>
    <row r="222" spans="1:241" outlineLevel="2" x14ac:dyDescent="0.3">
      <c r="A222" s="260" t="s">
        <v>185</v>
      </c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>
        <v>365</v>
      </c>
      <c r="DL222" s="43">
        <v>385</v>
      </c>
      <c r="DM222" s="43">
        <v>264</v>
      </c>
      <c r="DN222" s="43">
        <v>254</v>
      </c>
      <c r="DO222" s="43">
        <v>252</v>
      </c>
      <c r="DP222" s="43">
        <v>315</v>
      </c>
      <c r="DQ222" s="43">
        <v>284</v>
      </c>
      <c r="DR222" s="43">
        <v>266</v>
      </c>
      <c r="DS222" s="43">
        <v>384</v>
      </c>
      <c r="DT222" s="43">
        <v>406</v>
      </c>
      <c r="DU222" s="43">
        <v>269</v>
      </c>
      <c r="DV222" s="43">
        <v>275</v>
      </c>
      <c r="DW222" s="43">
        <v>389</v>
      </c>
      <c r="DX222" s="43">
        <v>123</v>
      </c>
      <c r="DY222" s="43">
        <v>176</v>
      </c>
      <c r="DZ222" s="43">
        <v>140</v>
      </c>
      <c r="EA222" s="43">
        <v>139</v>
      </c>
      <c r="EB222" s="43">
        <v>123</v>
      </c>
      <c r="EC222" s="43">
        <v>187</v>
      </c>
      <c r="ED222" s="43">
        <v>0</v>
      </c>
      <c r="EE222" s="43">
        <v>52</v>
      </c>
      <c r="EF222" s="43">
        <v>33</v>
      </c>
      <c r="EG222" s="43">
        <v>32</v>
      </c>
      <c r="EH222" s="43">
        <v>41</v>
      </c>
      <c r="EI222" s="43">
        <v>48</v>
      </c>
      <c r="EJ222" s="43">
        <v>96</v>
      </c>
      <c r="EK222" s="43">
        <v>62</v>
      </c>
      <c r="EL222" s="43">
        <v>50</v>
      </c>
      <c r="EM222" s="43">
        <v>77</v>
      </c>
      <c r="EN222" s="43">
        <v>98</v>
      </c>
      <c r="EO222" s="43">
        <v>78</v>
      </c>
      <c r="EP222" s="43">
        <v>103</v>
      </c>
      <c r="EQ222" s="43">
        <v>134</v>
      </c>
      <c r="ER222" s="43">
        <v>90</v>
      </c>
      <c r="ES222" s="43">
        <v>110</v>
      </c>
      <c r="ET222" s="43">
        <v>112</v>
      </c>
      <c r="EU222" s="43">
        <v>146</v>
      </c>
      <c r="EV222" s="43">
        <v>190</v>
      </c>
      <c r="EW222" s="43">
        <v>99</v>
      </c>
      <c r="EX222" s="43">
        <v>156</v>
      </c>
      <c r="EY222" s="43">
        <v>179</v>
      </c>
      <c r="EZ222" s="43">
        <v>186</v>
      </c>
      <c r="FA222" s="43">
        <v>448</v>
      </c>
      <c r="FB222" s="43">
        <v>2</v>
      </c>
      <c r="FC222" s="43">
        <v>3</v>
      </c>
      <c r="FD222" s="43">
        <v>17</v>
      </c>
      <c r="FE222" s="43">
        <v>77</v>
      </c>
      <c r="FF222" s="43">
        <v>89</v>
      </c>
      <c r="FG222" s="43">
        <v>130</v>
      </c>
      <c r="FH222" s="43">
        <v>170</v>
      </c>
      <c r="FI222" s="43">
        <v>98</v>
      </c>
      <c r="FJ222" s="43">
        <v>18</v>
      </c>
      <c r="FK222" s="43"/>
      <c r="FL222" s="43"/>
      <c r="FM222" s="43"/>
      <c r="FN222" s="66">
        <f t="shared" ref="FN222" si="645">+SUM(B222:D222)</f>
        <v>0</v>
      </c>
      <c r="FO222" s="67">
        <f t="shared" ref="FO222" si="646">+SUM(E222:G222)</f>
        <v>0</v>
      </c>
      <c r="FP222" s="67">
        <f t="shared" si="564"/>
        <v>0</v>
      </c>
      <c r="FQ222" s="67">
        <f t="shared" si="565"/>
        <v>0</v>
      </c>
      <c r="FR222" s="67">
        <f t="shared" si="566"/>
        <v>0</v>
      </c>
      <c r="FS222" s="67">
        <f t="shared" si="567"/>
        <v>0</v>
      </c>
      <c r="FT222" s="67">
        <f t="shared" si="568"/>
        <v>0</v>
      </c>
      <c r="FU222" s="67">
        <f t="shared" si="569"/>
        <v>0</v>
      </c>
      <c r="FV222" s="67">
        <f t="shared" si="570"/>
        <v>0</v>
      </c>
      <c r="FW222" s="67">
        <f t="shared" si="571"/>
        <v>0</v>
      </c>
      <c r="FX222" s="67">
        <f t="shared" si="572"/>
        <v>0</v>
      </c>
      <c r="FY222" s="67">
        <f t="shared" si="573"/>
        <v>0</v>
      </c>
      <c r="FZ222" s="67">
        <f t="shared" si="574"/>
        <v>0</v>
      </c>
      <c r="GA222" s="67">
        <f t="shared" si="575"/>
        <v>0</v>
      </c>
      <c r="GB222" s="67">
        <f t="shared" si="576"/>
        <v>0</v>
      </c>
      <c r="GC222" s="67">
        <f t="shared" si="577"/>
        <v>0</v>
      </c>
      <c r="GD222" s="67">
        <f t="shared" si="578"/>
        <v>0</v>
      </c>
      <c r="GE222" s="67">
        <f t="shared" si="579"/>
        <v>0</v>
      </c>
      <c r="GF222" s="67">
        <f t="shared" si="580"/>
        <v>0</v>
      </c>
      <c r="GG222" s="67">
        <f t="shared" si="581"/>
        <v>0</v>
      </c>
      <c r="GH222" s="67">
        <f t="shared" si="582"/>
        <v>0</v>
      </c>
      <c r="GI222" s="67">
        <f t="shared" si="583"/>
        <v>0</v>
      </c>
      <c r="GJ222" s="67">
        <f t="shared" si="584"/>
        <v>0</v>
      </c>
      <c r="GK222" s="67">
        <f t="shared" si="585"/>
        <v>0</v>
      </c>
      <c r="GL222" s="67">
        <f t="shared" si="586"/>
        <v>0</v>
      </c>
      <c r="GM222" s="67">
        <f t="shared" si="587"/>
        <v>0</v>
      </c>
      <c r="GN222" s="67">
        <f t="shared" si="588"/>
        <v>0</v>
      </c>
      <c r="GO222" s="67">
        <f t="shared" si="589"/>
        <v>0</v>
      </c>
      <c r="GP222" s="67">
        <f t="shared" si="590"/>
        <v>0</v>
      </c>
      <c r="GQ222" s="67">
        <f t="shared" si="591"/>
        <v>0</v>
      </c>
      <c r="GR222" s="67">
        <f t="shared" si="592"/>
        <v>0</v>
      </c>
      <c r="GS222" s="67">
        <f t="shared" si="593"/>
        <v>0</v>
      </c>
      <c r="GT222" s="67">
        <f t="shared" si="594"/>
        <v>0</v>
      </c>
      <c r="GU222" s="67">
        <f t="shared" si="595"/>
        <v>0</v>
      </c>
      <c r="GV222" s="67">
        <f t="shared" si="596"/>
        <v>0</v>
      </c>
      <c r="GW222" s="67">
        <f t="shared" si="597"/>
        <v>0</v>
      </c>
      <c r="GX222" s="67">
        <f t="shared" si="598"/>
        <v>0</v>
      </c>
      <c r="GY222" s="67">
        <f t="shared" si="599"/>
        <v>365</v>
      </c>
      <c r="GZ222" s="67">
        <f t="shared" si="600"/>
        <v>903</v>
      </c>
      <c r="HA222" s="67">
        <f t="shared" si="601"/>
        <v>851</v>
      </c>
      <c r="HB222" s="67">
        <f t="shared" si="602"/>
        <v>1056</v>
      </c>
      <c r="HC222" s="67">
        <f t="shared" si="603"/>
        <v>933</v>
      </c>
      <c r="HD222" s="67">
        <f t="shared" si="604"/>
        <v>439</v>
      </c>
      <c r="HE222" s="67">
        <f t="shared" si="605"/>
        <v>449</v>
      </c>
      <c r="HF222" s="67">
        <f t="shared" si="606"/>
        <v>85</v>
      </c>
      <c r="HG222" s="67">
        <f t="shared" si="607"/>
        <v>121</v>
      </c>
      <c r="HH222" s="67">
        <f t="shared" si="608"/>
        <v>208</v>
      </c>
      <c r="HI222" s="67">
        <f t="shared" si="609"/>
        <v>253</v>
      </c>
      <c r="HJ222" s="210">
        <f t="shared" si="610"/>
        <v>327</v>
      </c>
      <c r="HK222" s="210">
        <f t="shared" si="611"/>
        <v>368</v>
      </c>
      <c r="HL222" s="210">
        <f t="shared" si="612"/>
        <v>445</v>
      </c>
      <c r="HM222" s="210">
        <f t="shared" si="613"/>
        <v>813</v>
      </c>
      <c r="HN222" s="210">
        <f t="shared" si="638"/>
        <v>22</v>
      </c>
      <c r="HO222" s="210">
        <f t="shared" si="639"/>
        <v>296</v>
      </c>
      <c r="HP222" s="210">
        <f t="shared" si="640"/>
        <v>286</v>
      </c>
      <c r="HQ222" s="60"/>
      <c r="HR222" s="43"/>
      <c r="HS222" s="43"/>
      <c r="HT222" s="43"/>
      <c r="HU222" s="211">
        <f t="shared" ref="HU222" si="647">SUM(B222:M222)</f>
        <v>0</v>
      </c>
      <c r="HV222" s="211">
        <f t="shared" ref="HV222" si="648">SUM(N222:Y222)</f>
        <v>0</v>
      </c>
      <c r="HW222" s="211">
        <f t="shared" ref="HW222" si="649">SUM(Z222:AK222)</f>
        <v>0</v>
      </c>
      <c r="HX222" s="212">
        <f t="shared" ref="HX222" si="650">SUM(AL222:AW222)</f>
        <v>0</v>
      </c>
      <c r="HY222" s="58">
        <f t="shared" ref="HY222" si="651">SUM(AX222:BI222)</f>
        <v>0</v>
      </c>
      <c r="HZ222" s="58">
        <f t="shared" ref="HZ222" si="652">SUM(BJ222:BU222)</f>
        <v>0</v>
      </c>
      <c r="IA222" s="58">
        <f t="shared" ref="IA222" si="653">SUM(BV222:CG222)</f>
        <v>0</v>
      </c>
      <c r="IB222" s="64">
        <f t="shared" ref="IB222" si="654">SUM(CH222:CS222)</f>
        <v>0</v>
      </c>
      <c r="IC222" s="64">
        <f t="shared" ref="IC222" si="655">SUM(CT222:DE222)</f>
        <v>0</v>
      </c>
      <c r="ID222" s="64">
        <f t="shared" si="641"/>
        <v>2119</v>
      </c>
      <c r="IE222" s="64">
        <f t="shared" si="642"/>
        <v>2877</v>
      </c>
      <c r="IF222" s="64">
        <f t="shared" si="643"/>
        <v>667</v>
      </c>
      <c r="IG222" s="64">
        <f t="shared" si="644"/>
        <v>1953</v>
      </c>
    </row>
    <row r="223" spans="1:241" outlineLevel="2" x14ac:dyDescent="0.3">
      <c r="A223" s="259" t="s">
        <v>150</v>
      </c>
      <c r="B223" s="43">
        <v>1333</v>
      </c>
      <c r="C223" s="43">
        <v>1244</v>
      </c>
      <c r="D223" s="43">
        <v>1453</v>
      </c>
      <c r="E223" s="43">
        <v>1330</v>
      </c>
      <c r="F223" s="43">
        <v>1680</v>
      </c>
      <c r="G223" s="43">
        <v>1754</v>
      </c>
      <c r="H223" s="43">
        <v>1782</v>
      </c>
      <c r="I223" s="43">
        <v>2038</v>
      </c>
      <c r="J223" s="43">
        <v>1613</v>
      </c>
      <c r="K223" s="43">
        <v>2177</v>
      </c>
      <c r="L223" s="43">
        <v>1692</v>
      </c>
      <c r="M223" s="43">
        <v>2033</v>
      </c>
      <c r="N223" s="43">
        <v>1595</v>
      </c>
      <c r="O223" s="43">
        <v>1396</v>
      </c>
      <c r="P223" s="43">
        <v>1413</v>
      </c>
      <c r="Q223" s="43">
        <v>1210</v>
      </c>
      <c r="R223" s="43">
        <v>1538</v>
      </c>
      <c r="S223" s="43">
        <v>1932</v>
      </c>
      <c r="T223" s="43">
        <v>2151</v>
      </c>
      <c r="U223" s="43">
        <v>1845</v>
      </c>
      <c r="V223" s="43">
        <v>2197</v>
      </c>
      <c r="W223" s="43">
        <v>1977</v>
      </c>
      <c r="X223" s="43">
        <v>2140</v>
      </c>
      <c r="Y223" s="43">
        <v>2571</v>
      </c>
      <c r="Z223" s="43">
        <v>1466</v>
      </c>
      <c r="AA223" s="43">
        <v>1561</v>
      </c>
      <c r="AB223" s="43">
        <v>1689</v>
      </c>
      <c r="AC223" s="43">
        <v>1943</v>
      </c>
      <c r="AD223" s="43">
        <v>1967</v>
      </c>
      <c r="AE223" s="43">
        <v>2093</v>
      </c>
      <c r="AF223" s="43">
        <v>2149</v>
      </c>
      <c r="AG223" s="43">
        <v>2032</v>
      </c>
      <c r="AH223" s="43">
        <v>1676</v>
      </c>
      <c r="AI223" s="43">
        <v>2034</v>
      </c>
      <c r="AJ223" s="43">
        <v>1841</v>
      </c>
      <c r="AK223" s="43">
        <v>2152</v>
      </c>
      <c r="AL223" s="43">
        <v>1676</v>
      </c>
      <c r="AM223" s="43">
        <v>1385</v>
      </c>
      <c r="AN223" s="43">
        <v>1549</v>
      </c>
      <c r="AO223" s="43">
        <v>1240</v>
      </c>
      <c r="AP223" s="43">
        <v>1417</v>
      </c>
      <c r="AQ223" s="43">
        <v>1592</v>
      </c>
      <c r="AR223" s="43">
        <v>1992</v>
      </c>
      <c r="AS223" s="43">
        <v>1679</v>
      </c>
      <c r="AT223" s="43">
        <v>1677</v>
      </c>
      <c r="AU223" s="43">
        <v>1689</v>
      </c>
      <c r="AV223" s="43">
        <v>1588</v>
      </c>
      <c r="AW223" s="43">
        <v>1831</v>
      </c>
      <c r="AX223" s="43">
        <v>1626</v>
      </c>
      <c r="AY223" s="43">
        <v>1502</v>
      </c>
      <c r="AZ223" s="43">
        <v>1601</v>
      </c>
      <c r="BA223" s="43">
        <v>1621</v>
      </c>
      <c r="BB223" s="43">
        <v>1614</v>
      </c>
      <c r="BC223" s="43">
        <v>1982</v>
      </c>
      <c r="BD223" s="43">
        <v>2088</v>
      </c>
      <c r="BE223" s="43">
        <v>1508</v>
      </c>
      <c r="BF223" s="43">
        <v>1609</v>
      </c>
      <c r="BG223" s="43">
        <v>1270</v>
      </c>
      <c r="BH223" s="43">
        <v>1764</v>
      </c>
      <c r="BI223" s="43">
        <v>2273</v>
      </c>
      <c r="BJ223" s="43">
        <v>1227</v>
      </c>
      <c r="BK223" s="43">
        <v>1619</v>
      </c>
      <c r="BL223" s="43">
        <v>950</v>
      </c>
      <c r="BM223" s="43">
        <v>1347</v>
      </c>
      <c r="BN223" s="43">
        <v>1306</v>
      </c>
      <c r="BO223" s="43">
        <v>1775</v>
      </c>
      <c r="BP223" s="43">
        <v>2188</v>
      </c>
      <c r="BQ223" s="43">
        <v>1284</v>
      </c>
      <c r="BR223" s="43">
        <v>1241</v>
      </c>
      <c r="BS223" s="43">
        <v>1279</v>
      </c>
      <c r="BT223" s="43">
        <v>1652</v>
      </c>
      <c r="BU223" s="43">
        <v>2123</v>
      </c>
      <c r="BV223" s="43">
        <v>1368</v>
      </c>
      <c r="BW223" s="43">
        <v>1447</v>
      </c>
      <c r="BX223" s="43">
        <v>1228</v>
      </c>
      <c r="BY223" s="43">
        <v>1604</v>
      </c>
      <c r="BZ223" s="43">
        <v>1336</v>
      </c>
      <c r="CA223" s="43">
        <v>1673</v>
      </c>
      <c r="CB223" s="43">
        <v>1635</v>
      </c>
      <c r="CC223" s="43">
        <v>1594</v>
      </c>
      <c r="CD223" s="43">
        <v>1104</v>
      </c>
      <c r="CE223" s="43">
        <v>1590</v>
      </c>
      <c r="CF223" s="43">
        <v>1607</v>
      </c>
      <c r="CG223" s="43">
        <v>1948</v>
      </c>
      <c r="CH223" s="43">
        <v>1362</v>
      </c>
      <c r="CI223" s="43">
        <v>1393</v>
      </c>
      <c r="CJ223" s="43">
        <v>1137</v>
      </c>
      <c r="CK223" s="43">
        <v>1201</v>
      </c>
      <c r="CL223" s="43">
        <v>1079</v>
      </c>
      <c r="CM223" s="43">
        <v>1517</v>
      </c>
      <c r="CN223" s="43">
        <v>1571</v>
      </c>
      <c r="CO223" s="43">
        <v>1590</v>
      </c>
      <c r="CP223" s="43">
        <v>1302</v>
      </c>
      <c r="CQ223" s="43">
        <v>2055</v>
      </c>
      <c r="CR223" s="43">
        <v>694</v>
      </c>
      <c r="CS223" s="43">
        <v>2</v>
      </c>
      <c r="CT223" s="43"/>
      <c r="CU223" s="43">
        <v>0</v>
      </c>
      <c r="CV223" s="43">
        <v>0</v>
      </c>
      <c r="CW223" s="43">
        <v>0</v>
      </c>
      <c r="CX223" s="43">
        <v>0</v>
      </c>
      <c r="CY223" s="43">
        <v>13</v>
      </c>
      <c r="CZ223" s="43">
        <v>722</v>
      </c>
      <c r="DA223" s="43">
        <v>1730</v>
      </c>
      <c r="DB223" s="43">
        <v>1972</v>
      </c>
      <c r="DC223" s="43">
        <v>1745</v>
      </c>
      <c r="DD223" s="43">
        <v>1259</v>
      </c>
      <c r="DE223" s="43">
        <v>2449</v>
      </c>
      <c r="DF223" s="43">
        <v>862</v>
      </c>
      <c r="DG223" s="43">
        <v>184</v>
      </c>
      <c r="DH223" s="43">
        <v>411</v>
      </c>
      <c r="DI223" s="43">
        <v>1257</v>
      </c>
      <c r="DJ223" s="43">
        <v>1209</v>
      </c>
      <c r="DK223" s="43">
        <v>1200</v>
      </c>
      <c r="DL223" s="43">
        <v>1490</v>
      </c>
      <c r="DM223" s="43">
        <v>919</v>
      </c>
      <c r="DN223" s="43">
        <v>860</v>
      </c>
      <c r="DO223" s="43">
        <v>958</v>
      </c>
      <c r="DP223" s="43">
        <v>1305</v>
      </c>
      <c r="DQ223" s="43">
        <v>1535</v>
      </c>
      <c r="DR223" s="43">
        <v>1295</v>
      </c>
      <c r="DS223" s="43">
        <v>1234</v>
      </c>
      <c r="DT223" s="43">
        <v>1143</v>
      </c>
      <c r="DU223" s="43">
        <v>1067</v>
      </c>
      <c r="DV223" s="43">
        <v>1200</v>
      </c>
      <c r="DW223" s="43">
        <v>1322</v>
      </c>
      <c r="DX223" s="43">
        <v>1217</v>
      </c>
      <c r="DY223" s="43">
        <v>1298</v>
      </c>
      <c r="DZ223" s="43">
        <v>1130</v>
      </c>
      <c r="EA223" s="43">
        <v>1411</v>
      </c>
      <c r="EB223" s="43">
        <v>1141</v>
      </c>
      <c r="EC223" s="43">
        <v>1665</v>
      </c>
      <c r="ED223" s="43">
        <v>1228</v>
      </c>
      <c r="EE223" s="43">
        <v>1455</v>
      </c>
      <c r="EF223" s="43">
        <v>1473</v>
      </c>
      <c r="EG223" s="43">
        <v>1128</v>
      </c>
      <c r="EH223" s="43">
        <v>1102</v>
      </c>
      <c r="EI223" s="43">
        <v>1219</v>
      </c>
      <c r="EJ223" s="43">
        <v>1670</v>
      </c>
      <c r="EK223" s="43">
        <v>1109</v>
      </c>
      <c r="EL223" s="43">
        <v>1203</v>
      </c>
      <c r="EM223" s="43">
        <v>1503</v>
      </c>
      <c r="EN223" s="43">
        <v>1722</v>
      </c>
      <c r="EO223" s="43">
        <v>1732</v>
      </c>
      <c r="EP223" s="43">
        <v>1337</v>
      </c>
      <c r="EQ223" s="43">
        <v>1112</v>
      </c>
      <c r="ER223" s="43">
        <v>1098</v>
      </c>
      <c r="ES223" s="43">
        <v>652</v>
      </c>
      <c r="ET223" s="43">
        <v>1027</v>
      </c>
      <c r="EU223" s="43">
        <v>1287</v>
      </c>
      <c r="EV223" s="43">
        <v>1162</v>
      </c>
      <c r="EW223" s="43">
        <v>768</v>
      </c>
      <c r="EX223" s="43">
        <v>494</v>
      </c>
      <c r="EY223" s="43">
        <v>999</v>
      </c>
      <c r="EZ223" s="43">
        <v>1161</v>
      </c>
      <c r="FA223" s="43">
        <v>981</v>
      </c>
      <c r="FB223" s="43">
        <v>691</v>
      </c>
      <c r="FC223" s="43">
        <v>973</v>
      </c>
      <c r="FD223" s="43">
        <v>1020</v>
      </c>
      <c r="FE223" s="43">
        <v>834</v>
      </c>
      <c r="FF223" s="43">
        <v>786</v>
      </c>
      <c r="FG223" s="43">
        <v>1090</v>
      </c>
      <c r="FH223" s="43">
        <v>1238</v>
      </c>
      <c r="FI223" s="43">
        <v>920</v>
      </c>
      <c r="FJ223" s="43">
        <v>804</v>
      </c>
      <c r="FK223" s="43"/>
      <c r="FL223" s="43"/>
      <c r="FM223" s="43"/>
      <c r="FN223" s="66">
        <f t="shared" si="562"/>
        <v>4030</v>
      </c>
      <c r="FO223" s="67">
        <f t="shared" si="563"/>
        <v>4764</v>
      </c>
      <c r="FP223" s="67">
        <f t="shared" si="564"/>
        <v>5433</v>
      </c>
      <c r="FQ223" s="67">
        <f t="shared" si="565"/>
        <v>5902</v>
      </c>
      <c r="FR223" s="67">
        <f t="shared" si="566"/>
        <v>4404</v>
      </c>
      <c r="FS223" s="67">
        <f t="shared" si="567"/>
        <v>4680</v>
      </c>
      <c r="FT223" s="67">
        <f t="shared" si="568"/>
        <v>6193</v>
      </c>
      <c r="FU223" s="67">
        <f t="shared" si="569"/>
        <v>6688</v>
      </c>
      <c r="FV223" s="67">
        <f t="shared" si="570"/>
        <v>4716</v>
      </c>
      <c r="FW223" s="67">
        <f t="shared" si="571"/>
        <v>6003</v>
      </c>
      <c r="FX223" s="67">
        <f t="shared" si="572"/>
        <v>5857</v>
      </c>
      <c r="FY223" s="67">
        <f t="shared" si="573"/>
        <v>6027</v>
      </c>
      <c r="FZ223" s="67">
        <f t="shared" si="574"/>
        <v>4610</v>
      </c>
      <c r="GA223" s="67">
        <f t="shared" si="575"/>
        <v>4249</v>
      </c>
      <c r="GB223" s="67">
        <f t="shared" si="576"/>
        <v>5348</v>
      </c>
      <c r="GC223" s="67">
        <f t="shared" si="577"/>
        <v>5108</v>
      </c>
      <c r="GD223" s="67">
        <f t="shared" si="578"/>
        <v>4729</v>
      </c>
      <c r="GE223" s="67">
        <f t="shared" si="579"/>
        <v>5217</v>
      </c>
      <c r="GF223" s="67">
        <f t="shared" si="580"/>
        <v>5205</v>
      </c>
      <c r="GG223" s="67">
        <f t="shared" si="581"/>
        <v>5307</v>
      </c>
      <c r="GH223" s="67">
        <f t="shared" si="582"/>
        <v>3796</v>
      </c>
      <c r="GI223" s="67">
        <f t="shared" si="583"/>
        <v>4428</v>
      </c>
      <c r="GJ223" s="67">
        <f t="shared" si="584"/>
        <v>4713</v>
      </c>
      <c r="GK223" s="67">
        <f t="shared" si="585"/>
        <v>5054</v>
      </c>
      <c r="GL223" s="67">
        <f t="shared" si="586"/>
        <v>4043</v>
      </c>
      <c r="GM223" s="67">
        <f t="shared" si="587"/>
        <v>4613</v>
      </c>
      <c r="GN223" s="67">
        <f t="shared" si="588"/>
        <v>4333</v>
      </c>
      <c r="GO223" s="67">
        <f t="shared" si="589"/>
        <v>5145</v>
      </c>
      <c r="GP223" s="67">
        <f t="shared" si="590"/>
        <v>3892</v>
      </c>
      <c r="GQ223" s="67">
        <f t="shared" si="591"/>
        <v>3797</v>
      </c>
      <c r="GR223" s="67">
        <f t="shared" si="592"/>
        <v>4463</v>
      </c>
      <c r="GS223" s="67">
        <f t="shared" si="593"/>
        <v>2751</v>
      </c>
      <c r="GT223" s="67">
        <f t="shared" si="594"/>
        <v>0</v>
      </c>
      <c r="GU223" s="67">
        <f t="shared" si="595"/>
        <v>13</v>
      </c>
      <c r="GV223" s="67">
        <f t="shared" si="596"/>
        <v>4424</v>
      </c>
      <c r="GW223" s="67">
        <f t="shared" si="597"/>
        <v>5453</v>
      </c>
      <c r="GX223" s="67">
        <f t="shared" si="598"/>
        <v>1457</v>
      </c>
      <c r="GY223" s="67">
        <f t="shared" si="599"/>
        <v>3666</v>
      </c>
      <c r="GZ223" s="67">
        <f t="shared" si="600"/>
        <v>3269</v>
      </c>
      <c r="HA223" s="67">
        <f t="shared" si="601"/>
        <v>3798</v>
      </c>
      <c r="HB223" s="67">
        <f t="shared" si="602"/>
        <v>3672</v>
      </c>
      <c r="HC223" s="67">
        <f t="shared" si="603"/>
        <v>3589</v>
      </c>
      <c r="HD223" s="67">
        <f t="shared" si="604"/>
        <v>3645</v>
      </c>
      <c r="HE223" s="67">
        <f t="shared" si="605"/>
        <v>4217</v>
      </c>
      <c r="HF223" s="67">
        <f t="shared" si="606"/>
        <v>4156</v>
      </c>
      <c r="HG223" s="67">
        <f t="shared" si="607"/>
        <v>3449</v>
      </c>
      <c r="HH223" s="67">
        <f t="shared" si="608"/>
        <v>3982</v>
      </c>
      <c r="HI223" s="67">
        <f t="shared" si="609"/>
        <v>4957</v>
      </c>
      <c r="HJ223" s="210">
        <f t="shared" si="610"/>
        <v>3547</v>
      </c>
      <c r="HK223" s="210">
        <f t="shared" si="611"/>
        <v>2966</v>
      </c>
      <c r="HL223" s="210">
        <f t="shared" si="612"/>
        <v>2424</v>
      </c>
      <c r="HM223" s="210">
        <f t="shared" si="613"/>
        <v>3141</v>
      </c>
      <c r="HN223" s="210">
        <f t="shared" si="638"/>
        <v>2684</v>
      </c>
      <c r="HO223" s="210">
        <f t="shared" si="639"/>
        <v>2710</v>
      </c>
      <c r="HP223" s="210">
        <f t="shared" si="640"/>
        <v>2962</v>
      </c>
      <c r="HQ223" s="60"/>
      <c r="HR223" s="43"/>
      <c r="HS223" s="43"/>
      <c r="HT223" s="43"/>
      <c r="HU223" s="211">
        <f>SUM(B223:M223)</f>
        <v>20129</v>
      </c>
      <c r="HV223" s="211">
        <f>SUM(N223:Y223)</f>
        <v>21965</v>
      </c>
      <c r="HW223" s="211">
        <f>SUM(Z223:AK223)</f>
        <v>22603</v>
      </c>
      <c r="HX223" s="212">
        <f>SUM(AL223:AW223)</f>
        <v>19315</v>
      </c>
      <c r="HY223" s="58">
        <f>SUM(AX223:BI223)</f>
        <v>20458</v>
      </c>
      <c r="HZ223" s="58">
        <f>SUM(BJ223:BU223)</f>
        <v>17991</v>
      </c>
      <c r="IA223" s="58">
        <f>SUM(BV223:CG223)</f>
        <v>18134</v>
      </c>
      <c r="IB223" s="64">
        <f>SUM(CH223:CS223)</f>
        <v>14903</v>
      </c>
      <c r="IC223" s="64">
        <f>SUM(CT223:DE223)</f>
        <v>9890</v>
      </c>
      <c r="ID223" s="64">
        <f t="shared" si="641"/>
        <v>12190</v>
      </c>
      <c r="IE223" s="64">
        <f t="shared" si="642"/>
        <v>15123</v>
      </c>
      <c r="IF223" s="64">
        <f t="shared" si="643"/>
        <v>16544</v>
      </c>
      <c r="IG223" s="64">
        <f t="shared" si="644"/>
        <v>12078</v>
      </c>
    </row>
    <row r="224" spans="1:241" outlineLevel="2" x14ac:dyDescent="0.3">
      <c r="A224" s="260" t="s">
        <v>122</v>
      </c>
      <c r="B224" s="43">
        <v>3396</v>
      </c>
      <c r="C224" s="43">
        <v>4004</v>
      </c>
      <c r="D224" s="43">
        <v>4208</v>
      </c>
      <c r="E224" s="43">
        <v>4180</v>
      </c>
      <c r="F224" s="43">
        <v>4191</v>
      </c>
      <c r="G224" s="43">
        <v>4287</v>
      </c>
      <c r="H224" s="43">
        <v>4901</v>
      </c>
      <c r="I224" s="43">
        <v>4713</v>
      </c>
      <c r="J224" s="43">
        <v>4001</v>
      </c>
      <c r="K224" s="43">
        <v>4002</v>
      </c>
      <c r="L224" s="43">
        <v>4603</v>
      </c>
      <c r="M224" s="43">
        <v>4621</v>
      </c>
      <c r="N224" s="43">
        <v>3997</v>
      </c>
      <c r="O224" s="43">
        <v>3923</v>
      </c>
      <c r="P224" s="43">
        <v>4016</v>
      </c>
      <c r="Q224" s="43">
        <v>3544</v>
      </c>
      <c r="R224" s="43">
        <v>3955</v>
      </c>
      <c r="S224" s="43">
        <v>4119</v>
      </c>
      <c r="T224" s="43">
        <v>4650</v>
      </c>
      <c r="U224" s="43">
        <v>4214</v>
      </c>
      <c r="V224" s="43">
        <v>3830</v>
      </c>
      <c r="W224" s="43">
        <v>4347</v>
      </c>
      <c r="X224" s="43">
        <v>4290</v>
      </c>
      <c r="Y224" s="43">
        <v>4510</v>
      </c>
      <c r="Z224" s="43">
        <v>4265</v>
      </c>
      <c r="AA224" s="43">
        <v>4049</v>
      </c>
      <c r="AB224" s="43">
        <v>4274</v>
      </c>
      <c r="AC224" s="43">
        <v>4114</v>
      </c>
      <c r="AD224" s="43">
        <v>4174</v>
      </c>
      <c r="AE224" s="43">
        <v>4453</v>
      </c>
      <c r="AF224" s="43">
        <v>4502</v>
      </c>
      <c r="AG224" s="43">
        <v>4847</v>
      </c>
      <c r="AH224" s="43">
        <v>4541</v>
      </c>
      <c r="AI224" s="43">
        <v>4551</v>
      </c>
      <c r="AJ224" s="43">
        <v>4500</v>
      </c>
      <c r="AK224" s="43">
        <v>4930</v>
      </c>
      <c r="AL224" s="43">
        <v>4044</v>
      </c>
      <c r="AM224" s="43">
        <v>4191</v>
      </c>
      <c r="AN224" s="43">
        <v>4355</v>
      </c>
      <c r="AO224" s="43">
        <v>3785</v>
      </c>
      <c r="AP224" s="43">
        <v>3487</v>
      </c>
      <c r="AQ224" s="43">
        <v>4083</v>
      </c>
      <c r="AR224" s="43">
        <v>4703</v>
      </c>
      <c r="AS224" s="43">
        <v>4358</v>
      </c>
      <c r="AT224" s="43">
        <v>4474</v>
      </c>
      <c r="AU224" s="43">
        <v>4559</v>
      </c>
      <c r="AV224" s="43">
        <v>4842</v>
      </c>
      <c r="AW224" s="43">
        <v>4909</v>
      </c>
      <c r="AX224" s="43">
        <v>4392</v>
      </c>
      <c r="AY224" s="43">
        <v>4505</v>
      </c>
      <c r="AZ224" s="43">
        <v>4418</v>
      </c>
      <c r="BA224" s="43">
        <v>4100</v>
      </c>
      <c r="BB224" s="43">
        <v>4507</v>
      </c>
      <c r="BC224" s="43">
        <v>4344</v>
      </c>
      <c r="BD224" s="43">
        <v>5156</v>
      </c>
      <c r="BE224" s="43">
        <v>4400</v>
      </c>
      <c r="BF224" s="43">
        <v>4057</v>
      </c>
      <c r="BG224" s="43">
        <v>4446</v>
      </c>
      <c r="BH224" s="43">
        <v>4963</v>
      </c>
      <c r="BI224" s="43">
        <v>5294</v>
      </c>
      <c r="BJ224" s="43">
        <v>4153</v>
      </c>
      <c r="BK224" s="43">
        <v>4515</v>
      </c>
      <c r="BL224" s="43">
        <v>4274</v>
      </c>
      <c r="BM224" s="43">
        <v>4249</v>
      </c>
      <c r="BN224" s="43">
        <v>4752</v>
      </c>
      <c r="BO224" s="43">
        <v>5284</v>
      </c>
      <c r="BP224" s="43">
        <v>5127</v>
      </c>
      <c r="BQ224" s="43">
        <v>4572</v>
      </c>
      <c r="BR224" s="43">
        <v>4360</v>
      </c>
      <c r="BS224" s="43">
        <v>4631</v>
      </c>
      <c r="BT224" s="43">
        <v>5213</v>
      </c>
      <c r="BU224" s="43">
        <v>5493</v>
      </c>
      <c r="BV224" s="43">
        <v>5002</v>
      </c>
      <c r="BW224" s="43">
        <v>4872</v>
      </c>
      <c r="BX224" s="43">
        <v>4579</v>
      </c>
      <c r="BY224" s="43">
        <v>4642</v>
      </c>
      <c r="BZ224" s="43">
        <v>4543</v>
      </c>
      <c r="CA224" s="43">
        <v>5065</v>
      </c>
      <c r="CB224" s="43">
        <v>4847</v>
      </c>
      <c r="CC224" s="43">
        <v>4449</v>
      </c>
      <c r="CD224" s="43">
        <v>3418</v>
      </c>
      <c r="CE224" s="43">
        <v>5378</v>
      </c>
      <c r="CF224" s="43">
        <v>5384</v>
      </c>
      <c r="CG224" s="43">
        <v>5468</v>
      </c>
      <c r="CH224" s="43">
        <v>4444</v>
      </c>
      <c r="CI224" s="43">
        <v>4042</v>
      </c>
      <c r="CJ224" s="43">
        <v>4814</v>
      </c>
      <c r="CK224" s="43">
        <v>3436</v>
      </c>
      <c r="CL224" s="43">
        <v>3593</v>
      </c>
      <c r="CM224" s="43">
        <v>3550</v>
      </c>
      <c r="CN224" s="43">
        <v>4789</v>
      </c>
      <c r="CO224" s="43">
        <v>3245</v>
      </c>
      <c r="CP224" s="43">
        <v>3392</v>
      </c>
      <c r="CQ224" s="43">
        <v>4773</v>
      </c>
      <c r="CR224" s="43">
        <v>4046</v>
      </c>
      <c r="CS224" s="43">
        <v>2780</v>
      </c>
      <c r="CT224" s="43"/>
      <c r="CU224" s="43">
        <v>693</v>
      </c>
      <c r="CV224" s="43">
        <v>2544</v>
      </c>
      <c r="CW224" s="43">
        <v>3574</v>
      </c>
      <c r="CX224" s="43">
        <v>3378</v>
      </c>
      <c r="CY224" s="43">
        <v>3430</v>
      </c>
      <c r="CZ224" s="43">
        <v>4211</v>
      </c>
      <c r="DA224" s="43">
        <v>3790</v>
      </c>
      <c r="DB224" s="43">
        <v>3434</v>
      </c>
      <c r="DC224" s="43">
        <v>3684</v>
      </c>
      <c r="DD224" s="43">
        <v>3617</v>
      </c>
      <c r="DE224" s="43">
        <v>3697</v>
      </c>
      <c r="DF224" s="43">
        <v>1333</v>
      </c>
      <c r="DG224" s="43">
        <v>181</v>
      </c>
      <c r="DH224" s="43">
        <v>1408</v>
      </c>
      <c r="DI224" s="43">
        <v>2214</v>
      </c>
      <c r="DJ224" s="43">
        <v>2701</v>
      </c>
      <c r="DK224" s="43">
        <v>3018</v>
      </c>
      <c r="DL224" s="43">
        <v>2496</v>
      </c>
      <c r="DM224" s="43">
        <v>1818</v>
      </c>
      <c r="DN224" s="43">
        <v>2315</v>
      </c>
      <c r="DO224" s="43">
        <v>2167</v>
      </c>
      <c r="DP224" s="43">
        <v>2332</v>
      </c>
      <c r="DQ224" s="43">
        <v>2873</v>
      </c>
      <c r="DR224" s="43">
        <v>2824</v>
      </c>
      <c r="DS224" s="43">
        <v>2103</v>
      </c>
      <c r="DT224" s="43">
        <v>2336</v>
      </c>
      <c r="DU224" s="43">
        <v>2227</v>
      </c>
      <c r="DV224" s="43">
        <v>2449</v>
      </c>
      <c r="DW224" s="43">
        <v>2564</v>
      </c>
      <c r="DX224" s="43">
        <v>3440</v>
      </c>
      <c r="DY224" s="43">
        <v>2770</v>
      </c>
      <c r="DZ224" s="43">
        <v>2381</v>
      </c>
      <c r="EA224" s="43">
        <v>1729</v>
      </c>
      <c r="EB224" s="43">
        <v>2292</v>
      </c>
      <c r="EC224" s="43">
        <v>3296</v>
      </c>
      <c r="ED224" s="43">
        <v>1142</v>
      </c>
      <c r="EE224" s="43">
        <v>1984</v>
      </c>
      <c r="EF224" s="43">
        <v>3341</v>
      </c>
      <c r="EG224" s="43">
        <v>2789</v>
      </c>
      <c r="EH224" s="43">
        <v>2743</v>
      </c>
      <c r="EI224" s="43">
        <v>3118</v>
      </c>
      <c r="EJ224" s="43">
        <v>3515</v>
      </c>
      <c r="EK224" s="43">
        <v>2741</v>
      </c>
      <c r="EL224" s="43">
        <v>2670</v>
      </c>
      <c r="EM224" s="43">
        <v>2681</v>
      </c>
      <c r="EN224" s="43">
        <v>2651</v>
      </c>
      <c r="EO224" s="43">
        <v>3657</v>
      </c>
      <c r="EP224" s="43">
        <v>2554</v>
      </c>
      <c r="EQ224" s="43">
        <v>2406</v>
      </c>
      <c r="ER224" s="43">
        <v>2798</v>
      </c>
      <c r="ES224" s="43">
        <v>2329</v>
      </c>
      <c r="ET224" s="43">
        <v>2224</v>
      </c>
      <c r="EU224" s="43">
        <v>2795</v>
      </c>
      <c r="EV224" s="43">
        <v>2977</v>
      </c>
      <c r="EW224" s="43">
        <v>3000</v>
      </c>
      <c r="EX224" s="43">
        <v>2328</v>
      </c>
      <c r="EY224" s="43">
        <v>2475</v>
      </c>
      <c r="EZ224" s="43">
        <v>2658</v>
      </c>
      <c r="FA224" s="43">
        <v>3141</v>
      </c>
      <c r="FB224" s="43">
        <v>2475</v>
      </c>
      <c r="FC224" s="43">
        <v>2214</v>
      </c>
      <c r="FD224" s="43">
        <v>2261</v>
      </c>
      <c r="FE224" s="43">
        <v>2196</v>
      </c>
      <c r="FF224" s="43">
        <v>2661</v>
      </c>
      <c r="FG224" s="43">
        <v>2930</v>
      </c>
      <c r="FH224" s="43">
        <v>3340</v>
      </c>
      <c r="FI224" s="43">
        <v>3171</v>
      </c>
      <c r="FJ224" s="43">
        <v>3129</v>
      </c>
      <c r="FK224" s="43"/>
      <c r="FL224" s="43"/>
      <c r="FM224" s="43"/>
      <c r="FN224" s="66">
        <f t="shared" si="562"/>
        <v>11608</v>
      </c>
      <c r="FO224" s="67">
        <f t="shared" si="563"/>
        <v>12658</v>
      </c>
      <c r="FP224" s="67">
        <f t="shared" si="564"/>
        <v>13615</v>
      </c>
      <c r="FQ224" s="67">
        <f t="shared" si="565"/>
        <v>13226</v>
      </c>
      <c r="FR224" s="67">
        <f t="shared" si="566"/>
        <v>11936</v>
      </c>
      <c r="FS224" s="67">
        <f t="shared" si="567"/>
        <v>11618</v>
      </c>
      <c r="FT224" s="67">
        <f t="shared" si="568"/>
        <v>12694</v>
      </c>
      <c r="FU224" s="67">
        <f t="shared" si="569"/>
        <v>13147</v>
      </c>
      <c r="FV224" s="67">
        <f t="shared" si="570"/>
        <v>12588</v>
      </c>
      <c r="FW224" s="67">
        <f t="shared" si="571"/>
        <v>12741</v>
      </c>
      <c r="FX224" s="67">
        <f t="shared" si="572"/>
        <v>13890</v>
      </c>
      <c r="FY224" s="67">
        <f t="shared" si="573"/>
        <v>13981</v>
      </c>
      <c r="FZ224" s="67">
        <f t="shared" si="574"/>
        <v>12590</v>
      </c>
      <c r="GA224" s="67">
        <f t="shared" si="575"/>
        <v>11355</v>
      </c>
      <c r="GB224" s="67">
        <f t="shared" si="576"/>
        <v>13535</v>
      </c>
      <c r="GC224" s="67">
        <f t="shared" si="577"/>
        <v>14310</v>
      </c>
      <c r="GD224" s="67">
        <f t="shared" si="578"/>
        <v>13315</v>
      </c>
      <c r="GE224" s="67">
        <f t="shared" si="579"/>
        <v>12951</v>
      </c>
      <c r="GF224" s="67">
        <f t="shared" si="580"/>
        <v>13613</v>
      </c>
      <c r="GG224" s="67">
        <f t="shared" si="581"/>
        <v>14703</v>
      </c>
      <c r="GH224" s="67">
        <f t="shared" si="582"/>
        <v>12942</v>
      </c>
      <c r="GI224" s="67">
        <f t="shared" si="583"/>
        <v>14285</v>
      </c>
      <c r="GJ224" s="67">
        <f t="shared" si="584"/>
        <v>14059</v>
      </c>
      <c r="GK224" s="67">
        <f t="shared" si="585"/>
        <v>15337</v>
      </c>
      <c r="GL224" s="67">
        <f t="shared" si="586"/>
        <v>14453</v>
      </c>
      <c r="GM224" s="67">
        <f t="shared" si="587"/>
        <v>14250</v>
      </c>
      <c r="GN224" s="67">
        <f t="shared" si="588"/>
        <v>12714</v>
      </c>
      <c r="GO224" s="67">
        <f t="shared" si="589"/>
        <v>16230</v>
      </c>
      <c r="GP224" s="67">
        <f t="shared" si="590"/>
        <v>13300</v>
      </c>
      <c r="GQ224" s="67">
        <f t="shared" si="591"/>
        <v>10579</v>
      </c>
      <c r="GR224" s="67">
        <f t="shared" si="592"/>
        <v>11426</v>
      </c>
      <c r="GS224" s="67">
        <f t="shared" si="593"/>
        <v>11599</v>
      </c>
      <c r="GT224" s="67">
        <f t="shared" si="594"/>
        <v>3237</v>
      </c>
      <c r="GU224" s="67">
        <f t="shared" si="595"/>
        <v>10382</v>
      </c>
      <c r="GV224" s="67">
        <f t="shared" si="596"/>
        <v>11435</v>
      </c>
      <c r="GW224" s="67">
        <f t="shared" si="597"/>
        <v>10998</v>
      </c>
      <c r="GX224" s="67">
        <f t="shared" si="598"/>
        <v>2922</v>
      </c>
      <c r="GY224" s="67">
        <f t="shared" si="599"/>
        <v>7933</v>
      </c>
      <c r="GZ224" s="67">
        <f t="shared" si="600"/>
        <v>6629</v>
      </c>
      <c r="HA224" s="67">
        <f t="shared" si="601"/>
        <v>7372</v>
      </c>
      <c r="HB224" s="67">
        <f t="shared" si="602"/>
        <v>7263</v>
      </c>
      <c r="HC224" s="67">
        <f t="shared" si="603"/>
        <v>7240</v>
      </c>
      <c r="HD224" s="67">
        <f t="shared" si="604"/>
        <v>8591</v>
      </c>
      <c r="HE224" s="67">
        <f t="shared" si="605"/>
        <v>7317</v>
      </c>
      <c r="HF224" s="67">
        <f t="shared" si="606"/>
        <v>6467</v>
      </c>
      <c r="HG224" s="67">
        <f t="shared" si="607"/>
        <v>8650</v>
      </c>
      <c r="HH224" s="67">
        <f t="shared" si="608"/>
        <v>8926</v>
      </c>
      <c r="HI224" s="67">
        <f t="shared" si="609"/>
        <v>8989</v>
      </c>
      <c r="HJ224" s="210">
        <f t="shared" si="610"/>
        <v>7758</v>
      </c>
      <c r="HK224" s="210">
        <f t="shared" si="611"/>
        <v>7348</v>
      </c>
      <c r="HL224" s="210">
        <f t="shared" si="612"/>
        <v>8305</v>
      </c>
      <c r="HM224" s="210">
        <f t="shared" si="613"/>
        <v>8274</v>
      </c>
      <c r="HN224" s="210">
        <f t="shared" si="638"/>
        <v>6950</v>
      </c>
      <c r="HO224" s="210">
        <f t="shared" si="639"/>
        <v>7787</v>
      </c>
      <c r="HP224" s="210">
        <f t="shared" si="640"/>
        <v>9640</v>
      </c>
      <c r="HQ224" s="60"/>
      <c r="HR224" s="43"/>
      <c r="HS224" s="43"/>
      <c r="HT224" s="43"/>
      <c r="HU224" s="211">
        <f>SUM(B224:M224)</f>
        <v>51107</v>
      </c>
      <c r="HV224" s="211">
        <f>SUM(N224:Y224)</f>
        <v>49395</v>
      </c>
      <c r="HW224" s="211">
        <f>SUM(Z224:AK224)</f>
        <v>53200</v>
      </c>
      <c r="HX224" s="212">
        <f>SUM(AL224:AW224)</f>
        <v>51790</v>
      </c>
      <c r="HY224" s="58">
        <f>SUM(AX224:BI224)</f>
        <v>54582</v>
      </c>
      <c r="HZ224" s="58">
        <f>SUM(BJ224:BU224)</f>
        <v>56623</v>
      </c>
      <c r="IA224" s="58">
        <f>SUM(BV224:CG224)</f>
        <v>57647</v>
      </c>
      <c r="IB224" s="64">
        <f>SUM(CH224:CS224)</f>
        <v>46904</v>
      </c>
      <c r="IC224" s="64">
        <f>SUM(CT224:DE224)</f>
        <v>36052</v>
      </c>
      <c r="ID224" s="64">
        <f t="shared" si="641"/>
        <v>24856</v>
      </c>
      <c r="IE224" s="64">
        <f t="shared" si="642"/>
        <v>30411</v>
      </c>
      <c r="IF224" s="64">
        <f t="shared" si="643"/>
        <v>33032</v>
      </c>
      <c r="IG224" s="64">
        <f t="shared" si="644"/>
        <v>31685</v>
      </c>
    </row>
    <row r="225" spans="1:241" outlineLevel="2" x14ac:dyDescent="0.3">
      <c r="A225" s="259" t="s">
        <v>186</v>
      </c>
      <c r="B225" s="43">
        <v>393</v>
      </c>
      <c r="C225" s="43">
        <v>626</v>
      </c>
      <c r="D225" s="43">
        <v>630</v>
      </c>
      <c r="E225" s="43">
        <v>784</v>
      </c>
      <c r="F225" s="43">
        <v>725</v>
      </c>
      <c r="G225" s="43">
        <v>719</v>
      </c>
      <c r="H225" s="43">
        <v>857</v>
      </c>
      <c r="I225" s="43">
        <v>683</v>
      </c>
      <c r="J225" s="43">
        <v>600</v>
      </c>
      <c r="K225" s="43">
        <v>782</v>
      </c>
      <c r="L225" s="43">
        <v>845</v>
      </c>
      <c r="M225" s="43">
        <v>699</v>
      </c>
      <c r="N225" s="43">
        <v>465</v>
      </c>
      <c r="O225" s="43">
        <v>583</v>
      </c>
      <c r="P225" s="43">
        <v>490</v>
      </c>
      <c r="Q225" s="43">
        <v>630</v>
      </c>
      <c r="R225" s="43">
        <v>506</v>
      </c>
      <c r="S225" s="43">
        <v>626</v>
      </c>
      <c r="T225" s="43">
        <v>736</v>
      </c>
      <c r="U225" s="43">
        <v>611</v>
      </c>
      <c r="V225" s="43">
        <v>679</v>
      </c>
      <c r="W225" s="43">
        <v>581</v>
      </c>
      <c r="X225" s="43">
        <v>614</v>
      </c>
      <c r="Y225" s="43">
        <v>924</v>
      </c>
      <c r="Z225" s="43">
        <v>207</v>
      </c>
      <c r="AA225" s="43">
        <v>529</v>
      </c>
      <c r="AB225" s="43">
        <v>640</v>
      </c>
      <c r="AC225" s="43">
        <v>519</v>
      </c>
      <c r="AD225" s="43">
        <v>518</v>
      </c>
      <c r="AE225" s="43">
        <v>670</v>
      </c>
      <c r="AF225" s="43">
        <v>432</v>
      </c>
      <c r="AG225" s="43">
        <v>527</v>
      </c>
      <c r="AH225" s="43">
        <v>326</v>
      </c>
      <c r="AI225" s="43">
        <v>491</v>
      </c>
      <c r="AJ225" s="43">
        <v>238</v>
      </c>
      <c r="AK225" s="43">
        <v>704</v>
      </c>
      <c r="AL225" s="43">
        <v>134</v>
      </c>
      <c r="AM225" s="43">
        <v>391</v>
      </c>
      <c r="AN225" s="43">
        <v>456</v>
      </c>
      <c r="AO225" s="43">
        <v>424</v>
      </c>
      <c r="AP225" s="43">
        <v>344</v>
      </c>
      <c r="AQ225" s="43">
        <v>380</v>
      </c>
      <c r="AR225" s="43">
        <v>481</v>
      </c>
      <c r="AS225" s="43">
        <v>387</v>
      </c>
      <c r="AT225" s="43">
        <v>403</v>
      </c>
      <c r="AU225" s="43">
        <v>346</v>
      </c>
      <c r="AV225" s="43">
        <v>368</v>
      </c>
      <c r="AW225" s="43">
        <v>494</v>
      </c>
      <c r="AX225" s="43">
        <v>297</v>
      </c>
      <c r="AY225" s="43">
        <v>241</v>
      </c>
      <c r="AZ225" s="43">
        <v>285</v>
      </c>
      <c r="BA225" s="43">
        <v>244</v>
      </c>
      <c r="BB225" s="43">
        <v>287</v>
      </c>
      <c r="BC225" s="43">
        <v>278</v>
      </c>
      <c r="BD225" s="43">
        <v>255</v>
      </c>
      <c r="BE225" s="43">
        <v>153</v>
      </c>
      <c r="BF225" s="43">
        <v>535</v>
      </c>
      <c r="BG225" s="43">
        <v>270</v>
      </c>
      <c r="BH225" s="43">
        <v>233</v>
      </c>
      <c r="BI225" s="43">
        <v>197</v>
      </c>
      <c r="BJ225" s="43">
        <v>0</v>
      </c>
      <c r="BK225" s="43">
        <v>0</v>
      </c>
      <c r="BL225" s="43">
        <v>18</v>
      </c>
      <c r="BM225" s="43">
        <v>0</v>
      </c>
      <c r="BN225" s="43">
        <v>60</v>
      </c>
      <c r="BO225" s="43">
        <v>38</v>
      </c>
      <c r="BP225" s="43">
        <v>0</v>
      </c>
      <c r="BQ225" s="43">
        <v>289</v>
      </c>
      <c r="BR225" s="43">
        <v>247</v>
      </c>
      <c r="BS225" s="43">
        <v>300</v>
      </c>
      <c r="BT225" s="43">
        <v>190</v>
      </c>
      <c r="BU225" s="43">
        <v>305</v>
      </c>
      <c r="BV225" s="43">
        <v>109</v>
      </c>
      <c r="BW225" s="43">
        <v>128</v>
      </c>
      <c r="BX225" s="43">
        <v>120</v>
      </c>
      <c r="BY225" s="43">
        <v>259</v>
      </c>
      <c r="BZ225" s="43">
        <v>270</v>
      </c>
      <c r="CA225" s="43">
        <v>275</v>
      </c>
      <c r="CB225" s="43">
        <v>260</v>
      </c>
      <c r="CC225" s="43">
        <v>317</v>
      </c>
      <c r="CD225" s="43">
        <v>46</v>
      </c>
      <c r="CE225" s="43">
        <v>239</v>
      </c>
      <c r="CF225" s="43">
        <v>215</v>
      </c>
      <c r="CG225" s="43">
        <v>248</v>
      </c>
      <c r="CH225" s="43">
        <v>78</v>
      </c>
      <c r="CI225" s="43">
        <v>171</v>
      </c>
      <c r="CJ225" s="43">
        <v>155</v>
      </c>
      <c r="CK225" s="43">
        <v>206</v>
      </c>
      <c r="CL225" s="43">
        <v>185</v>
      </c>
      <c r="CM225" s="43">
        <v>236</v>
      </c>
      <c r="CN225" s="43">
        <v>214</v>
      </c>
      <c r="CO225" s="43">
        <v>268</v>
      </c>
      <c r="CP225" s="43">
        <v>190</v>
      </c>
      <c r="CQ225" s="43">
        <v>182</v>
      </c>
      <c r="CR225" s="43">
        <v>207</v>
      </c>
      <c r="CS225" s="43">
        <v>114</v>
      </c>
      <c r="CT225" s="43"/>
      <c r="CU225" s="43">
        <v>0</v>
      </c>
      <c r="CV225" s="43">
        <v>0</v>
      </c>
      <c r="CW225" s="43">
        <v>0</v>
      </c>
      <c r="CX225" s="43">
        <v>0</v>
      </c>
      <c r="CY225" s="43">
        <v>0</v>
      </c>
      <c r="CZ225" s="43">
        <v>0</v>
      </c>
      <c r="DA225" s="43">
        <v>0</v>
      </c>
      <c r="DB225" s="43">
        <v>0</v>
      </c>
      <c r="DC225" s="43">
        <v>0</v>
      </c>
      <c r="DD225" s="43">
        <v>0</v>
      </c>
      <c r="DE225" s="43">
        <v>0</v>
      </c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/>
      <c r="EM225" s="43"/>
      <c r="EN225" s="43"/>
      <c r="EO225" s="43"/>
      <c r="EP225" s="43"/>
      <c r="EQ225" s="43"/>
      <c r="ER225" s="43"/>
      <c r="ES225" s="43"/>
      <c r="ET225" s="43"/>
      <c r="EU225" s="43"/>
      <c r="EV225" s="43"/>
      <c r="EW225" s="43"/>
      <c r="EX225" s="43"/>
      <c r="EY225" s="43"/>
      <c r="EZ225" s="43"/>
      <c r="FA225" s="43">
        <v>6</v>
      </c>
      <c r="FB225" s="43"/>
      <c r="FC225" s="43">
        <v>7</v>
      </c>
      <c r="FD225" s="43">
        <v>51</v>
      </c>
      <c r="FE225" s="43">
        <v>42</v>
      </c>
      <c r="FF225" s="43">
        <v>29</v>
      </c>
      <c r="FG225" s="43">
        <v>64</v>
      </c>
      <c r="FH225" s="43">
        <v>84</v>
      </c>
      <c r="FI225" s="43">
        <v>99</v>
      </c>
      <c r="FJ225" s="43">
        <v>69</v>
      </c>
      <c r="FK225" s="43"/>
      <c r="FL225" s="43"/>
      <c r="FM225" s="43"/>
      <c r="FN225" s="66">
        <f t="shared" si="562"/>
        <v>1649</v>
      </c>
      <c r="FO225" s="67">
        <f t="shared" si="563"/>
        <v>2228</v>
      </c>
      <c r="FP225" s="67">
        <f t="shared" si="564"/>
        <v>2140</v>
      </c>
      <c r="FQ225" s="67">
        <f t="shared" si="565"/>
        <v>2326</v>
      </c>
      <c r="FR225" s="67">
        <f t="shared" si="566"/>
        <v>1538</v>
      </c>
      <c r="FS225" s="67">
        <f t="shared" si="567"/>
        <v>1762</v>
      </c>
      <c r="FT225" s="67">
        <f t="shared" si="568"/>
        <v>2026</v>
      </c>
      <c r="FU225" s="67">
        <f t="shared" si="569"/>
        <v>2119</v>
      </c>
      <c r="FV225" s="67">
        <f t="shared" si="570"/>
        <v>1376</v>
      </c>
      <c r="FW225" s="67">
        <f t="shared" si="571"/>
        <v>1707</v>
      </c>
      <c r="FX225" s="67">
        <f t="shared" si="572"/>
        <v>1285</v>
      </c>
      <c r="FY225" s="67">
        <f t="shared" si="573"/>
        <v>1433</v>
      </c>
      <c r="FZ225" s="67">
        <f t="shared" si="574"/>
        <v>981</v>
      </c>
      <c r="GA225" s="67">
        <f t="shared" si="575"/>
        <v>1148</v>
      </c>
      <c r="GB225" s="67">
        <f t="shared" si="576"/>
        <v>1271</v>
      </c>
      <c r="GC225" s="67">
        <f t="shared" si="577"/>
        <v>1208</v>
      </c>
      <c r="GD225" s="67">
        <f t="shared" si="578"/>
        <v>823</v>
      </c>
      <c r="GE225" s="67">
        <f t="shared" si="579"/>
        <v>809</v>
      </c>
      <c r="GF225" s="67">
        <f t="shared" si="580"/>
        <v>943</v>
      </c>
      <c r="GG225" s="67">
        <f t="shared" si="581"/>
        <v>700</v>
      </c>
      <c r="GH225" s="67">
        <f t="shared" si="582"/>
        <v>18</v>
      </c>
      <c r="GI225" s="67">
        <f t="shared" si="583"/>
        <v>98</v>
      </c>
      <c r="GJ225" s="67">
        <f t="shared" si="584"/>
        <v>536</v>
      </c>
      <c r="GK225" s="67">
        <f t="shared" si="585"/>
        <v>795</v>
      </c>
      <c r="GL225" s="67">
        <f t="shared" si="586"/>
        <v>357</v>
      </c>
      <c r="GM225" s="67">
        <f t="shared" si="587"/>
        <v>804</v>
      </c>
      <c r="GN225" s="67">
        <f t="shared" si="588"/>
        <v>623</v>
      </c>
      <c r="GO225" s="67">
        <f t="shared" si="589"/>
        <v>702</v>
      </c>
      <c r="GP225" s="67">
        <f t="shared" si="590"/>
        <v>404</v>
      </c>
      <c r="GQ225" s="67">
        <f t="shared" si="591"/>
        <v>627</v>
      </c>
      <c r="GR225" s="67">
        <f t="shared" si="592"/>
        <v>672</v>
      </c>
      <c r="GS225" s="67">
        <f t="shared" si="593"/>
        <v>503</v>
      </c>
      <c r="GT225" s="67">
        <f t="shared" si="594"/>
        <v>0</v>
      </c>
      <c r="GU225" s="67">
        <f t="shared" si="595"/>
        <v>0</v>
      </c>
      <c r="GV225" s="67">
        <f t="shared" si="596"/>
        <v>0</v>
      </c>
      <c r="GW225" s="67">
        <f t="shared" si="597"/>
        <v>0</v>
      </c>
      <c r="GX225" s="67">
        <f t="shared" si="598"/>
        <v>0</v>
      </c>
      <c r="GY225" s="67">
        <f t="shared" si="599"/>
        <v>0</v>
      </c>
      <c r="GZ225" s="67">
        <f t="shared" si="600"/>
        <v>0</v>
      </c>
      <c r="HA225" s="67">
        <f t="shared" si="601"/>
        <v>0</v>
      </c>
      <c r="HB225" s="67">
        <f t="shared" si="602"/>
        <v>0</v>
      </c>
      <c r="HC225" s="67">
        <f t="shared" si="603"/>
        <v>0</v>
      </c>
      <c r="HD225" s="67">
        <f t="shared" si="604"/>
        <v>0</v>
      </c>
      <c r="HE225" s="67">
        <f t="shared" si="605"/>
        <v>0</v>
      </c>
      <c r="HF225" s="67">
        <f t="shared" si="606"/>
        <v>0</v>
      </c>
      <c r="HG225" s="67">
        <f t="shared" si="607"/>
        <v>0</v>
      </c>
      <c r="HH225" s="67">
        <f t="shared" si="608"/>
        <v>0</v>
      </c>
      <c r="HI225" s="67">
        <f t="shared" si="609"/>
        <v>0</v>
      </c>
      <c r="HJ225" s="210">
        <f t="shared" si="610"/>
        <v>0</v>
      </c>
      <c r="HK225" s="210">
        <f t="shared" si="611"/>
        <v>0</v>
      </c>
      <c r="HL225" s="210">
        <f t="shared" si="612"/>
        <v>0</v>
      </c>
      <c r="HM225" s="210">
        <f t="shared" si="613"/>
        <v>6</v>
      </c>
      <c r="HN225" s="210">
        <f t="shared" si="638"/>
        <v>58</v>
      </c>
      <c r="HO225" s="210">
        <f t="shared" si="639"/>
        <v>135</v>
      </c>
      <c r="HP225" s="210">
        <f t="shared" si="640"/>
        <v>252</v>
      </c>
      <c r="HQ225" s="60"/>
      <c r="HR225" s="43"/>
      <c r="HS225" s="43"/>
      <c r="HT225" s="43"/>
      <c r="HU225" s="211">
        <f>SUM(B225:M225)</f>
        <v>8343</v>
      </c>
      <c r="HV225" s="211">
        <f>SUM(N225:Y225)</f>
        <v>7445</v>
      </c>
      <c r="HW225" s="211">
        <f>SUM(Z225:AK225)</f>
        <v>5801</v>
      </c>
      <c r="HX225" s="212">
        <f>SUM(AL225:AW225)</f>
        <v>4608</v>
      </c>
      <c r="HY225" s="58">
        <f>SUM(AX225:BI225)</f>
        <v>3275</v>
      </c>
      <c r="HZ225" s="58">
        <f>SUM(BJ225:BU225)</f>
        <v>1447</v>
      </c>
      <c r="IA225" s="58">
        <f>SUM(BV225:CG225)</f>
        <v>2486</v>
      </c>
      <c r="IB225" s="64">
        <f>SUM(CH225:CS225)</f>
        <v>2206</v>
      </c>
      <c r="IC225" s="64">
        <f>SUM(CT225:DE225)</f>
        <v>0</v>
      </c>
      <c r="ID225" s="64">
        <f t="shared" si="641"/>
        <v>0</v>
      </c>
      <c r="IE225" s="64">
        <f t="shared" si="642"/>
        <v>0</v>
      </c>
      <c r="IF225" s="64">
        <f t="shared" si="643"/>
        <v>0</v>
      </c>
      <c r="IG225" s="64">
        <f t="shared" si="644"/>
        <v>6</v>
      </c>
    </row>
    <row r="226" spans="1:241" outlineLevel="2" x14ac:dyDescent="0.3">
      <c r="A226" s="259" t="s">
        <v>124</v>
      </c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>
        <v>37</v>
      </c>
      <c r="DK226" s="43">
        <v>40</v>
      </c>
      <c r="DL226" s="43">
        <v>42</v>
      </c>
      <c r="DM226" s="43">
        <v>32</v>
      </c>
      <c r="DN226" s="43">
        <v>21</v>
      </c>
      <c r="DO226" s="43">
        <v>31</v>
      </c>
      <c r="DP226" s="43">
        <v>42</v>
      </c>
      <c r="DQ226" s="43">
        <v>63</v>
      </c>
      <c r="DR226" s="43">
        <v>48</v>
      </c>
      <c r="DS226" s="43">
        <v>37</v>
      </c>
      <c r="DT226" s="43">
        <v>53</v>
      </c>
      <c r="DU226" s="43">
        <v>18</v>
      </c>
      <c r="DV226" s="43">
        <v>4</v>
      </c>
      <c r="DW226" s="43">
        <v>53</v>
      </c>
      <c r="DX226" s="43">
        <v>36</v>
      </c>
      <c r="DY226" s="43">
        <v>36</v>
      </c>
      <c r="DZ226" s="43">
        <v>32</v>
      </c>
      <c r="EA226" s="43">
        <v>42</v>
      </c>
      <c r="EB226" s="43">
        <v>35</v>
      </c>
      <c r="EC226" s="43">
        <v>41</v>
      </c>
      <c r="ED226" s="43">
        <v>34</v>
      </c>
      <c r="EE226" s="43">
        <v>12</v>
      </c>
      <c r="EF226" s="43">
        <v>1</v>
      </c>
      <c r="EG226" s="43">
        <v>41</v>
      </c>
      <c r="EH226" s="43">
        <v>28</v>
      </c>
      <c r="EI226" s="43">
        <v>28</v>
      </c>
      <c r="EJ226" s="43">
        <v>38</v>
      </c>
      <c r="EK226" s="43">
        <v>27</v>
      </c>
      <c r="EL226" s="43">
        <v>31</v>
      </c>
      <c r="EM226" s="43">
        <v>29</v>
      </c>
      <c r="EN226" s="43">
        <v>45</v>
      </c>
      <c r="EO226" s="43">
        <v>17</v>
      </c>
      <c r="EP226" s="43">
        <v>83</v>
      </c>
      <c r="EQ226" s="43">
        <v>32</v>
      </c>
      <c r="ER226" s="43">
        <v>12</v>
      </c>
      <c r="ES226" s="43">
        <v>17</v>
      </c>
      <c r="ET226" s="43">
        <v>10</v>
      </c>
      <c r="EU226" s="43">
        <v>33</v>
      </c>
      <c r="EV226" s="43">
        <v>30</v>
      </c>
      <c r="EW226" s="43">
        <v>36</v>
      </c>
      <c r="EX226" s="43">
        <v>13</v>
      </c>
      <c r="EY226" s="43">
        <v>24</v>
      </c>
      <c r="EZ226" s="43">
        <v>10</v>
      </c>
      <c r="FA226" s="43">
        <v>13</v>
      </c>
      <c r="FB226" s="43">
        <v>9</v>
      </c>
      <c r="FC226" s="43">
        <v>11</v>
      </c>
      <c r="FD226" s="43">
        <v>12</v>
      </c>
      <c r="FE226" s="43">
        <v>8</v>
      </c>
      <c r="FF226" s="43">
        <v>9</v>
      </c>
      <c r="FG226" s="43">
        <v>5</v>
      </c>
      <c r="FH226" s="43">
        <v>9</v>
      </c>
      <c r="FI226" s="43">
        <v>8</v>
      </c>
      <c r="FJ226" s="43">
        <v>16</v>
      </c>
      <c r="FK226" s="43"/>
      <c r="FL226" s="43"/>
      <c r="FM226" s="43"/>
      <c r="FN226" s="66"/>
      <c r="FO226" s="67"/>
      <c r="FP226" s="67"/>
      <c r="FQ226" s="67"/>
      <c r="FR226" s="67"/>
      <c r="FS226" s="67"/>
      <c r="FT226" s="67"/>
      <c r="FU226" s="67"/>
      <c r="FV226" s="67"/>
      <c r="FW226" s="67"/>
      <c r="FX226" s="67"/>
      <c r="FY226" s="67"/>
      <c r="FZ226" s="67"/>
      <c r="GA226" s="67"/>
      <c r="GB226" s="67"/>
      <c r="GC226" s="67"/>
      <c r="GD226" s="67"/>
      <c r="GE226" s="67"/>
      <c r="GF226" s="67"/>
      <c r="GG226" s="67"/>
      <c r="GH226" s="67"/>
      <c r="GI226" s="67"/>
      <c r="GJ226" s="67"/>
      <c r="GK226" s="67"/>
      <c r="GL226" s="67"/>
      <c r="GM226" s="67"/>
      <c r="GN226" s="67"/>
      <c r="GO226" s="67"/>
      <c r="GP226" s="67"/>
      <c r="GQ226" s="67"/>
      <c r="GR226" s="67"/>
      <c r="GS226" s="67"/>
      <c r="GT226" s="67"/>
      <c r="GU226" s="67"/>
      <c r="GV226" s="67"/>
      <c r="GW226" s="67"/>
      <c r="GX226" s="67"/>
      <c r="GY226" s="67">
        <f t="shared" si="599"/>
        <v>77</v>
      </c>
      <c r="GZ226" s="67">
        <f t="shared" si="600"/>
        <v>95</v>
      </c>
      <c r="HA226" s="67">
        <f t="shared" si="601"/>
        <v>136</v>
      </c>
      <c r="HB226" s="67">
        <f t="shared" si="602"/>
        <v>138</v>
      </c>
      <c r="HC226" s="67">
        <f t="shared" si="603"/>
        <v>75</v>
      </c>
      <c r="HD226" s="67">
        <f t="shared" si="604"/>
        <v>104</v>
      </c>
      <c r="HE226" s="67">
        <f t="shared" si="605"/>
        <v>118</v>
      </c>
      <c r="HF226" s="67">
        <f t="shared" si="606"/>
        <v>47</v>
      </c>
      <c r="HG226" s="67">
        <f t="shared" si="607"/>
        <v>97</v>
      </c>
      <c r="HH226" s="67">
        <f t="shared" si="608"/>
        <v>96</v>
      </c>
      <c r="HI226" s="67">
        <f t="shared" si="609"/>
        <v>91</v>
      </c>
      <c r="HJ226" s="210">
        <f t="shared" si="610"/>
        <v>127</v>
      </c>
      <c r="HK226" s="210">
        <f t="shared" si="611"/>
        <v>60</v>
      </c>
      <c r="HL226" s="210">
        <f t="shared" si="612"/>
        <v>79</v>
      </c>
      <c r="HM226" s="210">
        <f t="shared" si="613"/>
        <v>47</v>
      </c>
      <c r="HN226" s="210">
        <f t="shared" si="638"/>
        <v>32</v>
      </c>
      <c r="HO226" s="210">
        <f t="shared" si="639"/>
        <v>22</v>
      </c>
      <c r="HP226" s="210">
        <f t="shared" si="640"/>
        <v>33</v>
      </c>
      <c r="HQ226" s="60"/>
      <c r="HR226" s="43"/>
      <c r="HS226" s="43"/>
      <c r="HT226" s="43"/>
      <c r="HU226" s="211"/>
      <c r="HV226" s="211"/>
      <c r="HW226" s="211"/>
      <c r="HX226" s="212"/>
      <c r="HY226" s="58"/>
      <c r="HZ226" s="58"/>
      <c r="IA226" s="58"/>
      <c r="IB226" s="64"/>
      <c r="IC226" s="64"/>
      <c r="ID226" s="64">
        <f t="shared" si="641"/>
        <v>308</v>
      </c>
      <c r="IE226" s="64">
        <f t="shared" si="642"/>
        <v>435</v>
      </c>
      <c r="IF226" s="64">
        <f t="shared" si="643"/>
        <v>331</v>
      </c>
      <c r="IG226" s="64">
        <f t="shared" si="644"/>
        <v>313</v>
      </c>
    </row>
    <row r="227" spans="1:241" outlineLevel="1" x14ac:dyDescent="0.3">
      <c r="A227" s="81" t="s">
        <v>192</v>
      </c>
      <c r="B227" s="83">
        <f>+SUM(B220:B225)</f>
        <v>6724</v>
      </c>
      <c r="C227" s="83">
        <f t="shared" ref="C227:AN227" si="656">+SUM(C220:C225)</f>
        <v>7327</v>
      </c>
      <c r="D227" s="83">
        <f t="shared" si="656"/>
        <v>7715</v>
      </c>
      <c r="E227" s="83">
        <f t="shared" si="656"/>
        <v>7814</v>
      </c>
      <c r="F227" s="83">
        <f t="shared" si="656"/>
        <v>7843</v>
      </c>
      <c r="G227" s="83">
        <f t="shared" si="656"/>
        <v>8154</v>
      </c>
      <c r="H227" s="83">
        <f t="shared" si="656"/>
        <v>9295</v>
      </c>
      <c r="I227" s="83">
        <f t="shared" si="656"/>
        <v>8845</v>
      </c>
      <c r="J227" s="83">
        <f t="shared" si="656"/>
        <v>7677</v>
      </c>
      <c r="K227" s="83">
        <f t="shared" si="656"/>
        <v>8374</v>
      </c>
      <c r="L227" s="83">
        <f t="shared" si="656"/>
        <v>8541</v>
      </c>
      <c r="M227" s="83">
        <f t="shared" si="656"/>
        <v>8857</v>
      </c>
      <c r="N227" s="83">
        <f t="shared" si="656"/>
        <v>7195</v>
      </c>
      <c r="O227" s="83">
        <f t="shared" si="656"/>
        <v>7058</v>
      </c>
      <c r="P227" s="83">
        <f t="shared" si="656"/>
        <v>7046</v>
      </c>
      <c r="Q227" s="83">
        <f t="shared" si="656"/>
        <v>6492</v>
      </c>
      <c r="R227" s="83">
        <f t="shared" si="656"/>
        <v>7187</v>
      </c>
      <c r="S227" s="83">
        <f t="shared" si="656"/>
        <v>7904</v>
      </c>
      <c r="T227" s="83">
        <f t="shared" si="656"/>
        <v>9153</v>
      </c>
      <c r="U227" s="83">
        <f t="shared" si="656"/>
        <v>8051</v>
      </c>
      <c r="V227" s="83">
        <f t="shared" si="656"/>
        <v>8191</v>
      </c>
      <c r="W227" s="83">
        <f t="shared" si="656"/>
        <v>8504</v>
      </c>
      <c r="X227" s="83">
        <f t="shared" si="656"/>
        <v>8446</v>
      </c>
      <c r="Y227" s="83">
        <f t="shared" si="656"/>
        <v>9484</v>
      </c>
      <c r="Z227" s="83">
        <f t="shared" si="656"/>
        <v>7134</v>
      </c>
      <c r="AA227" s="83">
        <f t="shared" si="656"/>
        <v>7421</v>
      </c>
      <c r="AB227" s="83">
        <f t="shared" si="656"/>
        <v>7920</v>
      </c>
      <c r="AC227" s="83">
        <f t="shared" si="656"/>
        <v>7955</v>
      </c>
      <c r="AD227" s="83">
        <f t="shared" si="656"/>
        <v>8019</v>
      </c>
      <c r="AE227" s="83">
        <f t="shared" si="656"/>
        <v>8919</v>
      </c>
      <c r="AF227" s="83">
        <f t="shared" si="656"/>
        <v>8758</v>
      </c>
      <c r="AG227" s="83">
        <f t="shared" si="656"/>
        <v>9049</v>
      </c>
      <c r="AH227" s="83">
        <f t="shared" si="656"/>
        <v>8305</v>
      </c>
      <c r="AI227" s="83">
        <f t="shared" si="656"/>
        <v>8506</v>
      </c>
      <c r="AJ227" s="83">
        <v>8064</v>
      </c>
      <c r="AK227" s="83">
        <f t="shared" si="656"/>
        <v>9272</v>
      </c>
      <c r="AL227" s="83">
        <f t="shared" si="656"/>
        <v>7059</v>
      </c>
      <c r="AM227" s="83">
        <f t="shared" si="656"/>
        <v>7297</v>
      </c>
      <c r="AN227" s="83">
        <f t="shared" si="656"/>
        <v>7759</v>
      </c>
      <c r="AO227" s="83">
        <f>+SUM(AO220:AO225)</f>
        <v>6928</v>
      </c>
      <c r="AP227" s="83">
        <f t="shared" ref="AP227:AV227" si="657">+SUM(AP220:AP225)</f>
        <v>6705</v>
      </c>
      <c r="AQ227" s="83">
        <f t="shared" si="657"/>
        <v>7716</v>
      </c>
      <c r="AR227" s="83">
        <f t="shared" si="657"/>
        <v>9197</v>
      </c>
      <c r="AS227" s="83">
        <f t="shared" si="657"/>
        <v>8117</v>
      </c>
      <c r="AT227" s="83">
        <f t="shared" si="657"/>
        <v>8503</v>
      </c>
      <c r="AU227" s="83">
        <f t="shared" si="657"/>
        <v>8464</v>
      </c>
      <c r="AV227" s="83">
        <f t="shared" si="657"/>
        <v>9402</v>
      </c>
      <c r="AW227" s="83">
        <v>9854</v>
      </c>
      <c r="AX227" s="83">
        <f t="shared" ref="AX227:BN227" si="658">SUM(AX220:AX225)</f>
        <v>7604</v>
      </c>
      <c r="AY227" s="83">
        <f t="shared" si="658"/>
        <v>8459</v>
      </c>
      <c r="AZ227" s="83">
        <f t="shared" si="658"/>
        <v>8506</v>
      </c>
      <c r="BA227" s="83">
        <f t="shared" si="658"/>
        <v>8332</v>
      </c>
      <c r="BB227" s="83">
        <f t="shared" si="658"/>
        <v>9017</v>
      </c>
      <c r="BC227" s="83">
        <f t="shared" si="658"/>
        <v>9535</v>
      </c>
      <c r="BD227" s="83">
        <f t="shared" si="658"/>
        <v>10884</v>
      </c>
      <c r="BE227" s="83">
        <f t="shared" si="658"/>
        <v>8589</v>
      </c>
      <c r="BF227" s="83">
        <f t="shared" si="658"/>
        <v>8192</v>
      </c>
      <c r="BG227" s="83">
        <f t="shared" si="658"/>
        <v>9146</v>
      </c>
      <c r="BH227" s="83">
        <f t="shared" si="658"/>
        <v>10465</v>
      </c>
      <c r="BI227" s="83">
        <f t="shared" si="658"/>
        <v>10890</v>
      </c>
      <c r="BJ227" s="83">
        <f t="shared" si="658"/>
        <v>7892</v>
      </c>
      <c r="BK227" s="83">
        <f t="shared" si="658"/>
        <v>9320</v>
      </c>
      <c r="BL227" s="83">
        <f t="shared" si="658"/>
        <v>8262</v>
      </c>
      <c r="BM227" s="83">
        <f t="shared" si="658"/>
        <v>8589</v>
      </c>
      <c r="BN227" s="83">
        <f t="shared" si="658"/>
        <v>9506</v>
      </c>
      <c r="BO227" s="83">
        <f>SUM(BO220:BO225)</f>
        <v>10735</v>
      </c>
      <c r="BP227" s="83">
        <f>SUM(BP220:BP225)</f>
        <v>10489</v>
      </c>
      <c r="BQ227" s="83">
        <f>SUM(BQ220:BQ225)</f>
        <v>10110</v>
      </c>
      <c r="BR227" s="83">
        <f>SUM(BR220:BR225)</f>
        <v>9338</v>
      </c>
      <c r="BS227" s="83">
        <f t="shared" ref="BS227:CN227" si="659">SUM(BS220:BS225)</f>
        <v>10151</v>
      </c>
      <c r="BT227" s="83">
        <f t="shared" si="659"/>
        <v>11141</v>
      </c>
      <c r="BU227" s="83">
        <f t="shared" si="659"/>
        <v>12742</v>
      </c>
      <c r="BV227" s="83">
        <f t="shared" si="659"/>
        <v>9917</v>
      </c>
      <c r="BW227" s="83">
        <f t="shared" si="659"/>
        <v>10624</v>
      </c>
      <c r="BX227" s="83">
        <f t="shared" si="659"/>
        <v>10371</v>
      </c>
      <c r="BY227" s="83">
        <f t="shared" si="659"/>
        <v>10109</v>
      </c>
      <c r="BZ227" s="83">
        <f t="shared" si="659"/>
        <v>10327</v>
      </c>
      <c r="CA227" s="83">
        <f t="shared" si="659"/>
        <v>10949</v>
      </c>
      <c r="CB227" s="83">
        <f t="shared" si="659"/>
        <v>11053</v>
      </c>
      <c r="CC227" s="83">
        <f t="shared" si="659"/>
        <v>10567</v>
      </c>
      <c r="CD227" s="83">
        <f t="shared" si="659"/>
        <v>8469</v>
      </c>
      <c r="CE227" s="83">
        <f t="shared" si="659"/>
        <v>11500</v>
      </c>
      <c r="CF227" s="83">
        <f t="shared" si="659"/>
        <v>11856</v>
      </c>
      <c r="CG227" s="83">
        <f t="shared" si="659"/>
        <v>12854</v>
      </c>
      <c r="CH227" s="83">
        <f t="shared" si="659"/>
        <v>9900</v>
      </c>
      <c r="CI227" s="83">
        <f t="shared" si="659"/>
        <v>10121</v>
      </c>
      <c r="CJ227" s="83">
        <f t="shared" si="659"/>
        <v>10443</v>
      </c>
      <c r="CK227" s="83">
        <f t="shared" si="659"/>
        <v>8578</v>
      </c>
      <c r="CL227" s="83">
        <f t="shared" si="659"/>
        <v>8385</v>
      </c>
      <c r="CM227" s="83">
        <f t="shared" si="659"/>
        <v>9897</v>
      </c>
      <c r="CN227" s="83">
        <f t="shared" si="659"/>
        <v>10918</v>
      </c>
      <c r="CO227" s="83">
        <v>9538</v>
      </c>
      <c r="CP227" s="83">
        <v>9222</v>
      </c>
      <c r="CQ227" s="83">
        <v>10278</v>
      </c>
      <c r="CR227" s="83">
        <v>8879</v>
      </c>
      <c r="CS227" s="83">
        <v>5393</v>
      </c>
      <c r="CT227" s="83"/>
      <c r="CU227" s="83">
        <v>1031</v>
      </c>
      <c r="CV227" s="83">
        <v>4787</v>
      </c>
      <c r="CW227" s="83">
        <v>5995</v>
      </c>
      <c r="CX227" s="83">
        <v>6599</v>
      </c>
      <c r="CY227" s="83">
        <v>7141</v>
      </c>
      <c r="CZ227" s="83">
        <v>9729</v>
      </c>
      <c r="DA227" s="83">
        <v>9664</v>
      </c>
      <c r="DB227" s="83">
        <v>8797</v>
      </c>
      <c r="DC227" s="83">
        <v>9211</v>
      </c>
      <c r="DD227" s="83">
        <v>8817</v>
      </c>
      <c r="DE227" s="83">
        <v>10316</v>
      </c>
      <c r="DF227" s="83">
        <v>4480</v>
      </c>
      <c r="DG227" s="83">
        <v>539</v>
      </c>
      <c r="DH227" s="83">
        <v>3588</v>
      </c>
      <c r="DI227" s="83">
        <v>6707</v>
      </c>
      <c r="DJ227" s="83">
        <v>7495</v>
      </c>
      <c r="DK227" s="83">
        <v>8828</v>
      </c>
      <c r="DL227" s="83">
        <v>9082</v>
      </c>
      <c r="DM227" s="83">
        <v>6312</v>
      </c>
      <c r="DN227" s="83">
        <v>6906</v>
      </c>
      <c r="DO227" s="83">
        <v>6143</v>
      </c>
      <c r="DP227" s="83">
        <v>7670</v>
      </c>
      <c r="DQ227" s="83">
        <v>9077</v>
      </c>
      <c r="DR227" s="83">
        <v>7601</v>
      </c>
      <c r="DS227" s="83">
        <v>7147</v>
      </c>
      <c r="DT227" s="83">
        <v>7050</v>
      </c>
      <c r="DU227" s="83">
        <v>6663</v>
      </c>
      <c r="DV227" s="83">
        <v>7007</v>
      </c>
      <c r="DW227" s="83">
        <v>7977</v>
      </c>
      <c r="DX227" s="83">
        <v>10326</v>
      </c>
      <c r="DY227" s="83">
        <v>8985</v>
      </c>
      <c r="DZ227" s="83">
        <v>7314</v>
      </c>
      <c r="EA227" s="83">
        <v>8346</v>
      </c>
      <c r="EB227" s="83">
        <v>8711</v>
      </c>
      <c r="EC227" s="83">
        <v>10861</v>
      </c>
      <c r="ED227" s="83">
        <v>5367</v>
      </c>
      <c r="EE227" s="83">
        <v>7531</v>
      </c>
      <c r="EF227" s="83">
        <v>8797</v>
      </c>
      <c r="EG227" s="83">
        <v>8836</v>
      </c>
      <c r="EH227" s="83">
        <v>9132</v>
      </c>
      <c r="EI227" s="83">
        <v>10093</v>
      </c>
      <c r="EJ227" s="83">
        <v>11659</v>
      </c>
      <c r="EK227" s="83">
        <v>9281</v>
      </c>
      <c r="EL227" s="83">
        <v>9120</v>
      </c>
      <c r="EM227" s="83">
        <v>10000</v>
      </c>
      <c r="EN227" s="83">
        <v>10013</v>
      </c>
      <c r="EO227" s="83">
        <v>11655</v>
      </c>
      <c r="EP227" s="83">
        <v>8818</v>
      </c>
      <c r="EQ227" s="83">
        <v>8863</v>
      </c>
      <c r="ER227" s="83">
        <v>9166</v>
      </c>
      <c r="ES227" s="83">
        <v>8312</v>
      </c>
      <c r="ET227" s="83">
        <v>8434</v>
      </c>
      <c r="EU227" s="83">
        <v>10910</v>
      </c>
      <c r="EV227" s="83">
        <v>11539</v>
      </c>
      <c r="EW227" s="83">
        <v>9809</v>
      </c>
      <c r="EX227" s="83">
        <v>9083</v>
      </c>
      <c r="EY227" s="83">
        <v>10029</v>
      </c>
      <c r="EZ227" s="83">
        <v>10603</v>
      </c>
      <c r="FA227" s="83">
        <v>11590</v>
      </c>
      <c r="FB227" s="83">
        <v>8135</v>
      </c>
      <c r="FC227" s="83">
        <v>8720</v>
      </c>
      <c r="FD227" s="83">
        <v>9141</v>
      </c>
      <c r="FE227" s="83">
        <v>9194</v>
      </c>
      <c r="FF227" s="83">
        <v>9751</v>
      </c>
      <c r="FG227" s="83">
        <v>10442</v>
      </c>
      <c r="FH227" s="83">
        <v>11863</v>
      </c>
      <c r="FI227" s="83">
        <v>10874</v>
      </c>
      <c r="FJ227" s="83">
        <v>11156</v>
      </c>
      <c r="FK227" s="43"/>
      <c r="FL227" s="43"/>
      <c r="FM227" s="43"/>
      <c r="FN227" s="83">
        <f t="shared" si="562"/>
        <v>21766</v>
      </c>
      <c r="FO227" s="83">
        <f t="shared" si="563"/>
        <v>23811</v>
      </c>
      <c r="FP227" s="83">
        <f t="shared" si="564"/>
        <v>25817</v>
      </c>
      <c r="FQ227" s="83">
        <f t="shared" si="565"/>
        <v>25772</v>
      </c>
      <c r="FR227" s="83">
        <f t="shared" si="566"/>
        <v>21299</v>
      </c>
      <c r="FS227" s="83">
        <f t="shared" si="567"/>
        <v>21583</v>
      </c>
      <c r="FT227" s="83">
        <f t="shared" si="568"/>
        <v>25395</v>
      </c>
      <c r="FU227" s="83">
        <f t="shared" si="569"/>
        <v>26434</v>
      </c>
      <c r="FV227" s="83">
        <f t="shared" si="570"/>
        <v>22475</v>
      </c>
      <c r="FW227" s="83">
        <f t="shared" si="571"/>
        <v>24893</v>
      </c>
      <c r="FX227" s="83">
        <f t="shared" si="572"/>
        <v>26112</v>
      </c>
      <c r="FY227" s="83">
        <f t="shared" si="573"/>
        <v>25842</v>
      </c>
      <c r="FZ227" s="83">
        <f t="shared" si="574"/>
        <v>22115</v>
      </c>
      <c r="GA227" s="83">
        <f t="shared" si="575"/>
        <v>21349</v>
      </c>
      <c r="GB227" s="83">
        <f t="shared" si="576"/>
        <v>25817</v>
      </c>
      <c r="GC227" s="83">
        <f t="shared" si="577"/>
        <v>27720</v>
      </c>
      <c r="GD227" s="83">
        <f t="shared" si="578"/>
        <v>24569</v>
      </c>
      <c r="GE227" s="83">
        <f t="shared" si="579"/>
        <v>26884</v>
      </c>
      <c r="GF227" s="83">
        <f t="shared" si="580"/>
        <v>27665</v>
      </c>
      <c r="GG227" s="83">
        <f t="shared" si="581"/>
        <v>30501</v>
      </c>
      <c r="GH227" s="83">
        <f t="shared" si="582"/>
        <v>25474</v>
      </c>
      <c r="GI227" s="83">
        <f t="shared" si="583"/>
        <v>28830</v>
      </c>
      <c r="GJ227" s="83">
        <f t="shared" si="584"/>
        <v>29937</v>
      </c>
      <c r="GK227" s="83">
        <f t="shared" si="585"/>
        <v>34034</v>
      </c>
      <c r="GL227" s="83">
        <f t="shared" si="586"/>
        <v>30912</v>
      </c>
      <c r="GM227" s="83">
        <f t="shared" si="587"/>
        <v>31385</v>
      </c>
      <c r="GN227" s="83">
        <f t="shared" si="588"/>
        <v>30089</v>
      </c>
      <c r="GO227" s="83">
        <f t="shared" si="589"/>
        <v>36210</v>
      </c>
      <c r="GP227" s="83">
        <f t="shared" si="590"/>
        <v>30464</v>
      </c>
      <c r="GQ227" s="83">
        <f t="shared" si="591"/>
        <v>26860</v>
      </c>
      <c r="GR227" s="83">
        <f t="shared" si="592"/>
        <v>29678</v>
      </c>
      <c r="GS227" s="83">
        <f t="shared" si="593"/>
        <v>24550</v>
      </c>
      <c r="GT227" s="83">
        <f t="shared" si="594"/>
        <v>5818</v>
      </c>
      <c r="GU227" s="83">
        <f t="shared" si="595"/>
        <v>19735</v>
      </c>
      <c r="GV227" s="83">
        <f t="shared" si="596"/>
        <v>28190</v>
      </c>
      <c r="GW227" s="83">
        <f t="shared" si="597"/>
        <v>28344</v>
      </c>
      <c r="GX227" s="83">
        <f t="shared" si="598"/>
        <v>8607</v>
      </c>
      <c r="GY227" s="83">
        <f t="shared" si="599"/>
        <v>23030</v>
      </c>
      <c r="GZ227" s="83">
        <f t="shared" si="600"/>
        <v>22300</v>
      </c>
      <c r="HA227" s="83">
        <f t="shared" si="601"/>
        <v>22890</v>
      </c>
      <c r="HB227" s="83">
        <f t="shared" si="602"/>
        <v>21798</v>
      </c>
      <c r="HC227" s="83">
        <f t="shared" si="603"/>
        <v>21647</v>
      </c>
      <c r="HD227" s="83">
        <f t="shared" si="604"/>
        <v>26625</v>
      </c>
      <c r="HE227" s="83">
        <f t="shared" si="605"/>
        <v>27918</v>
      </c>
      <c r="HF227" s="83">
        <f t="shared" si="606"/>
        <v>21695</v>
      </c>
      <c r="HG227" s="83">
        <f t="shared" si="607"/>
        <v>28061</v>
      </c>
      <c r="HH227" s="83">
        <f t="shared" si="608"/>
        <v>30060</v>
      </c>
      <c r="HI227" s="83">
        <f t="shared" si="609"/>
        <v>31668</v>
      </c>
      <c r="HJ227" s="84">
        <f t="shared" si="610"/>
        <v>26847</v>
      </c>
      <c r="HK227" s="84">
        <f t="shared" si="611"/>
        <v>27656</v>
      </c>
      <c r="HL227" s="84">
        <f t="shared" si="612"/>
        <v>30431</v>
      </c>
      <c r="HM227" s="84">
        <f t="shared" si="613"/>
        <v>32222</v>
      </c>
      <c r="HN227" s="84">
        <f t="shared" si="638"/>
        <v>25996</v>
      </c>
      <c r="HO227" s="84">
        <f t="shared" si="639"/>
        <v>29387</v>
      </c>
      <c r="HP227" s="84">
        <f t="shared" si="640"/>
        <v>33893</v>
      </c>
      <c r="HQ227" s="77"/>
      <c r="HR227" s="43"/>
      <c r="HS227" s="43"/>
      <c r="HT227" s="43"/>
      <c r="HU227" s="216">
        <f>SUM(B227:M227)</f>
        <v>97166</v>
      </c>
      <c r="HV227" s="216">
        <f>SUM(N227:Y227)</f>
        <v>94711</v>
      </c>
      <c r="HW227" s="261">
        <f>SUM(Z227:AK227)</f>
        <v>99322</v>
      </c>
      <c r="HX227" s="262">
        <f>SUM(AL227:AW227)</f>
        <v>97001</v>
      </c>
      <c r="HY227" s="83">
        <f>SUM(AX227:BI227)</f>
        <v>109619</v>
      </c>
      <c r="HZ227" s="83">
        <f>SUM(BJ227:BU227)</f>
        <v>118275</v>
      </c>
      <c r="IA227" s="83">
        <f>SUM(BV227:CG227)</f>
        <v>128596</v>
      </c>
      <c r="IB227" s="84">
        <f>SUM(CH227:CS227)</f>
        <v>111552</v>
      </c>
      <c r="IC227" s="84">
        <f>SUM(CT227:DE227)</f>
        <v>82087</v>
      </c>
      <c r="ID227" s="84">
        <f t="shared" si="641"/>
        <v>76827</v>
      </c>
      <c r="IE227" s="84">
        <f t="shared" si="642"/>
        <v>97988</v>
      </c>
      <c r="IF227" s="84">
        <f t="shared" si="643"/>
        <v>111484</v>
      </c>
      <c r="IG227" s="84">
        <f t="shared" si="644"/>
        <v>117156</v>
      </c>
    </row>
    <row r="228" spans="1:241" outlineLevel="1" x14ac:dyDescent="0.3">
      <c r="A228" s="263" t="s">
        <v>190</v>
      </c>
      <c r="FN228" s="151"/>
      <c r="FO228" s="152"/>
      <c r="FP228" s="152"/>
      <c r="FQ228" s="152"/>
      <c r="FR228" s="152"/>
      <c r="FS228" s="152"/>
      <c r="FT228" s="152"/>
      <c r="FU228" s="152"/>
      <c r="FV228" s="152"/>
      <c r="FW228" s="152"/>
      <c r="FX228" s="152"/>
      <c r="FY228" s="152"/>
      <c r="FZ228" s="152"/>
      <c r="GA228" s="152"/>
      <c r="GB228" s="152"/>
      <c r="GC228" s="152"/>
      <c r="GD228" s="152"/>
      <c r="GE228" s="152"/>
      <c r="GF228" s="152"/>
      <c r="GG228" s="152"/>
      <c r="GH228" s="152"/>
      <c r="GI228" s="152"/>
      <c r="GJ228" s="152"/>
      <c r="GK228" s="152"/>
      <c r="GL228" s="152"/>
      <c r="GM228" s="152"/>
      <c r="GN228" s="152"/>
      <c r="GO228" s="152"/>
      <c r="GP228" s="152"/>
      <c r="GQ228" s="152"/>
      <c r="GR228" s="152"/>
      <c r="GS228" s="152"/>
      <c r="GT228" s="152"/>
      <c r="GU228" s="152"/>
      <c r="GV228" s="152"/>
      <c r="GW228" s="152"/>
      <c r="GX228" s="152"/>
      <c r="GY228" s="152"/>
      <c r="GZ228" s="152"/>
      <c r="HA228" s="152"/>
      <c r="HB228" s="152"/>
      <c r="HC228" s="152"/>
      <c r="HD228" s="152"/>
      <c r="HE228" s="152"/>
      <c r="HF228" s="152"/>
      <c r="HG228" s="152"/>
      <c r="HH228" s="152"/>
      <c r="HI228" s="152"/>
      <c r="HJ228" s="153"/>
      <c r="HK228" s="153"/>
      <c r="HL228" s="153"/>
      <c r="HM228" s="153"/>
      <c r="HN228" s="153"/>
      <c r="HO228" s="153"/>
      <c r="HP228" s="153"/>
      <c r="HQ228" s="101"/>
      <c r="HU228" s="155"/>
      <c r="HV228" s="155"/>
      <c r="HW228" s="155"/>
      <c r="HX228" s="156"/>
      <c r="HY228" s="146"/>
      <c r="HZ228" s="146"/>
      <c r="IA228" s="146"/>
      <c r="IB228" s="157"/>
      <c r="IC228" s="157"/>
      <c r="ID228" s="157"/>
      <c r="IE228" s="157"/>
      <c r="IF228" s="157"/>
      <c r="IG228" s="157"/>
    </row>
    <row r="229" spans="1:241" outlineLevel="1" x14ac:dyDescent="0.3">
      <c r="FN229" s="151"/>
      <c r="FO229" s="152"/>
      <c r="FP229" s="152"/>
      <c r="FQ229" s="152"/>
      <c r="FR229" s="152"/>
      <c r="FS229" s="152"/>
      <c r="FT229" s="152"/>
      <c r="FU229" s="152"/>
      <c r="FV229" s="152"/>
      <c r="FW229" s="152"/>
      <c r="FX229" s="152"/>
      <c r="FY229" s="152"/>
      <c r="FZ229" s="152"/>
      <c r="GA229" s="152"/>
      <c r="GB229" s="152"/>
      <c r="GC229" s="152"/>
      <c r="GD229" s="152"/>
      <c r="GE229" s="152"/>
      <c r="GF229" s="152"/>
      <c r="GG229" s="152"/>
      <c r="GH229" s="152"/>
      <c r="GI229" s="152"/>
      <c r="GJ229" s="152"/>
      <c r="GK229" s="152"/>
      <c r="GL229" s="152"/>
      <c r="GM229" s="152"/>
      <c r="GN229" s="152"/>
      <c r="GO229" s="152"/>
      <c r="GP229" s="152"/>
      <c r="GQ229" s="152"/>
      <c r="GR229" s="152"/>
      <c r="GS229" s="152"/>
      <c r="GT229" s="152"/>
      <c r="GU229" s="152"/>
      <c r="GV229" s="152"/>
      <c r="GW229" s="152"/>
      <c r="GX229" s="152"/>
      <c r="GY229" s="152"/>
      <c r="GZ229" s="152"/>
      <c r="HA229" s="152"/>
      <c r="HB229" s="152"/>
      <c r="HC229" s="152"/>
      <c r="HD229" s="152"/>
      <c r="HE229" s="152"/>
      <c r="HF229" s="152"/>
      <c r="HG229" s="152"/>
      <c r="HH229" s="152"/>
      <c r="HI229" s="152"/>
      <c r="HJ229" s="153"/>
      <c r="HK229" s="153"/>
      <c r="HL229" s="153"/>
      <c r="HM229" s="153"/>
      <c r="HN229" s="153"/>
      <c r="HO229" s="153"/>
      <c r="HP229" s="153"/>
      <c r="HQ229" s="101"/>
      <c r="HU229" s="155"/>
      <c r="HV229" s="155"/>
      <c r="HW229" s="155"/>
      <c r="HX229" s="156"/>
      <c r="HY229" s="146"/>
      <c r="HZ229" s="146"/>
      <c r="IA229" s="146"/>
      <c r="IB229" s="157"/>
      <c r="IC229" s="157"/>
      <c r="ID229" s="157"/>
      <c r="IE229" s="157"/>
      <c r="IF229" s="157"/>
      <c r="IG229" s="157"/>
    </row>
    <row r="230" spans="1:241" outlineLevel="1" x14ac:dyDescent="0.3">
      <c r="A230" s="138" t="s">
        <v>193</v>
      </c>
      <c r="FN230" s="151"/>
      <c r="FO230" s="152"/>
      <c r="FP230" s="152"/>
      <c r="FQ230" s="152"/>
      <c r="FR230" s="152"/>
      <c r="FS230" s="152"/>
      <c r="FT230" s="152"/>
      <c r="FU230" s="152"/>
      <c r="FV230" s="152"/>
      <c r="FW230" s="152"/>
      <c r="FX230" s="152"/>
      <c r="FY230" s="152"/>
      <c r="FZ230" s="152"/>
      <c r="GA230" s="152"/>
      <c r="GB230" s="152"/>
      <c r="GC230" s="152"/>
      <c r="GD230" s="152"/>
      <c r="GE230" s="152"/>
      <c r="GF230" s="152"/>
      <c r="GG230" s="152"/>
      <c r="GH230" s="152"/>
      <c r="GI230" s="152"/>
      <c r="GJ230" s="152"/>
      <c r="GK230" s="152"/>
      <c r="GL230" s="152"/>
      <c r="GM230" s="152"/>
      <c r="GN230" s="152"/>
      <c r="GO230" s="152"/>
      <c r="GP230" s="152"/>
      <c r="GQ230" s="152"/>
      <c r="GR230" s="152"/>
      <c r="GS230" s="152"/>
      <c r="GT230" s="152"/>
      <c r="GU230" s="152"/>
      <c r="GV230" s="152"/>
      <c r="GW230" s="152"/>
      <c r="GX230" s="152"/>
      <c r="GY230" s="152"/>
      <c r="GZ230" s="152"/>
      <c r="HA230" s="152"/>
      <c r="HB230" s="152"/>
      <c r="HC230" s="152"/>
      <c r="HD230" s="152"/>
      <c r="HE230" s="152"/>
      <c r="HF230" s="152"/>
      <c r="HG230" s="152"/>
      <c r="HH230" s="152"/>
      <c r="HI230" s="152"/>
      <c r="HJ230" s="153"/>
      <c r="HK230" s="153"/>
      <c r="HL230" s="153"/>
      <c r="HM230" s="153"/>
      <c r="HN230" s="153"/>
      <c r="HO230" s="153"/>
      <c r="HP230" s="153"/>
      <c r="HQ230" s="101"/>
      <c r="HU230" s="155"/>
      <c r="HV230" s="155"/>
      <c r="HW230" s="155"/>
      <c r="HX230" s="156"/>
      <c r="HY230" s="146"/>
      <c r="HZ230" s="146"/>
      <c r="IA230" s="146"/>
      <c r="IB230" s="157"/>
      <c r="IC230" s="157"/>
      <c r="ID230" s="157"/>
      <c r="IE230" s="157"/>
      <c r="IF230" s="157"/>
      <c r="IG230" s="157"/>
    </row>
    <row r="231" spans="1:241" outlineLevel="2" x14ac:dyDescent="0.3">
      <c r="A231" s="259" t="s">
        <v>184</v>
      </c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>
        <v>0</v>
      </c>
      <c r="O231" s="43">
        <v>40</v>
      </c>
      <c r="P231" s="43">
        <v>65</v>
      </c>
      <c r="Q231" s="43">
        <v>50</v>
      </c>
      <c r="R231" s="43">
        <v>0</v>
      </c>
      <c r="S231" s="43">
        <v>40</v>
      </c>
      <c r="T231" s="43">
        <v>40</v>
      </c>
      <c r="U231" s="43">
        <v>60</v>
      </c>
      <c r="V231" s="43">
        <v>23</v>
      </c>
      <c r="W231" s="43">
        <v>0</v>
      </c>
      <c r="X231" s="43">
        <v>140</v>
      </c>
      <c r="Y231" s="43">
        <v>60</v>
      </c>
      <c r="Z231" s="43">
        <v>100</v>
      </c>
      <c r="AA231" s="43">
        <v>80</v>
      </c>
      <c r="AB231" s="43">
        <v>136</v>
      </c>
      <c r="AC231" s="43">
        <v>0</v>
      </c>
      <c r="AD231" s="43">
        <v>40</v>
      </c>
      <c r="AE231" s="43">
        <v>14</v>
      </c>
      <c r="AF231" s="43">
        <v>278</v>
      </c>
      <c r="AG231" s="43">
        <v>130</v>
      </c>
      <c r="AH231" s="43">
        <v>163</v>
      </c>
      <c r="AI231" s="43">
        <v>159</v>
      </c>
      <c r="AJ231" s="43">
        <v>162</v>
      </c>
      <c r="AK231" s="43">
        <v>69</v>
      </c>
      <c r="AL231" s="43">
        <v>110</v>
      </c>
      <c r="AM231" s="43">
        <v>269</v>
      </c>
      <c r="AN231" s="43">
        <v>120</v>
      </c>
      <c r="AO231" s="43">
        <v>150</v>
      </c>
      <c r="AP231" s="43">
        <v>261</v>
      </c>
      <c r="AQ231" s="43">
        <v>83</v>
      </c>
      <c r="AR231" s="43">
        <v>39</v>
      </c>
      <c r="AS231" s="43">
        <v>0</v>
      </c>
      <c r="AT231" s="43">
        <v>41</v>
      </c>
      <c r="AU231" s="43"/>
      <c r="AV231" s="43">
        <v>137</v>
      </c>
      <c r="AW231" s="43">
        <v>123</v>
      </c>
      <c r="AX231" s="43">
        <v>124</v>
      </c>
      <c r="AY231" s="43">
        <v>139</v>
      </c>
      <c r="AZ231" s="43">
        <v>50</v>
      </c>
      <c r="BA231" s="43">
        <v>129</v>
      </c>
      <c r="BB231" s="43">
        <v>171</v>
      </c>
      <c r="BC231" s="43">
        <v>151</v>
      </c>
      <c r="BD231" s="43">
        <v>357</v>
      </c>
      <c r="BE231" s="43">
        <v>132</v>
      </c>
      <c r="BF231" s="43">
        <v>404</v>
      </c>
      <c r="BG231" s="43">
        <v>186</v>
      </c>
      <c r="BH231" s="43">
        <v>21</v>
      </c>
      <c r="BI231" s="43">
        <v>189</v>
      </c>
      <c r="BJ231" s="43">
        <v>283</v>
      </c>
      <c r="BK231" s="43">
        <v>103</v>
      </c>
      <c r="BL231" s="43">
        <v>267</v>
      </c>
      <c r="BM231" s="43">
        <v>165</v>
      </c>
      <c r="BN231" s="43">
        <v>131</v>
      </c>
      <c r="BO231" s="43">
        <v>338</v>
      </c>
      <c r="BP231" s="43">
        <v>305</v>
      </c>
      <c r="BQ231" s="43">
        <v>150</v>
      </c>
      <c r="BR231" s="43">
        <v>248</v>
      </c>
      <c r="BS231" s="43">
        <v>320</v>
      </c>
      <c r="BT231" s="43">
        <v>274</v>
      </c>
      <c r="BU231" s="43">
        <v>278</v>
      </c>
      <c r="BV231" s="43">
        <v>332</v>
      </c>
      <c r="BW231" s="43">
        <v>501</v>
      </c>
      <c r="BX231" s="43">
        <v>502</v>
      </c>
      <c r="BY231" s="43">
        <v>472</v>
      </c>
      <c r="BZ231" s="43">
        <v>388</v>
      </c>
      <c r="CA231" s="43">
        <v>446</v>
      </c>
      <c r="CB231" s="43">
        <f>431</f>
        <v>431</v>
      </c>
      <c r="CC231" s="43">
        <v>388</v>
      </c>
      <c r="CD231" s="43">
        <v>315</v>
      </c>
      <c r="CE231" s="43">
        <v>223</v>
      </c>
      <c r="CF231" s="43">
        <v>504</v>
      </c>
      <c r="CG231" s="43">
        <v>442</v>
      </c>
      <c r="CH231" s="43">
        <v>512</v>
      </c>
      <c r="CI231" s="43">
        <v>181</v>
      </c>
      <c r="CJ231" s="43">
        <v>397</v>
      </c>
      <c r="CK231" s="43">
        <v>219</v>
      </c>
      <c r="CL231" s="43">
        <v>93</v>
      </c>
      <c r="CM231" s="43">
        <v>533</v>
      </c>
      <c r="CN231" s="43">
        <v>221</v>
      </c>
      <c r="CO231" s="43">
        <v>366</v>
      </c>
      <c r="CP231" s="43">
        <v>186</v>
      </c>
      <c r="CQ231" s="43">
        <v>285</v>
      </c>
      <c r="CR231" s="43">
        <v>84</v>
      </c>
      <c r="CS231" s="43">
        <v>105</v>
      </c>
      <c r="CT231" s="43"/>
      <c r="CU231" s="43">
        <v>204</v>
      </c>
      <c r="CV231" s="43">
        <v>21</v>
      </c>
      <c r="CW231" s="43">
        <v>127</v>
      </c>
      <c r="CX231" s="43">
        <v>75</v>
      </c>
      <c r="CY231" s="43">
        <v>82</v>
      </c>
      <c r="CZ231" s="43">
        <v>101</v>
      </c>
      <c r="DA231" s="43">
        <v>77</v>
      </c>
      <c r="DB231" s="43">
        <v>17</v>
      </c>
      <c r="DC231" s="43">
        <v>18</v>
      </c>
      <c r="DD231" s="43">
        <v>104</v>
      </c>
      <c r="DE231" s="43">
        <v>41</v>
      </c>
      <c r="DF231" s="43">
        <v>38</v>
      </c>
      <c r="DG231" s="43">
        <v>0</v>
      </c>
      <c r="DH231" s="43">
        <v>0</v>
      </c>
      <c r="DI231" s="43">
        <v>166</v>
      </c>
      <c r="DJ231" s="43">
        <v>171</v>
      </c>
      <c r="DK231" s="43">
        <v>145</v>
      </c>
      <c r="DL231" s="43">
        <v>164</v>
      </c>
      <c r="DM231" s="43">
        <v>193</v>
      </c>
      <c r="DN231" s="43">
        <v>75</v>
      </c>
      <c r="DO231" s="43">
        <v>246</v>
      </c>
      <c r="DP231" s="43">
        <v>140</v>
      </c>
      <c r="DQ231" s="43">
        <v>129</v>
      </c>
      <c r="DR231" s="43">
        <v>245</v>
      </c>
      <c r="DS231" s="43">
        <v>323</v>
      </c>
      <c r="DT231" s="43">
        <v>186</v>
      </c>
      <c r="DU231" s="43">
        <v>159</v>
      </c>
      <c r="DV231" s="43">
        <v>292</v>
      </c>
      <c r="DW231" s="43">
        <v>104</v>
      </c>
      <c r="DX231" s="43">
        <v>233</v>
      </c>
      <c r="DY231" s="43">
        <v>246</v>
      </c>
      <c r="DZ231" s="43">
        <v>146</v>
      </c>
      <c r="EA231" s="43">
        <v>161</v>
      </c>
      <c r="EB231" s="43">
        <v>184</v>
      </c>
      <c r="EC231" s="43">
        <v>141</v>
      </c>
      <c r="ED231" s="43">
        <v>129</v>
      </c>
      <c r="EE231" s="43">
        <v>323</v>
      </c>
      <c r="EF231" s="43">
        <v>42</v>
      </c>
      <c r="EG231" s="43">
        <v>193</v>
      </c>
      <c r="EH231" s="43">
        <v>287</v>
      </c>
      <c r="EI231" s="43">
        <v>62</v>
      </c>
      <c r="EJ231" s="43">
        <v>309</v>
      </c>
      <c r="EK231" s="43">
        <v>143</v>
      </c>
      <c r="EL231" s="43">
        <v>270</v>
      </c>
      <c r="EM231" s="43">
        <v>125</v>
      </c>
      <c r="EN231" s="43">
        <v>172</v>
      </c>
      <c r="EO231" s="43">
        <v>242</v>
      </c>
      <c r="EP231" s="43">
        <v>42</v>
      </c>
      <c r="EQ231" s="43">
        <v>231</v>
      </c>
      <c r="ER231" s="43">
        <v>114</v>
      </c>
      <c r="ES231" s="43">
        <v>316</v>
      </c>
      <c r="ET231" s="43">
        <v>101</v>
      </c>
      <c r="EU231" s="43">
        <v>285</v>
      </c>
      <c r="EV231" s="43">
        <v>490</v>
      </c>
      <c r="EW231" s="43">
        <v>279</v>
      </c>
      <c r="EX231" s="43">
        <v>60</v>
      </c>
      <c r="EY231" s="43">
        <v>394</v>
      </c>
      <c r="EZ231" s="43">
        <v>512</v>
      </c>
      <c r="FA231" s="43">
        <v>302</v>
      </c>
      <c r="FB231" s="43">
        <v>257</v>
      </c>
      <c r="FC231" s="43">
        <v>145</v>
      </c>
      <c r="FD231" s="43">
        <v>183</v>
      </c>
      <c r="FE231" s="43">
        <v>203</v>
      </c>
      <c r="FF231" s="43">
        <v>411</v>
      </c>
      <c r="FG231" s="43">
        <v>532</v>
      </c>
      <c r="FH231" s="43">
        <v>456</v>
      </c>
      <c r="FI231" s="43">
        <v>575</v>
      </c>
      <c r="FJ231" s="43">
        <v>649</v>
      </c>
      <c r="FK231" s="43"/>
      <c r="FL231" s="43"/>
      <c r="FM231" s="43"/>
      <c r="FN231" s="66">
        <f t="shared" si="562"/>
        <v>0</v>
      </c>
      <c r="FO231" s="67">
        <f t="shared" si="563"/>
        <v>0</v>
      </c>
      <c r="FP231" s="67">
        <f t="shared" si="564"/>
        <v>0</v>
      </c>
      <c r="FQ231" s="67">
        <f t="shared" si="565"/>
        <v>0</v>
      </c>
      <c r="FR231" s="67">
        <f t="shared" si="566"/>
        <v>105</v>
      </c>
      <c r="FS231" s="67">
        <f t="shared" si="567"/>
        <v>90</v>
      </c>
      <c r="FT231" s="67">
        <f t="shared" si="568"/>
        <v>123</v>
      </c>
      <c r="FU231" s="67">
        <f t="shared" si="569"/>
        <v>200</v>
      </c>
      <c r="FV231" s="67">
        <f t="shared" si="570"/>
        <v>316</v>
      </c>
      <c r="FW231" s="67">
        <f t="shared" si="571"/>
        <v>54</v>
      </c>
      <c r="FX231" s="67">
        <f t="shared" si="572"/>
        <v>571</v>
      </c>
      <c r="FY231" s="67">
        <f t="shared" si="573"/>
        <v>390</v>
      </c>
      <c r="FZ231" s="67">
        <f t="shared" si="574"/>
        <v>499</v>
      </c>
      <c r="GA231" s="67">
        <f t="shared" si="575"/>
        <v>494</v>
      </c>
      <c r="GB231" s="67">
        <f t="shared" si="576"/>
        <v>80</v>
      </c>
      <c r="GC231" s="67">
        <f t="shared" si="577"/>
        <v>260</v>
      </c>
      <c r="GD231" s="67">
        <f t="shared" si="578"/>
        <v>313</v>
      </c>
      <c r="GE231" s="67">
        <f t="shared" si="579"/>
        <v>451</v>
      </c>
      <c r="GF231" s="67">
        <f t="shared" si="580"/>
        <v>893</v>
      </c>
      <c r="GG231" s="67">
        <f t="shared" si="581"/>
        <v>396</v>
      </c>
      <c r="GH231" s="67">
        <f t="shared" si="582"/>
        <v>653</v>
      </c>
      <c r="GI231" s="67">
        <f t="shared" si="583"/>
        <v>634</v>
      </c>
      <c r="GJ231" s="67">
        <f t="shared" si="584"/>
        <v>703</v>
      </c>
      <c r="GK231" s="67">
        <f t="shared" si="585"/>
        <v>872</v>
      </c>
      <c r="GL231" s="67">
        <f t="shared" si="586"/>
        <v>1335</v>
      </c>
      <c r="GM231" s="67">
        <f t="shared" si="587"/>
        <v>1306</v>
      </c>
      <c r="GN231" s="67">
        <f t="shared" si="588"/>
        <v>1134</v>
      </c>
      <c r="GO231" s="67">
        <f t="shared" si="589"/>
        <v>1169</v>
      </c>
      <c r="GP231" s="67">
        <f t="shared" si="590"/>
        <v>1090</v>
      </c>
      <c r="GQ231" s="67">
        <f t="shared" si="591"/>
        <v>845</v>
      </c>
      <c r="GR231" s="67">
        <f t="shared" si="592"/>
        <v>773</v>
      </c>
      <c r="GS231" s="67">
        <f t="shared" si="593"/>
        <v>474</v>
      </c>
      <c r="GT231" s="67">
        <f t="shared" si="594"/>
        <v>225</v>
      </c>
      <c r="GU231" s="67">
        <f t="shared" si="595"/>
        <v>284</v>
      </c>
      <c r="GV231" s="67">
        <f t="shared" si="596"/>
        <v>195</v>
      </c>
      <c r="GW231" s="67">
        <f t="shared" si="597"/>
        <v>163</v>
      </c>
      <c r="GX231" s="67">
        <f t="shared" si="598"/>
        <v>38</v>
      </c>
      <c r="GY231" s="67">
        <f t="shared" si="599"/>
        <v>482</v>
      </c>
      <c r="GZ231" s="67">
        <f t="shared" si="600"/>
        <v>432</v>
      </c>
      <c r="HA231" s="67">
        <f t="shared" si="601"/>
        <v>515</v>
      </c>
      <c r="HB231" s="67">
        <f t="shared" si="602"/>
        <v>754</v>
      </c>
      <c r="HC231" s="67">
        <f t="shared" si="603"/>
        <v>555</v>
      </c>
      <c r="HD231" s="67">
        <f t="shared" si="604"/>
        <v>625</v>
      </c>
      <c r="HE231" s="67">
        <f t="shared" si="605"/>
        <v>486</v>
      </c>
      <c r="HF231" s="67">
        <f t="shared" si="606"/>
        <v>494</v>
      </c>
      <c r="HG231" s="67">
        <f t="shared" si="607"/>
        <v>542</v>
      </c>
      <c r="HH231" s="67">
        <f t="shared" si="608"/>
        <v>722</v>
      </c>
      <c r="HI231" s="67">
        <f t="shared" si="609"/>
        <v>539</v>
      </c>
      <c r="HJ231" s="210">
        <f t="shared" si="610"/>
        <v>387</v>
      </c>
      <c r="HK231" s="210">
        <f t="shared" si="611"/>
        <v>702</v>
      </c>
      <c r="HL231" s="210">
        <f t="shared" si="612"/>
        <v>829</v>
      </c>
      <c r="HM231" s="210">
        <f t="shared" si="613"/>
        <v>1208</v>
      </c>
      <c r="HN231" s="210">
        <f t="shared" ref="HN231:HN240" si="660">SUM(FB231:FD231)</f>
        <v>585</v>
      </c>
      <c r="HO231" s="210">
        <f t="shared" ref="HO231:HO240" si="661">SUM(FE231:FG231)</f>
        <v>1146</v>
      </c>
      <c r="HP231" s="210">
        <f t="shared" ref="HP231:HP240" si="662">SUM(FH231:FJ231)</f>
        <v>1680</v>
      </c>
      <c r="HQ231" s="60"/>
      <c r="HR231" s="43"/>
      <c r="HS231" s="43"/>
      <c r="HT231" s="43"/>
      <c r="HU231" s="211">
        <f>SUM(B231:M231)</f>
        <v>0</v>
      </c>
      <c r="HV231" s="211">
        <f>SUM(N231:Y231)</f>
        <v>518</v>
      </c>
      <c r="HW231" s="211">
        <f>SUM(Z231:AK231)</f>
        <v>1331</v>
      </c>
      <c r="HX231" s="212">
        <f>SUM(AL231:AW231)</f>
        <v>1333</v>
      </c>
      <c r="HY231" s="58">
        <f>SUM(AX231:BI231)</f>
        <v>2053</v>
      </c>
      <c r="HZ231" s="58">
        <f>SUM(BJ231:BU231)</f>
        <v>2862</v>
      </c>
      <c r="IA231" s="58">
        <f>SUM(BV231:CG231)</f>
        <v>4944</v>
      </c>
      <c r="IB231" s="64">
        <f>SUM(CH231:CS231)</f>
        <v>3182</v>
      </c>
      <c r="IC231" s="64">
        <f>SUM(CT231:DE231)</f>
        <v>867</v>
      </c>
      <c r="ID231" s="64">
        <f t="shared" ref="ID231:ID240" si="663">SUM(DF231:DQ231)</f>
        <v>1467</v>
      </c>
      <c r="IE231" s="64">
        <f t="shared" ref="IE231:IE240" si="664">SUM(DR231:EC231)</f>
        <v>2420</v>
      </c>
      <c r="IF231" s="64">
        <f t="shared" ref="IF231:IF240" si="665">SUM(ED231:EO231)</f>
        <v>2297</v>
      </c>
      <c r="IG231" s="64">
        <f t="shared" ref="IG231:IG240" si="666">SUM(EP231:FA231)</f>
        <v>3126</v>
      </c>
    </row>
    <row r="232" spans="1:241" outlineLevel="2" x14ac:dyDescent="0.3">
      <c r="A232" s="260" t="s">
        <v>116</v>
      </c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>
        <v>29340</v>
      </c>
      <c r="O232" s="43">
        <v>19184</v>
      </c>
      <c r="P232" s="43">
        <v>25543</v>
      </c>
      <c r="Q232" s="43">
        <v>16368</v>
      </c>
      <c r="R232" s="43">
        <v>16566</v>
      </c>
      <c r="S232" s="43">
        <v>25278</v>
      </c>
      <c r="T232" s="43">
        <v>18697</v>
      </c>
      <c r="U232" s="43">
        <v>17644</v>
      </c>
      <c r="V232" s="43">
        <v>25675</v>
      </c>
      <c r="W232" s="43">
        <v>24123</v>
      </c>
      <c r="X232" s="43">
        <v>24870</v>
      </c>
      <c r="Y232" s="43">
        <v>17474</v>
      </c>
      <c r="Z232" s="43">
        <v>17952</v>
      </c>
      <c r="AA232" s="43">
        <v>19436</v>
      </c>
      <c r="AB232" s="43">
        <v>20562</v>
      </c>
      <c r="AC232" s="43">
        <v>26967</v>
      </c>
      <c r="AD232" s="43">
        <v>28172</v>
      </c>
      <c r="AE232" s="43">
        <v>26452</v>
      </c>
      <c r="AF232" s="43">
        <v>25905</v>
      </c>
      <c r="AG232" s="43">
        <v>31434</v>
      </c>
      <c r="AH232" s="43">
        <v>26820</v>
      </c>
      <c r="AI232" s="43">
        <v>24974</v>
      </c>
      <c r="AJ232" s="43">
        <v>12672</v>
      </c>
      <c r="AK232" s="43">
        <v>23426</v>
      </c>
      <c r="AL232" s="43">
        <v>36361</v>
      </c>
      <c r="AM232" s="43">
        <v>27630</v>
      </c>
      <c r="AN232" s="43">
        <v>23088</v>
      </c>
      <c r="AO232" s="43">
        <v>25928</v>
      </c>
      <c r="AP232" s="43">
        <v>29170</v>
      </c>
      <c r="AQ232" s="43">
        <v>31284</v>
      </c>
      <c r="AR232" s="43">
        <v>20918</v>
      </c>
      <c r="AS232" s="43">
        <v>19026</v>
      </c>
      <c r="AT232" s="43">
        <v>18003</v>
      </c>
      <c r="AU232" s="43">
        <v>19894</v>
      </c>
      <c r="AV232" s="43">
        <v>14770</v>
      </c>
      <c r="AW232" s="43">
        <v>13928</v>
      </c>
      <c r="AX232" s="43">
        <v>12298</v>
      </c>
      <c r="AY232" s="43">
        <v>15378</v>
      </c>
      <c r="AZ232" s="43">
        <v>18423</v>
      </c>
      <c r="BA232" s="43">
        <v>20392</v>
      </c>
      <c r="BB232" s="43">
        <v>19729</v>
      </c>
      <c r="BC232" s="43">
        <v>19613</v>
      </c>
      <c r="BD232" s="43">
        <v>22387</v>
      </c>
      <c r="BE232" s="43">
        <v>17285</v>
      </c>
      <c r="BF232" s="43">
        <v>9088</v>
      </c>
      <c r="BG232" s="43">
        <v>14664</v>
      </c>
      <c r="BH232" s="43">
        <v>11665</v>
      </c>
      <c r="BI232" s="43">
        <v>10028</v>
      </c>
      <c r="BJ232" s="43">
        <v>19749</v>
      </c>
      <c r="BK232" s="43">
        <v>18925</v>
      </c>
      <c r="BL232" s="43">
        <v>21197</v>
      </c>
      <c r="BM232" s="43">
        <v>20649</v>
      </c>
      <c r="BN232" s="43">
        <v>22025</v>
      </c>
      <c r="BO232" s="43">
        <v>24489</v>
      </c>
      <c r="BP232" s="43">
        <v>20761</v>
      </c>
      <c r="BQ232" s="43">
        <v>24541</v>
      </c>
      <c r="BR232" s="43">
        <v>27130</v>
      </c>
      <c r="BS232" s="43">
        <v>24963</v>
      </c>
      <c r="BT232" s="43">
        <v>21711</v>
      </c>
      <c r="BU232" s="43">
        <v>19612</v>
      </c>
      <c r="BV232" s="43">
        <v>36635</v>
      </c>
      <c r="BW232" s="43">
        <v>32097</v>
      </c>
      <c r="BX232" s="43">
        <v>32684</v>
      </c>
      <c r="BY232" s="43">
        <v>30723</v>
      </c>
      <c r="BZ232" s="43">
        <v>35467</v>
      </c>
      <c r="CA232" s="43">
        <v>31910</v>
      </c>
      <c r="CB232" s="43">
        <f>34982</f>
        <v>34982</v>
      </c>
      <c r="CC232" s="43">
        <v>30393</v>
      </c>
      <c r="CD232" s="43">
        <v>23958</v>
      </c>
      <c r="CE232" s="43">
        <v>28379</v>
      </c>
      <c r="CF232" s="43">
        <v>29543</v>
      </c>
      <c r="CG232" s="43">
        <v>30275</v>
      </c>
      <c r="CH232" s="43">
        <v>29452</v>
      </c>
      <c r="CI232" s="43">
        <v>23714</v>
      </c>
      <c r="CJ232" s="43">
        <v>23076</v>
      </c>
      <c r="CK232" s="43">
        <v>24008</v>
      </c>
      <c r="CL232" s="43">
        <v>28689</v>
      </c>
      <c r="CM232" s="43">
        <v>26209</v>
      </c>
      <c r="CN232" s="43">
        <v>27471</v>
      </c>
      <c r="CO232" s="43">
        <v>27969</v>
      </c>
      <c r="CP232" s="43">
        <v>21765</v>
      </c>
      <c r="CQ232" s="43">
        <v>26689</v>
      </c>
      <c r="CR232" s="43">
        <v>22316</v>
      </c>
      <c r="CS232" s="43">
        <v>13254</v>
      </c>
      <c r="CT232" s="43"/>
      <c r="CU232" s="43">
        <v>13540</v>
      </c>
      <c r="CV232" s="43">
        <v>18195</v>
      </c>
      <c r="CW232" s="43">
        <v>10632</v>
      </c>
      <c r="CX232" s="43">
        <v>27160</v>
      </c>
      <c r="CY232" s="43">
        <v>26452</v>
      </c>
      <c r="CZ232" s="43">
        <v>28245</v>
      </c>
      <c r="DA232" s="43">
        <v>26154</v>
      </c>
      <c r="DB232" s="43">
        <v>22078</v>
      </c>
      <c r="DC232" s="43">
        <v>26146</v>
      </c>
      <c r="DD232" s="43">
        <v>25463</v>
      </c>
      <c r="DE232" s="43">
        <v>21214</v>
      </c>
      <c r="DF232" s="43">
        <v>30966</v>
      </c>
      <c r="DG232" s="43">
        <v>29600</v>
      </c>
      <c r="DH232" s="43">
        <v>28153</v>
      </c>
      <c r="DI232" s="43">
        <v>26824</v>
      </c>
      <c r="DJ232" s="43">
        <v>19048</v>
      </c>
      <c r="DK232" s="43">
        <v>21688</v>
      </c>
      <c r="DL232" s="43">
        <v>27749</v>
      </c>
      <c r="DM232" s="43">
        <v>26496</v>
      </c>
      <c r="DN232" s="43">
        <v>24098</v>
      </c>
      <c r="DO232" s="43">
        <v>25120</v>
      </c>
      <c r="DP232" s="43">
        <v>19537</v>
      </c>
      <c r="DQ232" s="43">
        <v>21221</v>
      </c>
      <c r="DR232" s="43">
        <v>19957</v>
      </c>
      <c r="DS232" s="43">
        <v>10067</v>
      </c>
      <c r="DT232" s="43">
        <v>17426</v>
      </c>
      <c r="DU232" s="43">
        <v>20900</v>
      </c>
      <c r="DV232" s="43">
        <v>22951</v>
      </c>
      <c r="DW232" s="43">
        <v>14538</v>
      </c>
      <c r="DX232" s="43">
        <v>16465</v>
      </c>
      <c r="DY232" s="43">
        <v>15074</v>
      </c>
      <c r="DZ232" s="43">
        <v>10008</v>
      </c>
      <c r="EA232" s="43">
        <v>11718</v>
      </c>
      <c r="EB232" s="43">
        <v>11374</v>
      </c>
      <c r="EC232" s="43">
        <v>9864</v>
      </c>
      <c r="ED232" s="43">
        <v>11565</v>
      </c>
      <c r="EE232" s="43">
        <v>10067</v>
      </c>
      <c r="EF232" s="43">
        <v>13161</v>
      </c>
      <c r="EG232" s="43">
        <v>13246</v>
      </c>
      <c r="EH232" s="43">
        <v>12065</v>
      </c>
      <c r="EI232" s="43">
        <v>13781</v>
      </c>
      <c r="EJ232" s="43">
        <v>11220</v>
      </c>
      <c r="EK232" s="43">
        <v>14284</v>
      </c>
      <c r="EL232" s="43">
        <v>10910</v>
      </c>
      <c r="EM232" s="43">
        <v>10569</v>
      </c>
      <c r="EN232" s="43">
        <v>14947</v>
      </c>
      <c r="EO232" s="43">
        <v>13940</v>
      </c>
      <c r="EP232" s="43">
        <v>13654</v>
      </c>
      <c r="EQ232" s="43">
        <v>12262</v>
      </c>
      <c r="ER232" s="43">
        <v>14817</v>
      </c>
      <c r="ES232" s="43">
        <v>13542</v>
      </c>
      <c r="ET232" s="43">
        <v>16842</v>
      </c>
      <c r="EU232" s="43">
        <v>15870</v>
      </c>
      <c r="EV232" s="43">
        <v>16421</v>
      </c>
      <c r="EW232" s="43">
        <v>15337</v>
      </c>
      <c r="EX232" s="43">
        <v>15977</v>
      </c>
      <c r="EY232" s="43">
        <v>14927</v>
      </c>
      <c r="EZ232" s="43">
        <v>15014</v>
      </c>
      <c r="FA232" s="43">
        <v>15863</v>
      </c>
      <c r="FB232" s="43">
        <v>15599</v>
      </c>
      <c r="FC232" s="43">
        <v>17500</v>
      </c>
      <c r="FD232" s="43">
        <v>22413</v>
      </c>
      <c r="FE232" s="43">
        <v>25051</v>
      </c>
      <c r="FF232" s="43">
        <v>26386</v>
      </c>
      <c r="FG232" s="43">
        <v>26846</v>
      </c>
      <c r="FH232" s="43">
        <v>27368</v>
      </c>
      <c r="FI232" s="43">
        <v>27548</v>
      </c>
      <c r="FJ232" s="43">
        <v>21589</v>
      </c>
      <c r="FK232" s="43"/>
      <c r="FL232" s="43"/>
      <c r="FM232" s="43"/>
      <c r="FN232" s="66">
        <f t="shared" si="562"/>
        <v>0</v>
      </c>
      <c r="FO232" s="67">
        <f t="shared" si="563"/>
        <v>0</v>
      </c>
      <c r="FP232" s="67">
        <f t="shared" si="564"/>
        <v>0</v>
      </c>
      <c r="FQ232" s="67">
        <f t="shared" si="565"/>
        <v>0</v>
      </c>
      <c r="FR232" s="67">
        <f t="shared" si="566"/>
        <v>74067</v>
      </c>
      <c r="FS232" s="67">
        <f t="shared" si="567"/>
        <v>58212</v>
      </c>
      <c r="FT232" s="67">
        <f t="shared" si="568"/>
        <v>62016</v>
      </c>
      <c r="FU232" s="67">
        <f t="shared" si="569"/>
        <v>66467</v>
      </c>
      <c r="FV232" s="67">
        <f t="shared" si="570"/>
        <v>57950</v>
      </c>
      <c r="FW232" s="67">
        <f t="shared" si="571"/>
        <v>81591</v>
      </c>
      <c r="FX232" s="67">
        <f t="shared" si="572"/>
        <v>84159</v>
      </c>
      <c r="FY232" s="67">
        <f t="shared" si="573"/>
        <v>61072</v>
      </c>
      <c r="FZ232" s="67">
        <f t="shared" si="574"/>
        <v>87079</v>
      </c>
      <c r="GA232" s="67">
        <f t="shared" si="575"/>
        <v>86382</v>
      </c>
      <c r="GB232" s="67">
        <f t="shared" si="576"/>
        <v>57947</v>
      </c>
      <c r="GC232" s="67">
        <f t="shared" si="577"/>
        <v>48592</v>
      </c>
      <c r="GD232" s="67">
        <f t="shared" si="578"/>
        <v>46099</v>
      </c>
      <c r="GE232" s="67">
        <f t="shared" si="579"/>
        <v>59734</v>
      </c>
      <c r="GF232" s="67">
        <f t="shared" si="580"/>
        <v>48760</v>
      </c>
      <c r="GG232" s="67">
        <f t="shared" si="581"/>
        <v>36357</v>
      </c>
      <c r="GH232" s="67">
        <f t="shared" si="582"/>
        <v>59871</v>
      </c>
      <c r="GI232" s="67">
        <f t="shared" si="583"/>
        <v>67163</v>
      </c>
      <c r="GJ232" s="67">
        <f t="shared" si="584"/>
        <v>72432</v>
      </c>
      <c r="GK232" s="67">
        <f t="shared" si="585"/>
        <v>66286</v>
      </c>
      <c r="GL232" s="67">
        <f t="shared" si="586"/>
        <v>101416</v>
      </c>
      <c r="GM232" s="67">
        <f t="shared" si="587"/>
        <v>98100</v>
      </c>
      <c r="GN232" s="67">
        <f t="shared" si="588"/>
        <v>89333</v>
      </c>
      <c r="GO232" s="67">
        <f t="shared" si="589"/>
        <v>88197</v>
      </c>
      <c r="GP232" s="67">
        <f t="shared" si="590"/>
        <v>76242</v>
      </c>
      <c r="GQ232" s="67">
        <f t="shared" si="591"/>
        <v>78906</v>
      </c>
      <c r="GR232" s="67">
        <f t="shared" si="592"/>
        <v>77205</v>
      </c>
      <c r="GS232" s="67">
        <f t="shared" si="593"/>
        <v>62259</v>
      </c>
      <c r="GT232" s="67">
        <f t="shared" si="594"/>
        <v>31735</v>
      </c>
      <c r="GU232" s="67">
        <f t="shared" si="595"/>
        <v>64244</v>
      </c>
      <c r="GV232" s="67">
        <f t="shared" si="596"/>
        <v>76477</v>
      </c>
      <c r="GW232" s="67">
        <f t="shared" si="597"/>
        <v>72823</v>
      </c>
      <c r="GX232" s="67">
        <f t="shared" si="598"/>
        <v>88719</v>
      </c>
      <c r="GY232" s="67">
        <f t="shared" si="599"/>
        <v>67560</v>
      </c>
      <c r="GZ232" s="67">
        <f t="shared" si="600"/>
        <v>78343</v>
      </c>
      <c r="HA232" s="67">
        <f t="shared" si="601"/>
        <v>65878</v>
      </c>
      <c r="HB232" s="67">
        <f t="shared" si="602"/>
        <v>47450</v>
      </c>
      <c r="HC232" s="67">
        <f t="shared" si="603"/>
        <v>58389</v>
      </c>
      <c r="HD232" s="67">
        <f t="shared" si="604"/>
        <v>41547</v>
      </c>
      <c r="HE232" s="67">
        <f t="shared" si="605"/>
        <v>32956</v>
      </c>
      <c r="HF232" s="67">
        <f t="shared" si="606"/>
        <v>34793</v>
      </c>
      <c r="HG232" s="67">
        <f t="shared" si="607"/>
        <v>39092</v>
      </c>
      <c r="HH232" s="67">
        <f t="shared" si="608"/>
        <v>36414</v>
      </c>
      <c r="HI232" s="67">
        <f t="shared" si="609"/>
        <v>39456</v>
      </c>
      <c r="HJ232" s="210">
        <f t="shared" si="610"/>
        <v>40733</v>
      </c>
      <c r="HK232" s="210">
        <f t="shared" si="611"/>
        <v>46254</v>
      </c>
      <c r="HL232" s="210">
        <f t="shared" si="612"/>
        <v>47735</v>
      </c>
      <c r="HM232" s="210">
        <f t="shared" si="613"/>
        <v>45804</v>
      </c>
      <c r="HN232" s="210">
        <f t="shared" si="660"/>
        <v>55512</v>
      </c>
      <c r="HO232" s="210">
        <f t="shared" si="661"/>
        <v>78283</v>
      </c>
      <c r="HP232" s="210">
        <f t="shared" si="662"/>
        <v>76505</v>
      </c>
      <c r="HQ232" s="60"/>
      <c r="HR232" s="43"/>
      <c r="HS232" s="43"/>
      <c r="HT232" s="43"/>
      <c r="HU232" s="211">
        <f>SUM(B232:M232)</f>
        <v>0</v>
      </c>
      <c r="HV232" s="211">
        <f>SUM(N232:Y232)</f>
        <v>260762</v>
      </c>
      <c r="HW232" s="211">
        <f>SUM(Z232:AK232)</f>
        <v>284772</v>
      </c>
      <c r="HX232" s="212">
        <f>SUM(AL232:AW232)</f>
        <v>280000</v>
      </c>
      <c r="HY232" s="58">
        <f>SUM(AX232:BI232)</f>
        <v>190950</v>
      </c>
      <c r="HZ232" s="58">
        <f>SUM(BJ232:BU232)</f>
        <v>265752</v>
      </c>
      <c r="IA232" s="58">
        <f>SUM(BV232:CG232)</f>
        <v>377046</v>
      </c>
      <c r="IB232" s="64">
        <f>SUM(CH232:CS232)</f>
        <v>294612</v>
      </c>
      <c r="IC232" s="64">
        <f>SUM(CT232:DE232)</f>
        <v>245279</v>
      </c>
      <c r="ID232" s="64">
        <f t="shared" si="663"/>
        <v>300500</v>
      </c>
      <c r="IE232" s="64">
        <f t="shared" si="664"/>
        <v>180342</v>
      </c>
      <c r="IF232" s="64">
        <f t="shared" si="665"/>
        <v>149755</v>
      </c>
      <c r="IG232" s="64">
        <f t="shared" si="666"/>
        <v>180526</v>
      </c>
    </row>
    <row r="233" spans="1:241" outlineLevel="2" x14ac:dyDescent="0.3">
      <c r="A233" s="260" t="s">
        <v>185</v>
      </c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>
        <v>0</v>
      </c>
      <c r="DL233" s="43">
        <v>0</v>
      </c>
      <c r="DM233" s="43">
        <v>0</v>
      </c>
      <c r="DN233" s="43">
        <v>0</v>
      </c>
      <c r="DO233" s="43">
        <v>0</v>
      </c>
      <c r="DP233" s="43">
        <v>0</v>
      </c>
      <c r="DQ233" s="43">
        <v>0</v>
      </c>
      <c r="DR233" s="43">
        <v>0</v>
      </c>
      <c r="DS233" s="43">
        <v>0</v>
      </c>
      <c r="DT233" s="43">
        <v>0</v>
      </c>
      <c r="DU233" s="43">
        <v>0</v>
      </c>
      <c r="DV233" s="43">
        <v>0</v>
      </c>
      <c r="DW233" s="43">
        <v>0</v>
      </c>
      <c r="DX233" s="43"/>
      <c r="DY233" s="43"/>
      <c r="DZ233" s="43"/>
      <c r="EA233" s="43"/>
      <c r="EB233" s="43"/>
      <c r="EC233" s="43"/>
      <c r="ED233" s="43"/>
      <c r="EE233" s="43">
        <v>0</v>
      </c>
      <c r="EF233" s="43"/>
      <c r="EG233" s="43"/>
      <c r="EH233" s="43"/>
      <c r="EI233" s="43"/>
      <c r="EJ233" s="43"/>
      <c r="EK233" s="43"/>
      <c r="EL233" s="43"/>
      <c r="EM233" s="43"/>
      <c r="EN233" s="43"/>
      <c r="EO233" s="43"/>
      <c r="EP233" s="43">
        <v>0</v>
      </c>
      <c r="EQ233" s="43"/>
      <c r="ER233" s="43"/>
      <c r="ES233" s="43"/>
      <c r="ET233" s="43">
        <v>0</v>
      </c>
      <c r="EU233" s="43"/>
      <c r="EV233" s="43"/>
      <c r="EW233" s="43">
        <v>15</v>
      </c>
      <c r="EX233" s="43">
        <v>21</v>
      </c>
      <c r="EY233" s="43">
        <v>0</v>
      </c>
      <c r="EZ233" s="43">
        <v>0</v>
      </c>
      <c r="FA233" s="43"/>
      <c r="FB233" s="43"/>
      <c r="FC233" s="43">
        <v>20</v>
      </c>
      <c r="FD233" s="43">
        <v>20</v>
      </c>
      <c r="FE233" s="43">
        <v>20</v>
      </c>
      <c r="FF233" s="43">
        <v>40</v>
      </c>
      <c r="FG233" s="43">
        <v>20</v>
      </c>
      <c r="FH233" s="43"/>
      <c r="FI233" s="43">
        <v>20</v>
      </c>
      <c r="FJ233" s="43">
        <v>20</v>
      </c>
      <c r="FK233" s="43"/>
      <c r="FL233" s="43"/>
      <c r="FM233" s="43"/>
      <c r="FN233" s="66">
        <f t="shared" ref="FN233" si="667">+SUM(B233:D233)</f>
        <v>0</v>
      </c>
      <c r="FO233" s="67">
        <f t="shared" ref="FO233" si="668">+SUM(E233:G233)</f>
        <v>0</v>
      </c>
      <c r="FP233" s="67">
        <f t="shared" si="564"/>
        <v>0</v>
      </c>
      <c r="FQ233" s="67">
        <f t="shared" si="565"/>
        <v>0</v>
      </c>
      <c r="FR233" s="67">
        <f t="shared" si="566"/>
        <v>0</v>
      </c>
      <c r="FS233" s="67">
        <f t="shared" si="567"/>
        <v>0</v>
      </c>
      <c r="FT233" s="67">
        <f t="shared" si="568"/>
        <v>0</v>
      </c>
      <c r="FU233" s="67">
        <f t="shared" si="569"/>
        <v>0</v>
      </c>
      <c r="FV233" s="67">
        <f t="shared" si="570"/>
        <v>0</v>
      </c>
      <c r="FW233" s="67">
        <f t="shared" si="571"/>
        <v>0</v>
      </c>
      <c r="FX233" s="67">
        <f t="shared" si="572"/>
        <v>0</v>
      </c>
      <c r="FY233" s="67">
        <f t="shared" si="573"/>
        <v>0</v>
      </c>
      <c r="FZ233" s="67">
        <f t="shared" si="574"/>
        <v>0</v>
      </c>
      <c r="GA233" s="67">
        <f t="shared" si="575"/>
        <v>0</v>
      </c>
      <c r="GB233" s="67">
        <f t="shared" si="576"/>
        <v>0</v>
      </c>
      <c r="GC233" s="67">
        <f t="shared" si="577"/>
        <v>0</v>
      </c>
      <c r="GD233" s="67">
        <f t="shared" si="578"/>
        <v>0</v>
      </c>
      <c r="GE233" s="67">
        <f t="shared" si="579"/>
        <v>0</v>
      </c>
      <c r="GF233" s="67">
        <f t="shared" si="580"/>
        <v>0</v>
      </c>
      <c r="GG233" s="67">
        <f t="shared" si="581"/>
        <v>0</v>
      </c>
      <c r="GH233" s="67">
        <f t="shared" si="582"/>
        <v>0</v>
      </c>
      <c r="GI233" s="67">
        <f t="shared" si="583"/>
        <v>0</v>
      </c>
      <c r="GJ233" s="67">
        <f t="shared" si="584"/>
        <v>0</v>
      </c>
      <c r="GK233" s="67">
        <f t="shared" si="585"/>
        <v>0</v>
      </c>
      <c r="GL233" s="67">
        <f t="shared" si="586"/>
        <v>0</v>
      </c>
      <c r="GM233" s="67">
        <f t="shared" si="587"/>
        <v>0</v>
      </c>
      <c r="GN233" s="67">
        <f t="shared" si="588"/>
        <v>0</v>
      </c>
      <c r="GO233" s="67">
        <f t="shared" si="589"/>
        <v>0</v>
      </c>
      <c r="GP233" s="67">
        <f t="shared" si="590"/>
        <v>0</v>
      </c>
      <c r="GQ233" s="67">
        <f t="shared" si="591"/>
        <v>0</v>
      </c>
      <c r="GR233" s="67">
        <f t="shared" si="592"/>
        <v>0</v>
      </c>
      <c r="GS233" s="67">
        <f t="shared" si="593"/>
        <v>0</v>
      </c>
      <c r="GT233" s="67">
        <f t="shared" si="594"/>
        <v>0</v>
      </c>
      <c r="GU233" s="67">
        <f t="shared" si="595"/>
        <v>0</v>
      </c>
      <c r="GV233" s="67">
        <f t="shared" si="596"/>
        <v>0</v>
      </c>
      <c r="GW233" s="67">
        <f t="shared" si="597"/>
        <v>0</v>
      </c>
      <c r="GX233" s="67">
        <f t="shared" si="598"/>
        <v>0</v>
      </c>
      <c r="GY233" s="67">
        <f t="shared" si="599"/>
        <v>0</v>
      </c>
      <c r="GZ233" s="67">
        <f t="shared" si="600"/>
        <v>0</v>
      </c>
      <c r="HA233" s="67">
        <f t="shared" si="601"/>
        <v>0</v>
      </c>
      <c r="HB233" s="67">
        <f t="shared" si="602"/>
        <v>0</v>
      </c>
      <c r="HC233" s="67">
        <f t="shared" si="603"/>
        <v>0</v>
      </c>
      <c r="HD233" s="67">
        <f t="shared" si="604"/>
        <v>0</v>
      </c>
      <c r="HE233" s="67">
        <f t="shared" si="605"/>
        <v>0</v>
      </c>
      <c r="HF233" s="67">
        <f t="shared" si="606"/>
        <v>0</v>
      </c>
      <c r="HG233" s="67">
        <f t="shared" si="607"/>
        <v>0</v>
      </c>
      <c r="HH233" s="67">
        <f t="shared" si="608"/>
        <v>0</v>
      </c>
      <c r="HI233" s="67">
        <f t="shared" si="609"/>
        <v>0</v>
      </c>
      <c r="HJ233" s="210">
        <f t="shared" si="610"/>
        <v>0</v>
      </c>
      <c r="HK233" s="210">
        <f t="shared" si="611"/>
        <v>0</v>
      </c>
      <c r="HL233" s="210">
        <f t="shared" si="612"/>
        <v>36</v>
      </c>
      <c r="HM233" s="210">
        <f t="shared" si="613"/>
        <v>0</v>
      </c>
      <c r="HN233" s="210">
        <f t="shared" si="660"/>
        <v>40</v>
      </c>
      <c r="HO233" s="210">
        <f t="shared" si="661"/>
        <v>80</v>
      </c>
      <c r="HP233" s="210">
        <f t="shared" si="662"/>
        <v>40</v>
      </c>
      <c r="HQ233" s="60"/>
      <c r="HR233" s="43"/>
      <c r="HS233" s="43"/>
      <c r="HT233" s="43"/>
      <c r="HU233" s="211">
        <f t="shared" ref="HU233:HU240" si="669">SUM(B233:M233)</f>
        <v>0</v>
      </c>
      <c r="HV233" s="211">
        <f t="shared" ref="HV233:HV240" si="670">SUM(N233:Y233)</f>
        <v>0</v>
      </c>
      <c r="HW233" s="211">
        <f t="shared" ref="HW233:HW240" si="671">SUM(Z233:AK233)</f>
        <v>0</v>
      </c>
      <c r="HX233" s="212">
        <f t="shared" ref="HX233:HX240" si="672">SUM(AL233:AW233)</f>
        <v>0</v>
      </c>
      <c r="HY233" s="58">
        <f t="shared" ref="HY233:HY240" si="673">SUM(AX233:BI233)</f>
        <v>0</v>
      </c>
      <c r="HZ233" s="58">
        <f t="shared" ref="HZ233:HZ240" si="674">SUM(BJ233:BU233)</f>
        <v>0</v>
      </c>
      <c r="IA233" s="58">
        <f t="shared" ref="IA233:IA240" si="675">SUM(BV233:CG233)</f>
        <v>0</v>
      </c>
      <c r="IB233" s="64">
        <f t="shared" ref="IB233:IB240" si="676">SUM(CH233:CS233)</f>
        <v>0</v>
      </c>
      <c r="IC233" s="64">
        <f t="shared" ref="IC233:IC240" si="677">SUM(CT233:DE233)</f>
        <v>0</v>
      </c>
      <c r="ID233" s="64">
        <f t="shared" si="663"/>
        <v>0</v>
      </c>
      <c r="IE233" s="64">
        <f t="shared" si="664"/>
        <v>0</v>
      </c>
      <c r="IF233" s="64">
        <f t="shared" si="665"/>
        <v>0</v>
      </c>
      <c r="IG233" s="64">
        <f t="shared" si="666"/>
        <v>36</v>
      </c>
    </row>
    <row r="234" spans="1:241" outlineLevel="2" x14ac:dyDescent="0.3">
      <c r="A234" s="259" t="s">
        <v>165</v>
      </c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>
        <v>84</v>
      </c>
      <c r="O234" s="43">
        <v>126</v>
      </c>
      <c r="P234" s="43">
        <v>168</v>
      </c>
      <c r="Q234" s="43">
        <v>168</v>
      </c>
      <c r="R234" s="43">
        <v>126</v>
      </c>
      <c r="S234" s="43">
        <v>210</v>
      </c>
      <c r="T234" s="43">
        <v>126</v>
      </c>
      <c r="U234" s="43">
        <v>0</v>
      </c>
      <c r="V234" s="43">
        <v>0</v>
      </c>
      <c r="W234" s="43">
        <v>182</v>
      </c>
      <c r="X234" s="43">
        <v>84</v>
      </c>
      <c r="Y234" s="43">
        <v>84</v>
      </c>
      <c r="Z234" s="43">
        <v>42</v>
      </c>
      <c r="AA234" s="43">
        <v>84</v>
      </c>
      <c r="AB234" s="43">
        <v>0</v>
      </c>
      <c r="AC234" s="43">
        <v>186</v>
      </c>
      <c r="AD234" s="43">
        <v>174</v>
      </c>
      <c r="AE234" s="43">
        <v>84</v>
      </c>
      <c r="AF234" s="43">
        <v>87</v>
      </c>
      <c r="AG234" s="43">
        <v>56</v>
      </c>
      <c r="AH234" s="43"/>
      <c r="AI234" s="43">
        <v>216</v>
      </c>
      <c r="AJ234" s="43">
        <v>0</v>
      </c>
      <c r="AK234" s="43">
        <v>0</v>
      </c>
      <c r="AL234" s="43">
        <v>0</v>
      </c>
      <c r="AM234" s="43"/>
      <c r="AN234" s="43">
        <v>42</v>
      </c>
      <c r="AO234" s="43">
        <v>182</v>
      </c>
      <c r="AP234" s="43">
        <v>210</v>
      </c>
      <c r="AQ234" s="43">
        <v>196</v>
      </c>
      <c r="AR234" s="43">
        <v>322</v>
      </c>
      <c r="AS234" s="43">
        <v>168</v>
      </c>
      <c r="AT234" s="43">
        <v>180</v>
      </c>
      <c r="AU234" s="43">
        <v>252</v>
      </c>
      <c r="AV234" s="43">
        <v>168</v>
      </c>
      <c r="AW234" s="43">
        <v>238</v>
      </c>
      <c r="AX234" s="43">
        <v>182</v>
      </c>
      <c r="AY234" s="43">
        <v>210</v>
      </c>
      <c r="AZ234" s="43">
        <v>266</v>
      </c>
      <c r="BA234" s="43">
        <v>122</v>
      </c>
      <c r="BB234" s="43">
        <v>280</v>
      </c>
      <c r="BC234" s="43">
        <v>336</v>
      </c>
      <c r="BD234" s="43">
        <v>168</v>
      </c>
      <c r="BE234" s="43">
        <v>0</v>
      </c>
      <c r="BF234" s="43">
        <v>154</v>
      </c>
      <c r="BG234" s="43">
        <v>154</v>
      </c>
      <c r="BH234" s="43">
        <v>280</v>
      </c>
      <c r="BI234" s="43">
        <v>224</v>
      </c>
      <c r="BJ234" s="43">
        <v>140</v>
      </c>
      <c r="BK234" s="43">
        <v>168</v>
      </c>
      <c r="BL234" s="43">
        <v>224</v>
      </c>
      <c r="BM234" s="43">
        <v>98</v>
      </c>
      <c r="BN234" s="43">
        <v>322</v>
      </c>
      <c r="BO234" s="43">
        <v>280</v>
      </c>
      <c r="BP234" s="43">
        <v>98</v>
      </c>
      <c r="BQ234" s="43">
        <v>42</v>
      </c>
      <c r="BR234" s="43">
        <v>0</v>
      </c>
      <c r="BS234" s="43">
        <v>126</v>
      </c>
      <c r="BT234" s="43">
        <v>84</v>
      </c>
      <c r="BU234" s="43">
        <v>56</v>
      </c>
      <c r="BV234" s="43">
        <v>0</v>
      </c>
      <c r="BW234" s="43">
        <v>98</v>
      </c>
      <c r="BX234" s="43">
        <v>112</v>
      </c>
      <c r="BY234" s="43">
        <v>140</v>
      </c>
      <c r="BZ234" s="43">
        <v>0</v>
      </c>
      <c r="CA234" s="43">
        <v>0</v>
      </c>
      <c r="CB234" s="43">
        <f>24</f>
        <v>24</v>
      </c>
      <c r="CC234" s="43">
        <v>0</v>
      </c>
      <c r="CD234" s="43">
        <v>14</v>
      </c>
      <c r="CE234" s="43">
        <v>0</v>
      </c>
      <c r="CF234" s="43">
        <v>70</v>
      </c>
      <c r="CG234" s="43">
        <v>0</v>
      </c>
      <c r="CH234" s="43">
        <v>28</v>
      </c>
      <c r="CI234" s="43">
        <v>42</v>
      </c>
      <c r="CJ234" s="43">
        <v>70</v>
      </c>
      <c r="CK234" s="43">
        <v>168</v>
      </c>
      <c r="CL234" s="43">
        <v>28</v>
      </c>
      <c r="CM234" s="43">
        <v>56</v>
      </c>
      <c r="CN234" s="43">
        <v>70</v>
      </c>
      <c r="CO234" s="43">
        <v>140</v>
      </c>
      <c r="CP234" s="43">
        <v>224</v>
      </c>
      <c r="CQ234" s="43">
        <v>252</v>
      </c>
      <c r="CR234" s="43">
        <v>84</v>
      </c>
      <c r="CS234" s="43">
        <v>28</v>
      </c>
      <c r="CT234" s="43"/>
      <c r="CU234" s="43">
        <v>0</v>
      </c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>
        <v>182</v>
      </c>
      <c r="DG234" s="43">
        <v>154</v>
      </c>
      <c r="DH234" s="43">
        <v>406</v>
      </c>
      <c r="DI234" s="43">
        <v>196</v>
      </c>
      <c r="DJ234" s="43">
        <v>462</v>
      </c>
      <c r="DK234" s="43">
        <v>224</v>
      </c>
      <c r="DL234" s="43">
        <v>476</v>
      </c>
      <c r="DM234" s="43">
        <v>322</v>
      </c>
      <c r="DN234" s="43">
        <v>210</v>
      </c>
      <c r="DO234" s="43">
        <v>154</v>
      </c>
      <c r="DP234" s="43">
        <v>196</v>
      </c>
      <c r="DQ234" s="43">
        <v>252</v>
      </c>
      <c r="DR234" s="43">
        <v>84</v>
      </c>
      <c r="DS234" s="43">
        <v>308</v>
      </c>
      <c r="DT234" s="43">
        <v>70</v>
      </c>
      <c r="DU234" s="43">
        <v>238</v>
      </c>
      <c r="DV234" s="43">
        <v>406</v>
      </c>
      <c r="DW234" s="43">
        <v>196</v>
      </c>
      <c r="DX234" s="43">
        <v>70</v>
      </c>
      <c r="DY234" s="43">
        <v>322</v>
      </c>
      <c r="DZ234" s="43">
        <v>406</v>
      </c>
      <c r="EA234" s="43">
        <v>364</v>
      </c>
      <c r="EB234" s="43">
        <v>196</v>
      </c>
      <c r="EC234" s="43">
        <v>98</v>
      </c>
      <c r="ED234" s="43">
        <v>140</v>
      </c>
      <c r="EE234" s="43">
        <v>308</v>
      </c>
      <c r="EF234" s="43">
        <v>420</v>
      </c>
      <c r="EG234" s="43">
        <v>196</v>
      </c>
      <c r="EH234" s="43">
        <v>644</v>
      </c>
      <c r="EI234" s="43">
        <v>378</v>
      </c>
      <c r="EJ234" s="43">
        <v>420</v>
      </c>
      <c r="EK234" s="43">
        <v>308</v>
      </c>
      <c r="EL234" s="43">
        <v>322</v>
      </c>
      <c r="EM234" s="43">
        <v>350</v>
      </c>
      <c r="EN234" s="43">
        <v>14</v>
      </c>
      <c r="EO234" s="43">
        <v>224</v>
      </c>
      <c r="EP234" s="43">
        <v>280</v>
      </c>
      <c r="EQ234" s="43">
        <v>168</v>
      </c>
      <c r="ER234" s="43">
        <v>70</v>
      </c>
      <c r="ES234" s="43"/>
      <c r="ET234" s="43">
        <v>112</v>
      </c>
      <c r="EU234" s="43"/>
      <c r="EV234" s="43"/>
      <c r="EW234" s="43">
        <v>0</v>
      </c>
      <c r="EX234" s="43"/>
      <c r="EY234" s="43">
        <v>0</v>
      </c>
      <c r="EZ234" s="43">
        <v>0</v>
      </c>
      <c r="FA234" s="43"/>
      <c r="FB234" s="43"/>
      <c r="FC234" s="43"/>
      <c r="FD234" s="43"/>
      <c r="FE234" s="43"/>
      <c r="FF234" s="43"/>
      <c r="FG234" s="43"/>
      <c r="FH234" s="43">
        <v>28</v>
      </c>
      <c r="FI234" s="43">
        <v>0</v>
      </c>
      <c r="FJ234" s="43">
        <v>0</v>
      </c>
      <c r="FK234" s="43"/>
      <c r="FL234" s="43"/>
      <c r="FM234" s="43"/>
      <c r="FN234" s="66">
        <f t="shared" si="562"/>
        <v>0</v>
      </c>
      <c r="FO234" s="67">
        <f t="shared" si="563"/>
        <v>0</v>
      </c>
      <c r="FP234" s="67">
        <f t="shared" si="564"/>
        <v>0</v>
      </c>
      <c r="FQ234" s="67">
        <f t="shared" si="565"/>
        <v>0</v>
      </c>
      <c r="FR234" s="67">
        <f t="shared" si="566"/>
        <v>378</v>
      </c>
      <c r="FS234" s="67">
        <f t="shared" si="567"/>
        <v>504</v>
      </c>
      <c r="FT234" s="67">
        <f t="shared" si="568"/>
        <v>126</v>
      </c>
      <c r="FU234" s="67">
        <f t="shared" si="569"/>
        <v>350</v>
      </c>
      <c r="FV234" s="67">
        <f t="shared" si="570"/>
        <v>126</v>
      </c>
      <c r="FW234" s="67">
        <f t="shared" si="571"/>
        <v>444</v>
      </c>
      <c r="FX234" s="67">
        <f t="shared" si="572"/>
        <v>143</v>
      </c>
      <c r="FY234" s="67">
        <f t="shared" si="573"/>
        <v>216</v>
      </c>
      <c r="FZ234" s="67">
        <f t="shared" si="574"/>
        <v>42</v>
      </c>
      <c r="GA234" s="67">
        <f t="shared" si="575"/>
        <v>588</v>
      </c>
      <c r="GB234" s="67">
        <f t="shared" si="576"/>
        <v>670</v>
      </c>
      <c r="GC234" s="67">
        <f t="shared" si="577"/>
        <v>658</v>
      </c>
      <c r="GD234" s="67">
        <f t="shared" si="578"/>
        <v>658</v>
      </c>
      <c r="GE234" s="67">
        <f t="shared" si="579"/>
        <v>738</v>
      </c>
      <c r="GF234" s="67">
        <f t="shared" si="580"/>
        <v>322</v>
      </c>
      <c r="GG234" s="67">
        <f t="shared" si="581"/>
        <v>658</v>
      </c>
      <c r="GH234" s="67">
        <f t="shared" si="582"/>
        <v>532</v>
      </c>
      <c r="GI234" s="67">
        <f t="shared" si="583"/>
        <v>700</v>
      </c>
      <c r="GJ234" s="67">
        <f t="shared" si="584"/>
        <v>140</v>
      </c>
      <c r="GK234" s="67">
        <f t="shared" si="585"/>
        <v>266</v>
      </c>
      <c r="GL234" s="67">
        <f t="shared" si="586"/>
        <v>210</v>
      </c>
      <c r="GM234" s="67">
        <f t="shared" si="587"/>
        <v>140</v>
      </c>
      <c r="GN234" s="67">
        <f t="shared" si="588"/>
        <v>38</v>
      </c>
      <c r="GO234" s="67">
        <f t="shared" si="589"/>
        <v>70</v>
      </c>
      <c r="GP234" s="67">
        <f t="shared" si="590"/>
        <v>140</v>
      </c>
      <c r="GQ234" s="67">
        <f t="shared" si="591"/>
        <v>252</v>
      </c>
      <c r="GR234" s="67">
        <f t="shared" si="592"/>
        <v>434</v>
      </c>
      <c r="GS234" s="67">
        <f t="shared" si="593"/>
        <v>364</v>
      </c>
      <c r="GT234" s="67">
        <f t="shared" si="594"/>
        <v>0</v>
      </c>
      <c r="GU234" s="67">
        <f t="shared" si="595"/>
        <v>0</v>
      </c>
      <c r="GV234" s="67">
        <f t="shared" si="596"/>
        <v>0</v>
      </c>
      <c r="GW234" s="67">
        <f t="shared" si="597"/>
        <v>0</v>
      </c>
      <c r="GX234" s="67">
        <f t="shared" si="598"/>
        <v>742</v>
      </c>
      <c r="GY234" s="67">
        <f t="shared" si="599"/>
        <v>882</v>
      </c>
      <c r="GZ234" s="67">
        <f t="shared" si="600"/>
        <v>1008</v>
      </c>
      <c r="HA234" s="67">
        <f t="shared" si="601"/>
        <v>602</v>
      </c>
      <c r="HB234" s="67">
        <f t="shared" si="602"/>
        <v>462</v>
      </c>
      <c r="HC234" s="67">
        <f t="shared" si="603"/>
        <v>840</v>
      </c>
      <c r="HD234" s="67">
        <f t="shared" si="604"/>
        <v>798</v>
      </c>
      <c r="HE234" s="67">
        <f t="shared" si="605"/>
        <v>658</v>
      </c>
      <c r="HF234" s="67">
        <f t="shared" si="606"/>
        <v>868</v>
      </c>
      <c r="HG234" s="67">
        <f t="shared" si="607"/>
        <v>1218</v>
      </c>
      <c r="HH234" s="67">
        <f t="shared" si="608"/>
        <v>1050</v>
      </c>
      <c r="HI234" s="67">
        <f t="shared" si="609"/>
        <v>588</v>
      </c>
      <c r="HJ234" s="210">
        <f t="shared" si="610"/>
        <v>518</v>
      </c>
      <c r="HK234" s="210">
        <f t="shared" si="611"/>
        <v>112</v>
      </c>
      <c r="HL234" s="210">
        <f t="shared" si="612"/>
        <v>0</v>
      </c>
      <c r="HM234" s="210">
        <f t="shared" si="613"/>
        <v>0</v>
      </c>
      <c r="HN234" s="210">
        <f t="shared" si="660"/>
        <v>0</v>
      </c>
      <c r="HO234" s="210">
        <f t="shared" si="661"/>
        <v>0</v>
      </c>
      <c r="HP234" s="210">
        <f t="shared" si="662"/>
        <v>28</v>
      </c>
      <c r="HQ234" s="60"/>
      <c r="HR234" s="43"/>
      <c r="HS234" s="43"/>
      <c r="HT234" s="43"/>
      <c r="HU234" s="211">
        <f t="shared" si="669"/>
        <v>0</v>
      </c>
      <c r="HV234" s="211">
        <f t="shared" si="670"/>
        <v>1358</v>
      </c>
      <c r="HW234" s="211">
        <f t="shared" si="671"/>
        <v>929</v>
      </c>
      <c r="HX234" s="212">
        <f t="shared" si="672"/>
        <v>1958</v>
      </c>
      <c r="HY234" s="58">
        <f t="shared" si="673"/>
        <v>2376</v>
      </c>
      <c r="HZ234" s="58">
        <f t="shared" si="674"/>
        <v>1638</v>
      </c>
      <c r="IA234" s="58">
        <f t="shared" si="675"/>
        <v>458</v>
      </c>
      <c r="IB234" s="64">
        <f t="shared" si="676"/>
        <v>1190</v>
      </c>
      <c r="IC234" s="64">
        <f t="shared" si="677"/>
        <v>0</v>
      </c>
      <c r="ID234" s="64">
        <f t="shared" si="663"/>
        <v>3234</v>
      </c>
      <c r="IE234" s="64">
        <f t="shared" si="664"/>
        <v>2758</v>
      </c>
      <c r="IF234" s="64">
        <f t="shared" si="665"/>
        <v>3724</v>
      </c>
      <c r="IG234" s="64">
        <f t="shared" si="666"/>
        <v>630</v>
      </c>
    </row>
    <row r="235" spans="1:241" outlineLevel="2" x14ac:dyDescent="0.3">
      <c r="A235" s="260" t="s">
        <v>150</v>
      </c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>
        <v>50</v>
      </c>
      <c r="O235" s="43">
        <v>98</v>
      </c>
      <c r="P235" s="43">
        <v>99</v>
      </c>
      <c r="Q235" s="43">
        <v>300</v>
      </c>
      <c r="R235" s="43">
        <v>366</v>
      </c>
      <c r="S235" s="43">
        <v>90</v>
      </c>
      <c r="T235" s="43">
        <v>135</v>
      </c>
      <c r="U235" s="43">
        <v>239</v>
      </c>
      <c r="V235" s="43">
        <v>48</v>
      </c>
      <c r="W235" s="43">
        <v>113</v>
      </c>
      <c r="X235" s="43">
        <v>0</v>
      </c>
      <c r="Y235" s="43">
        <v>159</v>
      </c>
      <c r="Z235" s="43">
        <v>172</v>
      </c>
      <c r="AA235" s="43">
        <v>200</v>
      </c>
      <c r="AB235" s="43">
        <v>120</v>
      </c>
      <c r="AC235" s="43">
        <v>37</v>
      </c>
      <c r="AD235" s="43">
        <v>233</v>
      </c>
      <c r="AE235" s="43">
        <v>266</v>
      </c>
      <c r="AF235" s="43">
        <v>135</v>
      </c>
      <c r="AG235" s="43">
        <v>190</v>
      </c>
      <c r="AH235" s="43">
        <v>364</v>
      </c>
      <c r="AI235" s="43">
        <v>250</v>
      </c>
      <c r="AJ235" s="43">
        <v>181</v>
      </c>
      <c r="AK235" s="43">
        <v>207</v>
      </c>
      <c r="AL235" s="43">
        <v>12</v>
      </c>
      <c r="AM235" s="43">
        <v>190</v>
      </c>
      <c r="AN235" s="43">
        <v>250</v>
      </c>
      <c r="AO235" s="43">
        <v>208</v>
      </c>
      <c r="AP235" s="43">
        <v>27</v>
      </c>
      <c r="AQ235" s="43">
        <v>119</v>
      </c>
      <c r="AR235" s="43"/>
      <c r="AS235" s="43"/>
      <c r="AT235" s="43">
        <v>28</v>
      </c>
      <c r="AU235" s="43">
        <v>70</v>
      </c>
      <c r="AV235" s="43">
        <v>0</v>
      </c>
      <c r="AW235" s="43">
        <v>2</v>
      </c>
      <c r="AX235" s="43">
        <v>0</v>
      </c>
      <c r="AY235" s="43">
        <v>3</v>
      </c>
      <c r="AZ235" s="43">
        <v>0</v>
      </c>
      <c r="BA235" s="43">
        <v>0</v>
      </c>
      <c r="BB235" s="43">
        <v>112</v>
      </c>
      <c r="BC235" s="43">
        <v>265</v>
      </c>
      <c r="BD235" s="43">
        <v>226</v>
      </c>
      <c r="BE235" s="43">
        <v>7</v>
      </c>
      <c r="BF235" s="43">
        <v>98</v>
      </c>
      <c r="BG235" s="43">
        <v>170</v>
      </c>
      <c r="BH235" s="43">
        <v>68</v>
      </c>
      <c r="BI235" s="43">
        <v>220</v>
      </c>
      <c r="BJ235" s="43">
        <v>248</v>
      </c>
      <c r="BK235" s="43">
        <v>134</v>
      </c>
      <c r="BL235" s="43">
        <v>205</v>
      </c>
      <c r="BM235" s="43">
        <v>169</v>
      </c>
      <c r="BN235" s="43">
        <v>178</v>
      </c>
      <c r="BO235" s="43">
        <v>125</v>
      </c>
      <c r="BP235" s="43">
        <v>68</v>
      </c>
      <c r="BQ235" s="43">
        <v>280</v>
      </c>
      <c r="BR235" s="43">
        <v>40</v>
      </c>
      <c r="BS235" s="43">
        <v>90</v>
      </c>
      <c r="BT235" s="43">
        <v>90</v>
      </c>
      <c r="BU235" s="43">
        <v>271</v>
      </c>
      <c r="BV235" s="43">
        <v>180</v>
      </c>
      <c r="BW235" s="43">
        <v>24</v>
      </c>
      <c r="BX235" s="43">
        <v>30</v>
      </c>
      <c r="BY235" s="43">
        <v>90</v>
      </c>
      <c r="BZ235" s="43">
        <v>80</v>
      </c>
      <c r="CA235" s="43">
        <v>253</v>
      </c>
      <c r="CB235" s="43">
        <f>194</f>
        <v>194</v>
      </c>
      <c r="CC235" s="43">
        <v>396</v>
      </c>
      <c r="CD235" s="43">
        <v>248</v>
      </c>
      <c r="CE235" s="43">
        <v>264</v>
      </c>
      <c r="CF235" s="43">
        <v>249</v>
      </c>
      <c r="CG235" s="43">
        <v>338</v>
      </c>
      <c r="CH235" s="43">
        <v>0</v>
      </c>
      <c r="CI235" s="43">
        <v>0</v>
      </c>
      <c r="CJ235" s="43">
        <v>14</v>
      </c>
      <c r="CK235" s="43">
        <v>62</v>
      </c>
      <c r="CL235" s="43">
        <v>114</v>
      </c>
      <c r="CM235" s="43">
        <v>96</v>
      </c>
      <c r="CN235" s="43">
        <v>112</v>
      </c>
      <c r="CO235" s="43">
        <v>187</v>
      </c>
      <c r="CP235" s="43">
        <v>94</v>
      </c>
      <c r="CQ235" s="43">
        <v>86</v>
      </c>
      <c r="CR235" s="43">
        <v>123</v>
      </c>
      <c r="CS235" s="43">
        <v>0</v>
      </c>
      <c r="CT235" s="43"/>
      <c r="CU235" s="43">
        <v>8</v>
      </c>
      <c r="CV235" s="43">
        <v>112</v>
      </c>
      <c r="CW235" s="43">
        <v>112</v>
      </c>
      <c r="CX235" s="43">
        <v>112</v>
      </c>
      <c r="CY235" s="43">
        <v>196</v>
      </c>
      <c r="CZ235" s="43">
        <v>280</v>
      </c>
      <c r="DA235" s="43">
        <v>252</v>
      </c>
      <c r="DB235" s="43">
        <v>266</v>
      </c>
      <c r="DC235" s="43">
        <v>350</v>
      </c>
      <c r="DD235" s="43">
        <v>336</v>
      </c>
      <c r="DE235" s="43">
        <v>308</v>
      </c>
      <c r="DF235" s="43">
        <v>48</v>
      </c>
      <c r="DG235" s="43">
        <v>26</v>
      </c>
      <c r="DH235" s="43">
        <v>24</v>
      </c>
      <c r="DI235" s="43">
        <v>24</v>
      </c>
      <c r="DJ235" s="43"/>
      <c r="DK235" s="43">
        <v>48</v>
      </c>
      <c r="DL235" s="43">
        <v>24</v>
      </c>
      <c r="DM235" s="43">
        <v>28</v>
      </c>
      <c r="DN235" s="43">
        <v>12</v>
      </c>
      <c r="DO235" s="43">
        <v>24</v>
      </c>
      <c r="DP235" s="43">
        <v>3</v>
      </c>
      <c r="DQ235" s="43">
        <v>72</v>
      </c>
      <c r="DR235" s="43">
        <v>4</v>
      </c>
      <c r="DS235" s="43">
        <v>0</v>
      </c>
      <c r="DT235" s="43">
        <v>0</v>
      </c>
      <c r="DU235" s="43">
        <v>74</v>
      </c>
      <c r="DV235" s="43">
        <v>12</v>
      </c>
      <c r="DW235" s="43">
        <v>55</v>
      </c>
      <c r="DX235" s="43">
        <v>0</v>
      </c>
      <c r="DY235" s="43">
        <v>96</v>
      </c>
      <c r="DZ235" s="43">
        <v>48</v>
      </c>
      <c r="EA235" s="43">
        <v>48</v>
      </c>
      <c r="EB235" s="43">
        <v>0</v>
      </c>
      <c r="EC235" s="43">
        <v>81</v>
      </c>
      <c r="ED235" s="43">
        <v>4</v>
      </c>
      <c r="EE235" s="43">
        <v>0</v>
      </c>
      <c r="EF235" s="43">
        <v>2</v>
      </c>
      <c r="EG235" s="43">
        <v>24</v>
      </c>
      <c r="EH235" s="43">
        <v>24</v>
      </c>
      <c r="EI235" s="43"/>
      <c r="EJ235" s="43">
        <v>48</v>
      </c>
      <c r="EK235" s="43">
        <v>96</v>
      </c>
      <c r="EL235" s="43">
        <v>84</v>
      </c>
      <c r="EM235" s="43">
        <v>60</v>
      </c>
      <c r="EN235" s="43">
        <v>60</v>
      </c>
      <c r="EO235" s="43">
        <v>48</v>
      </c>
      <c r="EP235" s="43">
        <v>84</v>
      </c>
      <c r="EQ235" s="43">
        <v>24</v>
      </c>
      <c r="ER235" s="43">
        <v>24</v>
      </c>
      <c r="ES235" s="43"/>
      <c r="ET235" s="43">
        <v>0</v>
      </c>
      <c r="EU235" s="43">
        <v>72</v>
      </c>
      <c r="EV235" s="43">
        <v>72</v>
      </c>
      <c r="EW235" s="43">
        <v>48</v>
      </c>
      <c r="EX235" s="43">
        <v>48</v>
      </c>
      <c r="EY235" s="43">
        <v>24</v>
      </c>
      <c r="EZ235" s="43">
        <v>0</v>
      </c>
      <c r="FA235" s="43">
        <v>130</v>
      </c>
      <c r="FB235" s="43">
        <v>48</v>
      </c>
      <c r="FC235" s="43">
        <v>42</v>
      </c>
      <c r="FD235" s="43">
        <v>18</v>
      </c>
      <c r="FE235" s="43">
        <v>78</v>
      </c>
      <c r="FF235" s="43">
        <v>246</v>
      </c>
      <c r="FG235" s="43">
        <v>36</v>
      </c>
      <c r="FH235" s="43">
        <v>24</v>
      </c>
      <c r="FI235" s="43">
        <v>9</v>
      </c>
      <c r="FJ235" s="43">
        <v>48</v>
      </c>
      <c r="FK235" s="43"/>
      <c r="FL235" s="43"/>
      <c r="FM235" s="43"/>
      <c r="FN235" s="66">
        <f t="shared" si="562"/>
        <v>0</v>
      </c>
      <c r="FO235" s="67">
        <f t="shared" si="563"/>
        <v>0</v>
      </c>
      <c r="FP235" s="67">
        <f t="shared" si="564"/>
        <v>0</v>
      </c>
      <c r="FQ235" s="67">
        <f t="shared" si="565"/>
        <v>0</v>
      </c>
      <c r="FR235" s="67">
        <f t="shared" si="566"/>
        <v>247</v>
      </c>
      <c r="FS235" s="67">
        <f t="shared" si="567"/>
        <v>756</v>
      </c>
      <c r="FT235" s="67">
        <f t="shared" si="568"/>
        <v>422</v>
      </c>
      <c r="FU235" s="67">
        <f t="shared" si="569"/>
        <v>272</v>
      </c>
      <c r="FV235" s="67">
        <f t="shared" si="570"/>
        <v>492</v>
      </c>
      <c r="FW235" s="67">
        <f t="shared" si="571"/>
        <v>536</v>
      </c>
      <c r="FX235" s="67">
        <f t="shared" si="572"/>
        <v>689</v>
      </c>
      <c r="FY235" s="67">
        <f t="shared" si="573"/>
        <v>638</v>
      </c>
      <c r="FZ235" s="67">
        <f t="shared" si="574"/>
        <v>452</v>
      </c>
      <c r="GA235" s="67">
        <f t="shared" si="575"/>
        <v>354</v>
      </c>
      <c r="GB235" s="67">
        <f t="shared" si="576"/>
        <v>28</v>
      </c>
      <c r="GC235" s="67">
        <f t="shared" si="577"/>
        <v>72</v>
      </c>
      <c r="GD235" s="67">
        <f t="shared" si="578"/>
        <v>3</v>
      </c>
      <c r="GE235" s="67">
        <f t="shared" si="579"/>
        <v>377</v>
      </c>
      <c r="GF235" s="67">
        <f t="shared" si="580"/>
        <v>331</v>
      </c>
      <c r="GG235" s="67">
        <f t="shared" si="581"/>
        <v>458</v>
      </c>
      <c r="GH235" s="67">
        <f t="shared" si="582"/>
        <v>587</v>
      </c>
      <c r="GI235" s="67">
        <f t="shared" si="583"/>
        <v>472</v>
      </c>
      <c r="GJ235" s="67">
        <f t="shared" si="584"/>
        <v>388</v>
      </c>
      <c r="GK235" s="67">
        <f t="shared" si="585"/>
        <v>451</v>
      </c>
      <c r="GL235" s="67">
        <f t="shared" si="586"/>
        <v>234</v>
      </c>
      <c r="GM235" s="67">
        <f t="shared" si="587"/>
        <v>423</v>
      </c>
      <c r="GN235" s="67">
        <f t="shared" si="588"/>
        <v>838</v>
      </c>
      <c r="GO235" s="67">
        <f t="shared" si="589"/>
        <v>851</v>
      </c>
      <c r="GP235" s="67">
        <f t="shared" si="590"/>
        <v>14</v>
      </c>
      <c r="GQ235" s="67">
        <f t="shared" si="591"/>
        <v>272</v>
      </c>
      <c r="GR235" s="67">
        <f t="shared" si="592"/>
        <v>393</v>
      </c>
      <c r="GS235" s="67">
        <f t="shared" si="593"/>
        <v>209</v>
      </c>
      <c r="GT235" s="67">
        <f t="shared" si="594"/>
        <v>120</v>
      </c>
      <c r="GU235" s="67">
        <f t="shared" si="595"/>
        <v>420</v>
      </c>
      <c r="GV235" s="67">
        <f t="shared" si="596"/>
        <v>798</v>
      </c>
      <c r="GW235" s="67">
        <f t="shared" si="597"/>
        <v>994</v>
      </c>
      <c r="GX235" s="67">
        <f t="shared" si="598"/>
        <v>98</v>
      </c>
      <c r="GY235" s="67">
        <f t="shared" si="599"/>
        <v>72</v>
      </c>
      <c r="GZ235" s="67">
        <f t="shared" si="600"/>
        <v>64</v>
      </c>
      <c r="HA235" s="67">
        <f t="shared" si="601"/>
        <v>99</v>
      </c>
      <c r="HB235" s="67">
        <f t="shared" si="602"/>
        <v>4</v>
      </c>
      <c r="HC235" s="67">
        <f t="shared" si="603"/>
        <v>141</v>
      </c>
      <c r="HD235" s="67">
        <f t="shared" si="604"/>
        <v>144</v>
      </c>
      <c r="HE235" s="67">
        <f t="shared" si="605"/>
        <v>129</v>
      </c>
      <c r="HF235" s="67">
        <f t="shared" si="606"/>
        <v>6</v>
      </c>
      <c r="HG235" s="67">
        <f t="shared" si="607"/>
        <v>48</v>
      </c>
      <c r="HH235" s="67">
        <f t="shared" si="608"/>
        <v>228</v>
      </c>
      <c r="HI235" s="67">
        <f t="shared" si="609"/>
        <v>168</v>
      </c>
      <c r="HJ235" s="210">
        <f t="shared" si="610"/>
        <v>132</v>
      </c>
      <c r="HK235" s="210">
        <f t="shared" si="611"/>
        <v>72</v>
      </c>
      <c r="HL235" s="210">
        <f t="shared" si="612"/>
        <v>168</v>
      </c>
      <c r="HM235" s="210">
        <f t="shared" si="613"/>
        <v>154</v>
      </c>
      <c r="HN235" s="210">
        <f t="shared" si="660"/>
        <v>108</v>
      </c>
      <c r="HO235" s="210">
        <f t="shared" si="661"/>
        <v>360</v>
      </c>
      <c r="HP235" s="210">
        <f t="shared" si="662"/>
        <v>81</v>
      </c>
      <c r="HQ235" s="60"/>
      <c r="HR235" s="43"/>
      <c r="HS235" s="43"/>
      <c r="HT235" s="43"/>
      <c r="HU235" s="211">
        <f t="shared" si="669"/>
        <v>0</v>
      </c>
      <c r="HV235" s="211">
        <f t="shared" si="670"/>
        <v>1697</v>
      </c>
      <c r="HW235" s="211">
        <f t="shared" si="671"/>
        <v>2355</v>
      </c>
      <c r="HX235" s="212">
        <f t="shared" si="672"/>
        <v>906</v>
      </c>
      <c r="HY235" s="58">
        <f t="shared" si="673"/>
        <v>1169</v>
      </c>
      <c r="HZ235" s="58">
        <f t="shared" si="674"/>
        <v>1898</v>
      </c>
      <c r="IA235" s="58">
        <f t="shared" si="675"/>
        <v>2346</v>
      </c>
      <c r="IB235" s="64">
        <f t="shared" si="676"/>
        <v>888</v>
      </c>
      <c r="IC235" s="64">
        <f t="shared" si="677"/>
        <v>2332</v>
      </c>
      <c r="ID235" s="64">
        <f t="shared" si="663"/>
        <v>333</v>
      </c>
      <c r="IE235" s="64">
        <f t="shared" si="664"/>
        <v>418</v>
      </c>
      <c r="IF235" s="64">
        <f t="shared" si="665"/>
        <v>450</v>
      </c>
      <c r="IG235" s="64">
        <f t="shared" si="666"/>
        <v>526</v>
      </c>
    </row>
    <row r="236" spans="1:241" outlineLevel="2" x14ac:dyDescent="0.3">
      <c r="A236" s="260" t="s">
        <v>151</v>
      </c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>
        <v>0</v>
      </c>
      <c r="BS236" s="43">
        <v>0</v>
      </c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>
        <v>0</v>
      </c>
      <c r="CE236" s="43">
        <v>0</v>
      </c>
      <c r="CF236" s="43">
        <v>4</v>
      </c>
      <c r="CG236" s="43">
        <v>0</v>
      </c>
      <c r="CH236" s="43">
        <v>0</v>
      </c>
      <c r="CI236" s="43">
        <v>0</v>
      </c>
      <c r="CJ236" s="43">
        <v>2</v>
      </c>
      <c r="CK236" s="43">
        <v>0</v>
      </c>
      <c r="CL236" s="43">
        <v>0</v>
      </c>
      <c r="CM236" s="43">
        <v>0</v>
      </c>
      <c r="CN236" s="43">
        <v>0</v>
      </c>
      <c r="CO236" s="43">
        <v>0</v>
      </c>
      <c r="CP236" s="43">
        <v>0</v>
      </c>
      <c r="CQ236" s="43">
        <v>0</v>
      </c>
      <c r="CR236" s="43">
        <v>0</v>
      </c>
      <c r="CS236" s="43">
        <v>0</v>
      </c>
      <c r="CT236" s="43"/>
      <c r="CU236" s="43"/>
      <c r="CV236" s="43">
        <v>24</v>
      </c>
      <c r="CW236" s="43">
        <v>0</v>
      </c>
      <c r="CX236" s="43">
        <v>49</v>
      </c>
      <c r="CY236" s="43">
        <v>19</v>
      </c>
      <c r="CZ236" s="43">
        <v>68</v>
      </c>
      <c r="DA236" s="43">
        <v>49</v>
      </c>
      <c r="DB236" s="43">
        <v>0</v>
      </c>
      <c r="DC236" s="43">
        <v>2</v>
      </c>
      <c r="DD236" s="43">
        <v>5</v>
      </c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>
        <v>1357</v>
      </c>
      <c r="FJ236" s="43"/>
      <c r="FK236" s="43"/>
      <c r="FL236" s="43"/>
      <c r="FM236" s="43"/>
      <c r="FN236" s="66">
        <f t="shared" si="562"/>
        <v>0</v>
      </c>
      <c r="FO236" s="67">
        <f t="shared" si="563"/>
        <v>0</v>
      </c>
      <c r="FP236" s="67">
        <f t="shared" si="564"/>
        <v>0</v>
      </c>
      <c r="FQ236" s="67">
        <f t="shared" si="565"/>
        <v>0</v>
      </c>
      <c r="FR236" s="67">
        <f t="shared" si="566"/>
        <v>0</v>
      </c>
      <c r="FS236" s="67">
        <f t="shared" si="567"/>
        <v>0</v>
      </c>
      <c r="FT236" s="67">
        <f t="shared" si="568"/>
        <v>0</v>
      </c>
      <c r="FU236" s="67">
        <f t="shared" si="569"/>
        <v>0</v>
      </c>
      <c r="FV236" s="67">
        <f t="shared" si="570"/>
        <v>0</v>
      </c>
      <c r="FW236" s="67">
        <f t="shared" si="571"/>
        <v>0</v>
      </c>
      <c r="FX236" s="67">
        <f t="shared" si="572"/>
        <v>0</v>
      </c>
      <c r="FY236" s="67">
        <f t="shared" si="573"/>
        <v>0</v>
      </c>
      <c r="FZ236" s="67">
        <f t="shared" si="574"/>
        <v>0</v>
      </c>
      <c r="GA236" s="67">
        <f t="shared" si="575"/>
        <v>0</v>
      </c>
      <c r="GB236" s="67">
        <f t="shared" si="576"/>
        <v>0</v>
      </c>
      <c r="GC236" s="67">
        <f t="shared" si="577"/>
        <v>0</v>
      </c>
      <c r="GD236" s="67">
        <f t="shared" si="578"/>
        <v>0</v>
      </c>
      <c r="GE236" s="67">
        <f t="shared" si="579"/>
        <v>0</v>
      </c>
      <c r="GF236" s="67">
        <f t="shared" si="580"/>
        <v>0</v>
      </c>
      <c r="GG236" s="67">
        <f t="shared" si="581"/>
        <v>0</v>
      </c>
      <c r="GH236" s="67">
        <f t="shared" si="582"/>
        <v>0</v>
      </c>
      <c r="GI236" s="67">
        <f t="shared" si="583"/>
        <v>0</v>
      </c>
      <c r="GJ236" s="67">
        <f t="shared" si="584"/>
        <v>0</v>
      </c>
      <c r="GK236" s="67">
        <f t="shared" si="585"/>
        <v>0</v>
      </c>
      <c r="GL236" s="67">
        <f t="shared" si="586"/>
        <v>0</v>
      </c>
      <c r="GM236" s="67">
        <f t="shared" si="587"/>
        <v>0</v>
      </c>
      <c r="GN236" s="67">
        <f t="shared" si="588"/>
        <v>0</v>
      </c>
      <c r="GO236" s="67">
        <f t="shared" si="589"/>
        <v>4</v>
      </c>
      <c r="GP236" s="67">
        <f t="shared" si="590"/>
        <v>2</v>
      </c>
      <c r="GQ236" s="67">
        <f t="shared" si="591"/>
        <v>0</v>
      </c>
      <c r="GR236" s="67">
        <f t="shared" si="592"/>
        <v>0</v>
      </c>
      <c r="GS236" s="67">
        <f t="shared" si="593"/>
        <v>0</v>
      </c>
      <c r="GT236" s="67">
        <f t="shared" si="594"/>
        <v>24</v>
      </c>
      <c r="GU236" s="67">
        <f t="shared" si="595"/>
        <v>68</v>
      </c>
      <c r="GV236" s="67">
        <f t="shared" si="596"/>
        <v>117</v>
      </c>
      <c r="GW236" s="67">
        <f t="shared" si="597"/>
        <v>7</v>
      </c>
      <c r="GX236" s="67">
        <f t="shared" si="598"/>
        <v>0</v>
      </c>
      <c r="GY236" s="67">
        <f t="shared" si="599"/>
        <v>0</v>
      </c>
      <c r="GZ236" s="67">
        <f t="shared" si="600"/>
        <v>0</v>
      </c>
      <c r="HA236" s="67">
        <f t="shared" si="601"/>
        <v>0</v>
      </c>
      <c r="HB236" s="67">
        <f t="shared" si="602"/>
        <v>0</v>
      </c>
      <c r="HC236" s="67">
        <f t="shared" si="603"/>
        <v>0</v>
      </c>
      <c r="HD236" s="67">
        <f t="shared" si="604"/>
        <v>0</v>
      </c>
      <c r="HE236" s="67">
        <f t="shared" si="605"/>
        <v>0</v>
      </c>
      <c r="HF236" s="67">
        <f t="shared" si="606"/>
        <v>0</v>
      </c>
      <c r="HG236" s="67">
        <f t="shared" si="607"/>
        <v>0</v>
      </c>
      <c r="HH236" s="67">
        <f t="shared" si="608"/>
        <v>0</v>
      </c>
      <c r="HI236" s="67">
        <f t="shared" si="609"/>
        <v>0</v>
      </c>
      <c r="HJ236" s="210">
        <f t="shared" si="610"/>
        <v>0</v>
      </c>
      <c r="HK236" s="210">
        <f t="shared" si="611"/>
        <v>0</v>
      </c>
      <c r="HL236" s="210">
        <f t="shared" si="612"/>
        <v>0</v>
      </c>
      <c r="HM236" s="210">
        <f t="shared" si="613"/>
        <v>0</v>
      </c>
      <c r="HN236" s="210">
        <f t="shared" si="660"/>
        <v>0</v>
      </c>
      <c r="HO236" s="210">
        <f t="shared" si="661"/>
        <v>0</v>
      </c>
      <c r="HP236" s="210">
        <f t="shared" si="662"/>
        <v>1357</v>
      </c>
      <c r="HQ236" s="60"/>
      <c r="HR236" s="43"/>
      <c r="HS236" s="43"/>
      <c r="HT236" s="43"/>
      <c r="HU236" s="211">
        <f t="shared" si="669"/>
        <v>0</v>
      </c>
      <c r="HV236" s="211">
        <f t="shared" si="670"/>
        <v>0</v>
      </c>
      <c r="HW236" s="211">
        <f t="shared" si="671"/>
        <v>0</v>
      </c>
      <c r="HX236" s="212">
        <f t="shared" si="672"/>
        <v>0</v>
      </c>
      <c r="HY236" s="58">
        <f t="shared" si="673"/>
        <v>0</v>
      </c>
      <c r="HZ236" s="58">
        <f t="shared" si="674"/>
        <v>0</v>
      </c>
      <c r="IA236" s="58">
        <f t="shared" si="675"/>
        <v>4</v>
      </c>
      <c r="IB236" s="64">
        <f t="shared" si="676"/>
        <v>2</v>
      </c>
      <c r="IC236" s="64">
        <f t="shared" si="677"/>
        <v>216</v>
      </c>
      <c r="ID236" s="64">
        <f t="shared" si="663"/>
        <v>0</v>
      </c>
      <c r="IE236" s="64">
        <f t="shared" si="664"/>
        <v>0</v>
      </c>
      <c r="IF236" s="64">
        <f t="shared" si="665"/>
        <v>0</v>
      </c>
      <c r="IG236" s="64">
        <f t="shared" si="666"/>
        <v>0</v>
      </c>
    </row>
    <row r="237" spans="1:241" outlineLevel="2" x14ac:dyDescent="0.3">
      <c r="A237" s="259" t="s">
        <v>122</v>
      </c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>
        <v>1575</v>
      </c>
      <c r="O237" s="43">
        <v>603</v>
      </c>
      <c r="P237" s="43">
        <v>1297</v>
      </c>
      <c r="Q237" s="43">
        <v>1714</v>
      </c>
      <c r="R237" s="43">
        <v>1316</v>
      </c>
      <c r="S237" s="43">
        <v>1466</v>
      </c>
      <c r="T237" s="43">
        <v>1871</v>
      </c>
      <c r="U237" s="43">
        <v>1575</v>
      </c>
      <c r="V237" s="43">
        <v>1762</v>
      </c>
      <c r="W237" s="43">
        <v>1689</v>
      </c>
      <c r="X237" s="43">
        <v>1822</v>
      </c>
      <c r="Y237" s="43">
        <v>2006</v>
      </c>
      <c r="Z237" s="43">
        <v>2409</v>
      </c>
      <c r="AA237" s="43">
        <v>2513</v>
      </c>
      <c r="AB237" s="43">
        <v>2215</v>
      </c>
      <c r="AC237" s="43">
        <v>2356</v>
      </c>
      <c r="AD237" s="43">
        <v>2277</v>
      </c>
      <c r="AE237" s="43">
        <v>1971</v>
      </c>
      <c r="AF237" s="43">
        <v>1565</v>
      </c>
      <c r="AG237" s="43">
        <v>2465</v>
      </c>
      <c r="AH237" s="43">
        <v>1688</v>
      </c>
      <c r="AI237" s="43">
        <v>1870</v>
      </c>
      <c r="AJ237" s="43">
        <v>1602</v>
      </c>
      <c r="AK237" s="43">
        <v>2063</v>
      </c>
      <c r="AL237" s="43">
        <v>1949</v>
      </c>
      <c r="AM237" s="43">
        <v>1966</v>
      </c>
      <c r="AN237" s="43">
        <v>2653</v>
      </c>
      <c r="AO237" s="43">
        <v>2778</v>
      </c>
      <c r="AP237" s="43">
        <v>2341</v>
      </c>
      <c r="AQ237" s="43">
        <v>2215</v>
      </c>
      <c r="AR237" s="43">
        <v>1672</v>
      </c>
      <c r="AS237" s="43">
        <v>1883</v>
      </c>
      <c r="AT237" s="43">
        <v>723</v>
      </c>
      <c r="AU237" s="43">
        <v>613</v>
      </c>
      <c r="AV237" s="43">
        <v>983</v>
      </c>
      <c r="AW237" s="43">
        <v>2239</v>
      </c>
      <c r="AX237" s="43">
        <v>1576</v>
      </c>
      <c r="AY237" s="43">
        <v>1298</v>
      </c>
      <c r="AZ237" s="43">
        <v>1216</v>
      </c>
      <c r="BA237" s="43">
        <v>2236</v>
      </c>
      <c r="BB237" s="43">
        <v>1168</v>
      </c>
      <c r="BC237" s="43">
        <v>1855</v>
      </c>
      <c r="BD237" s="43">
        <v>1391</v>
      </c>
      <c r="BE237" s="43">
        <v>626</v>
      </c>
      <c r="BF237" s="43">
        <v>1085</v>
      </c>
      <c r="BG237" s="43">
        <v>800</v>
      </c>
      <c r="BH237" s="43">
        <v>926</v>
      </c>
      <c r="BI237" s="43">
        <v>1298</v>
      </c>
      <c r="BJ237" s="43">
        <v>1096</v>
      </c>
      <c r="BK237" s="43">
        <v>1704</v>
      </c>
      <c r="BL237" s="43">
        <v>1805</v>
      </c>
      <c r="BM237" s="43">
        <v>1730</v>
      </c>
      <c r="BN237" s="43">
        <v>1832</v>
      </c>
      <c r="BO237" s="43">
        <v>1982</v>
      </c>
      <c r="BP237" s="43">
        <v>1611</v>
      </c>
      <c r="BQ237" s="43">
        <v>2152</v>
      </c>
      <c r="BR237" s="43">
        <v>2752</v>
      </c>
      <c r="BS237" s="43">
        <v>1511</v>
      </c>
      <c r="BT237" s="43">
        <v>2098</v>
      </c>
      <c r="BU237" s="43">
        <v>2133</v>
      </c>
      <c r="BV237" s="43">
        <v>2399</v>
      </c>
      <c r="BW237" s="43">
        <v>2674</v>
      </c>
      <c r="BX237" s="43">
        <v>2960</v>
      </c>
      <c r="BY237" s="43">
        <v>2327</v>
      </c>
      <c r="BZ237" s="43">
        <v>3104</v>
      </c>
      <c r="CA237" s="43">
        <v>3911</v>
      </c>
      <c r="CB237" s="43">
        <f>3489</f>
        <v>3489</v>
      </c>
      <c r="CC237" s="43">
        <v>3655</v>
      </c>
      <c r="CD237" s="43">
        <v>2943</v>
      </c>
      <c r="CE237" s="43">
        <v>2333</v>
      </c>
      <c r="CF237" s="43">
        <v>3062</v>
      </c>
      <c r="CG237" s="43">
        <v>3956</v>
      </c>
      <c r="CH237" s="43">
        <v>2966</v>
      </c>
      <c r="CI237" s="43">
        <v>3216</v>
      </c>
      <c r="CJ237" s="43">
        <v>3087</v>
      </c>
      <c r="CK237" s="43">
        <v>2597</v>
      </c>
      <c r="CL237" s="43">
        <v>3432</v>
      </c>
      <c r="CM237" s="43">
        <v>3149</v>
      </c>
      <c r="CN237" s="43">
        <v>2733</v>
      </c>
      <c r="CO237" s="43">
        <v>2778</v>
      </c>
      <c r="CP237" s="43">
        <v>3288</v>
      </c>
      <c r="CQ237" s="43">
        <v>2088</v>
      </c>
      <c r="CR237" s="43">
        <v>2593</v>
      </c>
      <c r="CS237" s="43">
        <v>2052</v>
      </c>
      <c r="CT237" s="43"/>
      <c r="CU237" s="43">
        <v>1196</v>
      </c>
      <c r="CV237" s="43">
        <v>526</v>
      </c>
      <c r="CW237" s="43">
        <v>466</v>
      </c>
      <c r="CX237" s="43">
        <v>2396</v>
      </c>
      <c r="CY237" s="43">
        <v>1385</v>
      </c>
      <c r="CZ237" s="43">
        <v>1436</v>
      </c>
      <c r="DA237" s="43">
        <v>17</v>
      </c>
      <c r="DB237" s="43">
        <v>2970</v>
      </c>
      <c r="DC237" s="43">
        <v>1856</v>
      </c>
      <c r="DD237" s="43">
        <v>2326</v>
      </c>
      <c r="DE237" s="43">
        <v>3064</v>
      </c>
      <c r="DF237" s="43">
        <v>2130</v>
      </c>
      <c r="DG237" s="43">
        <v>1250</v>
      </c>
      <c r="DH237" s="43">
        <v>3128</v>
      </c>
      <c r="DI237" s="43">
        <v>1876</v>
      </c>
      <c r="DJ237" s="43">
        <v>1038</v>
      </c>
      <c r="DK237" s="43">
        <v>2083</v>
      </c>
      <c r="DL237" s="43">
        <v>1128</v>
      </c>
      <c r="DM237" s="43">
        <v>736</v>
      </c>
      <c r="DN237" s="43">
        <v>2436</v>
      </c>
      <c r="DO237" s="43">
        <v>1051</v>
      </c>
      <c r="DP237" s="43">
        <v>2023</v>
      </c>
      <c r="DQ237" s="43">
        <v>2879</v>
      </c>
      <c r="DR237" s="43">
        <v>1308</v>
      </c>
      <c r="DS237" s="43">
        <v>1805</v>
      </c>
      <c r="DT237" s="43">
        <v>2214</v>
      </c>
      <c r="DU237" s="43">
        <v>2282</v>
      </c>
      <c r="DV237" s="43">
        <v>3443</v>
      </c>
      <c r="DW237" s="43">
        <v>2347</v>
      </c>
      <c r="DX237" s="43">
        <v>3221</v>
      </c>
      <c r="DY237" s="43">
        <v>2894</v>
      </c>
      <c r="DZ237" s="43">
        <v>1275</v>
      </c>
      <c r="EA237" s="43">
        <v>1919</v>
      </c>
      <c r="EB237" s="43">
        <v>-92</v>
      </c>
      <c r="EC237" s="43">
        <v>827</v>
      </c>
      <c r="ED237" s="43">
        <v>1326</v>
      </c>
      <c r="EE237" s="43">
        <v>1805</v>
      </c>
      <c r="EF237" s="43">
        <v>291</v>
      </c>
      <c r="EG237" s="43">
        <v>727</v>
      </c>
      <c r="EH237" s="43">
        <v>768</v>
      </c>
      <c r="EI237" s="43">
        <v>914</v>
      </c>
      <c r="EJ237" s="43">
        <v>726</v>
      </c>
      <c r="EK237" s="43">
        <v>935</v>
      </c>
      <c r="EL237" s="43">
        <v>1012</v>
      </c>
      <c r="EM237" s="43">
        <v>1025</v>
      </c>
      <c r="EN237" s="43">
        <v>1580</v>
      </c>
      <c r="EO237" s="43">
        <v>1501</v>
      </c>
      <c r="EP237" s="43">
        <v>974</v>
      </c>
      <c r="EQ237" s="43">
        <v>1247</v>
      </c>
      <c r="ER237" s="43">
        <v>1027</v>
      </c>
      <c r="ES237" s="43">
        <v>814</v>
      </c>
      <c r="ET237" s="43">
        <v>1106</v>
      </c>
      <c r="EU237" s="43">
        <v>1146</v>
      </c>
      <c r="EV237" s="43">
        <v>1087</v>
      </c>
      <c r="EW237" s="43">
        <v>874</v>
      </c>
      <c r="EX237" s="43">
        <v>1068</v>
      </c>
      <c r="EY237" s="43">
        <v>1097</v>
      </c>
      <c r="EZ237" s="43">
        <v>1147</v>
      </c>
      <c r="FA237" s="43">
        <v>1305</v>
      </c>
      <c r="FB237" s="43">
        <v>1234</v>
      </c>
      <c r="FC237" s="43">
        <v>1593</v>
      </c>
      <c r="FD237" s="43">
        <v>1732</v>
      </c>
      <c r="FE237" s="43">
        <v>1285</v>
      </c>
      <c r="FF237" s="43">
        <v>1366</v>
      </c>
      <c r="FG237" s="43">
        <v>1726</v>
      </c>
      <c r="FH237" s="43">
        <v>1384</v>
      </c>
      <c r="FI237" s="43"/>
      <c r="FJ237" s="43">
        <v>1707</v>
      </c>
      <c r="FK237" s="43"/>
      <c r="FL237" s="43"/>
      <c r="FM237" s="43"/>
      <c r="FN237" s="66">
        <f t="shared" si="562"/>
        <v>0</v>
      </c>
      <c r="FO237" s="67">
        <f t="shared" si="563"/>
        <v>0</v>
      </c>
      <c r="FP237" s="67">
        <f t="shared" si="564"/>
        <v>0</v>
      </c>
      <c r="FQ237" s="67">
        <f t="shared" si="565"/>
        <v>0</v>
      </c>
      <c r="FR237" s="67">
        <f t="shared" si="566"/>
        <v>3475</v>
      </c>
      <c r="FS237" s="67">
        <f t="shared" si="567"/>
        <v>4496</v>
      </c>
      <c r="FT237" s="67">
        <f t="shared" si="568"/>
        <v>5208</v>
      </c>
      <c r="FU237" s="67">
        <f t="shared" si="569"/>
        <v>5517</v>
      </c>
      <c r="FV237" s="67">
        <f t="shared" si="570"/>
        <v>7137</v>
      </c>
      <c r="FW237" s="67">
        <f t="shared" si="571"/>
        <v>6604</v>
      </c>
      <c r="FX237" s="67">
        <f t="shared" si="572"/>
        <v>5718</v>
      </c>
      <c r="FY237" s="67">
        <f t="shared" si="573"/>
        <v>5535</v>
      </c>
      <c r="FZ237" s="67">
        <f t="shared" si="574"/>
        <v>6568</v>
      </c>
      <c r="GA237" s="67">
        <f t="shared" si="575"/>
        <v>7334</v>
      </c>
      <c r="GB237" s="67">
        <f t="shared" si="576"/>
        <v>4278</v>
      </c>
      <c r="GC237" s="67">
        <f t="shared" si="577"/>
        <v>3835</v>
      </c>
      <c r="GD237" s="67">
        <f t="shared" si="578"/>
        <v>4090</v>
      </c>
      <c r="GE237" s="67">
        <f t="shared" si="579"/>
        <v>5259</v>
      </c>
      <c r="GF237" s="67">
        <f t="shared" si="580"/>
        <v>3102</v>
      </c>
      <c r="GG237" s="67">
        <f t="shared" si="581"/>
        <v>3024</v>
      </c>
      <c r="GH237" s="67">
        <f t="shared" si="582"/>
        <v>4605</v>
      </c>
      <c r="GI237" s="67">
        <f t="shared" si="583"/>
        <v>5544</v>
      </c>
      <c r="GJ237" s="67">
        <f t="shared" si="584"/>
        <v>6515</v>
      </c>
      <c r="GK237" s="67">
        <f t="shared" si="585"/>
        <v>5742</v>
      </c>
      <c r="GL237" s="67">
        <f t="shared" si="586"/>
        <v>8033</v>
      </c>
      <c r="GM237" s="67">
        <f t="shared" si="587"/>
        <v>9342</v>
      </c>
      <c r="GN237" s="67">
        <f t="shared" si="588"/>
        <v>10087</v>
      </c>
      <c r="GO237" s="67">
        <f t="shared" si="589"/>
        <v>9351</v>
      </c>
      <c r="GP237" s="67">
        <f t="shared" si="590"/>
        <v>9269</v>
      </c>
      <c r="GQ237" s="67">
        <f t="shared" si="591"/>
        <v>9178</v>
      </c>
      <c r="GR237" s="67">
        <f t="shared" si="592"/>
        <v>8799</v>
      </c>
      <c r="GS237" s="67">
        <f t="shared" si="593"/>
        <v>6733</v>
      </c>
      <c r="GT237" s="67">
        <f t="shared" si="594"/>
        <v>1722</v>
      </c>
      <c r="GU237" s="67">
        <f t="shared" si="595"/>
        <v>4247</v>
      </c>
      <c r="GV237" s="67">
        <f t="shared" si="596"/>
        <v>4423</v>
      </c>
      <c r="GW237" s="67">
        <f t="shared" si="597"/>
        <v>7246</v>
      </c>
      <c r="GX237" s="67">
        <f t="shared" si="598"/>
        <v>6508</v>
      </c>
      <c r="GY237" s="67">
        <f t="shared" si="599"/>
        <v>4997</v>
      </c>
      <c r="GZ237" s="67">
        <f t="shared" si="600"/>
        <v>4300</v>
      </c>
      <c r="HA237" s="67">
        <f t="shared" si="601"/>
        <v>5953</v>
      </c>
      <c r="HB237" s="67">
        <f t="shared" si="602"/>
        <v>5327</v>
      </c>
      <c r="HC237" s="67">
        <f t="shared" si="603"/>
        <v>8072</v>
      </c>
      <c r="HD237" s="67">
        <f t="shared" si="604"/>
        <v>7390</v>
      </c>
      <c r="HE237" s="67">
        <f t="shared" si="605"/>
        <v>2654</v>
      </c>
      <c r="HF237" s="67">
        <f t="shared" si="606"/>
        <v>3422</v>
      </c>
      <c r="HG237" s="67">
        <f t="shared" si="607"/>
        <v>2409</v>
      </c>
      <c r="HH237" s="67">
        <f t="shared" si="608"/>
        <v>2673</v>
      </c>
      <c r="HI237" s="67">
        <f t="shared" si="609"/>
        <v>4106</v>
      </c>
      <c r="HJ237" s="210">
        <f t="shared" si="610"/>
        <v>3248</v>
      </c>
      <c r="HK237" s="210">
        <f t="shared" si="611"/>
        <v>3066</v>
      </c>
      <c r="HL237" s="210">
        <f t="shared" si="612"/>
        <v>3029</v>
      </c>
      <c r="HM237" s="210">
        <f t="shared" si="613"/>
        <v>3549</v>
      </c>
      <c r="HN237" s="210">
        <f t="shared" si="660"/>
        <v>4559</v>
      </c>
      <c r="HO237" s="210">
        <f t="shared" si="661"/>
        <v>4377</v>
      </c>
      <c r="HP237" s="210">
        <f t="shared" si="662"/>
        <v>3091</v>
      </c>
      <c r="HQ237" s="60"/>
      <c r="HR237" s="43"/>
      <c r="HS237" s="43"/>
      <c r="HT237" s="43"/>
      <c r="HU237" s="211">
        <f t="shared" si="669"/>
        <v>0</v>
      </c>
      <c r="HV237" s="211">
        <f t="shared" si="670"/>
        <v>18696</v>
      </c>
      <c r="HW237" s="211">
        <f t="shared" si="671"/>
        <v>24994</v>
      </c>
      <c r="HX237" s="212">
        <f t="shared" si="672"/>
        <v>22015</v>
      </c>
      <c r="HY237" s="58">
        <f t="shared" si="673"/>
        <v>15475</v>
      </c>
      <c r="HZ237" s="58">
        <f t="shared" si="674"/>
        <v>22406</v>
      </c>
      <c r="IA237" s="58">
        <f t="shared" si="675"/>
        <v>36813</v>
      </c>
      <c r="IB237" s="64">
        <f t="shared" si="676"/>
        <v>33979</v>
      </c>
      <c r="IC237" s="64">
        <f t="shared" si="677"/>
        <v>17638</v>
      </c>
      <c r="ID237" s="64">
        <f t="shared" si="663"/>
        <v>21758</v>
      </c>
      <c r="IE237" s="64">
        <f t="shared" si="664"/>
        <v>23443</v>
      </c>
      <c r="IF237" s="64">
        <f t="shared" si="665"/>
        <v>12610</v>
      </c>
      <c r="IG237" s="64">
        <f t="shared" si="666"/>
        <v>12892</v>
      </c>
    </row>
    <row r="238" spans="1:241" outlineLevel="2" x14ac:dyDescent="0.3">
      <c r="A238" s="260" t="s">
        <v>186</v>
      </c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  <c r="V238" s="43"/>
      <c r="W238" s="43">
        <v>0</v>
      </c>
      <c r="X238" s="43">
        <v>0</v>
      </c>
      <c r="Y238" s="43">
        <v>0</v>
      </c>
      <c r="Z238" s="43">
        <v>0</v>
      </c>
      <c r="AA238" s="43">
        <v>0</v>
      </c>
      <c r="AB238" s="43">
        <v>0</v>
      </c>
      <c r="AC238" s="43">
        <v>0</v>
      </c>
      <c r="AD238" s="43">
        <v>0</v>
      </c>
      <c r="AE238" s="43">
        <v>0</v>
      </c>
      <c r="AF238" s="43">
        <v>0</v>
      </c>
      <c r="AG238" s="43">
        <v>0</v>
      </c>
      <c r="AH238" s="43"/>
      <c r="AI238" s="43">
        <v>0</v>
      </c>
      <c r="AJ238" s="43">
        <v>0</v>
      </c>
      <c r="AK238" s="43">
        <v>0</v>
      </c>
      <c r="AL238" s="43">
        <v>0</v>
      </c>
      <c r="AM238" s="43">
        <v>0</v>
      </c>
      <c r="AN238" s="43">
        <v>0</v>
      </c>
      <c r="AO238" s="43">
        <v>0</v>
      </c>
      <c r="AP238" s="43">
        <v>0</v>
      </c>
      <c r="AQ238" s="43">
        <v>0</v>
      </c>
      <c r="AR238" s="43"/>
      <c r="AS238" s="43"/>
      <c r="AT238" s="43"/>
      <c r="AU238" s="43"/>
      <c r="AV238" s="43">
        <v>0</v>
      </c>
      <c r="AW238" s="43">
        <v>0</v>
      </c>
      <c r="AX238" s="43">
        <v>0</v>
      </c>
      <c r="AY238" s="43">
        <v>0</v>
      </c>
      <c r="AZ238" s="43">
        <v>0</v>
      </c>
      <c r="BA238" s="43">
        <v>0</v>
      </c>
      <c r="BB238" s="43">
        <v>0</v>
      </c>
      <c r="BC238" s="43">
        <v>0</v>
      </c>
      <c r="BD238" s="43">
        <v>0</v>
      </c>
      <c r="BE238" s="43">
        <v>0</v>
      </c>
      <c r="BF238" s="43">
        <v>0</v>
      </c>
      <c r="BG238" s="43">
        <v>0</v>
      </c>
      <c r="BH238" s="43">
        <v>0</v>
      </c>
      <c r="BI238" s="43">
        <v>0</v>
      </c>
      <c r="BJ238" s="43">
        <v>0</v>
      </c>
      <c r="BK238" s="43">
        <v>0</v>
      </c>
      <c r="BL238" s="43">
        <v>0</v>
      </c>
      <c r="BM238" s="43">
        <v>0</v>
      </c>
      <c r="BN238" s="43">
        <v>0</v>
      </c>
      <c r="BO238" s="43">
        <v>0</v>
      </c>
      <c r="BP238" s="43">
        <v>0</v>
      </c>
      <c r="BQ238" s="43">
        <v>0</v>
      </c>
      <c r="BR238" s="43">
        <v>0</v>
      </c>
      <c r="BS238" s="43">
        <v>0</v>
      </c>
      <c r="BT238" s="43">
        <v>0</v>
      </c>
      <c r="BU238" s="43"/>
      <c r="BV238" s="43">
        <v>0</v>
      </c>
      <c r="BW238" s="43">
        <v>0</v>
      </c>
      <c r="BX238" s="43"/>
      <c r="BY238" s="43"/>
      <c r="BZ238" s="43"/>
      <c r="CA238" s="43"/>
      <c r="CB238" s="43">
        <v>0</v>
      </c>
      <c r="CC238" s="43">
        <v>0</v>
      </c>
      <c r="CD238" s="43">
        <v>0</v>
      </c>
      <c r="CE238" s="43">
        <v>6</v>
      </c>
      <c r="CF238" s="43">
        <v>0</v>
      </c>
      <c r="CG238" s="43">
        <v>0</v>
      </c>
      <c r="CH238" s="43">
        <v>0</v>
      </c>
      <c r="CI238" s="43">
        <v>0</v>
      </c>
      <c r="CJ238" s="43">
        <v>0</v>
      </c>
      <c r="CK238" s="43">
        <v>0</v>
      </c>
      <c r="CL238" s="43">
        <v>0</v>
      </c>
      <c r="CM238" s="43">
        <v>10</v>
      </c>
      <c r="CN238" s="43">
        <v>0</v>
      </c>
      <c r="CO238" s="43">
        <v>0</v>
      </c>
      <c r="CP238" s="43">
        <v>10</v>
      </c>
      <c r="CQ238" s="43">
        <v>0</v>
      </c>
      <c r="CR238" s="43">
        <v>0</v>
      </c>
      <c r="CS238" s="43">
        <v>0</v>
      </c>
      <c r="CT238" s="43"/>
      <c r="CU238" s="43">
        <v>0</v>
      </c>
      <c r="CV238" s="43">
        <v>0</v>
      </c>
      <c r="CW238" s="43">
        <v>0</v>
      </c>
      <c r="CX238" s="43">
        <v>0</v>
      </c>
      <c r="CY238" s="43">
        <v>0</v>
      </c>
      <c r="CZ238" s="43">
        <v>0</v>
      </c>
      <c r="DA238" s="43">
        <v>0</v>
      </c>
      <c r="DB238" s="43">
        <v>0</v>
      </c>
      <c r="DC238" s="43">
        <v>0</v>
      </c>
      <c r="DD238" s="43">
        <v>0</v>
      </c>
      <c r="DE238" s="43">
        <v>0</v>
      </c>
      <c r="DF238" s="43"/>
      <c r="DG238" s="43"/>
      <c r="DH238" s="43">
        <v>0</v>
      </c>
      <c r="DI238" s="43">
        <v>0</v>
      </c>
      <c r="DJ238" s="43">
        <v>0</v>
      </c>
      <c r="DK238" s="43">
        <v>0</v>
      </c>
      <c r="DL238" s="43">
        <v>0</v>
      </c>
      <c r="DM238" s="43">
        <v>0</v>
      </c>
      <c r="DN238" s="43">
        <v>0</v>
      </c>
      <c r="DO238" s="43">
        <v>0</v>
      </c>
      <c r="DP238" s="43">
        <v>0</v>
      </c>
      <c r="DQ238" s="43">
        <v>0</v>
      </c>
      <c r="DR238" s="43">
        <v>0</v>
      </c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>
        <v>2</v>
      </c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66">
        <f t="shared" si="562"/>
        <v>0</v>
      </c>
      <c r="FO238" s="67">
        <f t="shared" si="563"/>
        <v>0</v>
      </c>
      <c r="FP238" s="67">
        <f t="shared" si="564"/>
        <v>0</v>
      </c>
      <c r="FQ238" s="67">
        <f t="shared" si="565"/>
        <v>0</v>
      </c>
      <c r="FR238" s="67">
        <f t="shared" si="566"/>
        <v>0</v>
      </c>
      <c r="FS238" s="67">
        <f t="shared" si="567"/>
        <v>0</v>
      </c>
      <c r="FT238" s="67">
        <f t="shared" si="568"/>
        <v>0</v>
      </c>
      <c r="FU238" s="67">
        <f t="shared" si="569"/>
        <v>0</v>
      </c>
      <c r="FV238" s="67">
        <f t="shared" si="570"/>
        <v>0</v>
      </c>
      <c r="FW238" s="67">
        <f t="shared" si="571"/>
        <v>0</v>
      </c>
      <c r="FX238" s="67">
        <f t="shared" si="572"/>
        <v>0</v>
      </c>
      <c r="FY238" s="67">
        <f t="shared" si="573"/>
        <v>0</v>
      </c>
      <c r="FZ238" s="67">
        <f t="shared" si="574"/>
        <v>0</v>
      </c>
      <c r="GA238" s="67">
        <f t="shared" si="575"/>
        <v>0</v>
      </c>
      <c r="GB238" s="67">
        <f t="shared" si="576"/>
        <v>0</v>
      </c>
      <c r="GC238" s="67">
        <f t="shared" si="577"/>
        <v>0</v>
      </c>
      <c r="GD238" s="67">
        <f t="shared" si="578"/>
        <v>0</v>
      </c>
      <c r="GE238" s="67">
        <f t="shared" si="579"/>
        <v>0</v>
      </c>
      <c r="GF238" s="67">
        <f t="shared" si="580"/>
        <v>0</v>
      </c>
      <c r="GG238" s="67">
        <f t="shared" si="581"/>
        <v>0</v>
      </c>
      <c r="GH238" s="67">
        <f t="shared" si="582"/>
        <v>0</v>
      </c>
      <c r="GI238" s="67">
        <f t="shared" si="583"/>
        <v>0</v>
      </c>
      <c r="GJ238" s="67">
        <f t="shared" si="584"/>
        <v>0</v>
      </c>
      <c r="GK238" s="67">
        <f t="shared" si="585"/>
        <v>0</v>
      </c>
      <c r="GL238" s="67">
        <f t="shared" si="586"/>
        <v>0</v>
      </c>
      <c r="GM238" s="67">
        <f t="shared" si="587"/>
        <v>0</v>
      </c>
      <c r="GN238" s="67">
        <f t="shared" si="588"/>
        <v>0</v>
      </c>
      <c r="GO238" s="67">
        <f t="shared" si="589"/>
        <v>6</v>
      </c>
      <c r="GP238" s="67">
        <f t="shared" si="590"/>
        <v>0</v>
      </c>
      <c r="GQ238" s="67">
        <f t="shared" si="591"/>
        <v>10</v>
      </c>
      <c r="GR238" s="67">
        <f t="shared" si="592"/>
        <v>10</v>
      </c>
      <c r="GS238" s="67">
        <f t="shared" si="593"/>
        <v>0</v>
      </c>
      <c r="GT238" s="67">
        <f t="shared" si="594"/>
        <v>0</v>
      </c>
      <c r="GU238" s="67">
        <f t="shared" si="595"/>
        <v>0</v>
      </c>
      <c r="GV238" s="67">
        <f t="shared" si="596"/>
        <v>0</v>
      </c>
      <c r="GW238" s="67">
        <f t="shared" si="597"/>
        <v>0</v>
      </c>
      <c r="GX238" s="67">
        <f t="shared" si="598"/>
        <v>0</v>
      </c>
      <c r="GY238" s="67">
        <f t="shared" si="599"/>
        <v>0</v>
      </c>
      <c r="GZ238" s="67">
        <f t="shared" si="600"/>
        <v>0</v>
      </c>
      <c r="HA238" s="67">
        <f t="shared" si="601"/>
        <v>0</v>
      </c>
      <c r="HB238" s="67">
        <f t="shared" si="602"/>
        <v>0</v>
      </c>
      <c r="HC238" s="67">
        <f t="shared" si="603"/>
        <v>0</v>
      </c>
      <c r="HD238" s="67">
        <f t="shared" si="604"/>
        <v>0</v>
      </c>
      <c r="HE238" s="67">
        <f t="shared" si="605"/>
        <v>0</v>
      </c>
      <c r="HF238" s="67">
        <f t="shared" si="606"/>
        <v>0</v>
      </c>
      <c r="HG238" s="67">
        <f t="shared" si="607"/>
        <v>0</v>
      </c>
      <c r="HH238" s="67">
        <f t="shared" si="608"/>
        <v>0</v>
      </c>
      <c r="HI238" s="67">
        <f t="shared" si="609"/>
        <v>0</v>
      </c>
      <c r="HJ238" s="210">
        <f t="shared" si="610"/>
        <v>0</v>
      </c>
      <c r="HK238" s="210">
        <f t="shared" si="611"/>
        <v>0</v>
      </c>
      <c r="HL238" s="210">
        <f t="shared" si="612"/>
        <v>0</v>
      </c>
      <c r="HM238" s="210">
        <f t="shared" si="613"/>
        <v>0</v>
      </c>
      <c r="HN238" s="210">
        <f t="shared" si="660"/>
        <v>2</v>
      </c>
      <c r="HO238" s="210">
        <f t="shared" si="661"/>
        <v>0</v>
      </c>
      <c r="HP238" s="210">
        <f t="shared" si="662"/>
        <v>0</v>
      </c>
      <c r="HQ238" s="60"/>
      <c r="HR238" s="43"/>
      <c r="HS238" s="43"/>
      <c r="HT238" s="43"/>
      <c r="HU238" s="211">
        <f t="shared" si="669"/>
        <v>0</v>
      </c>
      <c r="HV238" s="211">
        <f t="shared" si="670"/>
        <v>0</v>
      </c>
      <c r="HW238" s="211">
        <f t="shared" si="671"/>
        <v>0</v>
      </c>
      <c r="HX238" s="212">
        <f t="shared" si="672"/>
        <v>0</v>
      </c>
      <c r="HY238" s="58">
        <f t="shared" si="673"/>
        <v>0</v>
      </c>
      <c r="HZ238" s="58">
        <f t="shared" si="674"/>
        <v>0</v>
      </c>
      <c r="IA238" s="58">
        <f t="shared" si="675"/>
        <v>6</v>
      </c>
      <c r="IB238" s="64">
        <f t="shared" si="676"/>
        <v>20</v>
      </c>
      <c r="IC238" s="64">
        <f t="shared" si="677"/>
        <v>0</v>
      </c>
      <c r="ID238" s="64">
        <f t="shared" si="663"/>
        <v>0</v>
      </c>
      <c r="IE238" s="64">
        <f t="shared" si="664"/>
        <v>0</v>
      </c>
      <c r="IF238" s="64">
        <f t="shared" si="665"/>
        <v>0</v>
      </c>
      <c r="IG238" s="64">
        <f t="shared" si="666"/>
        <v>0</v>
      </c>
    </row>
    <row r="239" spans="1:241" outlineLevel="2" x14ac:dyDescent="0.3">
      <c r="A239" s="259" t="s">
        <v>124</v>
      </c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>
        <v>4006</v>
      </c>
      <c r="O239" s="43">
        <v>5103</v>
      </c>
      <c r="P239" s="43">
        <v>6027</v>
      </c>
      <c r="Q239" s="43">
        <v>6005</v>
      </c>
      <c r="R239" s="43">
        <v>6051</v>
      </c>
      <c r="S239" s="43">
        <v>6566</v>
      </c>
      <c r="T239" s="43">
        <v>6404</v>
      </c>
      <c r="U239" s="43">
        <v>4952</v>
      </c>
      <c r="V239" s="43">
        <v>5103</v>
      </c>
      <c r="W239" s="43">
        <v>5437</v>
      </c>
      <c r="X239" s="43">
        <v>6069</v>
      </c>
      <c r="Y239" s="43">
        <v>6604</v>
      </c>
      <c r="Z239" s="43">
        <v>6378</v>
      </c>
      <c r="AA239" s="43">
        <v>7623</v>
      </c>
      <c r="AB239" s="43">
        <v>7380</v>
      </c>
      <c r="AC239" s="43">
        <v>7429</v>
      </c>
      <c r="AD239" s="43">
        <v>7959</v>
      </c>
      <c r="AE239" s="43">
        <v>7395</v>
      </c>
      <c r="AF239" s="43">
        <v>7159</v>
      </c>
      <c r="AG239" s="43">
        <v>7689</v>
      </c>
      <c r="AH239" s="43">
        <v>8413</v>
      </c>
      <c r="AI239" s="43">
        <v>5797</v>
      </c>
      <c r="AJ239" s="43">
        <v>7724</v>
      </c>
      <c r="AK239" s="43">
        <v>9827</v>
      </c>
      <c r="AL239" s="43">
        <v>8901</v>
      </c>
      <c r="AM239" s="43">
        <v>8285</v>
      </c>
      <c r="AN239" s="43">
        <v>9792</v>
      </c>
      <c r="AO239" s="43">
        <v>8732</v>
      </c>
      <c r="AP239" s="43">
        <v>9442</v>
      </c>
      <c r="AQ239" s="43">
        <v>10527</v>
      </c>
      <c r="AR239" s="43">
        <v>9061</v>
      </c>
      <c r="AS239" s="43">
        <v>6405</v>
      </c>
      <c r="AT239" s="43">
        <v>6865</v>
      </c>
      <c r="AU239" s="43">
        <v>5752</v>
      </c>
      <c r="AV239" s="43">
        <v>6855</v>
      </c>
      <c r="AW239" s="43">
        <v>4668</v>
      </c>
      <c r="AX239" s="43">
        <v>3696</v>
      </c>
      <c r="AY239" s="43">
        <v>4111</v>
      </c>
      <c r="AZ239" s="43">
        <v>5939</v>
      </c>
      <c r="BA239" s="43">
        <v>6755</v>
      </c>
      <c r="BB239" s="43">
        <v>5411</v>
      </c>
      <c r="BC239" s="43">
        <v>4689</v>
      </c>
      <c r="BD239" s="43">
        <v>3478</v>
      </c>
      <c r="BE239" s="43">
        <v>5240</v>
      </c>
      <c r="BF239" s="43">
        <v>4599</v>
      </c>
      <c r="BG239" s="43">
        <v>4002</v>
      </c>
      <c r="BH239" s="43">
        <v>4579</v>
      </c>
      <c r="BI239" s="43">
        <v>4478</v>
      </c>
      <c r="BJ239" s="43">
        <v>567</v>
      </c>
      <c r="BK239" s="43">
        <v>5718</v>
      </c>
      <c r="BL239" s="43">
        <v>4269</v>
      </c>
      <c r="BM239" s="43">
        <v>7017</v>
      </c>
      <c r="BN239" s="43">
        <v>7002</v>
      </c>
      <c r="BO239" s="43">
        <v>7277</v>
      </c>
      <c r="BP239" s="43">
        <v>7445</v>
      </c>
      <c r="BQ239" s="43">
        <v>7022</v>
      </c>
      <c r="BR239" s="43">
        <v>7966</v>
      </c>
      <c r="BS239" s="43">
        <v>6799</v>
      </c>
      <c r="BT239" s="43">
        <v>7975</v>
      </c>
      <c r="BU239" s="43">
        <v>9029</v>
      </c>
      <c r="BV239" s="43">
        <v>9984</v>
      </c>
      <c r="BW239" s="43">
        <v>10314</v>
      </c>
      <c r="BX239" s="43">
        <v>10946</v>
      </c>
      <c r="BY239" s="43">
        <v>11768</v>
      </c>
      <c r="BZ239" s="43">
        <v>11640</v>
      </c>
      <c r="CA239" s="43">
        <v>11632</v>
      </c>
      <c r="CB239" s="43">
        <f>12607</f>
        <v>12607</v>
      </c>
      <c r="CC239" s="43">
        <v>11587</v>
      </c>
      <c r="CD239" s="43">
        <v>11459</v>
      </c>
      <c r="CE239" s="43">
        <v>12027</v>
      </c>
      <c r="CF239" s="43">
        <v>12541</v>
      </c>
      <c r="CG239" s="43">
        <v>13214</v>
      </c>
      <c r="CH239" s="43">
        <v>12188</v>
      </c>
      <c r="CI239" s="43">
        <v>11800</v>
      </c>
      <c r="CJ239" s="43">
        <v>12718</v>
      </c>
      <c r="CK239" s="43">
        <v>12804</v>
      </c>
      <c r="CL239" s="43">
        <v>13379</v>
      </c>
      <c r="CM239" s="43">
        <v>13823</v>
      </c>
      <c r="CN239" s="43">
        <v>13862</v>
      </c>
      <c r="CO239" s="43">
        <v>15932</v>
      </c>
      <c r="CP239" s="43">
        <v>15137</v>
      </c>
      <c r="CQ239" s="43">
        <v>13352</v>
      </c>
      <c r="CR239" s="43">
        <v>16670</v>
      </c>
      <c r="CS239" s="43">
        <v>10312</v>
      </c>
      <c r="CT239" s="43"/>
      <c r="CU239" s="43">
        <v>2556</v>
      </c>
      <c r="CV239" s="43">
        <v>6864</v>
      </c>
      <c r="CW239" s="43">
        <v>8248</v>
      </c>
      <c r="CX239" s="43">
        <v>9459</v>
      </c>
      <c r="CY239" s="43">
        <v>13593</v>
      </c>
      <c r="CZ239" s="43">
        <v>11779</v>
      </c>
      <c r="DA239" s="43">
        <v>10344</v>
      </c>
      <c r="DB239" s="43">
        <v>12942</v>
      </c>
      <c r="DC239" s="43">
        <v>11546</v>
      </c>
      <c r="DD239" s="43">
        <v>12353</v>
      </c>
      <c r="DE239" s="43">
        <v>14140</v>
      </c>
      <c r="DF239" s="43">
        <v>12378</v>
      </c>
      <c r="DG239" s="43">
        <v>12342</v>
      </c>
      <c r="DH239" s="43">
        <v>13567</v>
      </c>
      <c r="DI239" s="43">
        <v>15574</v>
      </c>
      <c r="DJ239" s="43">
        <v>15567</v>
      </c>
      <c r="DK239" s="43">
        <v>13832</v>
      </c>
      <c r="DL239" s="43">
        <v>12303</v>
      </c>
      <c r="DM239" s="43">
        <v>14077</v>
      </c>
      <c r="DN239" s="43">
        <v>14703</v>
      </c>
      <c r="DO239" s="43">
        <v>11315</v>
      </c>
      <c r="DP239" s="43">
        <v>12921</v>
      </c>
      <c r="DQ239" s="43">
        <v>13664</v>
      </c>
      <c r="DR239" s="43">
        <v>13777</v>
      </c>
      <c r="DS239" s="43">
        <v>14486</v>
      </c>
      <c r="DT239" s="43">
        <v>13778</v>
      </c>
      <c r="DU239" s="43">
        <v>14021</v>
      </c>
      <c r="DV239" s="43">
        <v>16826</v>
      </c>
      <c r="DW239" s="43">
        <v>15051</v>
      </c>
      <c r="DX239" s="43">
        <v>14049</v>
      </c>
      <c r="DY239" s="43">
        <v>12020</v>
      </c>
      <c r="DZ239" s="43">
        <v>12932</v>
      </c>
      <c r="EA239" s="43">
        <v>8785</v>
      </c>
      <c r="EB239" s="43">
        <v>7724</v>
      </c>
      <c r="EC239" s="43">
        <v>8246</v>
      </c>
      <c r="ED239" s="43">
        <v>9833</v>
      </c>
      <c r="EE239" s="43">
        <v>14486</v>
      </c>
      <c r="EF239" s="43">
        <v>10576</v>
      </c>
      <c r="EG239" s="43">
        <v>12131</v>
      </c>
      <c r="EH239" s="43">
        <v>12024</v>
      </c>
      <c r="EI239" s="43">
        <v>13784</v>
      </c>
      <c r="EJ239" s="43">
        <v>12165</v>
      </c>
      <c r="EK239" s="43">
        <v>9920</v>
      </c>
      <c r="EL239" s="43">
        <v>10087</v>
      </c>
      <c r="EM239" s="43">
        <v>7487</v>
      </c>
      <c r="EN239" s="43">
        <v>8430</v>
      </c>
      <c r="EO239" s="43">
        <v>7868</v>
      </c>
      <c r="EP239" s="43">
        <v>7325</v>
      </c>
      <c r="EQ239" s="43">
        <v>8516</v>
      </c>
      <c r="ER239" s="43">
        <v>9621</v>
      </c>
      <c r="ES239" s="43">
        <v>12163</v>
      </c>
      <c r="ET239" s="43">
        <v>10111</v>
      </c>
      <c r="EU239" s="43">
        <v>8334</v>
      </c>
      <c r="EV239" s="43">
        <v>8038</v>
      </c>
      <c r="EW239" s="43">
        <v>6595</v>
      </c>
      <c r="EX239" s="43">
        <v>7409</v>
      </c>
      <c r="EY239" s="43">
        <v>7244</v>
      </c>
      <c r="EZ239" s="43">
        <v>9152</v>
      </c>
      <c r="FA239" s="43">
        <v>10897</v>
      </c>
      <c r="FB239" s="43">
        <v>10140</v>
      </c>
      <c r="FC239" s="43">
        <v>11536</v>
      </c>
      <c r="FD239" s="43">
        <v>12375</v>
      </c>
      <c r="FE239" s="43">
        <v>12503</v>
      </c>
      <c r="FF239" s="43">
        <v>13441</v>
      </c>
      <c r="FG239" s="43">
        <v>11464</v>
      </c>
      <c r="FH239" s="43">
        <v>12244</v>
      </c>
      <c r="FI239" s="43">
        <v>16059</v>
      </c>
      <c r="FJ239" s="43">
        <v>15275</v>
      </c>
      <c r="FK239" s="43"/>
      <c r="FL239" s="43"/>
      <c r="FM239" s="43"/>
      <c r="FN239" s="66">
        <f t="shared" si="562"/>
        <v>0</v>
      </c>
      <c r="FO239" s="67">
        <f t="shared" si="563"/>
        <v>0</v>
      </c>
      <c r="FP239" s="67">
        <f t="shared" si="564"/>
        <v>0</v>
      </c>
      <c r="FQ239" s="67">
        <f t="shared" si="565"/>
        <v>0</v>
      </c>
      <c r="FR239" s="67">
        <f t="shared" si="566"/>
        <v>15136</v>
      </c>
      <c r="FS239" s="67">
        <f t="shared" si="567"/>
        <v>18622</v>
      </c>
      <c r="FT239" s="67">
        <f t="shared" si="568"/>
        <v>16459</v>
      </c>
      <c r="FU239" s="67">
        <f t="shared" si="569"/>
        <v>18110</v>
      </c>
      <c r="FV239" s="67">
        <f t="shared" si="570"/>
        <v>21381</v>
      </c>
      <c r="FW239" s="67">
        <f t="shared" si="571"/>
        <v>22783</v>
      </c>
      <c r="FX239" s="67">
        <f t="shared" si="572"/>
        <v>23261</v>
      </c>
      <c r="FY239" s="67">
        <f t="shared" si="573"/>
        <v>23348</v>
      </c>
      <c r="FZ239" s="67">
        <f t="shared" si="574"/>
        <v>26978</v>
      </c>
      <c r="GA239" s="67">
        <f t="shared" si="575"/>
        <v>28701</v>
      </c>
      <c r="GB239" s="67">
        <f t="shared" si="576"/>
        <v>22331</v>
      </c>
      <c r="GC239" s="67">
        <f t="shared" si="577"/>
        <v>17275</v>
      </c>
      <c r="GD239" s="67">
        <f t="shared" si="578"/>
        <v>13746</v>
      </c>
      <c r="GE239" s="67">
        <f t="shared" si="579"/>
        <v>16855</v>
      </c>
      <c r="GF239" s="67">
        <f t="shared" si="580"/>
        <v>13317</v>
      </c>
      <c r="GG239" s="67">
        <f t="shared" si="581"/>
        <v>13059</v>
      </c>
      <c r="GH239" s="67">
        <f t="shared" si="582"/>
        <v>10554</v>
      </c>
      <c r="GI239" s="67">
        <f t="shared" si="583"/>
        <v>21296</v>
      </c>
      <c r="GJ239" s="67">
        <f t="shared" si="584"/>
        <v>22433</v>
      </c>
      <c r="GK239" s="67">
        <f t="shared" si="585"/>
        <v>23803</v>
      </c>
      <c r="GL239" s="67">
        <f t="shared" si="586"/>
        <v>31244</v>
      </c>
      <c r="GM239" s="67">
        <f t="shared" si="587"/>
        <v>35040</v>
      </c>
      <c r="GN239" s="67">
        <f t="shared" si="588"/>
        <v>35653</v>
      </c>
      <c r="GO239" s="67">
        <f t="shared" si="589"/>
        <v>37782</v>
      </c>
      <c r="GP239" s="67">
        <f t="shared" si="590"/>
        <v>36706</v>
      </c>
      <c r="GQ239" s="67">
        <f t="shared" si="591"/>
        <v>40006</v>
      </c>
      <c r="GR239" s="67">
        <f t="shared" si="592"/>
        <v>44931</v>
      </c>
      <c r="GS239" s="67">
        <f t="shared" si="593"/>
        <v>40334</v>
      </c>
      <c r="GT239" s="67">
        <f t="shared" si="594"/>
        <v>9420</v>
      </c>
      <c r="GU239" s="67">
        <f t="shared" si="595"/>
        <v>31300</v>
      </c>
      <c r="GV239" s="67">
        <f t="shared" si="596"/>
        <v>35065</v>
      </c>
      <c r="GW239" s="67">
        <f t="shared" si="597"/>
        <v>38039</v>
      </c>
      <c r="GX239" s="67">
        <f t="shared" si="598"/>
        <v>38287</v>
      </c>
      <c r="GY239" s="67">
        <f t="shared" si="599"/>
        <v>44973</v>
      </c>
      <c r="GZ239" s="67">
        <f t="shared" si="600"/>
        <v>41083</v>
      </c>
      <c r="HA239" s="67">
        <f t="shared" si="601"/>
        <v>37900</v>
      </c>
      <c r="HB239" s="67">
        <f t="shared" si="602"/>
        <v>42041</v>
      </c>
      <c r="HC239" s="67">
        <f t="shared" si="603"/>
        <v>45898</v>
      </c>
      <c r="HD239" s="67">
        <f t="shared" si="604"/>
        <v>39001</v>
      </c>
      <c r="HE239" s="67">
        <f t="shared" si="605"/>
        <v>24755</v>
      </c>
      <c r="HF239" s="67">
        <f t="shared" si="606"/>
        <v>34895</v>
      </c>
      <c r="HG239" s="67">
        <f t="shared" si="607"/>
        <v>37939</v>
      </c>
      <c r="HH239" s="67">
        <f t="shared" si="608"/>
        <v>32172</v>
      </c>
      <c r="HI239" s="67">
        <f t="shared" si="609"/>
        <v>23785</v>
      </c>
      <c r="HJ239" s="210">
        <f t="shared" si="610"/>
        <v>25462</v>
      </c>
      <c r="HK239" s="210">
        <f t="shared" si="611"/>
        <v>30608</v>
      </c>
      <c r="HL239" s="210">
        <f t="shared" si="612"/>
        <v>22042</v>
      </c>
      <c r="HM239" s="210">
        <f t="shared" si="613"/>
        <v>27293</v>
      </c>
      <c r="HN239" s="210">
        <f t="shared" si="660"/>
        <v>34051</v>
      </c>
      <c r="HO239" s="210">
        <f t="shared" si="661"/>
        <v>37408</v>
      </c>
      <c r="HP239" s="210">
        <f t="shared" si="662"/>
        <v>43578</v>
      </c>
      <c r="HQ239" s="60"/>
      <c r="HR239" s="43"/>
      <c r="HS239" s="43"/>
      <c r="HT239" s="43"/>
      <c r="HU239" s="211">
        <f t="shared" si="669"/>
        <v>0</v>
      </c>
      <c r="HV239" s="211">
        <f t="shared" si="670"/>
        <v>68327</v>
      </c>
      <c r="HW239" s="211">
        <f t="shared" si="671"/>
        <v>90773</v>
      </c>
      <c r="HX239" s="212">
        <f t="shared" si="672"/>
        <v>95285</v>
      </c>
      <c r="HY239" s="58">
        <f t="shared" si="673"/>
        <v>56977</v>
      </c>
      <c r="HZ239" s="58">
        <f t="shared" si="674"/>
        <v>78086</v>
      </c>
      <c r="IA239" s="58">
        <f t="shared" si="675"/>
        <v>139719</v>
      </c>
      <c r="IB239" s="64">
        <f t="shared" si="676"/>
        <v>161977</v>
      </c>
      <c r="IC239" s="64">
        <f t="shared" si="677"/>
        <v>113824</v>
      </c>
      <c r="ID239" s="64">
        <f t="shared" si="663"/>
        <v>162243</v>
      </c>
      <c r="IE239" s="64">
        <f t="shared" si="664"/>
        <v>151695</v>
      </c>
      <c r="IF239" s="64">
        <f t="shared" si="665"/>
        <v>128791</v>
      </c>
      <c r="IG239" s="64">
        <f t="shared" si="666"/>
        <v>105405</v>
      </c>
    </row>
    <row r="240" spans="1:241" outlineLevel="1" x14ac:dyDescent="0.3">
      <c r="A240" s="81" t="s">
        <v>194</v>
      </c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>
        <f t="shared" ref="N240:W240" si="678">+SUM(N231:N239)</f>
        <v>35055</v>
      </c>
      <c r="O240" s="83">
        <f t="shared" si="678"/>
        <v>25154</v>
      </c>
      <c r="P240" s="83">
        <f t="shared" si="678"/>
        <v>33199</v>
      </c>
      <c r="Q240" s="83">
        <f t="shared" si="678"/>
        <v>24605</v>
      </c>
      <c r="R240" s="83">
        <f t="shared" si="678"/>
        <v>24425</v>
      </c>
      <c r="S240" s="83">
        <f t="shared" si="678"/>
        <v>33650</v>
      </c>
      <c r="T240" s="83">
        <f t="shared" si="678"/>
        <v>27273</v>
      </c>
      <c r="U240" s="83">
        <f t="shared" si="678"/>
        <v>24470</v>
      </c>
      <c r="V240" s="83">
        <f t="shared" si="678"/>
        <v>32611</v>
      </c>
      <c r="W240" s="83">
        <f t="shared" si="678"/>
        <v>31544</v>
      </c>
      <c r="X240" s="83">
        <v>32985</v>
      </c>
      <c r="Y240" s="83">
        <v>26387</v>
      </c>
      <c r="Z240" s="83">
        <f>+SUM(Z231:Z239)</f>
        <v>27053</v>
      </c>
      <c r="AA240" s="83">
        <f t="shared" ref="AA240:AI240" si="679">+SUM(AA231:AA239)</f>
        <v>29936</v>
      </c>
      <c r="AB240" s="83">
        <f t="shared" si="679"/>
        <v>30413</v>
      </c>
      <c r="AC240" s="83">
        <f t="shared" si="679"/>
        <v>36975</v>
      </c>
      <c r="AD240" s="83">
        <f t="shared" si="679"/>
        <v>38855</v>
      </c>
      <c r="AE240" s="83">
        <f t="shared" si="679"/>
        <v>36182</v>
      </c>
      <c r="AF240" s="83">
        <f t="shared" si="679"/>
        <v>35129</v>
      </c>
      <c r="AG240" s="83">
        <f t="shared" si="679"/>
        <v>41964</v>
      </c>
      <c r="AH240" s="83">
        <f t="shared" si="679"/>
        <v>37448</v>
      </c>
      <c r="AI240" s="83">
        <f t="shared" si="679"/>
        <v>33266</v>
      </c>
      <c r="AJ240" s="83">
        <v>22341</v>
      </c>
      <c r="AK240" s="83">
        <f t="shared" ref="AK240:CM240" si="680">+SUM(AK231:AK239)</f>
        <v>35592</v>
      </c>
      <c r="AL240" s="83">
        <f t="shared" si="680"/>
        <v>47333</v>
      </c>
      <c r="AM240" s="83">
        <f t="shared" si="680"/>
        <v>38340</v>
      </c>
      <c r="AN240" s="83">
        <f t="shared" si="680"/>
        <v>35945</v>
      </c>
      <c r="AO240" s="83">
        <f t="shared" si="680"/>
        <v>37978</v>
      </c>
      <c r="AP240" s="83">
        <f t="shared" si="680"/>
        <v>41451</v>
      </c>
      <c r="AQ240" s="83">
        <f t="shared" si="680"/>
        <v>44424</v>
      </c>
      <c r="AR240" s="83">
        <f t="shared" si="680"/>
        <v>32012</v>
      </c>
      <c r="AS240" s="83">
        <f t="shared" si="680"/>
        <v>27482</v>
      </c>
      <c r="AT240" s="83">
        <f t="shared" si="680"/>
        <v>25840</v>
      </c>
      <c r="AU240" s="83">
        <f t="shared" si="680"/>
        <v>26581</v>
      </c>
      <c r="AV240" s="83">
        <f t="shared" si="680"/>
        <v>22913</v>
      </c>
      <c r="AW240" s="83">
        <f t="shared" si="680"/>
        <v>21198</v>
      </c>
      <c r="AX240" s="83">
        <f t="shared" si="680"/>
        <v>17876</v>
      </c>
      <c r="AY240" s="83">
        <f t="shared" si="680"/>
        <v>21139</v>
      </c>
      <c r="AZ240" s="83">
        <f t="shared" si="680"/>
        <v>25894</v>
      </c>
      <c r="BA240" s="83">
        <f t="shared" si="680"/>
        <v>29634</v>
      </c>
      <c r="BB240" s="83">
        <f t="shared" si="680"/>
        <v>26871</v>
      </c>
      <c r="BC240" s="83">
        <f t="shared" si="680"/>
        <v>26909</v>
      </c>
      <c r="BD240" s="83">
        <f t="shared" si="680"/>
        <v>28007</v>
      </c>
      <c r="BE240" s="83">
        <f t="shared" si="680"/>
        <v>23290</v>
      </c>
      <c r="BF240" s="83">
        <f t="shared" si="680"/>
        <v>15428</v>
      </c>
      <c r="BG240" s="83">
        <f t="shared" si="680"/>
        <v>19976</v>
      </c>
      <c r="BH240" s="83">
        <f t="shared" si="680"/>
        <v>17539</v>
      </c>
      <c r="BI240" s="83">
        <f t="shared" si="680"/>
        <v>16437</v>
      </c>
      <c r="BJ240" s="83">
        <f t="shared" si="680"/>
        <v>22083</v>
      </c>
      <c r="BK240" s="83">
        <f t="shared" si="680"/>
        <v>26752</v>
      </c>
      <c r="BL240" s="83">
        <f t="shared" si="680"/>
        <v>27967</v>
      </c>
      <c r="BM240" s="83">
        <f t="shared" si="680"/>
        <v>29828</v>
      </c>
      <c r="BN240" s="83">
        <f t="shared" si="680"/>
        <v>31490</v>
      </c>
      <c r="BO240" s="83">
        <f t="shared" si="680"/>
        <v>34491</v>
      </c>
      <c r="BP240" s="83">
        <f t="shared" si="680"/>
        <v>30288</v>
      </c>
      <c r="BQ240" s="83">
        <f t="shared" si="680"/>
        <v>34187</v>
      </c>
      <c r="BR240" s="83">
        <f t="shared" si="680"/>
        <v>38136</v>
      </c>
      <c r="BS240" s="83">
        <f t="shared" si="680"/>
        <v>33809</v>
      </c>
      <c r="BT240" s="83">
        <f t="shared" si="680"/>
        <v>32232</v>
      </c>
      <c r="BU240" s="83">
        <f t="shared" si="680"/>
        <v>31379</v>
      </c>
      <c r="BV240" s="83">
        <f t="shared" si="680"/>
        <v>49530</v>
      </c>
      <c r="BW240" s="83">
        <f t="shared" si="680"/>
        <v>45708</v>
      </c>
      <c r="BX240" s="83">
        <f t="shared" si="680"/>
        <v>47234</v>
      </c>
      <c r="BY240" s="83">
        <f t="shared" si="680"/>
        <v>45520</v>
      </c>
      <c r="BZ240" s="83">
        <f>+SUM(BZ231:BZ239)</f>
        <v>50679</v>
      </c>
      <c r="CA240" s="83">
        <f t="shared" si="680"/>
        <v>48152</v>
      </c>
      <c r="CB240" s="83">
        <f t="shared" si="680"/>
        <v>51727</v>
      </c>
      <c r="CC240" s="83">
        <f t="shared" si="680"/>
        <v>46419</v>
      </c>
      <c r="CD240" s="83">
        <f t="shared" si="680"/>
        <v>38937</v>
      </c>
      <c r="CE240" s="83">
        <f t="shared" si="680"/>
        <v>43232</v>
      </c>
      <c r="CF240" s="83">
        <f t="shared" si="680"/>
        <v>45973</v>
      </c>
      <c r="CG240" s="83">
        <f t="shared" si="680"/>
        <v>48225</v>
      </c>
      <c r="CH240" s="83">
        <f t="shared" si="680"/>
        <v>45146</v>
      </c>
      <c r="CI240" s="83">
        <f t="shared" si="680"/>
        <v>38953</v>
      </c>
      <c r="CJ240" s="83">
        <f t="shared" si="680"/>
        <v>39364</v>
      </c>
      <c r="CK240" s="83">
        <f t="shared" si="680"/>
        <v>39858</v>
      </c>
      <c r="CL240" s="83">
        <f t="shared" si="680"/>
        <v>45735</v>
      </c>
      <c r="CM240" s="83">
        <f t="shared" si="680"/>
        <v>43876</v>
      </c>
      <c r="CN240" s="83">
        <v>44469</v>
      </c>
      <c r="CO240" s="83">
        <v>47372</v>
      </c>
      <c r="CP240" s="83">
        <v>40704</v>
      </c>
      <c r="CQ240" s="83">
        <v>42752</v>
      </c>
      <c r="CR240" s="83">
        <v>41870</v>
      </c>
      <c r="CS240" s="83">
        <v>25751</v>
      </c>
      <c r="CT240" s="83"/>
      <c r="CU240" s="83">
        <v>17504</v>
      </c>
      <c r="CV240" s="83">
        <v>25742</v>
      </c>
      <c r="CW240" s="83">
        <v>19585</v>
      </c>
      <c r="CX240" s="83">
        <v>39251</v>
      </c>
      <c r="CY240" s="83">
        <v>41727</v>
      </c>
      <c r="CZ240" s="83">
        <v>41909</v>
      </c>
      <c r="DA240" s="83">
        <v>36893</v>
      </c>
      <c r="DB240" s="83">
        <v>38273</v>
      </c>
      <c r="DC240" s="83">
        <v>39918</v>
      </c>
      <c r="DD240" s="83">
        <v>40587</v>
      </c>
      <c r="DE240" s="83">
        <v>38767</v>
      </c>
      <c r="DF240" s="83">
        <v>45742</v>
      </c>
      <c r="DG240" s="83">
        <v>43372</v>
      </c>
      <c r="DH240" s="83">
        <v>45278</v>
      </c>
      <c r="DI240" s="83">
        <v>44660</v>
      </c>
      <c r="DJ240" s="83">
        <v>36286</v>
      </c>
      <c r="DK240" s="83">
        <v>38020</v>
      </c>
      <c r="DL240" s="83">
        <v>41844</v>
      </c>
      <c r="DM240" s="83">
        <v>41852</v>
      </c>
      <c r="DN240" s="83">
        <v>41534</v>
      </c>
      <c r="DO240" s="83">
        <v>37910</v>
      </c>
      <c r="DP240" s="83">
        <v>34820</v>
      </c>
      <c r="DQ240" s="83">
        <v>38217</v>
      </c>
      <c r="DR240" s="83">
        <v>35375</v>
      </c>
      <c r="DS240" s="83">
        <v>26989</v>
      </c>
      <c r="DT240" s="83">
        <v>33674</v>
      </c>
      <c r="DU240" s="83">
        <v>37674</v>
      </c>
      <c r="DV240" s="83">
        <v>43930</v>
      </c>
      <c r="DW240" s="83">
        <v>32291</v>
      </c>
      <c r="DX240" s="83">
        <v>34038</v>
      </c>
      <c r="DY240" s="83">
        <v>30652</v>
      </c>
      <c r="DZ240" s="83">
        <v>24815</v>
      </c>
      <c r="EA240" s="83">
        <v>22995</v>
      </c>
      <c r="EB240" s="83">
        <v>19386</v>
      </c>
      <c r="EC240" s="83">
        <v>19257</v>
      </c>
      <c r="ED240" s="83">
        <v>22997</v>
      </c>
      <c r="EE240" s="83">
        <v>22997</v>
      </c>
      <c r="EF240" s="83">
        <v>24492</v>
      </c>
      <c r="EG240" s="83">
        <v>26517</v>
      </c>
      <c r="EH240" s="83">
        <v>25812</v>
      </c>
      <c r="EI240" s="83">
        <v>28919</v>
      </c>
      <c r="EJ240" s="83">
        <v>24888</v>
      </c>
      <c r="EK240" s="83">
        <v>25686</v>
      </c>
      <c r="EL240" s="83">
        <v>22685</v>
      </c>
      <c r="EM240" s="83">
        <v>19616</v>
      </c>
      <c r="EN240" s="83">
        <v>25203</v>
      </c>
      <c r="EO240" s="83">
        <v>23823</v>
      </c>
      <c r="EP240" s="83">
        <v>22359</v>
      </c>
      <c r="EQ240" s="83">
        <v>22448</v>
      </c>
      <c r="ER240" s="83">
        <v>25673</v>
      </c>
      <c r="ES240" s="83">
        <v>26835</v>
      </c>
      <c r="ET240" s="83">
        <v>28272</v>
      </c>
      <c r="EU240" s="83">
        <v>25707</v>
      </c>
      <c r="EV240" s="83">
        <v>26108</v>
      </c>
      <c r="EW240" s="83">
        <v>23148</v>
      </c>
      <c r="EX240" s="83">
        <v>24583</v>
      </c>
      <c r="EY240" s="83">
        <v>23686</v>
      </c>
      <c r="EZ240" s="83">
        <v>25825</v>
      </c>
      <c r="FA240" s="83">
        <v>28497</v>
      </c>
      <c r="FB240" s="83">
        <v>27278</v>
      </c>
      <c r="FC240" s="83">
        <v>30838</v>
      </c>
      <c r="FD240" s="83">
        <v>36741</v>
      </c>
      <c r="FE240" s="83">
        <v>39140</v>
      </c>
      <c r="FF240" s="83">
        <v>41890</v>
      </c>
      <c r="FG240" s="83">
        <v>40624</v>
      </c>
      <c r="FH240" s="83">
        <v>41504</v>
      </c>
      <c r="FI240" s="83">
        <v>45568</v>
      </c>
      <c r="FJ240" s="83">
        <v>39288</v>
      </c>
      <c r="FK240" s="43"/>
      <c r="FL240" s="43"/>
      <c r="FM240" s="43"/>
      <c r="FN240" s="83">
        <f t="shared" si="562"/>
        <v>0</v>
      </c>
      <c r="FO240" s="83">
        <f t="shared" si="563"/>
        <v>0</v>
      </c>
      <c r="FP240" s="83">
        <f t="shared" si="564"/>
        <v>0</v>
      </c>
      <c r="FQ240" s="83">
        <f t="shared" si="565"/>
        <v>0</v>
      </c>
      <c r="FR240" s="83">
        <f t="shared" si="566"/>
        <v>93408</v>
      </c>
      <c r="FS240" s="83">
        <f t="shared" si="567"/>
        <v>82680</v>
      </c>
      <c r="FT240" s="83">
        <f t="shared" si="568"/>
        <v>84354</v>
      </c>
      <c r="FU240" s="83">
        <f t="shared" si="569"/>
        <v>90916</v>
      </c>
      <c r="FV240" s="83">
        <f t="shared" si="570"/>
        <v>87402</v>
      </c>
      <c r="FW240" s="83">
        <f t="shared" si="571"/>
        <v>112012</v>
      </c>
      <c r="FX240" s="83">
        <f t="shared" si="572"/>
        <v>114541</v>
      </c>
      <c r="FY240" s="83">
        <f t="shared" si="573"/>
        <v>91199</v>
      </c>
      <c r="FZ240" s="83">
        <f t="shared" si="574"/>
        <v>121618</v>
      </c>
      <c r="GA240" s="83">
        <f t="shared" si="575"/>
        <v>123853</v>
      </c>
      <c r="GB240" s="83">
        <f t="shared" si="576"/>
        <v>85334</v>
      </c>
      <c r="GC240" s="83">
        <f t="shared" si="577"/>
        <v>70692</v>
      </c>
      <c r="GD240" s="83">
        <f t="shared" si="578"/>
        <v>64909</v>
      </c>
      <c r="GE240" s="83">
        <f t="shared" si="579"/>
        <v>83414</v>
      </c>
      <c r="GF240" s="83">
        <f t="shared" si="580"/>
        <v>66725</v>
      </c>
      <c r="GG240" s="83">
        <f t="shared" si="581"/>
        <v>53952</v>
      </c>
      <c r="GH240" s="83">
        <f t="shared" si="582"/>
        <v>76802</v>
      </c>
      <c r="GI240" s="83">
        <f t="shared" si="583"/>
        <v>95809</v>
      </c>
      <c r="GJ240" s="83">
        <f t="shared" si="584"/>
        <v>102611</v>
      </c>
      <c r="GK240" s="83">
        <f t="shared" si="585"/>
        <v>97420</v>
      </c>
      <c r="GL240" s="83">
        <f t="shared" si="586"/>
        <v>142472</v>
      </c>
      <c r="GM240" s="83">
        <f t="shared" si="587"/>
        <v>144351</v>
      </c>
      <c r="GN240" s="83">
        <f t="shared" si="588"/>
        <v>137083</v>
      </c>
      <c r="GO240" s="83">
        <f t="shared" si="589"/>
        <v>137430</v>
      </c>
      <c r="GP240" s="83">
        <f t="shared" si="590"/>
        <v>123463</v>
      </c>
      <c r="GQ240" s="83">
        <f t="shared" si="591"/>
        <v>129469</v>
      </c>
      <c r="GR240" s="83">
        <f t="shared" si="592"/>
        <v>132545</v>
      </c>
      <c r="GS240" s="83">
        <f t="shared" si="593"/>
        <v>110373</v>
      </c>
      <c r="GT240" s="83">
        <f t="shared" si="594"/>
        <v>43246</v>
      </c>
      <c r="GU240" s="83">
        <f t="shared" si="595"/>
        <v>100563</v>
      </c>
      <c r="GV240" s="83">
        <f t="shared" si="596"/>
        <v>117075</v>
      </c>
      <c r="GW240" s="83">
        <f t="shared" si="597"/>
        <v>119272</v>
      </c>
      <c r="GX240" s="83">
        <f t="shared" si="598"/>
        <v>134392</v>
      </c>
      <c r="GY240" s="83">
        <f t="shared" si="599"/>
        <v>118966</v>
      </c>
      <c r="GZ240" s="83">
        <f t="shared" si="600"/>
        <v>125230</v>
      </c>
      <c r="HA240" s="83">
        <f t="shared" si="601"/>
        <v>110947</v>
      </c>
      <c r="HB240" s="83">
        <f t="shared" si="602"/>
        <v>96038</v>
      </c>
      <c r="HC240" s="83">
        <f t="shared" si="603"/>
        <v>113895</v>
      </c>
      <c r="HD240" s="83">
        <f t="shared" si="604"/>
        <v>89505</v>
      </c>
      <c r="HE240" s="83">
        <f t="shared" si="605"/>
        <v>61638</v>
      </c>
      <c r="HF240" s="83">
        <f t="shared" si="606"/>
        <v>70486</v>
      </c>
      <c r="HG240" s="83">
        <f t="shared" si="607"/>
        <v>81248</v>
      </c>
      <c r="HH240" s="83">
        <f t="shared" si="608"/>
        <v>73259</v>
      </c>
      <c r="HI240" s="83">
        <f t="shared" si="609"/>
        <v>68642</v>
      </c>
      <c r="HJ240" s="84">
        <f t="shared" si="610"/>
        <v>70480</v>
      </c>
      <c r="HK240" s="84">
        <f t="shared" si="611"/>
        <v>80814</v>
      </c>
      <c r="HL240" s="84">
        <f t="shared" si="612"/>
        <v>73839</v>
      </c>
      <c r="HM240" s="84">
        <f t="shared" si="613"/>
        <v>78008</v>
      </c>
      <c r="HN240" s="84">
        <f t="shared" si="660"/>
        <v>94857</v>
      </c>
      <c r="HO240" s="84">
        <f t="shared" si="661"/>
        <v>121654</v>
      </c>
      <c r="HP240" s="84">
        <f t="shared" si="662"/>
        <v>126360</v>
      </c>
      <c r="HQ240" s="77"/>
      <c r="HR240" s="43"/>
      <c r="HS240" s="43"/>
      <c r="HT240" s="43"/>
      <c r="HU240" s="216">
        <f t="shared" si="669"/>
        <v>0</v>
      </c>
      <c r="HV240" s="216">
        <f t="shared" si="670"/>
        <v>351358</v>
      </c>
      <c r="HW240" s="261">
        <f t="shared" si="671"/>
        <v>405154</v>
      </c>
      <c r="HX240" s="262">
        <f t="shared" si="672"/>
        <v>401497</v>
      </c>
      <c r="HY240" s="83">
        <f t="shared" si="673"/>
        <v>269000</v>
      </c>
      <c r="HZ240" s="83">
        <f t="shared" si="674"/>
        <v>372642</v>
      </c>
      <c r="IA240" s="83">
        <f t="shared" si="675"/>
        <v>561336</v>
      </c>
      <c r="IB240" s="84">
        <f t="shared" si="676"/>
        <v>495850</v>
      </c>
      <c r="IC240" s="84">
        <f t="shared" si="677"/>
        <v>380156</v>
      </c>
      <c r="ID240" s="84">
        <f t="shared" si="663"/>
        <v>489535</v>
      </c>
      <c r="IE240" s="84">
        <f t="shared" si="664"/>
        <v>361076</v>
      </c>
      <c r="IF240" s="84">
        <f t="shared" si="665"/>
        <v>293635</v>
      </c>
      <c r="IG240" s="84">
        <f t="shared" si="666"/>
        <v>303141</v>
      </c>
    </row>
    <row r="241" spans="229:241" x14ac:dyDescent="0.3">
      <c r="HU241" s="266">
        <f>HU203/10^6</f>
        <v>0</v>
      </c>
      <c r="HV241" s="136">
        <f t="shared" ref="HV241:IG241" si="681">HV203/10^6</f>
        <v>0.83099199999999995</v>
      </c>
      <c r="HW241" s="136">
        <f t="shared" si="681"/>
        <v>0.93650199999999995</v>
      </c>
      <c r="HX241" s="136">
        <f t="shared" si="681"/>
        <v>0.93958900000000001</v>
      </c>
      <c r="HY241" s="136">
        <f t="shared" si="681"/>
        <v>0.78065799999999996</v>
      </c>
      <c r="HZ241" s="136">
        <f t="shared" si="681"/>
        <v>1.0125090000000001</v>
      </c>
      <c r="IA241" s="136">
        <f t="shared" si="681"/>
        <v>1.2623470000000001</v>
      </c>
      <c r="IB241" s="136">
        <f t="shared" si="681"/>
        <v>1.132417</v>
      </c>
      <c r="IC241" s="136">
        <f t="shared" si="681"/>
        <v>0.59633000000000003</v>
      </c>
      <c r="ID241" s="136">
        <f t="shared" si="681"/>
        <v>0.74976799999999999</v>
      </c>
      <c r="IE241" s="136">
        <f t="shared" si="681"/>
        <v>0.82216100000000003</v>
      </c>
      <c r="IF241" s="136">
        <f t="shared" si="681"/>
        <v>0.950353</v>
      </c>
      <c r="IG241" s="136">
        <f t="shared" si="681"/>
        <v>1.0212810000000001</v>
      </c>
    </row>
    <row r="244" spans="229:241" x14ac:dyDescent="0.3">
      <c r="HV244" s="267">
        <f>+HV216+HV227</f>
        <v>479634</v>
      </c>
      <c r="HW244" s="267">
        <f t="shared" ref="HW244:IG244" si="682">+HW216+HW227</f>
        <v>531348</v>
      </c>
      <c r="HX244" s="267">
        <f t="shared" si="682"/>
        <v>538092</v>
      </c>
      <c r="HY244" s="267">
        <f t="shared" si="682"/>
        <v>511658</v>
      </c>
      <c r="HZ244" s="267">
        <f t="shared" si="682"/>
        <v>639867</v>
      </c>
      <c r="IA244" s="267">
        <f t="shared" si="682"/>
        <v>701011</v>
      </c>
      <c r="IB244" s="267">
        <f t="shared" si="682"/>
        <v>636567</v>
      </c>
      <c r="IC244" s="267">
        <f t="shared" si="682"/>
        <v>216174</v>
      </c>
      <c r="ID244" s="267">
        <f t="shared" si="682"/>
        <v>260233</v>
      </c>
      <c r="IE244" s="267">
        <f t="shared" si="682"/>
        <v>461085</v>
      </c>
      <c r="IF244" s="267">
        <f t="shared" si="682"/>
        <v>656718</v>
      </c>
      <c r="IG244" s="267">
        <f t="shared" si="682"/>
        <v>718140</v>
      </c>
    </row>
  </sheetData>
  <conditionalFormatting sqref="HU89:ID89">
    <cfRule type="top10" dxfId="9" priority="5" bottom="1" rank="1"/>
  </conditionalFormatting>
  <conditionalFormatting sqref="HU201:ID201">
    <cfRule type="top10" dxfId="8" priority="3" bottom="1" rank="1"/>
    <cfRule type="top10" dxfId="7" priority="4" rank="1"/>
  </conditionalFormatting>
  <conditionalFormatting sqref="HU89:IG89">
    <cfRule type="top10" dxfId="6" priority="6" rank="1"/>
  </conditionalFormatting>
  <conditionalFormatting sqref="HV241:IC241">
    <cfRule type="top10" dxfId="5" priority="1" bottom="1" rank="1"/>
    <cfRule type="top10" dxfId="4" priority="2" rank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6B22-E6AA-466A-B8A0-64B83D054A70}">
  <dimension ref="A1:IO158"/>
  <sheetViews>
    <sheetView showGridLines="0" zoomScale="80" zoomScaleNormal="80" workbookViewId="0">
      <pane xSplit="2" ySplit="2" topLeftCell="FE3" activePane="bottomRight" state="frozen"/>
      <selection activeCell="FL67" sqref="FL67"/>
      <selection pane="topRight" activeCell="FL67" sqref="FL67"/>
      <selection pane="bottomLeft" activeCell="FL67" sqref="FL67"/>
      <selection pane="bottomRight" activeCell="FL67" sqref="FL67"/>
    </sheetView>
  </sheetViews>
  <sheetFormatPr defaultRowHeight="14.4" outlineLevelRow="2" outlineLevelCol="1" x14ac:dyDescent="0.3"/>
  <cols>
    <col min="1" max="1" width="34.44140625" customWidth="1"/>
    <col min="2" max="2" width="17.109375" customWidth="1"/>
    <col min="3" max="151" width="9.109375" customWidth="1" outlineLevel="1"/>
    <col min="152" max="153" width="9.88671875" customWidth="1" outlineLevel="1"/>
    <col min="154" max="170" width="9.109375" customWidth="1" outlineLevel="1"/>
    <col min="174" max="215" width="8.6640625" customWidth="1" outlineLevel="1"/>
    <col min="216" max="232" width="9.33203125" customWidth="1" outlineLevel="1"/>
    <col min="236" max="248" width="9.109375" customWidth="1" outlineLevel="1"/>
  </cols>
  <sheetData>
    <row r="1" spans="1:249" x14ac:dyDescent="0.3">
      <c r="A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 t="s">
        <v>0</v>
      </c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 t="s">
        <v>1</v>
      </c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 t="s">
        <v>2</v>
      </c>
    </row>
    <row r="2" spans="1:249" x14ac:dyDescent="0.3">
      <c r="A2" s="3" t="s">
        <v>3</v>
      </c>
      <c r="B2" s="3" t="s">
        <v>4</v>
      </c>
      <c r="C2" s="4">
        <v>41000</v>
      </c>
      <c r="D2" s="4">
        <v>41030</v>
      </c>
      <c r="E2" s="4">
        <v>41061</v>
      </c>
      <c r="F2" s="4">
        <v>41091</v>
      </c>
      <c r="G2" s="4">
        <v>41122</v>
      </c>
      <c r="H2" s="4">
        <v>41153</v>
      </c>
      <c r="I2" s="4">
        <v>41183</v>
      </c>
      <c r="J2" s="4">
        <v>41214</v>
      </c>
      <c r="K2" s="4">
        <v>41244</v>
      </c>
      <c r="L2" s="4">
        <v>41275</v>
      </c>
      <c r="M2" s="4">
        <v>41306</v>
      </c>
      <c r="N2" s="4">
        <v>41334</v>
      </c>
      <c r="O2" s="4">
        <v>41365</v>
      </c>
      <c r="P2" s="4">
        <v>41395</v>
      </c>
      <c r="Q2" s="4">
        <v>41426</v>
      </c>
      <c r="R2" s="4">
        <v>41456</v>
      </c>
      <c r="S2" s="4">
        <v>41487</v>
      </c>
      <c r="T2" s="4">
        <v>41518</v>
      </c>
      <c r="U2" s="4">
        <v>41548</v>
      </c>
      <c r="V2" s="4">
        <v>41579</v>
      </c>
      <c r="W2" s="4">
        <v>41609</v>
      </c>
      <c r="X2" s="4">
        <v>41640</v>
      </c>
      <c r="Y2" s="4">
        <v>41671</v>
      </c>
      <c r="Z2" s="4">
        <v>41699</v>
      </c>
      <c r="AA2" s="5">
        <v>41730</v>
      </c>
      <c r="AB2" s="5">
        <v>41760</v>
      </c>
      <c r="AC2" s="5">
        <v>41791</v>
      </c>
      <c r="AD2" s="5">
        <v>41821</v>
      </c>
      <c r="AE2" s="5">
        <v>41852</v>
      </c>
      <c r="AF2" s="5">
        <v>41883</v>
      </c>
      <c r="AG2" s="5">
        <v>41913</v>
      </c>
      <c r="AH2" s="5">
        <v>41944</v>
      </c>
      <c r="AI2" s="5">
        <v>41974</v>
      </c>
      <c r="AJ2" s="5">
        <v>42005</v>
      </c>
      <c r="AK2" s="5">
        <v>42036</v>
      </c>
      <c r="AL2" s="6">
        <v>42064</v>
      </c>
      <c r="AM2" s="5">
        <v>42095</v>
      </c>
      <c r="AN2" s="5">
        <v>42125</v>
      </c>
      <c r="AO2" s="5">
        <v>42156</v>
      </c>
      <c r="AP2" s="5">
        <v>42186</v>
      </c>
      <c r="AQ2" s="5">
        <v>42217</v>
      </c>
      <c r="AR2" s="5">
        <v>42248</v>
      </c>
      <c r="AS2" s="5">
        <v>42278</v>
      </c>
      <c r="AT2" s="5">
        <v>42309</v>
      </c>
      <c r="AU2" s="5">
        <v>42339</v>
      </c>
      <c r="AV2" s="5">
        <v>42370</v>
      </c>
      <c r="AW2" s="5">
        <v>42401</v>
      </c>
      <c r="AX2" s="5">
        <v>42430</v>
      </c>
      <c r="AY2" s="5">
        <v>42461</v>
      </c>
      <c r="AZ2" s="5">
        <v>42491</v>
      </c>
      <c r="BA2" s="5">
        <v>42522</v>
      </c>
      <c r="BB2" s="5">
        <v>42552</v>
      </c>
      <c r="BC2" s="5">
        <v>42583</v>
      </c>
      <c r="BD2" s="5">
        <v>42614</v>
      </c>
      <c r="BE2" s="5">
        <v>42644</v>
      </c>
      <c r="BF2" s="5">
        <v>42675</v>
      </c>
      <c r="BG2" s="5">
        <v>42705</v>
      </c>
      <c r="BH2" s="5">
        <v>42736</v>
      </c>
      <c r="BI2" s="5">
        <v>42767</v>
      </c>
      <c r="BJ2" s="5">
        <v>42795</v>
      </c>
      <c r="BK2" s="5">
        <v>42826</v>
      </c>
      <c r="BL2" s="5">
        <v>42856</v>
      </c>
      <c r="BM2" s="5">
        <v>42887</v>
      </c>
      <c r="BN2" s="5">
        <v>42917</v>
      </c>
      <c r="BO2" s="5">
        <v>42948</v>
      </c>
      <c r="BP2" s="5">
        <v>42979</v>
      </c>
      <c r="BQ2" s="5">
        <v>43009</v>
      </c>
      <c r="BR2" s="5">
        <v>43040</v>
      </c>
      <c r="BS2" s="5">
        <v>43070</v>
      </c>
      <c r="BT2" s="5">
        <v>43101</v>
      </c>
      <c r="BU2" s="5">
        <v>43132</v>
      </c>
      <c r="BV2" s="5">
        <v>43160</v>
      </c>
      <c r="BW2" s="5">
        <v>43191</v>
      </c>
      <c r="BX2" s="5">
        <v>43221</v>
      </c>
      <c r="BY2" s="5">
        <v>43252</v>
      </c>
      <c r="BZ2" s="5">
        <v>43282</v>
      </c>
      <c r="CA2" s="5">
        <v>43313</v>
      </c>
      <c r="CB2" s="5">
        <v>43344</v>
      </c>
      <c r="CC2" s="5">
        <v>43374</v>
      </c>
      <c r="CD2" s="5">
        <v>43405</v>
      </c>
      <c r="CE2" s="5">
        <v>43435</v>
      </c>
      <c r="CF2" s="5">
        <v>43466</v>
      </c>
      <c r="CG2" s="5">
        <f>+CF2+31</f>
        <v>43497</v>
      </c>
      <c r="CH2" s="5">
        <v>43525</v>
      </c>
      <c r="CI2" s="5">
        <v>43556</v>
      </c>
      <c r="CJ2" s="5">
        <v>43586</v>
      </c>
      <c r="CK2" s="5">
        <v>43617</v>
      </c>
      <c r="CL2" s="5">
        <v>43647</v>
      </c>
      <c r="CM2" s="5">
        <v>43678</v>
      </c>
      <c r="CN2" s="5">
        <f>+CM2+31</f>
        <v>43709</v>
      </c>
      <c r="CO2" s="5">
        <v>43739</v>
      </c>
      <c r="CP2" s="5">
        <f>+CO2+31</f>
        <v>43770</v>
      </c>
      <c r="CQ2" s="5">
        <f>+CP2+31</f>
        <v>43801</v>
      </c>
      <c r="CR2" s="7">
        <v>43831</v>
      </c>
      <c r="CS2" s="7">
        <f>+CR2+31</f>
        <v>43862</v>
      </c>
      <c r="CT2" s="7">
        <v>43891</v>
      </c>
      <c r="CU2" s="7">
        <v>43922</v>
      </c>
      <c r="CV2" s="7">
        <v>43952</v>
      </c>
      <c r="CW2" s="7">
        <f t="shared" ref="CW2:FH2" si="0">+EOMONTH(CV2,0)+1</f>
        <v>43983</v>
      </c>
      <c r="CX2" s="7">
        <f t="shared" si="0"/>
        <v>44013</v>
      </c>
      <c r="CY2" s="7">
        <f t="shared" si="0"/>
        <v>44044</v>
      </c>
      <c r="CZ2" s="7">
        <f t="shared" si="0"/>
        <v>44075</v>
      </c>
      <c r="DA2" s="7">
        <f t="shared" si="0"/>
        <v>44105</v>
      </c>
      <c r="DB2" s="7">
        <f t="shared" si="0"/>
        <v>44136</v>
      </c>
      <c r="DC2" s="7">
        <f t="shared" si="0"/>
        <v>44166</v>
      </c>
      <c r="DD2" s="7">
        <f t="shared" si="0"/>
        <v>44197</v>
      </c>
      <c r="DE2" s="7">
        <f t="shared" si="0"/>
        <v>44228</v>
      </c>
      <c r="DF2" s="7">
        <f t="shared" si="0"/>
        <v>44256</v>
      </c>
      <c r="DG2" s="7">
        <f t="shared" si="0"/>
        <v>44287</v>
      </c>
      <c r="DH2" s="7">
        <f t="shared" si="0"/>
        <v>44317</v>
      </c>
      <c r="DI2" s="7">
        <f t="shared" si="0"/>
        <v>44348</v>
      </c>
      <c r="DJ2" s="7">
        <f t="shared" si="0"/>
        <v>44378</v>
      </c>
      <c r="DK2" s="7">
        <f t="shared" si="0"/>
        <v>44409</v>
      </c>
      <c r="DL2" s="7">
        <f t="shared" si="0"/>
        <v>44440</v>
      </c>
      <c r="DM2" s="7">
        <f t="shared" si="0"/>
        <v>44470</v>
      </c>
      <c r="DN2" s="7">
        <f t="shared" si="0"/>
        <v>44501</v>
      </c>
      <c r="DO2" s="7">
        <f t="shared" si="0"/>
        <v>44531</v>
      </c>
      <c r="DP2" s="7">
        <f t="shared" si="0"/>
        <v>44562</v>
      </c>
      <c r="DQ2" s="7">
        <f t="shared" si="0"/>
        <v>44593</v>
      </c>
      <c r="DR2" s="7">
        <f t="shared" si="0"/>
        <v>44621</v>
      </c>
      <c r="DS2" s="7">
        <f t="shared" si="0"/>
        <v>44652</v>
      </c>
      <c r="DT2" s="7">
        <f t="shared" si="0"/>
        <v>44682</v>
      </c>
      <c r="DU2" s="7">
        <f t="shared" si="0"/>
        <v>44713</v>
      </c>
      <c r="DV2" s="7">
        <f t="shared" si="0"/>
        <v>44743</v>
      </c>
      <c r="DW2" s="7">
        <f t="shared" si="0"/>
        <v>44774</v>
      </c>
      <c r="DX2" s="7">
        <f t="shared" si="0"/>
        <v>44805</v>
      </c>
      <c r="DY2" s="7">
        <f t="shared" si="0"/>
        <v>44835</v>
      </c>
      <c r="DZ2" s="7">
        <f t="shared" si="0"/>
        <v>44866</v>
      </c>
      <c r="EA2" s="7">
        <f t="shared" si="0"/>
        <v>44896</v>
      </c>
      <c r="EB2" s="7">
        <f t="shared" si="0"/>
        <v>44927</v>
      </c>
      <c r="EC2" s="7">
        <f t="shared" si="0"/>
        <v>44958</v>
      </c>
      <c r="ED2" s="7">
        <f t="shared" si="0"/>
        <v>44986</v>
      </c>
      <c r="EE2" s="7">
        <f t="shared" si="0"/>
        <v>45017</v>
      </c>
      <c r="EF2" s="7">
        <f t="shared" si="0"/>
        <v>45047</v>
      </c>
      <c r="EG2" s="7">
        <f t="shared" si="0"/>
        <v>45078</v>
      </c>
      <c r="EH2" s="7">
        <f t="shared" si="0"/>
        <v>45108</v>
      </c>
      <c r="EI2" s="7">
        <f t="shared" si="0"/>
        <v>45139</v>
      </c>
      <c r="EJ2" s="7">
        <f t="shared" si="0"/>
        <v>45170</v>
      </c>
      <c r="EK2" s="7">
        <f t="shared" si="0"/>
        <v>45200</v>
      </c>
      <c r="EL2" s="7">
        <f t="shared" si="0"/>
        <v>45231</v>
      </c>
      <c r="EM2" s="7">
        <f t="shared" si="0"/>
        <v>45261</v>
      </c>
      <c r="EN2" s="7">
        <f t="shared" si="0"/>
        <v>45292</v>
      </c>
      <c r="EO2" s="7">
        <f t="shared" si="0"/>
        <v>45323</v>
      </c>
      <c r="EP2" s="7">
        <f t="shared" si="0"/>
        <v>45352</v>
      </c>
      <c r="EQ2" s="7">
        <f t="shared" si="0"/>
        <v>45383</v>
      </c>
      <c r="ER2" s="7">
        <f t="shared" si="0"/>
        <v>45413</v>
      </c>
      <c r="ES2" s="7">
        <f t="shared" si="0"/>
        <v>45444</v>
      </c>
      <c r="ET2" s="7">
        <f t="shared" si="0"/>
        <v>45474</v>
      </c>
      <c r="EU2" s="7">
        <f t="shared" si="0"/>
        <v>45505</v>
      </c>
      <c r="EV2" s="7">
        <f t="shared" si="0"/>
        <v>45536</v>
      </c>
      <c r="EW2" s="7">
        <f t="shared" si="0"/>
        <v>45566</v>
      </c>
      <c r="EX2" s="7">
        <f t="shared" si="0"/>
        <v>45597</v>
      </c>
      <c r="EY2" s="7">
        <f t="shared" si="0"/>
        <v>45627</v>
      </c>
      <c r="EZ2" s="7">
        <f t="shared" si="0"/>
        <v>45658</v>
      </c>
      <c r="FA2" s="7">
        <f t="shared" si="0"/>
        <v>45689</v>
      </c>
      <c r="FB2" s="7">
        <f t="shared" si="0"/>
        <v>45717</v>
      </c>
      <c r="FC2" s="7">
        <f t="shared" si="0"/>
        <v>45748</v>
      </c>
      <c r="FD2" s="7">
        <f t="shared" si="0"/>
        <v>45778</v>
      </c>
      <c r="FE2" s="7">
        <f t="shared" si="0"/>
        <v>45809</v>
      </c>
      <c r="FF2" s="7">
        <f t="shared" si="0"/>
        <v>45839</v>
      </c>
      <c r="FG2" s="7">
        <f t="shared" si="0"/>
        <v>45870</v>
      </c>
      <c r="FH2" s="7">
        <f t="shared" si="0"/>
        <v>45901</v>
      </c>
      <c r="FI2" s="7">
        <f t="shared" ref="FI2:FN2" si="1">+EOMONTH(FH2,0)+1</f>
        <v>45931</v>
      </c>
      <c r="FJ2" s="7">
        <f t="shared" si="1"/>
        <v>45962</v>
      </c>
      <c r="FK2" s="7">
        <f t="shared" si="1"/>
        <v>45992</v>
      </c>
      <c r="FL2" s="7">
        <f t="shared" si="1"/>
        <v>46023</v>
      </c>
      <c r="FM2" s="7">
        <f t="shared" si="1"/>
        <v>46054</v>
      </c>
      <c r="FN2" s="7">
        <f t="shared" si="1"/>
        <v>46082</v>
      </c>
      <c r="FR2" s="7" t="s">
        <v>5</v>
      </c>
      <c r="FS2" s="7" t="s">
        <v>6</v>
      </c>
      <c r="FT2" s="7" t="s">
        <v>7</v>
      </c>
      <c r="FU2" s="7" t="s">
        <v>8</v>
      </c>
      <c r="FV2" s="7" t="s">
        <v>9</v>
      </c>
      <c r="FW2" s="7" t="s">
        <v>10</v>
      </c>
      <c r="FX2" s="7" t="s">
        <v>11</v>
      </c>
      <c r="FY2" s="7" t="s">
        <v>12</v>
      </c>
      <c r="FZ2" s="7" t="s">
        <v>13</v>
      </c>
      <c r="GA2" s="7" t="s">
        <v>14</v>
      </c>
      <c r="GB2" s="7" t="s">
        <v>15</v>
      </c>
      <c r="GC2" s="7" t="s">
        <v>16</v>
      </c>
      <c r="GD2" s="7" t="s">
        <v>17</v>
      </c>
      <c r="GE2" s="7" t="s">
        <v>18</v>
      </c>
      <c r="GF2" s="7" t="s">
        <v>19</v>
      </c>
      <c r="GG2" s="7" t="s">
        <v>20</v>
      </c>
      <c r="GH2" s="7" t="s">
        <v>21</v>
      </c>
      <c r="GI2" s="7" t="s">
        <v>22</v>
      </c>
      <c r="GJ2" s="7" t="s">
        <v>23</v>
      </c>
      <c r="GK2" s="7" t="s">
        <v>24</v>
      </c>
      <c r="GL2" s="7" t="s">
        <v>25</v>
      </c>
      <c r="GM2" s="7" t="s">
        <v>26</v>
      </c>
      <c r="GN2" s="7" t="s">
        <v>27</v>
      </c>
      <c r="GO2" s="7" t="s">
        <v>28</v>
      </c>
      <c r="GP2" s="7" t="s">
        <v>29</v>
      </c>
      <c r="GQ2" s="7" t="s">
        <v>30</v>
      </c>
      <c r="GR2" s="7" t="s">
        <v>31</v>
      </c>
      <c r="GS2" s="7" t="s">
        <v>32</v>
      </c>
      <c r="GT2" s="7" t="s">
        <v>33</v>
      </c>
      <c r="GU2" s="7" t="s">
        <v>34</v>
      </c>
      <c r="GV2" s="7" t="s">
        <v>35</v>
      </c>
      <c r="GW2" s="7" t="s">
        <v>36</v>
      </c>
      <c r="GX2" s="7" t="s">
        <v>37</v>
      </c>
      <c r="GY2" s="7" t="s">
        <v>38</v>
      </c>
      <c r="GZ2" s="7" t="s">
        <v>39</v>
      </c>
      <c r="HA2" s="7" t="s">
        <v>40</v>
      </c>
      <c r="HB2" s="7" t="s">
        <v>41</v>
      </c>
      <c r="HC2" s="7" t="s">
        <v>42</v>
      </c>
      <c r="HD2" s="7" t="s">
        <v>43</v>
      </c>
      <c r="HE2" s="7" t="s">
        <v>44</v>
      </c>
      <c r="HF2" s="7" t="s">
        <v>45</v>
      </c>
      <c r="HG2" s="7" t="s">
        <v>46</v>
      </c>
      <c r="HH2" s="7" t="s">
        <v>47</v>
      </c>
      <c r="HI2" s="7" t="s">
        <v>48</v>
      </c>
      <c r="HJ2" s="7" t="s">
        <v>45</v>
      </c>
      <c r="HK2" s="7" t="s">
        <v>46</v>
      </c>
      <c r="HL2" s="7" t="s">
        <v>47</v>
      </c>
      <c r="HM2" s="7" t="s">
        <v>48</v>
      </c>
      <c r="HN2" s="7" t="s">
        <v>49</v>
      </c>
      <c r="HO2" s="7" t="s">
        <v>50</v>
      </c>
      <c r="HP2" s="7" t="s">
        <v>51</v>
      </c>
      <c r="HQ2" s="7" t="s">
        <v>52</v>
      </c>
      <c r="HR2" s="7" t="s">
        <v>53</v>
      </c>
      <c r="HS2" s="7" t="s">
        <v>54</v>
      </c>
      <c r="HT2" s="7" t="s">
        <v>55</v>
      </c>
      <c r="HU2" s="7" t="s">
        <v>56</v>
      </c>
      <c r="HV2" s="7" t="s">
        <v>57</v>
      </c>
      <c r="HW2" s="7" t="s">
        <v>58</v>
      </c>
      <c r="HX2" s="7" t="s">
        <v>59</v>
      </c>
      <c r="HY2" s="7"/>
      <c r="HZ2" s="7"/>
      <c r="IB2" s="7" t="s">
        <v>60</v>
      </c>
      <c r="IC2" s="7" t="s">
        <v>61</v>
      </c>
      <c r="ID2" s="7" t="s">
        <v>62</v>
      </c>
      <c r="IE2" s="7" t="s">
        <v>63</v>
      </c>
      <c r="IF2" s="7" t="s">
        <v>64</v>
      </c>
      <c r="IG2" s="7" t="s">
        <v>65</v>
      </c>
      <c r="IH2" s="7" t="s">
        <v>66</v>
      </c>
      <c r="II2" s="7" t="s">
        <v>67</v>
      </c>
      <c r="IJ2" s="7" t="s">
        <v>68</v>
      </c>
      <c r="IK2" s="7" t="s">
        <v>69</v>
      </c>
      <c r="IL2" s="7" t="s">
        <v>70</v>
      </c>
      <c r="IM2" s="7" t="s">
        <v>71</v>
      </c>
      <c r="IN2" s="7" t="s">
        <v>72</v>
      </c>
    </row>
    <row r="3" spans="1:249" x14ac:dyDescent="0.3">
      <c r="A3" s="8" t="s">
        <v>73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10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</row>
    <row r="4" spans="1:249" outlineLevel="2" x14ac:dyDescent="0.3">
      <c r="A4" t="s">
        <v>74</v>
      </c>
      <c r="B4" t="s">
        <v>75</v>
      </c>
      <c r="C4" s="11">
        <v>1296</v>
      </c>
      <c r="D4" s="11">
        <v>2023</v>
      </c>
      <c r="E4" s="11">
        <v>2803</v>
      </c>
      <c r="F4" s="11">
        <v>2237</v>
      </c>
      <c r="G4" s="11">
        <v>1493</v>
      </c>
      <c r="H4" s="11">
        <v>2405</v>
      </c>
      <c r="I4" s="11">
        <v>3362</v>
      </c>
      <c r="J4" s="11">
        <v>2818</v>
      </c>
      <c r="K4" s="11">
        <v>2054</v>
      </c>
      <c r="L4" s="11">
        <v>1862</v>
      </c>
      <c r="M4" s="11">
        <v>1712</v>
      </c>
      <c r="N4" s="11">
        <v>2697</v>
      </c>
      <c r="O4" s="11">
        <v>2949</v>
      </c>
      <c r="P4" s="11">
        <v>2850</v>
      </c>
      <c r="Q4" s="11">
        <v>3271</v>
      </c>
      <c r="R4" s="11">
        <v>2312</v>
      </c>
      <c r="S4" s="11">
        <v>1710</v>
      </c>
      <c r="T4" s="11">
        <v>2764</v>
      </c>
      <c r="U4" s="11">
        <v>3993</v>
      </c>
      <c r="V4" s="11">
        <v>2897</v>
      </c>
      <c r="W4" s="11">
        <v>1984</v>
      </c>
      <c r="X4" s="11">
        <v>2176</v>
      </c>
      <c r="Y4" s="11">
        <v>2151</v>
      </c>
      <c r="Z4" s="11">
        <v>2764</v>
      </c>
      <c r="AA4" s="12">
        <v>2342</v>
      </c>
      <c r="AB4" s="12">
        <v>2403</v>
      </c>
      <c r="AC4" s="12">
        <v>3242</v>
      </c>
      <c r="AD4" s="12">
        <v>2492</v>
      </c>
      <c r="AE4" s="12">
        <v>1645</v>
      </c>
      <c r="AF4" s="12">
        <v>3339</v>
      </c>
      <c r="AG4" s="12">
        <v>4361</v>
      </c>
      <c r="AH4" s="12">
        <v>2220</v>
      </c>
      <c r="AI4" s="12">
        <v>1499</v>
      </c>
      <c r="AJ4" s="12">
        <v>1757</v>
      </c>
      <c r="AK4" s="12">
        <v>1578</v>
      </c>
      <c r="AL4" s="13">
        <v>2021</v>
      </c>
      <c r="AM4" s="12">
        <v>1752</v>
      </c>
      <c r="AN4" s="12">
        <v>2068</v>
      </c>
      <c r="AO4" s="12">
        <v>3245</v>
      </c>
      <c r="AP4" s="12">
        <v>1927</v>
      </c>
      <c r="AQ4" s="12">
        <v>1320</v>
      </c>
      <c r="AR4" s="12">
        <v>2712</v>
      </c>
      <c r="AS4" s="12">
        <v>2635</v>
      </c>
      <c r="AT4" s="12">
        <v>2104</v>
      </c>
      <c r="AU4" s="12">
        <v>1194</v>
      </c>
      <c r="AV4" s="12">
        <v>1290</v>
      </c>
      <c r="AW4" s="12">
        <v>1219</v>
      </c>
      <c r="AX4" s="12">
        <v>2108</v>
      </c>
      <c r="AY4" s="12">
        <v>1462</v>
      </c>
      <c r="AZ4" s="12">
        <v>1918</v>
      </c>
      <c r="BA4" s="12">
        <v>2978</v>
      </c>
      <c r="BB4" s="12">
        <v>2115</v>
      </c>
      <c r="BC4" s="12">
        <v>1519</v>
      </c>
      <c r="BD4" s="12">
        <v>3386</v>
      </c>
      <c r="BE4" s="12">
        <v>3725</v>
      </c>
      <c r="BF4" s="12">
        <v>1694</v>
      </c>
      <c r="BG4" s="12">
        <v>1212</v>
      </c>
      <c r="BH4" s="12">
        <v>1287</v>
      </c>
      <c r="BI4" s="12">
        <v>1497</v>
      </c>
      <c r="BJ4" s="12">
        <v>2644</v>
      </c>
      <c r="BK4" s="12">
        <v>1852</v>
      </c>
      <c r="BL4" s="12">
        <v>2878</v>
      </c>
      <c r="BM4" s="12">
        <v>3005</v>
      </c>
      <c r="BN4" s="12">
        <v>2507</v>
      </c>
      <c r="BO4" s="12">
        <v>1886</v>
      </c>
      <c r="BP4" s="12">
        <v>4783</v>
      </c>
      <c r="BQ4" s="12">
        <v>4657</v>
      </c>
      <c r="BR4" s="12">
        <v>2388</v>
      </c>
      <c r="BS4" s="12">
        <v>1687</v>
      </c>
      <c r="BT4" s="12">
        <v>2640</v>
      </c>
      <c r="BU4" s="12">
        <v>3223</v>
      </c>
      <c r="BV4" s="12">
        <v>5471</v>
      </c>
      <c r="BW4" s="12">
        <v>2940</v>
      </c>
      <c r="BX4" s="12">
        <v>4010</v>
      </c>
      <c r="BY4" s="12">
        <v>5137</v>
      </c>
      <c r="BZ4" s="12">
        <v>2865</v>
      </c>
      <c r="CA4" s="12">
        <v>2083</v>
      </c>
      <c r="CB4" s="12">
        <v>4712</v>
      </c>
      <c r="CC4" s="12">
        <v>6373</v>
      </c>
      <c r="CD4" s="12">
        <v>4035</v>
      </c>
      <c r="CE4" s="12">
        <v>1960</v>
      </c>
      <c r="CF4" s="12">
        <v>2962</v>
      </c>
      <c r="CG4" s="12">
        <v>3559</v>
      </c>
      <c r="CH4" s="12">
        <v>5567</v>
      </c>
      <c r="CI4" s="12">
        <v>2339</v>
      </c>
      <c r="CJ4" s="12">
        <v>2938</v>
      </c>
      <c r="CK4" s="12">
        <v>4534</v>
      </c>
      <c r="CL4" s="12">
        <v>2413</v>
      </c>
      <c r="CM4" s="12">
        <v>1714</v>
      </c>
      <c r="CN4" s="12">
        <v>5010</v>
      </c>
      <c r="CO4" s="12">
        <v>5392</v>
      </c>
      <c r="CP4" s="12">
        <v>3088</v>
      </c>
      <c r="CQ4" s="12">
        <v>1513</v>
      </c>
      <c r="CR4" s="12">
        <v>2301</v>
      </c>
      <c r="CS4" s="12">
        <v>2904</v>
      </c>
      <c r="CT4" s="12">
        <v>1875</v>
      </c>
      <c r="CU4" s="12">
        <v>90</v>
      </c>
      <c r="CV4" s="12">
        <v>1938</v>
      </c>
      <c r="CW4" s="12">
        <v>3753</v>
      </c>
      <c r="CX4" s="12">
        <v>1437</v>
      </c>
      <c r="CY4" s="12">
        <v>2271</v>
      </c>
      <c r="CZ4" s="12">
        <v>3674</v>
      </c>
      <c r="DA4" s="12">
        <v>4668</v>
      </c>
      <c r="DB4" s="12">
        <v>3252</v>
      </c>
      <c r="DC4" s="12">
        <v>2427</v>
      </c>
      <c r="DD4" s="12">
        <v>3092</v>
      </c>
      <c r="DE4" s="12">
        <v>3218</v>
      </c>
      <c r="DF4" s="12">
        <v>3823</v>
      </c>
      <c r="DG4" s="12">
        <v>2048</v>
      </c>
      <c r="DH4" s="12">
        <v>1769</v>
      </c>
      <c r="DI4" s="14">
        <v>4275</v>
      </c>
      <c r="DJ4" s="14">
        <v>2000</v>
      </c>
      <c r="DK4" s="14">
        <v>1484</v>
      </c>
      <c r="DL4" s="14">
        <v>2476</v>
      </c>
      <c r="DM4" s="14">
        <v>4230</v>
      </c>
      <c r="DN4" s="14">
        <v>2329</v>
      </c>
      <c r="DO4" s="14">
        <v>979</v>
      </c>
      <c r="DP4" s="14">
        <v>1764</v>
      </c>
      <c r="DQ4" s="14">
        <v>1712</v>
      </c>
      <c r="DR4" s="14">
        <v>3207</v>
      </c>
      <c r="DS4" s="14">
        <v>2383</v>
      </c>
      <c r="DT4" s="14">
        <v>2515</v>
      </c>
      <c r="DU4" s="14">
        <v>3485</v>
      </c>
      <c r="DV4" s="14">
        <v>1721</v>
      </c>
      <c r="DW4" s="14">
        <v>1471</v>
      </c>
      <c r="DX4" s="14">
        <v>3420</v>
      </c>
      <c r="DY4" s="14">
        <v>4363</v>
      </c>
      <c r="DZ4" s="14">
        <v>2262</v>
      </c>
      <c r="EA4" s="14">
        <v>1384</v>
      </c>
      <c r="EB4" s="14">
        <v>1722</v>
      </c>
      <c r="EC4" s="14">
        <v>2041</v>
      </c>
      <c r="ED4" s="14">
        <v>2734</v>
      </c>
      <c r="EE4" s="14">
        <v>2114</v>
      </c>
      <c r="EF4" s="14">
        <v>2566</v>
      </c>
      <c r="EG4" s="14">
        <v>3214</v>
      </c>
      <c r="EH4" s="14">
        <v>1848</v>
      </c>
      <c r="EI4" s="14">
        <v>1549</v>
      </c>
      <c r="EJ4" s="14">
        <v>3093</v>
      </c>
      <c r="EK4" s="14">
        <v>3512</v>
      </c>
      <c r="EL4" s="14">
        <v>2472</v>
      </c>
      <c r="EM4" s="14">
        <v>1211</v>
      </c>
      <c r="EN4" s="14">
        <v>1566</v>
      </c>
      <c r="EO4" s="14">
        <v>1494</v>
      </c>
      <c r="EP4" s="14">
        <v>2018</v>
      </c>
      <c r="EQ4" s="14">
        <v>1824</v>
      </c>
      <c r="ER4" s="14">
        <v>2132</v>
      </c>
      <c r="ES4" s="14">
        <v>2653</v>
      </c>
      <c r="ET4" s="14">
        <v>1662</v>
      </c>
      <c r="EU4" s="14">
        <v>1346</v>
      </c>
      <c r="EV4" s="14">
        <v>2446</v>
      </c>
      <c r="EW4" s="14">
        <v>3837</v>
      </c>
      <c r="EX4" s="14">
        <v>1942</v>
      </c>
      <c r="EY4" s="14">
        <v>1005</v>
      </c>
      <c r="EZ4" s="14">
        <v>1355</v>
      </c>
      <c r="FA4" s="14">
        <v>1504</v>
      </c>
      <c r="FB4" s="14">
        <v>1777</v>
      </c>
      <c r="FC4" s="14">
        <v>1546</v>
      </c>
      <c r="FD4" s="14">
        <v>1932</v>
      </c>
      <c r="FE4" s="14">
        <v>2487</v>
      </c>
      <c r="FF4" s="14">
        <v>1626</v>
      </c>
      <c r="FG4" s="14">
        <v>1653</v>
      </c>
      <c r="FH4" s="14">
        <v>3328</v>
      </c>
      <c r="FI4" s="14">
        <v>3952</v>
      </c>
      <c r="FJ4" s="14">
        <v>1592</v>
      </c>
      <c r="FK4" s="14">
        <v>1371</v>
      </c>
      <c r="FL4" s="14"/>
      <c r="FM4" s="14"/>
      <c r="FN4" s="14"/>
      <c r="FR4" s="12">
        <f>+SUM(C4:E4)</f>
        <v>6122</v>
      </c>
      <c r="FS4" s="12">
        <f>+SUM(F4:H4)</f>
        <v>6135</v>
      </c>
      <c r="FT4" s="12">
        <f>+SUM(I4:K4)</f>
        <v>8234</v>
      </c>
      <c r="FU4" s="12">
        <f>+SUM(L4:N4)</f>
        <v>6271</v>
      </c>
      <c r="FV4" s="12">
        <f>+SUM(O4:Q4)</f>
        <v>9070</v>
      </c>
      <c r="FW4" s="12">
        <f>+SUM(R4:T4)</f>
        <v>6786</v>
      </c>
      <c r="FX4" s="12">
        <f>+SUM(U4:W4)</f>
        <v>8874</v>
      </c>
      <c r="FY4" s="12">
        <f>+SUM(X4:Z4)</f>
        <v>7091</v>
      </c>
      <c r="FZ4" s="12">
        <f>+SUM(AA4:AC4)</f>
        <v>7987</v>
      </c>
      <c r="GA4" s="12">
        <f>+SUM(AD4:AF4)</f>
        <v>7476</v>
      </c>
      <c r="GB4" s="12">
        <f>+SUM(AG4:AI4)</f>
        <v>8080</v>
      </c>
      <c r="GC4" s="12">
        <f>+SUM(AJ4:AL4)</f>
        <v>5356</v>
      </c>
      <c r="GD4" s="12">
        <f>+SUM(AM4:AO4)</f>
        <v>7065</v>
      </c>
      <c r="GE4" s="12">
        <f>+SUM(AP4:AR4)</f>
        <v>5959</v>
      </c>
      <c r="GF4" s="12">
        <f>+SUM(AS4:AU4)</f>
        <v>5933</v>
      </c>
      <c r="GG4" s="12">
        <f>+SUM(AV4:AX4)</f>
        <v>4617</v>
      </c>
      <c r="GH4" s="12">
        <f>+SUM(AY4:BA4)</f>
        <v>6358</v>
      </c>
      <c r="GI4" s="12">
        <f>+SUM(BB4:BD4)</f>
        <v>7020</v>
      </c>
      <c r="GJ4" s="12">
        <f>+SUM(BE4:BG4)</f>
        <v>6631</v>
      </c>
      <c r="GK4" s="12">
        <f>+SUM(BH4:BJ4)</f>
        <v>5428</v>
      </c>
      <c r="GL4" s="12">
        <f>+SUM(BK4:BM4)</f>
        <v>7735</v>
      </c>
      <c r="GM4" s="12">
        <f>+SUM(BN4:BP4)</f>
        <v>9176</v>
      </c>
      <c r="GN4" s="12">
        <f>+SUM(BQ4:BS4)</f>
        <v>8732</v>
      </c>
      <c r="GO4" s="12">
        <f>+SUM(BT4:BV4)</f>
        <v>11334</v>
      </c>
      <c r="GP4" s="12">
        <f>+SUM(BW4:BY4)</f>
        <v>12087</v>
      </c>
      <c r="GQ4" s="12">
        <f>+SUM(BZ4:CB4)</f>
        <v>9660</v>
      </c>
      <c r="GR4" s="12">
        <f>+SUM(CC4:CE4)</f>
        <v>12368</v>
      </c>
      <c r="GS4" s="12">
        <f>+SUM(CF4:CH4)</f>
        <v>12088</v>
      </c>
      <c r="GT4" s="12">
        <f>+SUM(CI4:CK4)</f>
        <v>9811</v>
      </c>
      <c r="GU4" s="12">
        <f>+SUM(CL4:CN4)</f>
        <v>9137</v>
      </c>
      <c r="GV4" s="12">
        <f>+SUM(CO4:CQ4)</f>
        <v>9993</v>
      </c>
      <c r="GW4" s="12">
        <f>+SUM(CR4:CT4)</f>
        <v>7080</v>
      </c>
      <c r="GX4" s="12">
        <f>+SUM(CU4:CW4)</f>
        <v>5781</v>
      </c>
      <c r="GY4" s="12">
        <f>+SUM(CX4:CZ4)</f>
        <v>7382</v>
      </c>
      <c r="GZ4" s="12">
        <f t="shared" ref="GZ4:GZ67" si="2">+SUM(DA4:DC4)</f>
        <v>10347</v>
      </c>
      <c r="HA4" s="12">
        <f t="shared" ref="HA4:HA67" si="3">+SUM(DD4:DF4)</f>
        <v>10133</v>
      </c>
      <c r="HB4" s="12">
        <f t="shared" ref="HB4:HB67" si="4">+SUM(DG4:DH4)</f>
        <v>3817</v>
      </c>
      <c r="HC4" s="12">
        <f t="shared" ref="HC4:HC67" si="5">+SUM(DJ4:DL4)</f>
        <v>5960</v>
      </c>
      <c r="HD4" s="12">
        <f t="shared" ref="HD4:HD67" si="6">+SUM(DM4:DO4)</f>
        <v>7538</v>
      </c>
      <c r="HE4" s="12">
        <f t="shared" ref="HE4:HE67" si="7">+SUM(DP4:DR4)</f>
        <v>6683</v>
      </c>
      <c r="HF4" s="12">
        <f t="shared" ref="HF4:HF67" si="8">+SUM(DS4:DU4)</f>
        <v>8383</v>
      </c>
      <c r="HG4" s="12">
        <f t="shared" ref="HG4:HG67" si="9">+SUM(DV4:DX4)</f>
        <v>6612</v>
      </c>
      <c r="HH4" s="12">
        <f t="shared" ref="HH4:HH67" si="10">+SUM(DY4:EA4)</f>
        <v>8009</v>
      </c>
      <c r="HI4" s="12">
        <f t="shared" ref="HI4:HI67" si="11">+SUM(EB4:ED4)</f>
        <v>6497</v>
      </c>
      <c r="HJ4" s="12">
        <f t="shared" ref="HJ4:HJ67" si="12">+SUM(EE4:EG4)</f>
        <v>7894</v>
      </c>
      <c r="HK4" s="12">
        <f t="shared" ref="HK4:HK67" si="13">+SUM(EH4:EJ4)</f>
        <v>6490</v>
      </c>
      <c r="HL4" s="12">
        <f t="shared" ref="HL4:HL67" si="14">+SUM(EK4:EM4)</f>
        <v>7195</v>
      </c>
      <c r="HM4" s="12">
        <f t="shared" ref="HM4:HM67" si="15">+SUM(EN4:EP4)</f>
        <v>5078</v>
      </c>
      <c r="HN4" s="12">
        <f>SUM(EE4:EG4)</f>
        <v>7894</v>
      </c>
      <c r="HO4" s="12">
        <f>SUM(EH4:EJ4)</f>
        <v>6490</v>
      </c>
      <c r="HP4" s="12">
        <f>SUM(EK4:EM4)</f>
        <v>7195</v>
      </c>
      <c r="HQ4" s="12">
        <f>SUM(EN4:EP4)</f>
        <v>5078</v>
      </c>
      <c r="HR4" s="12">
        <f>SUM(EQ4:ES4)</f>
        <v>6609</v>
      </c>
      <c r="HS4" s="12">
        <f>SUM(ET4:EV4)</f>
        <v>5454</v>
      </c>
      <c r="HT4" s="12">
        <f t="shared" ref="HT4:HT67" si="16">SUM(EW4:EY4)</f>
        <v>6784</v>
      </c>
      <c r="HU4" s="12">
        <f t="shared" ref="HU4:HU67" si="17">SUM(EZ4:FB4)</f>
        <v>4636</v>
      </c>
      <c r="HV4" s="12">
        <f t="shared" ref="HV4:HV67" si="18">SUM(FC4:FE4)</f>
        <v>5965</v>
      </c>
      <c r="HW4" s="12">
        <f t="shared" ref="HW4:HW67" si="19">SUM(FF4:FH4)</f>
        <v>6607</v>
      </c>
      <c r="HX4" s="12">
        <f t="shared" ref="HX4:HX67" si="20">SUM(FI4:FK4)</f>
        <v>6915</v>
      </c>
      <c r="IB4" s="12">
        <f>+SUM(C4:N4)</f>
        <v>26762</v>
      </c>
      <c r="IC4" s="12">
        <f>+SUM(O4:Z4)</f>
        <v>31821</v>
      </c>
      <c r="ID4" s="12">
        <f>+SUM(AA4:AL4)</f>
        <v>28899</v>
      </c>
      <c r="IE4" s="12">
        <f>+SUM(AM4:AX4)</f>
        <v>23574</v>
      </c>
      <c r="IF4" s="12">
        <f>+SUM(AY4:BJ4)</f>
        <v>25437</v>
      </c>
      <c r="IG4" s="12">
        <f>+SUM(BK4:BV4)</f>
        <v>36977</v>
      </c>
      <c r="IH4" s="12">
        <f>+SUM(BW4:CH4)</f>
        <v>46203</v>
      </c>
      <c r="II4" s="12">
        <f>SUM(CI4:CT4)</f>
        <v>36021</v>
      </c>
      <c r="IJ4" s="12">
        <f t="shared" ref="IJ4:IJ67" si="21">SUM(CU4:DF4)</f>
        <v>33643</v>
      </c>
      <c r="IK4" s="12">
        <f t="shared" ref="IK4:IK67" si="22">SUM(DG4:DR4)</f>
        <v>28273</v>
      </c>
      <c r="IL4" s="12">
        <f t="shared" ref="IL4:IL67" si="23">SUM(DS4:ED4)</f>
        <v>29501</v>
      </c>
      <c r="IM4" s="12">
        <f t="shared" ref="IM4:IM67" si="24">SUM(EE4:EP4)</f>
        <v>26657</v>
      </c>
      <c r="IN4" s="12">
        <f t="shared" ref="IN4:IN46" si="25">SUM(EQ4:FB4)</f>
        <v>23483</v>
      </c>
    </row>
    <row r="5" spans="1:249" outlineLevel="2" x14ac:dyDescent="0.3">
      <c r="A5" t="str">
        <f>+A4</f>
        <v>Escorts Ltd.</v>
      </c>
      <c r="B5" t="s">
        <v>76</v>
      </c>
      <c r="C5" s="11">
        <v>2554</v>
      </c>
      <c r="D5" s="11">
        <v>2812</v>
      </c>
      <c r="E5" s="11">
        <v>3028</v>
      </c>
      <c r="F5" s="11">
        <v>1978</v>
      </c>
      <c r="G5" s="11">
        <v>1872</v>
      </c>
      <c r="H5" s="11">
        <v>2943</v>
      </c>
      <c r="I5" s="11">
        <v>3728</v>
      </c>
      <c r="J5" s="11">
        <v>2561</v>
      </c>
      <c r="K5" s="11">
        <v>1779</v>
      </c>
      <c r="L5" s="11">
        <v>2214</v>
      </c>
      <c r="M5" s="11">
        <v>2390</v>
      </c>
      <c r="N5" s="11">
        <v>3190</v>
      </c>
      <c r="O5" s="11">
        <v>3262</v>
      </c>
      <c r="P5" s="11">
        <v>3145</v>
      </c>
      <c r="Q5" s="11">
        <v>3325</v>
      </c>
      <c r="R5" s="11">
        <v>1945</v>
      </c>
      <c r="S5" s="11">
        <v>2028</v>
      </c>
      <c r="T5" s="11">
        <v>3497</v>
      </c>
      <c r="U5" s="11">
        <v>4990</v>
      </c>
      <c r="V5" s="11">
        <v>2774</v>
      </c>
      <c r="W5" s="11">
        <v>1604</v>
      </c>
      <c r="X5" s="11">
        <v>2191</v>
      </c>
      <c r="Y5" s="11">
        <v>2078</v>
      </c>
      <c r="Z5" s="11">
        <v>2854</v>
      </c>
      <c r="AA5" s="12">
        <v>2495</v>
      </c>
      <c r="AB5" s="12">
        <v>2869</v>
      </c>
      <c r="AC5" s="12">
        <v>2797</v>
      </c>
      <c r="AD5" s="12">
        <v>1431</v>
      </c>
      <c r="AE5" s="12">
        <v>1284</v>
      </c>
      <c r="AF5" s="12">
        <v>3181</v>
      </c>
      <c r="AG5" s="12">
        <v>3600</v>
      </c>
      <c r="AH5" s="12">
        <v>1701</v>
      </c>
      <c r="AI5" s="12">
        <v>1111</v>
      </c>
      <c r="AJ5" s="12">
        <v>1183</v>
      </c>
      <c r="AK5" s="12">
        <v>1440</v>
      </c>
      <c r="AL5" s="13">
        <v>1805</v>
      </c>
      <c r="AM5" s="12">
        <v>1600</v>
      </c>
      <c r="AN5" s="12">
        <v>2268</v>
      </c>
      <c r="AO5" s="12">
        <v>2648</v>
      </c>
      <c r="AP5" s="12">
        <v>1256</v>
      </c>
      <c r="AQ5" s="12">
        <v>942</v>
      </c>
      <c r="AR5" s="12">
        <v>2684</v>
      </c>
      <c r="AS5" s="12">
        <v>2898</v>
      </c>
      <c r="AT5" s="12">
        <v>2355</v>
      </c>
      <c r="AU5" s="12">
        <v>1355</v>
      </c>
      <c r="AV5" s="12">
        <v>1564</v>
      </c>
      <c r="AW5" s="12">
        <v>1736</v>
      </c>
      <c r="AX5" s="12">
        <v>2836</v>
      </c>
      <c r="AY5" s="12">
        <v>2316</v>
      </c>
      <c r="AZ5" s="12">
        <v>3030</v>
      </c>
      <c r="BA5" s="12">
        <v>3545</v>
      </c>
      <c r="BB5" s="12">
        <v>1646</v>
      </c>
      <c r="BC5" s="12">
        <v>1928</v>
      </c>
      <c r="BD5" s="12">
        <v>3882</v>
      </c>
      <c r="BE5" s="12">
        <v>4666</v>
      </c>
      <c r="BF5" s="12">
        <v>2674</v>
      </c>
      <c r="BG5" s="12">
        <v>1597</v>
      </c>
      <c r="BH5" s="12">
        <v>1945</v>
      </c>
      <c r="BI5" s="12">
        <v>2283</v>
      </c>
      <c r="BJ5" s="12">
        <v>3803</v>
      </c>
      <c r="BK5" s="12">
        <v>2493</v>
      </c>
      <c r="BL5" s="12">
        <v>3303</v>
      </c>
      <c r="BM5" s="12">
        <v>2259</v>
      </c>
      <c r="BN5" s="12">
        <v>2312</v>
      </c>
      <c r="BO5" s="12">
        <v>2042</v>
      </c>
      <c r="BP5" s="12">
        <v>4638</v>
      </c>
      <c r="BQ5" s="12">
        <v>4608</v>
      </c>
      <c r="BR5" s="12">
        <v>2117</v>
      </c>
      <c r="BS5" s="12">
        <v>1414</v>
      </c>
      <c r="BT5" s="12">
        <v>2112</v>
      </c>
      <c r="BU5" s="12">
        <v>2577</v>
      </c>
      <c r="BV5" s="12">
        <v>5104</v>
      </c>
      <c r="BW5" s="12">
        <v>2637</v>
      </c>
      <c r="BX5" s="12">
        <v>3420</v>
      </c>
      <c r="BY5" s="12">
        <v>3943</v>
      </c>
      <c r="BZ5" s="12">
        <v>2141</v>
      </c>
      <c r="CA5" s="12">
        <v>2131</v>
      </c>
      <c r="CB5" s="12">
        <v>4953</v>
      </c>
      <c r="CC5" s="12">
        <v>5755</v>
      </c>
      <c r="CD5" s="12">
        <v>3163</v>
      </c>
      <c r="CE5" s="12">
        <v>1987</v>
      </c>
      <c r="CF5" s="12">
        <v>2314</v>
      </c>
      <c r="CG5" s="12">
        <v>2753</v>
      </c>
      <c r="CH5" s="12">
        <v>4671</v>
      </c>
      <c r="CI5" s="12">
        <v>2168</v>
      </c>
      <c r="CJ5" s="12">
        <v>2898</v>
      </c>
      <c r="CK5" s="12">
        <v>3325</v>
      </c>
      <c r="CL5" s="12">
        <v>1620</v>
      </c>
      <c r="CM5" s="12">
        <v>1617</v>
      </c>
      <c r="CN5" s="12">
        <v>4509</v>
      </c>
      <c r="CO5" s="12">
        <v>6500</v>
      </c>
      <c r="CP5" s="12">
        <v>3563</v>
      </c>
      <c r="CQ5" s="12">
        <v>1888</v>
      </c>
      <c r="CR5" s="12">
        <v>2875</v>
      </c>
      <c r="CS5" s="12">
        <v>4286</v>
      </c>
      <c r="CT5" s="12">
        <v>2732</v>
      </c>
      <c r="CU5" s="12">
        <v>440</v>
      </c>
      <c r="CV5" s="12">
        <v>3900</v>
      </c>
      <c r="CW5" s="12">
        <v>5797</v>
      </c>
      <c r="CX5" s="12">
        <v>2812</v>
      </c>
      <c r="CY5" s="12">
        <v>3805</v>
      </c>
      <c r="CZ5" s="12">
        <v>6849</v>
      </c>
      <c r="DA5" s="12">
        <v>7194</v>
      </c>
      <c r="DB5" s="12">
        <v>5463</v>
      </c>
      <c r="DC5" s="12">
        <v>3933</v>
      </c>
      <c r="DD5" s="12">
        <v>4364</v>
      </c>
      <c r="DE5" s="12">
        <v>6094</v>
      </c>
      <c r="DF5" s="12">
        <v>6157</v>
      </c>
      <c r="DG5" s="12">
        <v>3459</v>
      </c>
      <c r="DH5" s="12">
        <v>3691</v>
      </c>
      <c r="DI5" s="14">
        <v>6389</v>
      </c>
      <c r="DJ5" s="14">
        <v>3259</v>
      </c>
      <c r="DK5" s="14">
        <v>2744</v>
      </c>
      <c r="DL5" s="14">
        <v>4639</v>
      </c>
      <c r="DM5" s="14">
        <v>7254</v>
      </c>
      <c r="DN5" s="14">
        <v>3497</v>
      </c>
      <c r="DO5" s="14">
        <v>2663</v>
      </c>
      <c r="DP5" s="14">
        <v>2803</v>
      </c>
      <c r="DQ5" s="14">
        <v>3285</v>
      </c>
      <c r="DR5" s="14">
        <v>5178</v>
      </c>
      <c r="DS5" s="14">
        <v>4544</v>
      </c>
      <c r="DT5" s="14">
        <v>4324</v>
      </c>
      <c r="DU5" s="14">
        <v>4796</v>
      </c>
      <c r="DV5" s="14">
        <v>2415</v>
      </c>
      <c r="DW5" s="14">
        <v>3166</v>
      </c>
      <c r="DX5" s="14">
        <v>6526</v>
      </c>
      <c r="DY5" s="14">
        <v>8116</v>
      </c>
      <c r="DZ5" s="14">
        <v>4123</v>
      </c>
      <c r="EA5" s="14">
        <v>2947</v>
      </c>
      <c r="EB5" s="14">
        <v>3655</v>
      </c>
      <c r="EC5" s="14">
        <v>4372</v>
      </c>
      <c r="ED5" s="14">
        <v>5850</v>
      </c>
      <c r="EE5" s="14">
        <v>4559</v>
      </c>
      <c r="EF5" s="14">
        <v>5525</v>
      </c>
      <c r="EG5" s="14">
        <v>5393</v>
      </c>
      <c r="EH5" s="14">
        <v>2755</v>
      </c>
      <c r="EI5" s="14">
        <v>3104</v>
      </c>
      <c r="EJ5" s="14">
        <v>6538</v>
      </c>
      <c r="EK5" s="14">
        <v>8425</v>
      </c>
      <c r="EL5" s="14">
        <v>4890</v>
      </c>
      <c r="EM5" s="14">
        <v>2579</v>
      </c>
      <c r="EN5" s="14">
        <v>3765</v>
      </c>
      <c r="EO5" s="14">
        <v>4167</v>
      </c>
      <c r="EP5" s="14">
        <v>5590</v>
      </c>
      <c r="EQ5" s="14">
        <v>4837</v>
      </c>
      <c r="ER5" s="14">
        <v>5553</v>
      </c>
      <c r="ES5" s="14">
        <v>6001</v>
      </c>
      <c r="ET5" s="14">
        <v>3200</v>
      </c>
      <c r="EU5" s="14">
        <v>3467</v>
      </c>
      <c r="EV5" s="14">
        <v>8691</v>
      </c>
      <c r="EW5" s="14">
        <v>12445</v>
      </c>
      <c r="EX5" s="14">
        <v>5856</v>
      </c>
      <c r="EY5" s="14">
        <v>3385</v>
      </c>
      <c r="EZ5" s="14">
        <v>4120</v>
      </c>
      <c r="FA5" s="14">
        <v>5719</v>
      </c>
      <c r="FB5" s="14">
        <v>7795</v>
      </c>
      <c r="FC5" s="14">
        <v>5734</v>
      </c>
      <c r="FD5" s="14">
        <v>6730</v>
      </c>
      <c r="FE5" s="14">
        <v>7076</v>
      </c>
      <c r="FF5" s="14">
        <v>4033</v>
      </c>
      <c r="FG5" s="14">
        <v>5280</v>
      </c>
      <c r="FH5" s="14">
        <v>13065</v>
      </c>
      <c r="FI5" s="14">
        <v>11917</v>
      </c>
      <c r="FJ5" s="14">
        <v>7387</v>
      </c>
      <c r="FK5" s="14">
        <v>4396</v>
      </c>
      <c r="FL5" s="14"/>
      <c r="FM5" s="14"/>
      <c r="FN5" s="14"/>
      <c r="FR5" s="12">
        <f t="shared" ref="FR5:FR70" si="26">+SUM(C5:E5)</f>
        <v>8394</v>
      </c>
      <c r="FS5" s="12">
        <f t="shared" ref="FS5:FS70" si="27">+SUM(F5:H5)</f>
        <v>6793</v>
      </c>
      <c r="FT5" s="12">
        <f t="shared" ref="FT5:FT70" si="28">+SUM(I5:K5)</f>
        <v>8068</v>
      </c>
      <c r="FU5" s="12">
        <f t="shared" ref="FU5:FU70" si="29">+SUM(L5:N5)</f>
        <v>7794</v>
      </c>
      <c r="FV5" s="12">
        <f t="shared" ref="FV5:FV70" si="30">+SUM(O5:Q5)</f>
        <v>9732</v>
      </c>
      <c r="FW5" s="12">
        <f t="shared" ref="FW5:FW70" si="31">+SUM(R5:T5)</f>
        <v>7470</v>
      </c>
      <c r="FX5" s="12">
        <f t="shared" ref="FX5:FX70" si="32">+SUM(U5:W5)</f>
        <v>9368</v>
      </c>
      <c r="FY5" s="12">
        <f t="shared" ref="FY5:FY70" si="33">+SUM(X5:Z5)</f>
        <v>7123</v>
      </c>
      <c r="FZ5" s="12">
        <f t="shared" ref="FZ5:FZ70" si="34">+SUM(AA5:AC5)</f>
        <v>8161</v>
      </c>
      <c r="GA5" s="12">
        <f t="shared" ref="GA5:GA70" si="35">+SUM(AD5:AF5)</f>
        <v>5896</v>
      </c>
      <c r="GB5" s="12">
        <f t="shared" ref="GB5:GB70" si="36">+SUM(AG5:AI5)</f>
        <v>6412</v>
      </c>
      <c r="GC5" s="12">
        <f t="shared" ref="GC5:GC70" si="37">+SUM(AJ5:AL5)</f>
        <v>4428</v>
      </c>
      <c r="GD5" s="12">
        <f t="shared" ref="GD5:GD70" si="38">+SUM(AM5:AO5)</f>
        <v>6516</v>
      </c>
      <c r="GE5" s="12">
        <f t="shared" ref="GE5:GE70" si="39">+SUM(AP5:AR5)</f>
        <v>4882</v>
      </c>
      <c r="GF5" s="12">
        <f t="shared" ref="GF5:GF70" si="40">+SUM(AS5:AU5)</f>
        <v>6608</v>
      </c>
      <c r="GG5" s="12">
        <f t="shared" ref="GG5:GG70" si="41">+SUM(AV5:AX5)</f>
        <v>6136</v>
      </c>
      <c r="GH5" s="12">
        <f t="shared" ref="GH5:GH70" si="42">+SUM(AY5:BA5)</f>
        <v>8891</v>
      </c>
      <c r="GI5" s="12">
        <f t="shared" ref="GI5:GI70" si="43">+SUM(BB5:BD5)</f>
        <v>7456</v>
      </c>
      <c r="GJ5" s="12">
        <f t="shared" ref="GJ5:GJ70" si="44">+SUM(BE5:BG5)</f>
        <v>8937</v>
      </c>
      <c r="GK5" s="12">
        <f t="shared" ref="GK5:GK70" si="45">+SUM(BH5:BJ5)</f>
        <v>8031</v>
      </c>
      <c r="GL5" s="12">
        <f t="shared" ref="GL5:GL70" si="46">+SUM(BK5:BM5)</f>
        <v>8055</v>
      </c>
      <c r="GM5" s="12">
        <f t="shared" ref="GM5:GM70" si="47">+SUM(BN5:BP5)</f>
        <v>8992</v>
      </c>
      <c r="GN5" s="12">
        <f t="shared" ref="GN5:GN70" si="48">+SUM(BQ5:BS5)</f>
        <v>8139</v>
      </c>
      <c r="GO5" s="12">
        <f t="shared" ref="GO5:GO70" si="49">+SUM(BT5:BV5)</f>
        <v>9793</v>
      </c>
      <c r="GP5" s="12">
        <f t="shared" ref="GP5:GP70" si="50">+SUM(BW5:BY5)</f>
        <v>10000</v>
      </c>
      <c r="GQ5" s="12">
        <f t="shared" ref="GQ5:GQ70" si="51">+SUM(BZ5:CB5)</f>
        <v>9225</v>
      </c>
      <c r="GR5" s="12">
        <f t="shared" ref="GR5:GR70" si="52">+SUM(CC5:CE5)</f>
        <v>10905</v>
      </c>
      <c r="GS5" s="12">
        <f t="shared" ref="GS5:GS70" si="53">+SUM(CF5:CH5)</f>
        <v>9738</v>
      </c>
      <c r="GT5" s="12">
        <f t="shared" ref="GT5:GT70" si="54">+SUM(CI5:CK5)</f>
        <v>8391</v>
      </c>
      <c r="GU5" s="12">
        <f t="shared" ref="GU5:GU70" si="55">+SUM(CL5:CN5)</f>
        <v>7746</v>
      </c>
      <c r="GV5" s="12">
        <f t="shared" ref="GV5:GV70" si="56">+SUM(CO5:CQ5)</f>
        <v>11951</v>
      </c>
      <c r="GW5" s="12">
        <f t="shared" ref="GW5:GW70" si="57">+SUM(CR5:CT5)</f>
        <v>9893</v>
      </c>
      <c r="GX5" s="12">
        <f t="shared" ref="GX5:GX70" si="58">+SUM(CU5:CW5)</f>
        <v>10137</v>
      </c>
      <c r="GY5" s="12">
        <f t="shared" ref="GY5:GY70" si="59">+SUM(CX5:CZ5)</f>
        <v>13466</v>
      </c>
      <c r="GZ5" s="12">
        <f t="shared" si="2"/>
        <v>16590</v>
      </c>
      <c r="HA5" s="12">
        <f t="shared" si="3"/>
        <v>16615</v>
      </c>
      <c r="HB5" s="12">
        <f t="shared" si="4"/>
        <v>7150</v>
      </c>
      <c r="HC5" s="12">
        <f t="shared" si="5"/>
        <v>10642</v>
      </c>
      <c r="HD5" s="12">
        <f t="shared" si="6"/>
        <v>13414</v>
      </c>
      <c r="HE5" s="12">
        <f t="shared" si="7"/>
        <v>11266</v>
      </c>
      <c r="HF5" s="12">
        <f t="shared" si="8"/>
        <v>13664</v>
      </c>
      <c r="HG5" s="12">
        <f t="shared" si="9"/>
        <v>12107</v>
      </c>
      <c r="HH5" s="12">
        <f t="shared" si="10"/>
        <v>15186</v>
      </c>
      <c r="HI5" s="12">
        <f t="shared" si="11"/>
        <v>13877</v>
      </c>
      <c r="HJ5" s="12">
        <f t="shared" si="12"/>
        <v>15477</v>
      </c>
      <c r="HK5" s="12">
        <f t="shared" si="13"/>
        <v>12397</v>
      </c>
      <c r="HL5" s="12">
        <f t="shared" si="14"/>
        <v>15894</v>
      </c>
      <c r="HM5" s="12">
        <f t="shared" si="15"/>
        <v>13522</v>
      </c>
      <c r="HN5" s="12">
        <f t="shared" ref="HN5:HN69" si="60">SUM(EE5:EG5)</f>
        <v>15477</v>
      </c>
      <c r="HO5" s="12">
        <f t="shared" ref="HO5:HO69" si="61">SUM(EH5:EJ5)</f>
        <v>12397</v>
      </c>
      <c r="HP5" s="12">
        <f t="shared" ref="HP5:HP69" si="62">SUM(EK5:EM5)</f>
        <v>15894</v>
      </c>
      <c r="HQ5" s="12">
        <f t="shared" ref="HQ5:HQ69" si="63">SUM(EN5:EP5)</f>
        <v>13522</v>
      </c>
      <c r="HR5" s="12">
        <f t="shared" ref="HR5:HR69" si="64">SUM(EQ5:ES5)</f>
        <v>16391</v>
      </c>
      <c r="HS5" s="12">
        <f t="shared" ref="HS5:HS68" si="65">SUM(ET5:EV5)</f>
        <v>15358</v>
      </c>
      <c r="HT5" s="12">
        <f t="shared" si="16"/>
        <v>21686</v>
      </c>
      <c r="HU5" s="12">
        <f t="shared" si="17"/>
        <v>17634</v>
      </c>
      <c r="HV5" s="12">
        <f t="shared" si="18"/>
        <v>19540</v>
      </c>
      <c r="HW5" s="12">
        <f t="shared" si="19"/>
        <v>22378</v>
      </c>
      <c r="HX5" s="12">
        <f t="shared" si="20"/>
        <v>23700</v>
      </c>
      <c r="IB5" s="12">
        <f t="shared" ref="IB5:IB70" si="66">+SUM(C5:N5)</f>
        <v>31049</v>
      </c>
      <c r="IC5" s="12">
        <f t="shared" ref="IC5:IC70" si="67">+SUM(O5:Z5)</f>
        <v>33693</v>
      </c>
      <c r="ID5" s="12">
        <f t="shared" ref="ID5:ID70" si="68">+SUM(AA5:AL5)</f>
        <v>24897</v>
      </c>
      <c r="IE5" s="12">
        <f t="shared" ref="IE5:IE70" si="69">+SUM(AM5:AX5)</f>
        <v>24142</v>
      </c>
      <c r="IF5" s="12">
        <f t="shared" ref="IF5:IF70" si="70">+SUM(AY5:BJ5)</f>
        <v>33315</v>
      </c>
      <c r="IG5" s="12">
        <f t="shared" ref="IG5:IG70" si="71">+SUM(BK5:BV5)</f>
        <v>34979</v>
      </c>
      <c r="IH5" s="12">
        <f t="shared" ref="IH5:IH70" si="72">+SUM(BW5:CH5)</f>
        <v>39868</v>
      </c>
      <c r="II5" s="12">
        <f t="shared" ref="II5:II70" si="73">SUM(CI5:CT5)</f>
        <v>37981</v>
      </c>
      <c r="IJ5" s="12">
        <f t="shared" si="21"/>
        <v>56808</v>
      </c>
      <c r="IK5" s="12">
        <f t="shared" si="22"/>
        <v>48861</v>
      </c>
      <c r="IL5" s="12">
        <f t="shared" si="23"/>
        <v>54834</v>
      </c>
      <c r="IM5" s="12">
        <f t="shared" si="24"/>
        <v>57290</v>
      </c>
      <c r="IN5" s="12">
        <f t="shared" si="25"/>
        <v>71069</v>
      </c>
    </row>
    <row r="6" spans="1:249" outlineLevel="2" x14ac:dyDescent="0.3">
      <c r="A6" t="str">
        <f>+A5</f>
        <v>Escorts Ltd.</v>
      </c>
      <c r="B6" t="s">
        <v>77</v>
      </c>
      <c r="C6" s="11">
        <v>0</v>
      </c>
      <c r="D6" s="11">
        <v>271</v>
      </c>
      <c r="E6" s="11">
        <v>277</v>
      </c>
      <c r="F6" s="11">
        <v>99</v>
      </c>
      <c r="G6" s="11">
        <v>147</v>
      </c>
      <c r="H6" s="11">
        <v>148</v>
      </c>
      <c r="I6" s="11">
        <v>131</v>
      </c>
      <c r="J6" s="11">
        <v>119</v>
      </c>
      <c r="K6" s="11">
        <v>55</v>
      </c>
      <c r="L6" s="11">
        <v>111</v>
      </c>
      <c r="M6" s="11">
        <v>112</v>
      </c>
      <c r="N6" s="11">
        <v>174</v>
      </c>
      <c r="O6" s="11">
        <v>145</v>
      </c>
      <c r="P6" s="11">
        <v>72</v>
      </c>
      <c r="Q6" s="11">
        <v>87</v>
      </c>
      <c r="R6" s="11">
        <v>67</v>
      </c>
      <c r="S6" s="11">
        <v>43</v>
      </c>
      <c r="T6" s="11">
        <v>87</v>
      </c>
      <c r="U6" s="11">
        <v>184</v>
      </c>
      <c r="V6" s="11">
        <v>97</v>
      </c>
      <c r="W6" s="11">
        <v>188</v>
      </c>
      <c r="X6" s="11">
        <v>288</v>
      </c>
      <c r="Y6" s="11">
        <v>320</v>
      </c>
      <c r="Z6" s="11">
        <v>419</v>
      </c>
      <c r="AA6" s="12">
        <v>340</v>
      </c>
      <c r="AB6" s="12">
        <v>356</v>
      </c>
      <c r="AC6" s="12">
        <v>237</v>
      </c>
      <c r="AD6" s="12">
        <v>164</v>
      </c>
      <c r="AE6" s="12">
        <v>167</v>
      </c>
      <c r="AF6" s="12">
        <v>295</v>
      </c>
      <c r="AG6" s="12">
        <v>407</v>
      </c>
      <c r="AH6" s="12">
        <v>223</v>
      </c>
      <c r="AI6" s="12">
        <v>212</v>
      </c>
      <c r="AJ6" s="12">
        <v>247</v>
      </c>
      <c r="AK6" s="12">
        <v>258</v>
      </c>
      <c r="AL6" s="13">
        <v>272</v>
      </c>
      <c r="AM6" s="12">
        <v>235</v>
      </c>
      <c r="AN6" s="12">
        <v>266</v>
      </c>
      <c r="AO6" s="12">
        <v>148</v>
      </c>
      <c r="AP6" s="12">
        <v>79</v>
      </c>
      <c r="AQ6" s="12">
        <v>37</v>
      </c>
      <c r="AR6" s="12">
        <v>143</v>
      </c>
      <c r="AS6" s="12">
        <v>199</v>
      </c>
      <c r="AT6" s="12">
        <v>167</v>
      </c>
      <c r="AU6" s="12">
        <v>120</v>
      </c>
      <c r="AV6" s="12">
        <v>154</v>
      </c>
      <c r="AW6" s="12">
        <v>176</v>
      </c>
      <c r="AX6" s="12">
        <v>242</v>
      </c>
      <c r="AY6" s="12">
        <v>195</v>
      </c>
      <c r="AZ6" s="12">
        <v>189</v>
      </c>
      <c r="BA6" s="12">
        <v>231</v>
      </c>
      <c r="BB6" s="12">
        <v>124</v>
      </c>
      <c r="BC6" s="12">
        <v>172</v>
      </c>
      <c r="BD6" s="12">
        <v>300</v>
      </c>
      <c r="BE6" s="12">
        <v>348</v>
      </c>
      <c r="BF6" s="12">
        <v>265</v>
      </c>
      <c r="BG6" s="12">
        <v>173</v>
      </c>
      <c r="BH6" s="12">
        <v>192</v>
      </c>
      <c r="BI6" s="12">
        <v>250</v>
      </c>
      <c r="BJ6" s="12">
        <v>386</v>
      </c>
      <c r="BK6" s="12">
        <v>250</v>
      </c>
      <c r="BL6" s="12">
        <v>390</v>
      </c>
      <c r="BM6" s="12">
        <v>236</v>
      </c>
      <c r="BN6" s="12">
        <v>244</v>
      </c>
      <c r="BO6" s="12">
        <v>331</v>
      </c>
      <c r="BP6" s="12">
        <v>556</v>
      </c>
      <c r="BQ6" s="12">
        <v>519</v>
      </c>
      <c r="BR6" s="12">
        <v>298</v>
      </c>
      <c r="BS6" s="12">
        <v>205</v>
      </c>
      <c r="BT6" s="12">
        <v>246</v>
      </c>
      <c r="BU6" s="12">
        <v>332</v>
      </c>
      <c r="BV6" s="12">
        <v>542</v>
      </c>
      <c r="BW6" s="12">
        <v>290</v>
      </c>
      <c r="BX6" s="12">
        <v>394</v>
      </c>
      <c r="BY6" s="12">
        <v>310</v>
      </c>
      <c r="BZ6" s="12">
        <v>198</v>
      </c>
      <c r="CA6" s="12">
        <v>150</v>
      </c>
      <c r="CB6" s="12">
        <v>399</v>
      </c>
      <c r="CC6" s="12">
        <v>437</v>
      </c>
      <c r="CD6" s="12">
        <v>222</v>
      </c>
      <c r="CE6" s="12">
        <v>122</v>
      </c>
      <c r="CF6" s="12">
        <v>178</v>
      </c>
      <c r="CG6" s="12">
        <v>265</v>
      </c>
      <c r="CH6" s="12">
        <v>511</v>
      </c>
      <c r="CI6" s="12">
        <v>226</v>
      </c>
      <c r="CJ6" s="12">
        <v>269</v>
      </c>
      <c r="CK6" s="12">
        <v>252</v>
      </c>
      <c r="CL6" s="12">
        <v>103</v>
      </c>
      <c r="CM6" s="12">
        <v>153</v>
      </c>
      <c r="CN6" s="12">
        <v>422</v>
      </c>
      <c r="CO6" s="12">
        <v>610</v>
      </c>
      <c r="CP6" s="12">
        <v>396</v>
      </c>
      <c r="CQ6" s="12">
        <v>181</v>
      </c>
      <c r="CR6" s="12">
        <v>367</v>
      </c>
      <c r="CS6" s="12">
        <v>509</v>
      </c>
      <c r="CT6" s="12">
        <v>319</v>
      </c>
      <c r="CU6" s="12">
        <v>50</v>
      </c>
      <c r="CV6" s="12">
        <v>291</v>
      </c>
      <c r="CW6" s="12">
        <v>460</v>
      </c>
      <c r="CX6" s="12">
        <v>271</v>
      </c>
      <c r="CY6" s="12">
        <v>305</v>
      </c>
      <c r="CZ6" s="12">
        <v>524</v>
      </c>
      <c r="DA6" s="12">
        <v>617</v>
      </c>
      <c r="DB6" s="12">
        <v>574</v>
      </c>
      <c r="DC6" s="12">
        <v>485</v>
      </c>
      <c r="DD6" s="12">
        <v>670</v>
      </c>
      <c r="DE6" s="12">
        <v>842</v>
      </c>
      <c r="DF6" s="12">
        <v>951</v>
      </c>
      <c r="DG6" s="12">
        <v>510</v>
      </c>
      <c r="DH6" s="12">
        <v>334</v>
      </c>
      <c r="DI6" s="14">
        <v>504</v>
      </c>
      <c r="DJ6" s="14">
        <v>274</v>
      </c>
      <c r="DK6" s="14">
        <v>276</v>
      </c>
      <c r="DL6" s="14">
        <v>465</v>
      </c>
      <c r="DM6" s="14">
        <v>691</v>
      </c>
      <c r="DN6" s="14">
        <v>379</v>
      </c>
      <c r="DO6" s="14">
        <v>182</v>
      </c>
      <c r="DP6" s="14">
        <v>286</v>
      </c>
      <c r="DQ6" s="14">
        <v>362</v>
      </c>
      <c r="DR6" s="14">
        <v>544</v>
      </c>
      <c r="DS6" s="14">
        <v>421</v>
      </c>
      <c r="DT6" s="14">
        <v>340</v>
      </c>
      <c r="DU6" s="14">
        <v>338</v>
      </c>
      <c r="DV6" s="14">
        <v>174</v>
      </c>
      <c r="DW6" s="14">
        <v>292</v>
      </c>
      <c r="DX6" s="14">
        <v>624</v>
      </c>
      <c r="DY6" s="14">
        <v>675</v>
      </c>
      <c r="DZ6" s="14">
        <v>388</v>
      </c>
      <c r="EA6" s="14">
        <v>259</v>
      </c>
      <c r="EB6" s="14">
        <v>402</v>
      </c>
      <c r="EC6" s="14">
        <v>418</v>
      </c>
      <c r="ED6" s="14">
        <v>490</v>
      </c>
      <c r="EE6" s="14">
        <v>19</v>
      </c>
      <c r="EF6" s="14">
        <v>4</v>
      </c>
      <c r="EG6" s="14">
        <v>5</v>
      </c>
      <c r="EH6" s="14">
        <v>5</v>
      </c>
      <c r="EI6" s="14">
        <v>33</v>
      </c>
      <c r="EJ6" s="14">
        <v>39</v>
      </c>
      <c r="EK6" s="14">
        <v>159</v>
      </c>
      <c r="EL6" s="14">
        <v>55</v>
      </c>
      <c r="EM6" s="14">
        <v>56</v>
      </c>
      <c r="EN6" s="14">
        <v>76</v>
      </c>
      <c r="EO6" s="14">
        <v>113</v>
      </c>
      <c r="EP6" s="14">
        <v>109</v>
      </c>
      <c r="EQ6" s="14">
        <v>72</v>
      </c>
      <c r="ER6" s="14">
        <v>68</v>
      </c>
      <c r="ES6" s="14">
        <v>38</v>
      </c>
      <c r="ET6" s="14">
        <v>27</v>
      </c>
      <c r="EU6" s="14">
        <v>56</v>
      </c>
      <c r="EV6" s="14">
        <v>71</v>
      </c>
      <c r="EW6" s="14">
        <v>70</v>
      </c>
      <c r="EX6" s="14">
        <v>29</v>
      </c>
      <c r="EY6" s="14">
        <v>27</v>
      </c>
      <c r="EZ6" s="14">
        <v>20</v>
      </c>
      <c r="FA6" s="14">
        <v>30</v>
      </c>
      <c r="FB6" s="14">
        <v>50</v>
      </c>
      <c r="FC6" s="14">
        <v>33</v>
      </c>
      <c r="FD6" s="14">
        <v>22</v>
      </c>
      <c r="FE6" s="14">
        <v>16</v>
      </c>
      <c r="FF6" s="14">
        <v>12</v>
      </c>
      <c r="FG6" s="14">
        <v>17</v>
      </c>
      <c r="FH6" s="14">
        <v>37</v>
      </c>
      <c r="FI6" s="14">
        <v>146</v>
      </c>
      <c r="FJ6" s="14">
        <v>-3</v>
      </c>
      <c r="FK6" s="14">
        <v>70</v>
      </c>
      <c r="FL6" s="14"/>
      <c r="FM6" s="14"/>
      <c r="FN6" s="14"/>
      <c r="FR6" s="12">
        <f t="shared" si="26"/>
        <v>548</v>
      </c>
      <c r="FS6" s="12">
        <f t="shared" si="27"/>
        <v>394</v>
      </c>
      <c r="FT6" s="12">
        <f t="shared" si="28"/>
        <v>305</v>
      </c>
      <c r="FU6" s="12">
        <f t="shared" si="29"/>
        <v>397</v>
      </c>
      <c r="FV6" s="12">
        <f t="shared" si="30"/>
        <v>304</v>
      </c>
      <c r="FW6" s="12">
        <f t="shared" si="31"/>
        <v>197</v>
      </c>
      <c r="FX6" s="12">
        <f t="shared" si="32"/>
        <v>469</v>
      </c>
      <c r="FY6" s="12">
        <f t="shared" si="33"/>
        <v>1027</v>
      </c>
      <c r="FZ6" s="12">
        <f t="shared" si="34"/>
        <v>933</v>
      </c>
      <c r="GA6" s="12">
        <f t="shared" si="35"/>
        <v>626</v>
      </c>
      <c r="GB6" s="12">
        <f t="shared" si="36"/>
        <v>842</v>
      </c>
      <c r="GC6" s="12">
        <f t="shared" si="37"/>
        <v>777</v>
      </c>
      <c r="GD6" s="12">
        <f t="shared" si="38"/>
        <v>649</v>
      </c>
      <c r="GE6" s="12">
        <f t="shared" si="39"/>
        <v>259</v>
      </c>
      <c r="GF6" s="12">
        <f t="shared" si="40"/>
        <v>486</v>
      </c>
      <c r="GG6" s="12">
        <f t="shared" si="41"/>
        <v>572</v>
      </c>
      <c r="GH6" s="12">
        <f t="shared" si="42"/>
        <v>615</v>
      </c>
      <c r="GI6" s="12">
        <f t="shared" si="43"/>
        <v>596</v>
      </c>
      <c r="GJ6" s="12">
        <f t="shared" si="44"/>
        <v>786</v>
      </c>
      <c r="GK6" s="12">
        <f t="shared" si="45"/>
        <v>828</v>
      </c>
      <c r="GL6" s="12">
        <f t="shared" si="46"/>
        <v>876</v>
      </c>
      <c r="GM6" s="12">
        <f t="shared" si="47"/>
        <v>1131</v>
      </c>
      <c r="GN6" s="12">
        <f t="shared" si="48"/>
        <v>1022</v>
      </c>
      <c r="GO6" s="12">
        <f t="shared" si="49"/>
        <v>1120</v>
      </c>
      <c r="GP6" s="12">
        <f t="shared" si="50"/>
        <v>994</v>
      </c>
      <c r="GQ6" s="12">
        <f t="shared" si="51"/>
        <v>747</v>
      </c>
      <c r="GR6" s="12">
        <f t="shared" si="52"/>
        <v>781</v>
      </c>
      <c r="GS6" s="12">
        <f t="shared" si="53"/>
        <v>954</v>
      </c>
      <c r="GT6" s="12">
        <f t="shared" si="54"/>
        <v>747</v>
      </c>
      <c r="GU6" s="12">
        <f t="shared" si="55"/>
        <v>678</v>
      </c>
      <c r="GV6" s="12">
        <f t="shared" si="56"/>
        <v>1187</v>
      </c>
      <c r="GW6" s="12">
        <f t="shared" si="57"/>
        <v>1195</v>
      </c>
      <c r="GX6" s="12">
        <f t="shared" si="58"/>
        <v>801</v>
      </c>
      <c r="GY6" s="12">
        <f t="shared" si="59"/>
        <v>1100</v>
      </c>
      <c r="GZ6" s="12">
        <f t="shared" si="2"/>
        <v>1676</v>
      </c>
      <c r="HA6" s="12">
        <f t="shared" si="3"/>
        <v>2463</v>
      </c>
      <c r="HB6" s="12">
        <f t="shared" si="4"/>
        <v>844</v>
      </c>
      <c r="HC6" s="12">
        <f t="shared" si="5"/>
        <v>1015</v>
      </c>
      <c r="HD6" s="12">
        <f t="shared" si="6"/>
        <v>1252</v>
      </c>
      <c r="HE6" s="12">
        <f t="shared" si="7"/>
        <v>1192</v>
      </c>
      <c r="HF6" s="12">
        <f t="shared" si="8"/>
        <v>1099</v>
      </c>
      <c r="HG6" s="12">
        <f t="shared" si="9"/>
        <v>1090</v>
      </c>
      <c r="HH6" s="12">
        <f t="shared" si="10"/>
        <v>1322</v>
      </c>
      <c r="HI6" s="12">
        <f t="shared" si="11"/>
        <v>1310</v>
      </c>
      <c r="HJ6" s="12">
        <f t="shared" si="12"/>
        <v>28</v>
      </c>
      <c r="HK6" s="12">
        <f t="shared" si="13"/>
        <v>77</v>
      </c>
      <c r="HL6" s="12">
        <f t="shared" si="14"/>
        <v>270</v>
      </c>
      <c r="HM6" s="12">
        <f t="shared" si="15"/>
        <v>298</v>
      </c>
      <c r="HN6" s="12">
        <f t="shared" si="60"/>
        <v>28</v>
      </c>
      <c r="HO6" s="12">
        <f t="shared" si="61"/>
        <v>77</v>
      </c>
      <c r="HP6" s="12">
        <f t="shared" si="62"/>
        <v>270</v>
      </c>
      <c r="HQ6" s="12">
        <f t="shared" si="63"/>
        <v>298</v>
      </c>
      <c r="HR6" s="12">
        <f t="shared" si="64"/>
        <v>178</v>
      </c>
      <c r="HS6" s="12">
        <f t="shared" si="65"/>
        <v>154</v>
      </c>
      <c r="HT6" s="12">
        <f t="shared" si="16"/>
        <v>126</v>
      </c>
      <c r="HU6" s="12">
        <f t="shared" si="17"/>
        <v>100</v>
      </c>
      <c r="HV6" s="12">
        <f t="shared" si="18"/>
        <v>71</v>
      </c>
      <c r="HW6" s="12">
        <f t="shared" si="19"/>
        <v>66</v>
      </c>
      <c r="HX6" s="12">
        <f t="shared" si="20"/>
        <v>213</v>
      </c>
      <c r="IB6" s="12">
        <f t="shared" si="66"/>
        <v>1644</v>
      </c>
      <c r="IC6" s="12">
        <f t="shared" si="67"/>
        <v>1997</v>
      </c>
      <c r="ID6" s="12">
        <f t="shared" si="68"/>
        <v>3178</v>
      </c>
      <c r="IE6" s="12">
        <f t="shared" si="69"/>
        <v>1966</v>
      </c>
      <c r="IF6" s="12">
        <f t="shared" si="70"/>
        <v>2825</v>
      </c>
      <c r="IG6" s="12">
        <f t="shared" si="71"/>
        <v>4149</v>
      </c>
      <c r="IH6" s="12">
        <f t="shared" si="72"/>
        <v>3476</v>
      </c>
      <c r="II6" s="12">
        <f t="shared" si="73"/>
        <v>3807</v>
      </c>
      <c r="IJ6" s="12">
        <f t="shared" si="21"/>
        <v>6040</v>
      </c>
      <c r="IK6" s="12">
        <f t="shared" si="22"/>
        <v>4807</v>
      </c>
      <c r="IL6" s="12">
        <f t="shared" si="23"/>
        <v>4821</v>
      </c>
      <c r="IM6" s="12">
        <f t="shared" si="24"/>
        <v>673</v>
      </c>
      <c r="IN6" s="12">
        <f t="shared" si="25"/>
        <v>558</v>
      </c>
    </row>
    <row r="7" spans="1:249" outlineLevel="2" x14ac:dyDescent="0.3">
      <c r="A7" t="str">
        <f>+A6</f>
        <v>Escorts Ltd.</v>
      </c>
      <c r="B7" t="s">
        <v>78</v>
      </c>
      <c r="C7" s="11">
        <v>740</v>
      </c>
      <c r="D7" s="11">
        <v>98</v>
      </c>
      <c r="E7" s="11">
        <v>104</v>
      </c>
      <c r="F7" s="11">
        <v>92</v>
      </c>
      <c r="G7" s="11">
        <v>113</v>
      </c>
      <c r="H7" s="11">
        <v>124</v>
      </c>
      <c r="I7" s="11">
        <v>150</v>
      </c>
      <c r="J7" s="11">
        <v>104</v>
      </c>
      <c r="K7" s="11">
        <v>89</v>
      </c>
      <c r="L7" s="11">
        <v>83</v>
      </c>
      <c r="M7" s="11">
        <v>68</v>
      </c>
      <c r="N7" s="11">
        <v>62</v>
      </c>
      <c r="O7" s="11">
        <v>51</v>
      </c>
      <c r="P7" s="11">
        <v>56</v>
      </c>
      <c r="Q7" s="11">
        <v>60</v>
      </c>
      <c r="R7" s="11">
        <v>56</v>
      </c>
      <c r="S7" s="11">
        <v>42</v>
      </c>
      <c r="T7" s="11">
        <v>49</v>
      </c>
      <c r="U7" s="11">
        <v>42</v>
      </c>
      <c r="V7" s="11">
        <v>38</v>
      </c>
      <c r="W7" s="11">
        <v>33</v>
      </c>
      <c r="X7" s="11">
        <v>40</v>
      </c>
      <c r="Y7" s="11">
        <v>32</v>
      </c>
      <c r="Z7" s="11">
        <v>50</v>
      </c>
      <c r="AA7" s="12">
        <v>59</v>
      </c>
      <c r="AB7" s="12">
        <v>76</v>
      </c>
      <c r="AC7" s="12">
        <v>73</v>
      </c>
      <c r="AD7" s="12">
        <v>39</v>
      </c>
      <c r="AE7" s="12">
        <v>51</v>
      </c>
      <c r="AF7" s="12">
        <v>29</v>
      </c>
      <c r="AG7" s="12">
        <v>35</v>
      </c>
      <c r="AH7" s="12">
        <v>37</v>
      </c>
      <c r="AI7" s="12">
        <v>49</v>
      </c>
      <c r="AJ7" s="12">
        <v>36</v>
      </c>
      <c r="AK7" s="12">
        <v>42</v>
      </c>
      <c r="AL7" s="13">
        <v>65</v>
      </c>
      <c r="AM7" s="12">
        <v>82</v>
      </c>
      <c r="AN7" s="12">
        <v>139</v>
      </c>
      <c r="AO7" s="12">
        <v>98</v>
      </c>
      <c r="AP7" s="12">
        <v>100</v>
      </c>
      <c r="AQ7" s="12">
        <v>56</v>
      </c>
      <c r="AR7" s="12">
        <v>37</v>
      </c>
      <c r="AS7" s="12">
        <v>100</v>
      </c>
      <c r="AT7" s="12">
        <v>65</v>
      </c>
      <c r="AU7" s="12">
        <v>58</v>
      </c>
      <c r="AV7" s="12">
        <v>81</v>
      </c>
      <c r="AW7" s="12">
        <v>59</v>
      </c>
      <c r="AX7" s="12">
        <v>141</v>
      </c>
      <c r="AY7" s="12">
        <v>75</v>
      </c>
      <c r="AZ7" s="12">
        <v>115</v>
      </c>
      <c r="BA7" s="12">
        <v>136</v>
      </c>
      <c r="BB7" s="12">
        <v>68</v>
      </c>
      <c r="BC7" s="12">
        <v>48</v>
      </c>
      <c r="BD7" s="12">
        <v>96</v>
      </c>
      <c r="BE7" s="12">
        <v>120</v>
      </c>
      <c r="BF7" s="12">
        <v>65</v>
      </c>
      <c r="BG7" s="12">
        <v>61</v>
      </c>
      <c r="BH7" s="12">
        <v>83</v>
      </c>
      <c r="BI7" s="12">
        <v>74</v>
      </c>
      <c r="BJ7" s="12">
        <v>181</v>
      </c>
      <c r="BK7" s="12">
        <v>165</v>
      </c>
      <c r="BL7" s="12">
        <v>199</v>
      </c>
      <c r="BM7" s="12">
        <v>169</v>
      </c>
      <c r="BN7" s="12">
        <v>212</v>
      </c>
      <c r="BO7" s="12">
        <v>139</v>
      </c>
      <c r="BP7" s="12">
        <v>167</v>
      </c>
      <c r="BQ7" s="12">
        <v>217</v>
      </c>
      <c r="BR7" s="12">
        <v>138</v>
      </c>
      <c r="BS7" s="12">
        <v>170</v>
      </c>
      <c r="BT7" s="12">
        <v>162</v>
      </c>
      <c r="BU7" s="12">
        <v>163</v>
      </c>
      <c r="BV7" s="12">
        <v>440</v>
      </c>
      <c r="BW7" s="12">
        <v>227</v>
      </c>
      <c r="BX7" s="12">
        <v>263</v>
      </c>
      <c r="BY7" s="12">
        <v>368</v>
      </c>
      <c r="BZ7" s="12">
        <v>279</v>
      </c>
      <c r="CA7" s="12">
        <v>206</v>
      </c>
      <c r="CB7" s="12">
        <v>200</v>
      </c>
      <c r="CC7" s="12">
        <v>302</v>
      </c>
      <c r="CD7" s="12">
        <v>221</v>
      </c>
      <c r="CE7" s="12">
        <v>143</v>
      </c>
      <c r="CF7" s="12">
        <v>308</v>
      </c>
      <c r="CG7" s="12">
        <v>341</v>
      </c>
      <c r="CH7" s="12">
        <v>682</v>
      </c>
      <c r="CI7" s="12">
        <v>253</v>
      </c>
      <c r="CJ7" s="12">
        <v>383</v>
      </c>
      <c r="CK7" s="12">
        <v>537</v>
      </c>
      <c r="CL7" s="12">
        <v>369</v>
      </c>
      <c r="CM7" s="12">
        <v>279</v>
      </c>
      <c r="CN7" s="12">
        <v>580</v>
      </c>
      <c r="CO7" s="12">
        <v>532</v>
      </c>
      <c r="CP7" s="12">
        <v>332</v>
      </c>
      <c r="CQ7" s="12">
        <v>224</v>
      </c>
      <c r="CR7" s="12">
        <v>302</v>
      </c>
      <c r="CS7" s="12">
        <v>350</v>
      </c>
      <c r="CT7" s="12">
        <v>302</v>
      </c>
      <c r="CU7" s="12">
        <v>33</v>
      </c>
      <c r="CV7" s="12">
        <v>325</v>
      </c>
      <c r="CW7" s="12">
        <v>613</v>
      </c>
      <c r="CX7" s="12">
        <v>433</v>
      </c>
      <c r="CY7" s="12">
        <v>369</v>
      </c>
      <c r="CZ7" s="12">
        <v>406</v>
      </c>
      <c r="DA7" s="12">
        <v>701</v>
      </c>
      <c r="DB7" s="12">
        <v>374</v>
      </c>
      <c r="DC7" s="12">
        <v>385</v>
      </c>
      <c r="DD7" s="12">
        <v>384</v>
      </c>
      <c r="DE7" s="12">
        <v>536</v>
      </c>
      <c r="DF7" s="12">
        <v>799</v>
      </c>
      <c r="DG7" s="12">
        <v>369</v>
      </c>
      <c r="DH7" s="12">
        <v>364</v>
      </c>
      <c r="DI7" s="14">
        <v>788</v>
      </c>
      <c r="DJ7" s="14">
        <v>522</v>
      </c>
      <c r="DK7" s="14">
        <v>416</v>
      </c>
      <c r="DL7" s="14">
        <v>395</v>
      </c>
      <c r="DM7" s="14">
        <v>674</v>
      </c>
      <c r="DN7" s="14">
        <v>312</v>
      </c>
      <c r="DO7" s="14">
        <v>256</v>
      </c>
      <c r="DP7" s="14">
        <v>250</v>
      </c>
      <c r="DQ7" s="14">
        <v>327</v>
      </c>
      <c r="DR7" s="14">
        <v>554</v>
      </c>
      <c r="DS7" s="14">
        <v>328</v>
      </c>
      <c r="DT7" s="14">
        <v>488</v>
      </c>
      <c r="DU7" s="14">
        <v>646</v>
      </c>
      <c r="DV7" s="14">
        <v>394</v>
      </c>
      <c r="DW7" s="14">
        <v>379</v>
      </c>
      <c r="DX7" s="14">
        <v>814</v>
      </c>
      <c r="DY7" s="14">
        <v>689</v>
      </c>
      <c r="DZ7" s="14">
        <v>586</v>
      </c>
      <c r="EA7" s="14">
        <v>389</v>
      </c>
      <c r="EB7" s="14">
        <v>456</v>
      </c>
      <c r="EC7" s="14">
        <v>414</v>
      </c>
      <c r="ED7" s="14">
        <v>527</v>
      </c>
      <c r="EE7" s="14">
        <v>560</v>
      </c>
      <c r="EF7" s="14">
        <v>609</v>
      </c>
      <c r="EG7" s="14">
        <v>658</v>
      </c>
      <c r="EH7" s="14">
        <v>553</v>
      </c>
      <c r="EI7" s="14">
        <v>512</v>
      </c>
      <c r="EJ7" s="14">
        <v>444</v>
      </c>
      <c r="EK7" s="14">
        <v>546</v>
      </c>
      <c r="EL7" s="14">
        <v>438</v>
      </c>
      <c r="EM7" s="14">
        <v>285</v>
      </c>
      <c r="EN7" s="14">
        <v>410</v>
      </c>
      <c r="EO7" s="14">
        <v>267</v>
      </c>
      <c r="EP7" s="14">
        <v>337</v>
      </c>
      <c r="EQ7" s="14">
        <v>435</v>
      </c>
      <c r="ER7" s="14">
        <v>479</v>
      </c>
      <c r="ES7" s="14">
        <v>667</v>
      </c>
      <c r="ET7" s="14">
        <v>457</v>
      </c>
      <c r="EU7" s="14">
        <v>336</v>
      </c>
      <c r="EV7" s="14">
        <v>777</v>
      </c>
      <c r="EW7" s="14">
        <v>1487</v>
      </c>
      <c r="EX7" s="14">
        <v>903</v>
      </c>
      <c r="EY7" s="14">
        <v>599</v>
      </c>
      <c r="EZ7" s="14">
        <v>563</v>
      </c>
      <c r="FA7" s="14">
        <v>715</v>
      </c>
      <c r="FB7" s="14">
        <v>1153</v>
      </c>
      <c r="FC7" s="14">
        <v>835</v>
      </c>
      <c r="FD7" s="14">
        <v>1019</v>
      </c>
      <c r="FE7" s="14">
        <v>1418</v>
      </c>
      <c r="FF7" s="14">
        <v>953</v>
      </c>
      <c r="FG7" s="14">
        <v>952</v>
      </c>
      <c r="FH7" s="14">
        <v>1373</v>
      </c>
      <c r="FI7" s="14">
        <v>2408</v>
      </c>
      <c r="FJ7" s="14">
        <v>1146</v>
      </c>
      <c r="FK7" s="14">
        <v>991</v>
      </c>
      <c r="FL7" s="14"/>
      <c r="FM7" s="14"/>
      <c r="FN7" s="14"/>
      <c r="FR7" s="12">
        <f t="shared" si="26"/>
        <v>942</v>
      </c>
      <c r="FS7" s="12">
        <f t="shared" si="27"/>
        <v>329</v>
      </c>
      <c r="FT7" s="12">
        <f t="shared" si="28"/>
        <v>343</v>
      </c>
      <c r="FU7" s="12">
        <f t="shared" si="29"/>
        <v>213</v>
      </c>
      <c r="FV7" s="12">
        <f t="shared" si="30"/>
        <v>167</v>
      </c>
      <c r="FW7" s="12">
        <f t="shared" si="31"/>
        <v>147</v>
      </c>
      <c r="FX7" s="12">
        <f t="shared" si="32"/>
        <v>113</v>
      </c>
      <c r="FY7" s="12">
        <f t="shared" si="33"/>
        <v>122</v>
      </c>
      <c r="FZ7" s="12">
        <f t="shared" si="34"/>
        <v>208</v>
      </c>
      <c r="GA7" s="12">
        <f t="shared" si="35"/>
        <v>119</v>
      </c>
      <c r="GB7" s="12">
        <f t="shared" si="36"/>
        <v>121</v>
      </c>
      <c r="GC7" s="12">
        <f t="shared" si="37"/>
        <v>143</v>
      </c>
      <c r="GD7" s="12">
        <f t="shared" si="38"/>
        <v>319</v>
      </c>
      <c r="GE7" s="12">
        <f t="shared" si="39"/>
        <v>193</v>
      </c>
      <c r="GF7" s="12">
        <f t="shared" si="40"/>
        <v>223</v>
      </c>
      <c r="GG7" s="12">
        <f t="shared" si="41"/>
        <v>281</v>
      </c>
      <c r="GH7" s="12">
        <f t="shared" si="42"/>
        <v>326</v>
      </c>
      <c r="GI7" s="12">
        <f t="shared" si="43"/>
        <v>212</v>
      </c>
      <c r="GJ7" s="12">
        <f t="shared" si="44"/>
        <v>246</v>
      </c>
      <c r="GK7" s="12">
        <f t="shared" si="45"/>
        <v>338</v>
      </c>
      <c r="GL7" s="12">
        <f t="shared" si="46"/>
        <v>533</v>
      </c>
      <c r="GM7" s="12">
        <f t="shared" si="47"/>
        <v>518</v>
      </c>
      <c r="GN7" s="12">
        <f t="shared" si="48"/>
        <v>525</v>
      </c>
      <c r="GO7" s="12">
        <f t="shared" si="49"/>
        <v>765</v>
      </c>
      <c r="GP7" s="12">
        <f t="shared" si="50"/>
        <v>858</v>
      </c>
      <c r="GQ7" s="12">
        <f t="shared" si="51"/>
        <v>685</v>
      </c>
      <c r="GR7" s="12">
        <f t="shared" si="52"/>
        <v>666</v>
      </c>
      <c r="GS7" s="12">
        <f t="shared" si="53"/>
        <v>1331</v>
      </c>
      <c r="GT7" s="12">
        <f t="shared" si="54"/>
        <v>1173</v>
      </c>
      <c r="GU7" s="12">
        <f t="shared" si="55"/>
        <v>1228</v>
      </c>
      <c r="GV7" s="12">
        <f t="shared" si="56"/>
        <v>1088</v>
      </c>
      <c r="GW7" s="12">
        <f t="shared" si="57"/>
        <v>954</v>
      </c>
      <c r="GX7" s="12">
        <f t="shared" si="58"/>
        <v>971</v>
      </c>
      <c r="GY7" s="12">
        <f t="shared" si="59"/>
        <v>1208</v>
      </c>
      <c r="GZ7" s="12">
        <f t="shared" si="2"/>
        <v>1460</v>
      </c>
      <c r="HA7" s="12">
        <f t="shared" si="3"/>
        <v>1719</v>
      </c>
      <c r="HB7" s="12">
        <f t="shared" si="4"/>
        <v>733</v>
      </c>
      <c r="HC7" s="12">
        <f t="shared" si="5"/>
        <v>1333</v>
      </c>
      <c r="HD7" s="12">
        <f t="shared" si="6"/>
        <v>1242</v>
      </c>
      <c r="HE7" s="12">
        <f t="shared" si="7"/>
        <v>1131</v>
      </c>
      <c r="HF7" s="12">
        <f t="shared" si="8"/>
        <v>1462</v>
      </c>
      <c r="HG7" s="12">
        <f t="shared" si="9"/>
        <v>1587</v>
      </c>
      <c r="HH7" s="12">
        <f t="shared" si="10"/>
        <v>1664</v>
      </c>
      <c r="HI7" s="12">
        <f t="shared" si="11"/>
        <v>1397</v>
      </c>
      <c r="HJ7" s="12">
        <f t="shared" si="12"/>
        <v>1827</v>
      </c>
      <c r="HK7" s="12">
        <f t="shared" si="13"/>
        <v>1509</v>
      </c>
      <c r="HL7" s="12">
        <f t="shared" si="14"/>
        <v>1269</v>
      </c>
      <c r="HM7" s="12">
        <f t="shared" si="15"/>
        <v>1014</v>
      </c>
      <c r="HN7" s="12">
        <f t="shared" si="60"/>
        <v>1827</v>
      </c>
      <c r="HO7" s="12">
        <f t="shared" si="61"/>
        <v>1509</v>
      </c>
      <c r="HP7" s="12">
        <f t="shared" si="62"/>
        <v>1269</v>
      </c>
      <c r="HQ7" s="12">
        <f t="shared" si="63"/>
        <v>1014</v>
      </c>
      <c r="HR7" s="12">
        <f t="shared" si="64"/>
        <v>1581</v>
      </c>
      <c r="HS7" s="12">
        <f t="shared" si="65"/>
        <v>1570</v>
      </c>
      <c r="HT7" s="12">
        <f t="shared" si="16"/>
        <v>2989</v>
      </c>
      <c r="HU7" s="12">
        <f t="shared" si="17"/>
        <v>2431</v>
      </c>
      <c r="HV7" s="12">
        <f t="shared" si="18"/>
        <v>3272</v>
      </c>
      <c r="HW7" s="12">
        <f t="shared" si="19"/>
        <v>3278</v>
      </c>
      <c r="HX7" s="12">
        <f t="shared" si="20"/>
        <v>4545</v>
      </c>
      <c r="IB7" s="12">
        <f t="shared" si="66"/>
        <v>1827</v>
      </c>
      <c r="IC7" s="12">
        <f t="shared" si="67"/>
        <v>549</v>
      </c>
      <c r="ID7" s="12">
        <f t="shared" si="68"/>
        <v>591</v>
      </c>
      <c r="IE7" s="12">
        <f t="shared" si="69"/>
        <v>1016</v>
      </c>
      <c r="IF7" s="12">
        <f t="shared" si="70"/>
        <v>1122</v>
      </c>
      <c r="IG7" s="12">
        <f t="shared" si="71"/>
        <v>2341</v>
      </c>
      <c r="IH7" s="12">
        <f t="shared" si="72"/>
        <v>3540</v>
      </c>
      <c r="II7" s="12">
        <f t="shared" si="73"/>
        <v>4443</v>
      </c>
      <c r="IJ7" s="12">
        <f t="shared" si="21"/>
        <v>5358</v>
      </c>
      <c r="IK7" s="12">
        <f t="shared" si="22"/>
        <v>5227</v>
      </c>
      <c r="IL7" s="12">
        <f t="shared" si="23"/>
        <v>6110</v>
      </c>
      <c r="IM7" s="12">
        <f t="shared" si="24"/>
        <v>5619</v>
      </c>
      <c r="IN7" s="12">
        <f t="shared" si="25"/>
        <v>8571</v>
      </c>
    </row>
    <row r="8" spans="1:249" outlineLevel="1" x14ac:dyDescent="0.3">
      <c r="A8" s="15" t="s">
        <v>79</v>
      </c>
      <c r="B8" s="15"/>
      <c r="C8" s="16">
        <f t="shared" ref="C8:BN8" si="74">+SUM(C4:C7)</f>
        <v>4590</v>
      </c>
      <c r="D8" s="16">
        <f t="shared" si="74"/>
        <v>5204</v>
      </c>
      <c r="E8" s="16">
        <f t="shared" si="74"/>
        <v>6212</v>
      </c>
      <c r="F8" s="16">
        <f t="shared" si="74"/>
        <v>4406</v>
      </c>
      <c r="G8" s="16">
        <f t="shared" si="74"/>
        <v>3625</v>
      </c>
      <c r="H8" s="16">
        <f t="shared" si="74"/>
        <v>5620</v>
      </c>
      <c r="I8" s="16">
        <f t="shared" si="74"/>
        <v>7371</v>
      </c>
      <c r="J8" s="16">
        <f t="shared" si="74"/>
        <v>5602</v>
      </c>
      <c r="K8" s="16">
        <f t="shared" si="74"/>
        <v>3977</v>
      </c>
      <c r="L8" s="16">
        <f t="shared" si="74"/>
        <v>4270</v>
      </c>
      <c r="M8" s="16">
        <f t="shared" si="74"/>
        <v>4282</v>
      </c>
      <c r="N8" s="16">
        <f t="shared" si="74"/>
        <v>6123</v>
      </c>
      <c r="O8" s="16">
        <f t="shared" si="74"/>
        <v>6407</v>
      </c>
      <c r="P8" s="16">
        <f t="shared" si="74"/>
        <v>6123</v>
      </c>
      <c r="Q8" s="16">
        <f t="shared" si="74"/>
        <v>6743</v>
      </c>
      <c r="R8" s="16">
        <f t="shared" si="74"/>
        <v>4380</v>
      </c>
      <c r="S8" s="16">
        <f t="shared" si="74"/>
        <v>3823</v>
      </c>
      <c r="T8" s="16">
        <f t="shared" si="74"/>
        <v>6397</v>
      </c>
      <c r="U8" s="16">
        <f t="shared" si="74"/>
        <v>9209</v>
      </c>
      <c r="V8" s="16">
        <f t="shared" si="74"/>
        <v>5806</v>
      </c>
      <c r="W8" s="16">
        <f t="shared" si="74"/>
        <v>3809</v>
      </c>
      <c r="X8" s="16">
        <f t="shared" si="74"/>
        <v>4695</v>
      </c>
      <c r="Y8" s="16">
        <f t="shared" si="74"/>
        <v>4581</v>
      </c>
      <c r="Z8" s="16">
        <f t="shared" si="74"/>
        <v>6087</v>
      </c>
      <c r="AA8" s="17">
        <f t="shared" si="74"/>
        <v>5236</v>
      </c>
      <c r="AB8" s="17">
        <f t="shared" si="74"/>
        <v>5704</v>
      </c>
      <c r="AC8" s="17">
        <f t="shared" si="74"/>
        <v>6349</v>
      </c>
      <c r="AD8" s="17">
        <f t="shared" si="74"/>
        <v>4126</v>
      </c>
      <c r="AE8" s="17">
        <f t="shared" si="74"/>
        <v>3147</v>
      </c>
      <c r="AF8" s="17">
        <f t="shared" si="74"/>
        <v>6844</v>
      </c>
      <c r="AG8" s="17">
        <f t="shared" si="74"/>
        <v>8403</v>
      </c>
      <c r="AH8" s="17">
        <f t="shared" si="74"/>
        <v>4181</v>
      </c>
      <c r="AI8" s="17">
        <f t="shared" si="74"/>
        <v>2871</v>
      </c>
      <c r="AJ8" s="17">
        <f t="shared" si="74"/>
        <v>3223</v>
      </c>
      <c r="AK8" s="17">
        <f t="shared" si="74"/>
        <v>3318</v>
      </c>
      <c r="AL8" s="18">
        <f t="shared" si="74"/>
        <v>4163</v>
      </c>
      <c r="AM8" s="17">
        <f t="shared" si="74"/>
        <v>3669</v>
      </c>
      <c r="AN8" s="17">
        <f t="shared" si="74"/>
        <v>4741</v>
      </c>
      <c r="AO8" s="17">
        <f t="shared" si="74"/>
        <v>6139</v>
      </c>
      <c r="AP8" s="17">
        <f t="shared" si="74"/>
        <v>3362</v>
      </c>
      <c r="AQ8" s="17">
        <f t="shared" si="74"/>
        <v>2355</v>
      </c>
      <c r="AR8" s="17">
        <f t="shared" si="74"/>
        <v>5576</v>
      </c>
      <c r="AS8" s="17">
        <f t="shared" si="74"/>
        <v>5832</v>
      </c>
      <c r="AT8" s="17">
        <f t="shared" si="74"/>
        <v>4691</v>
      </c>
      <c r="AU8" s="17">
        <f t="shared" si="74"/>
        <v>2727</v>
      </c>
      <c r="AV8" s="17">
        <f t="shared" si="74"/>
        <v>3089</v>
      </c>
      <c r="AW8" s="17">
        <f t="shared" si="74"/>
        <v>3190</v>
      </c>
      <c r="AX8" s="17">
        <f t="shared" si="74"/>
        <v>5327</v>
      </c>
      <c r="AY8" s="17">
        <f t="shared" si="74"/>
        <v>4048</v>
      </c>
      <c r="AZ8" s="17">
        <f t="shared" si="74"/>
        <v>5252</v>
      </c>
      <c r="BA8" s="17">
        <f t="shared" si="74"/>
        <v>6890</v>
      </c>
      <c r="BB8" s="17">
        <f t="shared" si="74"/>
        <v>3953</v>
      </c>
      <c r="BC8" s="17">
        <f t="shared" si="74"/>
        <v>3667</v>
      </c>
      <c r="BD8" s="17">
        <f t="shared" si="74"/>
        <v>7664</v>
      </c>
      <c r="BE8" s="17">
        <f t="shared" si="74"/>
        <v>8859</v>
      </c>
      <c r="BF8" s="17">
        <f t="shared" si="74"/>
        <v>4698</v>
      </c>
      <c r="BG8" s="17">
        <f t="shared" si="74"/>
        <v>3043</v>
      </c>
      <c r="BH8" s="17">
        <f t="shared" si="74"/>
        <v>3507</v>
      </c>
      <c r="BI8" s="17">
        <f t="shared" si="74"/>
        <v>4104</v>
      </c>
      <c r="BJ8" s="17">
        <f t="shared" si="74"/>
        <v>7014</v>
      </c>
      <c r="BK8" s="17">
        <f t="shared" si="74"/>
        <v>4760</v>
      </c>
      <c r="BL8" s="17">
        <f t="shared" si="74"/>
        <v>6770</v>
      </c>
      <c r="BM8" s="17">
        <f t="shared" si="74"/>
        <v>5669</v>
      </c>
      <c r="BN8" s="17">
        <f t="shared" si="74"/>
        <v>5275</v>
      </c>
      <c r="BO8" s="17">
        <f t="shared" ref="BO8:DA8" si="75">+SUM(BO4:BO7)</f>
        <v>4398</v>
      </c>
      <c r="BP8" s="17">
        <f t="shared" si="75"/>
        <v>10144</v>
      </c>
      <c r="BQ8" s="17">
        <f t="shared" si="75"/>
        <v>10001</v>
      </c>
      <c r="BR8" s="17">
        <f t="shared" si="75"/>
        <v>4941</v>
      </c>
      <c r="BS8" s="17">
        <f t="shared" si="75"/>
        <v>3476</v>
      </c>
      <c r="BT8" s="17">
        <f t="shared" si="75"/>
        <v>5160</v>
      </c>
      <c r="BU8" s="17">
        <f t="shared" si="75"/>
        <v>6295</v>
      </c>
      <c r="BV8" s="17">
        <f t="shared" si="75"/>
        <v>11557</v>
      </c>
      <c r="BW8" s="17">
        <f t="shared" si="75"/>
        <v>6094</v>
      </c>
      <c r="BX8" s="17">
        <f t="shared" si="75"/>
        <v>8087</v>
      </c>
      <c r="BY8" s="17">
        <f t="shared" si="75"/>
        <v>9758</v>
      </c>
      <c r="BZ8" s="17">
        <f t="shared" si="75"/>
        <v>5483</v>
      </c>
      <c r="CA8" s="17">
        <f t="shared" si="75"/>
        <v>4570</v>
      </c>
      <c r="CB8" s="17">
        <f t="shared" si="75"/>
        <v>10264</v>
      </c>
      <c r="CC8" s="17">
        <f t="shared" si="75"/>
        <v>12867</v>
      </c>
      <c r="CD8" s="17">
        <f t="shared" si="75"/>
        <v>7641</v>
      </c>
      <c r="CE8" s="17">
        <f t="shared" si="75"/>
        <v>4212</v>
      </c>
      <c r="CF8" s="17">
        <f t="shared" si="75"/>
        <v>5762</v>
      </c>
      <c r="CG8" s="17">
        <f t="shared" si="75"/>
        <v>6918</v>
      </c>
      <c r="CH8" s="17">
        <f t="shared" si="75"/>
        <v>11431</v>
      </c>
      <c r="CI8" s="17">
        <f t="shared" si="75"/>
        <v>4986</v>
      </c>
      <c r="CJ8" s="17">
        <f t="shared" si="75"/>
        <v>6488</v>
      </c>
      <c r="CK8" s="17">
        <f t="shared" si="75"/>
        <v>8648</v>
      </c>
      <c r="CL8" s="17">
        <f t="shared" si="75"/>
        <v>4505</v>
      </c>
      <c r="CM8" s="17">
        <f t="shared" si="75"/>
        <v>3763</v>
      </c>
      <c r="CN8" s="17">
        <f t="shared" si="75"/>
        <v>10521</v>
      </c>
      <c r="CO8" s="17">
        <f t="shared" si="75"/>
        <v>13034</v>
      </c>
      <c r="CP8" s="17">
        <f t="shared" si="75"/>
        <v>7379</v>
      </c>
      <c r="CQ8" s="17">
        <f t="shared" si="75"/>
        <v>3806</v>
      </c>
      <c r="CR8" s="17">
        <f t="shared" si="75"/>
        <v>5845</v>
      </c>
      <c r="CS8" s="17">
        <f t="shared" si="75"/>
        <v>8049</v>
      </c>
      <c r="CT8" s="17">
        <f t="shared" si="75"/>
        <v>5228</v>
      </c>
      <c r="CU8" s="17">
        <f t="shared" si="75"/>
        <v>613</v>
      </c>
      <c r="CV8" s="17">
        <f t="shared" si="75"/>
        <v>6454</v>
      </c>
      <c r="CW8" s="17">
        <f t="shared" si="75"/>
        <v>10623</v>
      </c>
      <c r="CX8" s="17">
        <f t="shared" si="75"/>
        <v>4953</v>
      </c>
      <c r="CY8" s="17">
        <f t="shared" si="75"/>
        <v>6750</v>
      </c>
      <c r="CZ8" s="17">
        <f t="shared" si="75"/>
        <v>11453</v>
      </c>
      <c r="DA8" s="17">
        <f t="shared" si="75"/>
        <v>13180</v>
      </c>
      <c r="DB8" s="17">
        <f>+SUM(DB4:DB7)</f>
        <v>9663</v>
      </c>
      <c r="DC8" s="17">
        <v>7230</v>
      </c>
      <c r="DD8" s="17">
        <v>8510</v>
      </c>
      <c r="DE8" s="17">
        <v>10690</v>
      </c>
      <c r="DF8" s="17">
        <v>11730</v>
      </c>
      <c r="DG8" s="17">
        <v>6386</v>
      </c>
      <c r="DH8" s="17">
        <v>6158</v>
      </c>
      <c r="DI8" s="19">
        <v>11956</v>
      </c>
      <c r="DJ8" s="19">
        <v>6055</v>
      </c>
      <c r="DK8" s="19">
        <v>4920</v>
      </c>
      <c r="DL8" s="19">
        <v>7975</v>
      </c>
      <c r="DM8" s="19">
        <v>12849</v>
      </c>
      <c r="DN8" s="19">
        <v>6517</v>
      </c>
      <c r="DO8" s="19">
        <v>4080</v>
      </c>
      <c r="DP8" s="19">
        <v>5103</v>
      </c>
      <c r="DQ8" s="19">
        <v>5686</v>
      </c>
      <c r="DR8" s="19">
        <v>9483</v>
      </c>
      <c r="DS8" s="19">
        <v>7676</v>
      </c>
      <c r="DT8" s="19">
        <v>7667</v>
      </c>
      <c r="DU8" s="19">
        <v>9265</v>
      </c>
      <c r="DV8" s="19">
        <v>4704</v>
      </c>
      <c r="DW8" s="19">
        <v>5308</v>
      </c>
      <c r="DX8" s="19">
        <v>11384</v>
      </c>
      <c r="DY8" s="19">
        <v>13843</v>
      </c>
      <c r="DZ8" s="19">
        <v>7359</v>
      </c>
      <c r="EA8" s="19">
        <v>4979</v>
      </c>
      <c r="EB8" s="19">
        <v>6235</v>
      </c>
      <c r="EC8" s="19">
        <v>7245</v>
      </c>
      <c r="ED8" s="19">
        <v>9601</v>
      </c>
      <c r="EE8" s="19">
        <v>7252</v>
      </c>
      <c r="EF8" s="19">
        <v>8704</v>
      </c>
      <c r="EG8" s="19">
        <v>9270</v>
      </c>
      <c r="EH8" s="19">
        <v>5161</v>
      </c>
      <c r="EI8" s="19">
        <v>5198</v>
      </c>
      <c r="EJ8" s="19">
        <v>10114</v>
      </c>
      <c r="EK8" s="19">
        <v>12642</v>
      </c>
      <c r="EL8" s="19">
        <v>7855</v>
      </c>
      <c r="EM8" s="19">
        <v>4131</v>
      </c>
      <c r="EN8" s="19">
        <v>5817</v>
      </c>
      <c r="EO8" s="19">
        <v>6041</v>
      </c>
      <c r="EP8" s="19">
        <v>8054</v>
      </c>
      <c r="EQ8" s="19">
        <v>7168</v>
      </c>
      <c r="ER8" s="19">
        <v>8232</v>
      </c>
      <c r="ES8" s="19">
        <v>9359</v>
      </c>
      <c r="ET8" s="19">
        <v>5346</v>
      </c>
      <c r="EU8" s="19">
        <v>5205</v>
      </c>
      <c r="EV8" s="19">
        <v>11985</v>
      </c>
      <c r="EW8" s="19">
        <v>17839</v>
      </c>
      <c r="EX8" s="19">
        <v>8730</v>
      </c>
      <c r="EY8" s="19">
        <v>5016</v>
      </c>
      <c r="EZ8" s="19">
        <v>6058</v>
      </c>
      <c r="FA8" s="19">
        <v>7968</v>
      </c>
      <c r="FB8" s="19">
        <v>10775</v>
      </c>
      <c r="FC8" s="19">
        <v>8148</v>
      </c>
      <c r="FD8" s="19">
        <v>9703</v>
      </c>
      <c r="FE8" s="19">
        <v>10997</v>
      </c>
      <c r="FF8" s="19">
        <v>6624</v>
      </c>
      <c r="FG8" s="19">
        <v>7902</v>
      </c>
      <c r="FH8" s="19">
        <v>17803</v>
      </c>
      <c r="FI8" s="19">
        <v>18423</v>
      </c>
      <c r="FJ8" s="19">
        <v>10122</v>
      </c>
      <c r="FK8" s="19">
        <v>6828</v>
      </c>
      <c r="FL8" s="20"/>
      <c r="FM8" s="20"/>
      <c r="FN8" s="20"/>
      <c r="FR8" s="17">
        <f t="shared" si="26"/>
        <v>16006</v>
      </c>
      <c r="FS8" s="17">
        <f t="shared" si="27"/>
        <v>13651</v>
      </c>
      <c r="FT8" s="17">
        <f t="shared" si="28"/>
        <v>16950</v>
      </c>
      <c r="FU8" s="17">
        <f t="shared" si="29"/>
        <v>14675</v>
      </c>
      <c r="FV8" s="17">
        <f t="shared" si="30"/>
        <v>19273</v>
      </c>
      <c r="FW8" s="17">
        <f t="shared" si="31"/>
        <v>14600</v>
      </c>
      <c r="FX8" s="17">
        <f t="shared" si="32"/>
        <v>18824</v>
      </c>
      <c r="FY8" s="17">
        <f t="shared" si="33"/>
        <v>15363</v>
      </c>
      <c r="FZ8" s="17">
        <f t="shared" si="34"/>
        <v>17289</v>
      </c>
      <c r="GA8" s="17">
        <f t="shared" si="35"/>
        <v>14117</v>
      </c>
      <c r="GB8" s="17">
        <f t="shared" si="36"/>
        <v>15455</v>
      </c>
      <c r="GC8" s="17">
        <f t="shared" si="37"/>
        <v>10704</v>
      </c>
      <c r="GD8" s="17">
        <f t="shared" si="38"/>
        <v>14549</v>
      </c>
      <c r="GE8" s="17">
        <f t="shared" si="39"/>
        <v>11293</v>
      </c>
      <c r="GF8" s="17">
        <f t="shared" si="40"/>
        <v>13250</v>
      </c>
      <c r="GG8" s="17">
        <f t="shared" si="41"/>
        <v>11606</v>
      </c>
      <c r="GH8" s="17">
        <f t="shared" si="42"/>
        <v>16190</v>
      </c>
      <c r="GI8" s="17">
        <f t="shared" si="43"/>
        <v>15284</v>
      </c>
      <c r="GJ8" s="17">
        <f t="shared" si="44"/>
        <v>16600</v>
      </c>
      <c r="GK8" s="17">
        <f t="shared" si="45"/>
        <v>14625</v>
      </c>
      <c r="GL8" s="17">
        <f t="shared" si="46"/>
        <v>17199</v>
      </c>
      <c r="GM8" s="17">
        <f t="shared" si="47"/>
        <v>19817</v>
      </c>
      <c r="GN8" s="17">
        <f t="shared" si="48"/>
        <v>18418</v>
      </c>
      <c r="GO8" s="17">
        <f t="shared" si="49"/>
        <v>23012</v>
      </c>
      <c r="GP8" s="17">
        <f t="shared" si="50"/>
        <v>23939</v>
      </c>
      <c r="GQ8" s="17">
        <f t="shared" si="51"/>
        <v>20317</v>
      </c>
      <c r="GR8" s="17">
        <f t="shared" si="52"/>
        <v>24720</v>
      </c>
      <c r="GS8" s="17">
        <f t="shared" si="53"/>
        <v>24111</v>
      </c>
      <c r="GT8" s="17">
        <f t="shared" si="54"/>
        <v>20122</v>
      </c>
      <c r="GU8" s="17">
        <f t="shared" si="55"/>
        <v>18789</v>
      </c>
      <c r="GV8" s="17">
        <f t="shared" si="56"/>
        <v>24219</v>
      </c>
      <c r="GW8" s="17">
        <f t="shared" si="57"/>
        <v>19122</v>
      </c>
      <c r="GX8" s="17">
        <f t="shared" si="58"/>
        <v>17690</v>
      </c>
      <c r="GY8" s="17">
        <f t="shared" si="59"/>
        <v>23156</v>
      </c>
      <c r="GZ8" s="17">
        <f t="shared" si="2"/>
        <v>30073</v>
      </c>
      <c r="HA8" s="17">
        <f t="shared" si="3"/>
        <v>30930</v>
      </c>
      <c r="HB8" s="17">
        <f t="shared" si="4"/>
        <v>12544</v>
      </c>
      <c r="HC8" s="17">
        <f t="shared" si="5"/>
        <v>18950</v>
      </c>
      <c r="HD8" s="17">
        <f t="shared" si="6"/>
        <v>23446</v>
      </c>
      <c r="HE8" s="17">
        <f t="shared" si="7"/>
        <v>20272</v>
      </c>
      <c r="HF8" s="17">
        <f t="shared" si="8"/>
        <v>24608</v>
      </c>
      <c r="HG8" s="17">
        <f t="shared" si="9"/>
        <v>21396</v>
      </c>
      <c r="HH8" s="17">
        <f t="shared" si="10"/>
        <v>26181</v>
      </c>
      <c r="HI8" s="17">
        <f t="shared" si="11"/>
        <v>23081</v>
      </c>
      <c r="HJ8" s="17">
        <f t="shared" si="12"/>
        <v>25226</v>
      </c>
      <c r="HK8" s="17">
        <f t="shared" si="13"/>
        <v>20473</v>
      </c>
      <c r="HL8" s="17">
        <f t="shared" si="14"/>
        <v>24628</v>
      </c>
      <c r="HM8" s="17">
        <f t="shared" si="15"/>
        <v>19912</v>
      </c>
      <c r="HN8" s="17">
        <f t="shared" si="60"/>
        <v>25226</v>
      </c>
      <c r="HO8" s="17">
        <f t="shared" si="61"/>
        <v>20473</v>
      </c>
      <c r="HP8" s="17">
        <f t="shared" si="62"/>
        <v>24628</v>
      </c>
      <c r="HQ8" s="17">
        <f t="shared" si="63"/>
        <v>19912</v>
      </c>
      <c r="HR8" s="17">
        <f t="shared" si="64"/>
        <v>24759</v>
      </c>
      <c r="HS8" s="17">
        <f t="shared" si="65"/>
        <v>22536</v>
      </c>
      <c r="HT8" s="17">
        <f t="shared" si="16"/>
        <v>31585</v>
      </c>
      <c r="HU8" s="17">
        <f t="shared" si="17"/>
        <v>24801</v>
      </c>
      <c r="HV8" s="17">
        <f t="shared" si="18"/>
        <v>28848</v>
      </c>
      <c r="HW8" s="17">
        <f t="shared" si="19"/>
        <v>32329</v>
      </c>
      <c r="HX8" s="17">
        <f t="shared" si="20"/>
        <v>35373</v>
      </c>
      <c r="IB8" s="17">
        <f t="shared" si="66"/>
        <v>61282</v>
      </c>
      <c r="IC8" s="17">
        <f t="shared" si="67"/>
        <v>68060</v>
      </c>
      <c r="ID8" s="17">
        <f t="shared" si="68"/>
        <v>57565</v>
      </c>
      <c r="IE8" s="17">
        <f t="shared" si="69"/>
        <v>50698</v>
      </c>
      <c r="IF8" s="17">
        <f t="shared" si="70"/>
        <v>62699</v>
      </c>
      <c r="IG8" s="17">
        <f t="shared" si="71"/>
        <v>78446</v>
      </c>
      <c r="IH8" s="17">
        <f t="shared" si="72"/>
        <v>93087</v>
      </c>
      <c r="II8" s="17">
        <f t="shared" si="73"/>
        <v>82252</v>
      </c>
      <c r="IJ8" s="17">
        <f t="shared" si="21"/>
        <v>101849</v>
      </c>
      <c r="IK8" s="17">
        <f t="shared" si="22"/>
        <v>87168</v>
      </c>
      <c r="IL8" s="17">
        <f t="shared" si="23"/>
        <v>95266</v>
      </c>
      <c r="IM8" s="17">
        <f t="shared" si="24"/>
        <v>90239</v>
      </c>
      <c r="IN8" s="17">
        <f t="shared" si="25"/>
        <v>103681</v>
      </c>
    </row>
    <row r="9" spans="1:249" outlineLevel="2" x14ac:dyDescent="0.3">
      <c r="A9" t="s">
        <v>80</v>
      </c>
      <c r="B9" t="s">
        <v>75</v>
      </c>
      <c r="C9" s="11">
        <v>17</v>
      </c>
      <c r="D9" s="11">
        <v>19</v>
      </c>
      <c r="E9" s="11">
        <v>20</v>
      </c>
      <c r="F9" s="11">
        <v>35</v>
      </c>
      <c r="G9" s="11">
        <v>24</v>
      </c>
      <c r="H9" s="11">
        <v>26</v>
      </c>
      <c r="I9" s="11">
        <v>44</v>
      </c>
      <c r="J9" s="11">
        <v>47</v>
      </c>
      <c r="K9" s="11">
        <v>32</v>
      </c>
      <c r="L9" s="11">
        <v>29</v>
      </c>
      <c r="M9" s="11">
        <v>35</v>
      </c>
      <c r="N9" s="11">
        <v>46</v>
      </c>
      <c r="O9" s="11">
        <v>37</v>
      </c>
      <c r="P9" s="11">
        <v>35</v>
      </c>
      <c r="Q9" s="11">
        <v>53</v>
      </c>
      <c r="R9" s="11">
        <v>34</v>
      </c>
      <c r="S9" s="11">
        <v>38</v>
      </c>
      <c r="T9" s="11">
        <v>48</v>
      </c>
      <c r="U9" s="11">
        <v>49</v>
      </c>
      <c r="V9" s="11">
        <v>34</v>
      </c>
      <c r="W9" s="11">
        <v>20</v>
      </c>
      <c r="X9" s="11">
        <v>17</v>
      </c>
      <c r="Y9" s="11">
        <v>15</v>
      </c>
      <c r="Z9" s="11">
        <v>28</v>
      </c>
      <c r="AA9" s="12">
        <v>10</v>
      </c>
      <c r="AB9" s="12">
        <v>23</v>
      </c>
      <c r="AC9" s="12">
        <v>25</v>
      </c>
      <c r="AD9" s="12">
        <v>22</v>
      </c>
      <c r="AE9" s="12">
        <v>22</v>
      </c>
      <c r="AF9" s="12">
        <v>46</v>
      </c>
      <c r="AG9" s="12">
        <v>34</v>
      </c>
      <c r="AH9" s="12">
        <v>40</v>
      </c>
      <c r="AI9" s="12">
        <v>25</v>
      </c>
      <c r="AJ9" s="12">
        <v>34</v>
      </c>
      <c r="AK9" s="12">
        <v>21</v>
      </c>
      <c r="AL9" s="13">
        <v>78</v>
      </c>
      <c r="AM9" s="12">
        <v>28</v>
      </c>
      <c r="AN9" s="12">
        <v>51</v>
      </c>
      <c r="AO9" s="12">
        <v>55</v>
      </c>
      <c r="AP9" s="12">
        <v>33</v>
      </c>
      <c r="AQ9" s="12">
        <v>18</v>
      </c>
      <c r="AR9" s="12">
        <v>27</v>
      </c>
      <c r="AS9" s="12">
        <v>55</v>
      </c>
      <c r="AT9" s="12">
        <v>53</v>
      </c>
      <c r="AU9" s="12">
        <v>30</v>
      </c>
      <c r="AV9" s="12">
        <v>15</v>
      </c>
      <c r="AW9" s="12">
        <v>24</v>
      </c>
      <c r="AX9" s="12">
        <v>40</v>
      </c>
      <c r="AY9" s="12">
        <v>14</v>
      </c>
      <c r="AZ9" s="12">
        <v>25</v>
      </c>
      <c r="BA9" s="12">
        <v>25</v>
      </c>
      <c r="BB9" s="12">
        <v>19</v>
      </c>
      <c r="BC9" s="12">
        <v>13</v>
      </c>
      <c r="BD9" s="12">
        <v>26</v>
      </c>
      <c r="BE9" s="12">
        <v>30</v>
      </c>
      <c r="BF9" s="12">
        <v>11</v>
      </c>
      <c r="BG9" s="12">
        <v>14</v>
      </c>
      <c r="BH9" s="12">
        <v>13</v>
      </c>
      <c r="BI9" s="12">
        <v>15</v>
      </c>
      <c r="BJ9" s="12">
        <v>81</v>
      </c>
      <c r="BK9" s="12">
        <v>29</v>
      </c>
      <c r="BL9" s="12">
        <v>8</v>
      </c>
      <c r="BM9" s="12">
        <v>33</v>
      </c>
      <c r="BN9" s="12">
        <v>27</v>
      </c>
      <c r="BO9" s="12">
        <v>23</v>
      </c>
      <c r="BP9" s="12">
        <v>27</v>
      </c>
      <c r="BQ9" s="12">
        <v>25</v>
      </c>
      <c r="BR9" s="12">
        <v>16</v>
      </c>
      <c r="BS9" s="12">
        <v>19</v>
      </c>
      <c r="BT9" s="12">
        <v>9</v>
      </c>
      <c r="BU9" s="12">
        <v>12</v>
      </c>
      <c r="BV9" s="12">
        <v>21</v>
      </c>
      <c r="BW9" s="12">
        <v>11</v>
      </c>
      <c r="BX9" s="12">
        <v>6</v>
      </c>
      <c r="BY9" s="12">
        <v>24</v>
      </c>
      <c r="BZ9" s="12">
        <v>20</v>
      </c>
      <c r="CA9" s="12">
        <v>16</v>
      </c>
      <c r="CB9" s="12">
        <v>14</v>
      </c>
      <c r="CC9" s="12">
        <v>27</v>
      </c>
      <c r="CD9" s="12">
        <v>12</v>
      </c>
      <c r="CE9" s="12">
        <v>18</v>
      </c>
      <c r="CF9" s="12">
        <v>0</v>
      </c>
      <c r="CG9" s="12">
        <v>6</v>
      </c>
      <c r="CH9" s="12">
        <v>12</v>
      </c>
      <c r="CI9" s="12">
        <v>6</v>
      </c>
      <c r="CJ9" s="12">
        <v>6</v>
      </c>
      <c r="CK9" s="12">
        <v>5</v>
      </c>
      <c r="CL9" s="12">
        <v>7</v>
      </c>
      <c r="CM9" s="12">
        <v>0</v>
      </c>
      <c r="CN9" s="12">
        <v>4</v>
      </c>
      <c r="CO9" s="12">
        <v>6</v>
      </c>
      <c r="CP9" s="12">
        <v>0</v>
      </c>
      <c r="CQ9" s="12">
        <v>1</v>
      </c>
      <c r="CR9" s="12">
        <v>6</v>
      </c>
      <c r="CS9" s="12">
        <v>0</v>
      </c>
      <c r="CT9" s="12">
        <v>0</v>
      </c>
      <c r="CU9" s="12">
        <v>0</v>
      </c>
      <c r="CV9" s="12">
        <v>2</v>
      </c>
      <c r="CW9" s="12">
        <v>6</v>
      </c>
      <c r="CX9" s="12">
        <v>2</v>
      </c>
      <c r="CY9" s="12">
        <v>1</v>
      </c>
      <c r="CZ9" s="12">
        <v>4</v>
      </c>
      <c r="DA9" s="12">
        <v>2</v>
      </c>
      <c r="DB9" s="12">
        <v>0</v>
      </c>
      <c r="DC9" s="12">
        <v>0</v>
      </c>
      <c r="DD9" s="12">
        <v>3</v>
      </c>
      <c r="DE9" s="12">
        <v>10</v>
      </c>
      <c r="DF9" s="12">
        <v>3</v>
      </c>
      <c r="DG9" s="12">
        <v>0</v>
      </c>
      <c r="DH9" s="12">
        <v>3</v>
      </c>
      <c r="DI9" s="14">
        <v>2</v>
      </c>
      <c r="DJ9" s="14">
        <v>2</v>
      </c>
      <c r="DK9" s="14">
        <v>1</v>
      </c>
      <c r="DL9" s="14">
        <v>3</v>
      </c>
      <c r="DM9" s="14">
        <v>19</v>
      </c>
      <c r="DN9" s="14">
        <v>27</v>
      </c>
      <c r="DO9" s="14">
        <v>40</v>
      </c>
      <c r="DP9" s="14">
        <v>39</v>
      </c>
      <c r="DQ9" s="14">
        <v>44</v>
      </c>
      <c r="DR9" s="14">
        <v>57</v>
      </c>
      <c r="DS9" s="14">
        <v>25</v>
      </c>
      <c r="DT9" s="14">
        <v>17</v>
      </c>
      <c r="DU9" s="14">
        <v>9</v>
      </c>
      <c r="DV9" s="14">
        <v>14</v>
      </c>
      <c r="DW9" s="14">
        <v>24</v>
      </c>
      <c r="DX9" s="14">
        <v>39</v>
      </c>
      <c r="DY9" s="14">
        <v>22</v>
      </c>
      <c r="DZ9" s="14">
        <v>13</v>
      </c>
      <c r="EA9" s="14">
        <v>6</v>
      </c>
      <c r="EB9" s="14">
        <v>5</v>
      </c>
      <c r="EC9" s="14">
        <v>6</v>
      </c>
      <c r="ED9" s="14">
        <v>7</v>
      </c>
      <c r="EE9" s="14">
        <v>5</v>
      </c>
      <c r="EF9" s="14">
        <v>4</v>
      </c>
      <c r="EG9" s="14">
        <v>10</v>
      </c>
      <c r="EH9" s="14">
        <v>5</v>
      </c>
      <c r="EI9" s="14">
        <v>5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/>
      <c r="FM9" s="14"/>
      <c r="FN9" s="14"/>
      <c r="FR9" s="12">
        <f t="shared" si="26"/>
        <v>56</v>
      </c>
      <c r="FS9" s="12">
        <f t="shared" si="27"/>
        <v>85</v>
      </c>
      <c r="FT9" s="12">
        <f t="shared" si="28"/>
        <v>123</v>
      </c>
      <c r="FU9" s="12">
        <f t="shared" si="29"/>
        <v>110</v>
      </c>
      <c r="FV9" s="12">
        <f t="shared" si="30"/>
        <v>125</v>
      </c>
      <c r="FW9" s="12">
        <f t="shared" si="31"/>
        <v>120</v>
      </c>
      <c r="FX9" s="12">
        <f t="shared" si="32"/>
        <v>103</v>
      </c>
      <c r="FY9" s="12">
        <f t="shared" si="33"/>
        <v>60</v>
      </c>
      <c r="FZ9" s="12">
        <f t="shared" si="34"/>
        <v>58</v>
      </c>
      <c r="GA9" s="12">
        <f t="shared" si="35"/>
        <v>90</v>
      </c>
      <c r="GB9" s="12">
        <f t="shared" si="36"/>
        <v>99</v>
      </c>
      <c r="GC9" s="12">
        <f t="shared" si="37"/>
        <v>133</v>
      </c>
      <c r="GD9" s="12">
        <f t="shared" si="38"/>
        <v>134</v>
      </c>
      <c r="GE9" s="12">
        <f t="shared" si="39"/>
        <v>78</v>
      </c>
      <c r="GF9" s="12">
        <f t="shared" si="40"/>
        <v>138</v>
      </c>
      <c r="GG9" s="12">
        <f t="shared" si="41"/>
        <v>79</v>
      </c>
      <c r="GH9" s="12">
        <f t="shared" si="42"/>
        <v>64</v>
      </c>
      <c r="GI9" s="12">
        <f t="shared" si="43"/>
        <v>58</v>
      </c>
      <c r="GJ9" s="12">
        <f t="shared" si="44"/>
        <v>55</v>
      </c>
      <c r="GK9" s="12">
        <f t="shared" si="45"/>
        <v>109</v>
      </c>
      <c r="GL9" s="12">
        <f t="shared" si="46"/>
        <v>70</v>
      </c>
      <c r="GM9" s="12">
        <f t="shared" si="47"/>
        <v>77</v>
      </c>
      <c r="GN9" s="12">
        <f t="shared" si="48"/>
        <v>60</v>
      </c>
      <c r="GO9" s="12">
        <f t="shared" si="49"/>
        <v>42</v>
      </c>
      <c r="GP9" s="12">
        <f t="shared" si="50"/>
        <v>41</v>
      </c>
      <c r="GQ9" s="12">
        <f t="shared" si="51"/>
        <v>50</v>
      </c>
      <c r="GR9" s="12">
        <f t="shared" si="52"/>
        <v>57</v>
      </c>
      <c r="GS9" s="12">
        <f t="shared" si="53"/>
        <v>18</v>
      </c>
      <c r="GT9" s="12">
        <f t="shared" si="54"/>
        <v>17</v>
      </c>
      <c r="GU9" s="12">
        <f t="shared" si="55"/>
        <v>11</v>
      </c>
      <c r="GV9" s="12">
        <f t="shared" si="56"/>
        <v>7</v>
      </c>
      <c r="GW9" s="12">
        <f t="shared" si="57"/>
        <v>6</v>
      </c>
      <c r="GX9" s="12">
        <f t="shared" si="58"/>
        <v>8</v>
      </c>
      <c r="GY9" s="12">
        <f t="shared" si="59"/>
        <v>7</v>
      </c>
      <c r="GZ9" s="12">
        <f t="shared" si="2"/>
        <v>2</v>
      </c>
      <c r="HA9" s="12">
        <f t="shared" si="3"/>
        <v>16</v>
      </c>
      <c r="HB9" s="12">
        <f t="shared" si="4"/>
        <v>3</v>
      </c>
      <c r="HC9" s="12">
        <f t="shared" si="5"/>
        <v>6</v>
      </c>
      <c r="HD9" s="12">
        <f t="shared" si="6"/>
        <v>86</v>
      </c>
      <c r="HE9" s="12">
        <f t="shared" si="7"/>
        <v>140</v>
      </c>
      <c r="HF9" s="12">
        <f t="shared" si="8"/>
        <v>51</v>
      </c>
      <c r="HG9" s="12">
        <f t="shared" si="9"/>
        <v>77</v>
      </c>
      <c r="HH9" s="12">
        <f t="shared" si="10"/>
        <v>41</v>
      </c>
      <c r="HI9" s="12">
        <f t="shared" si="11"/>
        <v>18</v>
      </c>
      <c r="HJ9" s="12">
        <f t="shared" si="12"/>
        <v>19</v>
      </c>
      <c r="HK9" s="12">
        <f t="shared" si="13"/>
        <v>10</v>
      </c>
      <c r="HL9" s="12">
        <f t="shared" si="14"/>
        <v>0</v>
      </c>
      <c r="HM9" s="12">
        <f t="shared" si="15"/>
        <v>0</v>
      </c>
      <c r="HN9" s="12">
        <f t="shared" si="60"/>
        <v>19</v>
      </c>
      <c r="HO9" s="12">
        <f t="shared" si="61"/>
        <v>10</v>
      </c>
      <c r="HP9" s="12">
        <f t="shared" si="62"/>
        <v>0</v>
      </c>
      <c r="HQ9" s="12">
        <f t="shared" si="63"/>
        <v>0</v>
      </c>
      <c r="HR9" s="12">
        <f t="shared" si="64"/>
        <v>0</v>
      </c>
      <c r="HS9" s="12">
        <f t="shared" si="65"/>
        <v>0</v>
      </c>
      <c r="HT9" s="12">
        <f t="shared" si="16"/>
        <v>0</v>
      </c>
      <c r="HU9" s="12">
        <f t="shared" si="17"/>
        <v>0</v>
      </c>
      <c r="HV9" s="12">
        <f t="shared" si="18"/>
        <v>0</v>
      </c>
      <c r="HW9" s="12">
        <f t="shared" si="19"/>
        <v>0</v>
      </c>
      <c r="HX9" s="12">
        <f t="shared" si="20"/>
        <v>0</v>
      </c>
      <c r="IB9" s="12">
        <f t="shared" si="66"/>
        <v>374</v>
      </c>
      <c r="IC9" s="12">
        <f t="shared" si="67"/>
        <v>408</v>
      </c>
      <c r="ID9" s="12">
        <f t="shared" si="68"/>
        <v>380</v>
      </c>
      <c r="IE9" s="12">
        <f t="shared" si="69"/>
        <v>429</v>
      </c>
      <c r="IF9" s="12">
        <f t="shared" si="70"/>
        <v>286</v>
      </c>
      <c r="IG9" s="12">
        <f t="shared" si="71"/>
        <v>249</v>
      </c>
      <c r="IH9" s="12">
        <f t="shared" si="72"/>
        <v>166</v>
      </c>
      <c r="II9" s="12">
        <f t="shared" si="73"/>
        <v>41</v>
      </c>
      <c r="IJ9" s="12">
        <f t="shared" si="21"/>
        <v>33</v>
      </c>
      <c r="IK9" s="12">
        <f t="shared" si="22"/>
        <v>237</v>
      </c>
      <c r="IL9" s="12">
        <f t="shared" si="23"/>
        <v>187</v>
      </c>
      <c r="IM9" s="12">
        <f t="shared" si="24"/>
        <v>29</v>
      </c>
      <c r="IN9" s="12">
        <f t="shared" si="25"/>
        <v>0</v>
      </c>
    </row>
    <row r="10" spans="1:249" outlineLevel="2" x14ac:dyDescent="0.3">
      <c r="B10" t="s">
        <v>76</v>
      </c>
      <c r="C10" s="11">
        <v>26</v>
      </c>
      <c r="D10" s="11">
        <v>24</v>
      </c>
      <c r="E10" s="11">
        <v>21</v>
      </c>
      <c r="F10" s="11">
        <v>23</v>
      </c>
      <c r="G10" s="11">
        <v>32</v>
      </c>
      <c r="H10" s="11">
        <v>45</v>
      </c>
      <c r="I10" s="11">
        <v>48</v>
      </c>
      <c r="J10" s="11">
        <v>33</v>
      </c>
      <c r="K10" s="11">
        <v>27</v>
      </c>
      <c r="L10" s="11">
        <v>30</v>
      </c>
      <c r="M10" s="11">
        <v>33</v>
      </c>
      <c r="N10" s="11">
        <v>58</v>
      </c>
      <c r="O10" s="11">
        <v>42</v>
      </c>
      <c r="P10" s="11">
        <v>40</v>
      </c>
      <c r="Q10" s="11">
        <v>41</v>
      </c>
      <c r="R10" s="11">
        <v>42</v>
      </c>
      <c r="S10" s="11">
        <v>57</v>
      </c>
      <c r="T10" s="11">
        <v>58</v>
      </c>
      <c r="U10" s="11">
        <v>95</v>
      </c>
      <c r="V10" s="11">
        <v>50</v>
      </c>
      <c r="W10" s="11">
        <v>53</v>
      </c>
      <c r="X10" s="11">
        <v>38</v>
      </c>
      <c r="Y10" s="11">
        <v>52</v>
      </c>
      <c r="Z10" s="11">
        <v>91</v>
      </c>
      <c r="AA10" s="12">
        <v>63</v>
      </c>
      <c r="AB10" s="12">
        <v>44</v>
      </c>
      <c r="AC10" s="12">
        <v>51</v>
      </c>
      <c r="AD10" s="12">
        <v>70</v>
      </c>
      <c r="AE10" s="12">
        <v>65</v>
      </c>
      <c r="AF10" s="12">
        <v>131</v>
      </c>
      <c r="AG10" s="12">
        <v>127</v>
      </c>
      <c r="AH10" s="12">
        <v>91</v>
      </c>
      <c r="AI10" s="12">
        <v>89</v>
      </c>
      <c r="AJ10" s="12">
        <v>68</v>
      </c>
      <c r="AK10" s="12">
        <v>64</v>
      </c>
      <c r="AL10" s="13">
        <v>133</v>
      </c>
      <c r="AM10" s="12">
        <v>54</v>
      </c>
      <c r="AN10" s="12">
        <v>75</v>
      </c>
      <c r="AO10" s="12">
        <v>109</v>
      </c>
      <c r="AP10" s="12">
        <v>62</v>
      </c>
      <c r="AQ10" s="12">
        <v>54</v>
      </c>
      <c r="AR10" s="12">
        <v>83</v>
      </c>
      <c r="AS10" s="12">
        <v>126</v>
      </c>
      <c r="AT10" s="12">
        <v>123</v>
      </c>
      <c r="AU10" s="12">
        <v>114</v>
      </c>
      <c r="AV10" s="12">
        <v>59</v>
      </c>
      <c r="AW10" s="12">
        <v>84</v>
      </c>
      <c r="AX10" s="12">
        <v>118</v>
      </c>
      <c r="AY10" s="12">
        <v>64</v>
      </c>
      <c r="AZ10" s="12">
        <v>58</v>
      </c>
      <c r="BA10" s="12">
        <v>78</v>
      </c>
      <c r="BB10" s="12">
        <v>62</v>
      </c>
      <c r="BC10" s="12">
        <v>23</v>
      </c>
      <c r="BD10" s="12">
        <v>49</v>
      </c>
      <c r="BE10" s="12">
        <v>83</v>
      </c>
      <c r="BF10" s="12">
        <v>37</v>
      </c>
      <c r="BG10" s="12">
        <v>37</v>
      </c>
      <c r="BH10" s="12">
        <v>33</v>
      </c>
      <c r="BI10" s="12">
        <v>21</v>
      </c>
      <c r="BJ10" s="12">
        <v>12</v>
      </c>
      <c r="BK10" s="12">
        <v>1</v>
      </c>
      <c r="BL10" s="12">
        <v>7</v>
      </c>
      <c r="BM10" s="12">
        <v>87</v>
      </c>
      <c r="BN10" s="12">
        <v>61</v>
      </c>
      <c r="BO10" s="12">
        <v>52</v>
      </c>
      <c r="BP10" s="12">
        <v>122</v>
      </c>
      <c r="BQ10" s="12">
        <v>87</v>
      </c>
      <c r="BR10" s="12">
        <v>56</v>
      </c>
      <c r="BS10" s="12">
        <v>58</v>
      </c>
      <c r="BT10" s="12">
        <v>54</v>
      </c>
      <c r="BU10" s="12">
        <v>37</v>
      </c>
      <c r="BV10" s="12">
        <v>94</v>
      </c>
      <c r="BW10" s="12">
        <v>33</v>
      </c>
      <c r="BX10" s="12">
        <v>30</v>
      </c>
      <c r="BY10" s="12">
        <v>70</v>
      </c>
      <c r="BZ10" s="12">
        <v>44</v>
      </c>
      <c r="CA10" s="12">
        <v>39</v>
      </c>
      <c r="CB10" s="12">
        <v>47</v>
      </c>
      <c r="CC10" s="12">
        <v>87</v>
      </c>
      <c r="CD10" s="12">
        <v>86</v>
      </c>
      <c r="CE10" s="12">
        <v>86</v>
      </c>
      <c r="CF10" s="12">
        <v>117</v>
      </c>
      <c r="CG10" s="12">
        <v>107</v>
      </c>
      <c r="CH10" s="12">
        <v>149</v>
      </c>
      <c r="CI10" s="12">
        <v>52</v>
      </c>
      <c r="CJ10" s="12">
        <v>45</v>
      </c>
      <c r="CK10" s="12">
        <v>54</v>
      </c>
      <c r="CL10" s="12">
        <v>55</v>
      </c>
      <c r="CM10" s="12">
        <v>33</v>
      </c>
      <c r="CN10" s="12">
        <v>66</v>
      </c>
      <c r="CO10" s="12">
        <v>112</v>
      </c>
      <c r="CP10" s="12">
        <v>30</v>
      </c>
      <c r="CQ10" s="12">
        <v>60</v>
      </c>
      <c r="CR10" s="12">
        <v>57</v>
      </c>
      <c r="CS10" s="12">
        <v>61</v>
      </c>
      <c r="CT10" s="12">
        <v>29</v>
      </c>
      <c r="CU10" s="12">
        <v>3</v>
      </c>
      <c r="CV10" s="12">
        <v>37</v>
      </c>
      <c r="CW10" s="12">
        <v>55</v>
      </c>
      <c r="CX10" s="12">
        <v>63</v>
      </c>
      <c r="CY10" s="12">
        <v>47</v>
      </c>
      <c r="CZ10" s="12">
        <v>70</v>
      </c>
      <c r="DA10" s="12">
        <v>89</v>
      </c>
      <c r="DB10" s="12">
        <v>50</v>
      </c>
      <c r="DC10" s="12">
        <v>66</v>
      </c>
      <c r="DD10" s="12">
        <v>83</v>
      </c>
      <c r="DE10" s="12">
        <v>74</v>
      </c>
      <c r="DF10" s="12">
        <v>118</v>
      </c>
      <c r="DG10" s="12">
        <v>57</v>
      </c>
      <c r="DH10" s="12">
        <v>11</v>
      </c>
      <c r="DI10" s="14">
        <v>43</v>
      </c>
      <c r="DJ10" s="14">
        <v>80</v>
      </c>
      <c r="DK10" s="14">
        <v>90</v>
      </c>
      <c r="DL10" s="14">
        <v>88</v>
      </c>
      <c r="DM10" s="14">
        <v>82</v>
      </c>
      <c r="DN10" s="14">
        <v>40</v>
      </c>
      <c r="DO10" s="14">
        <v>42</v>
      </c>
      <c r="DP10" s="14">
        <v>27</v>
      </c>
      <c r="DQ10" s="14">
        <v>24</v>
      </c>
      <c r="DR10" s="14">
        <v>50</v>
      </c>
      <c r="DS10" s="14">
        <v>28</v>
      </c>
      <c r="DT10" s="14">
        <v>36</v>
      </c>
      <c r="DU10" s="14">
        <v>82</v>
      </c>
      <c r="DV10" s="14">
        <v>31</v>
      </c>
      <c r="DW10" s="14">
        <v>13</v>
      </c>
      <c r="DX10" s="14">
        <v>49</v>
      </c>
      <c r="DY10" s="14">
        <v>38</v>
      </c>
      <c r="DZ10" s="14">
        <v>42</v>
      </c>
      <c r="EA10" s="14">
        <v>74</v>
      </c>
      <c r="EB10" s="14">
        <v>40</v>
      </c>
      <c r="EC10" s="14">
        <v>39</v>
      </c>
      <c r="ED10" s="14">
        <v>78</v>
      </c>
      <c r="EE10" s="14">
        <v>29</v>
      </c>
      <c r="EF10" s="14">
        <v>27</v>
      </c>
      <c r="EG10" s="14">
        <v>26</v>
      </c>
      <c r="EH10" s="14">
        <v>31</v>
      </c>
      <c r="EI10" s="14">
        <v>43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/>
      <c r="FM10" s="14"/>
      <c r="FN10" s="14"/>
      <c r="FR10" s="12">
        <f t="shared" si="26"/>
        <v>71</v>
      </c>
      <c r="FS10" s="12">
        <f t="shared" si="27"/>
        <v>100</v>
      </c>
      <c r="FT10" s="12">
        <f t="shared" si="28"/>
        <v>108</v>
      </c>
      <c r="FU10" s="12">
        <f t="shared" si="29"/>
        <v>121</v>
      </c>
      <c r="FV10" s="12">
        <f t="shared" si="30"/>
        <v>123</v>
      </c>
      <c r="FW10" s="12">
        <f t="shared" si="31"/>
        <v>157</v>
      </c>
      <c r="FX10" s="12">
        <f t="shared" si="32"/>
        <v>198</v>
      </c>
      <c r="FY10" s="12">
        <f t="shared" si="33"/>
        <v>181</v>
      </c>
      <c r="FZ10" s="12">
        <f t="shared" si="34"/>
        <v>158</v>
      </c>
      <c r="GA10" s="12">
        <f t="shared" si="35"/>
        <v>266</v>
      </c>
      <c r="GB10" s="12">
        <f t="shared" si="36"/>
        <v>307</v>
      </c>
      <c r="GC10" s="12">
        <f t="shared" si="37"/>
        <v>265</v>
      </c>
      <c r="GD10" s="12">
        <f t="shared" si="38"/>
        <v>238</v>
      </c>
      <c r="GE10" s="12">
        <f t="shared" si="39"/>
        <v>199</v>
      </c>
      <c r="GF10" s="12">
        <f t="shared" si="40"/>
        <v>363</v>
      </c>
      <c r="GG10" s="12">
        <f t="shared" si="41"/>
        <v>261</v>
      </c>
      <c r="GH10" s="12">
        <f t="shared" si="42"/>
        <v>200</v>
      </c>
      <c r="GI10" s="12">
        <f t="shared" si="43"/>
        <v>134</v>
      </c>
      <c r="GJ10" s="12">
        <f t="shared" si="44"/>
        <v>157</v>
      </c>
      <c r="GK10" s="12">
        <f t="shared" si="45"/>
        <v>66</v>
      </c>
      <c r="GL10" s="12">
        <f t="shared" si="46"/>
        <v>95</v>
      </c>
      <c r="GM10" s="12">
        <f t="shared" si="47"/>
        <v>235</v>
      </c>
      <c r="GN10" s="12">
        <f t="shared" si="48"/>
        <v>201</v>
      </c>
      <c r="GO10" s="12">
        <f t="shared" si="49"/>
        <v>185</v>
      </c>
      <c r="GP10" s="12">
        <f t="shared" si="50"/>
        <v>133</v>
      </c>
      <c r="GQ10" s="12">
        <f t="shared" si="51"/>
        <v>130</v>
      </c>
      <c r="GR10" s="12">
        <f t="shared" si="52"/>
        <v>259</v>
      </c>
      <c r="GS10" s="12">
        <f t="shared" si="53"/>
        <v>373</v>
      </c>
      <c r="GT10" s="12">
        <f t="shared" si="54"/>
        <v>151</v>
      </c>
      <c r="GU10" s="12">
        <f t="shared" si="55"/>
        <v>154</v>
      </c>
      <c r="GV10" s="12">
        <f t="shared" si="56"/>
        <v>202</v>
      </c>
      <c r="GW10" s="12">
        <f t="shared" si="57"/>
        <v>147</v>
      </c>
      <c r="GX10" s="12">
        <f t="shared" si="58"/>
        <v>95</v>
      </c>
      <c r="GY10" s="12">
        <f t="shared" si="59"/>
        <v>180</v>
      </c>
      <c r="GZ10" s="12">
        <f t="shared" si="2"/>
        <v>205</v>
      </c>
      <c r="HA10" s="12">
        <f t="shared" si="3"/>
        <v>275</v>
      </c>
      <c r="HB10" s="12">
        <f t="shared" si="4"/>
        <v>68</v>
      </c>
      <c r="HC10" s="12">
        <f t="shared" si="5"/>
        <v>258</v>
      </c>
      <c r="HD10" s="12">
        <f t="shared" si="6"/>
        <v>164</v>
      </c>
      <c r="HE10" s="12">
        <f t="shared" si="7"/>
        <v>101</v>
      </c>
      <c r="HF10" s="12">
        <f t="shared" si="8"/>
        <v>146</v>
      </c>
      <c r="HG10" s="12">
        <f t="shared" si="9"/>
        <v>93</v>
      </c>
      <c r="HH10" s="12">
        <f t="shared" si="10"/>
        <v>154</v>
      </c>
      <c r="HI10" s="12">
        <f t="shared" si="11"/>
        <v>157</v>
      </c>
      <c r="HJ10" s="12">
        <f t="shared" si="12"/>
        <v>82</v>
      </c>
      <c r="HK10" s="12">
        <f t="shared" si="13"/>
        <v>74</v>
      </c>
      <c r="HL10" s="12">
        <f t="shared" si="14"/>
        <v>0</v>
      </c>
      <c r="HM10" s="12">
        <f t="shared" si="15"/>
        <v>0</v>
      </c>
      <c r="HN10" s="12">
        <f t="shared" si="60"/>
        <v>82</v>
      </c>
      <c r="HO10" s="12">
        <f t="shared" si="61"/>
        <v>74</v>
      </c>
      <c r="HP10" s="12">
        <f t="shared" si="62"/>
        <v>0</v>
      </c>
      <c r="HQ10" s="12">
        <f t="shared" si="63"/>
        <v>0</v>
      </c>
      <c r="HR10" s="12">
        <f t="shared" si="64"/>
        <v>0</v>
      </c>
      <c r="HS10" s="12">
        <f t="shared" si="65"/>
        <v>0</v>
      </c>
      <c r="HT10" s="12">
        <f t="shared" si="16"/>
        <v>0</v>
      </c>
      <c r="HU10" s="12">
        <f t="shared" si="17"/>
        <v>0</v>
      </c>
      <c r="HV10" s="12">
        <f t="shared" si="18"/>
        <v>0</v>
      </c>
      <c r="HW10" s="12">
        <f t="shared" si="19"/>
        <v>0</v>
      </c>
      <c r="HX10" s="12">
        <f t="shared" si="20"/>
        <v>0</v>
      </c>
      <c r="IB10" s="12">
        <f t="shared" si="66"/>
        <v>400</v>
      </c>
      <c r="IC10" s="12">
        <f t="shared" si="67"/>
        <v>659</v>
      </c>
      <c r="ID10" s="12">
        <f t="shared" si="68"/>
        <v>996</v>
      </c>
      <c r="IE10" s="12">
        <f t="shared" si="69"/>
        <v>1061</v>
      </c>
      <c r="IF10" s="12">
        <f t="shared" si="70"/>
        <v>557</v>
      </c>
      <c r="IG10" s="12">
        <f t="shared" si="71"/>
        <v>716</v>
      </c>
      <c r="IH10" s="12">
        <f t="shared" si="72"/>
        <v>895</v>
      </c>
      <c r="II10" s="12">
        <f t="shared" si="73"/>
        <v>654</v>
      </c>
      <c r="IJ10" s="12">
        <f t="shared" si="21"/>
        <v>755</v>
      </c>
      <c r="IK10" s="12">
        <f t="shared" si="22"/>
        <v>634</v>
      </c>
      <c r="IL10" s="12">
        <f t="shared" si="23"/>
        <v>550</v>
      </c>
      <c r="IM10" s="12">
        <f t="shared" si="24"/>
        <v>156</v>
      </c>
      <c r="IN10" s="12">
        <f t="shared" si="25"/>
        <v>0</v>
      </c>
    </row>
    <row r="11" spans="1:249" outlineLevel="2" x14ac:dyDescent="0.3">
      <c r="B11" t="s">
        <v>78</v>
      </c>
      <c r="C11" s="11">
        <v>52</v>
      </c>
      <c r="D11" s="11">
        <v>71</v>
      </c>
      <c r="E11" s="11">
        <v>107</v>
      </c>
      <c r="F11" s="11">
        <v>79</v>
      </c>
      <c r="G11" s="11">
        <v>74</v>
      </c>
      <c r="H11" s="11">
        <v>130</v>
      </c>
      <c r="I11" s="11">
        <v>110</v>
      </c>
      <c r="J11" s="11">
        <v>120</v>
      </c>
      <c r="K11" s="11">
        <v>91</v>
      </c>
      <c r="L11" s="11">
        <v>99</v>
      </c>
      <c r="M11" s="11">
        <v>121</v>
      </c>
      <c r="N11" s="11">
        <v>159</v>
      </c>
      <c r="O11" s="11">
        <v>82</v>
      </c>
      <c r="P11" s="11">
        <v>135</v>
      </c>
      <c r="Q11" s="11">
        <v>156</v>
      </c>
      <c r="R11" s="11">
        <v>100</v>
      </c>
      <c r="S11" s="11">
        <v>136</v>
      </c>
      <c r="T11" s="11">
        <v>197</v>
      </c>
      <c r="U11" s="11">
        <v>263</v>
      </c>
      <c r="V11" s="11">
        <v>170</v>
      </c>
      <c r="W11" s="11">
        <v>197</v>
      </c>
      <c r="X11" s="11">
        <v>225</v>
      </c>
      <c r="Y11" s="11">
        <v>163</v>
      </c>
      <c r="Z11" s="11">
        <v>328</v>
      </c>
      <c r="AA11" s="12">
        <v>263</v>
      </c>
      <c r="AB11" s="12">
        <v>180</v>
      </c>
      <c r="AC11" s="12">
        <v>189</v>
      </c>
      <c r="AD11" s="12">
        <v>136</v>
      </c>
      <c r="AE11" s="12">
        <v>195</v>
      </c>
      <c r="AF11" s="12">
        <v>340</v>
      </c>
      <c r="AG11" s="12">
        <v>246</v>
      </c>
      <c r="AH11" s="12">
        <v>160</v>
      </c>
      <c r="AI11" s="12">
        <v>193</v>
      </c>
      <c r="AJ11" s="12">
        <v>222</v>
      </c>
      <c r="AK11" s="12">
        <v>215</v>
      </c>
      <c r="AL11" s="13">
        <v>397</v>
      </c>
      <c r="AM11" s="12">
        <v>332</v>
      </c>
      <c r="AN11" s="12">
        <v>224</v>
      </c>
      <c r="AO11" s="12">
        <v>251</v>
      </c>
      <c r="AP11" s="12">
        <v>140</v>
      </c>
      <c r="AQ11" s="12">
        <v>200</v>
      </c>
      <c r="AR11" s="12">
        <v>182</v>
      </c>
      <c r="AS11" s="12">
        <v>402</v>
      </c>
      <c r="AT11" s="12">
        <v>365</v>
      </c>
      <c r="AU11" s="12">
        <v>238</v>
      </c>
      <c r="AV11" s="12">
        <v>220</v>
      </c>
      <c r="AW11" s="12">
        <v>219</v>
      </c>
      <c r="AX11" s="12">
        <v>470</v>
      </c>
      <c r="AY11" s="12">
        <v>123</v>
      </c>
      <c r="AZ11" s="12">
        <v>160</v>
      </c>
      <c r="BA11" s="12">
        <v>164</v>
      </c>
      <c r="BB11" s="12">
        <v>201</v>
      </c>
      <c r="BC11" s="12">
        <v>184</v>
      </c>
      <c r="BD11" s="12">
        <v>318</v>
      </c>
      <c r="BE11" s="12">
        <v>456</v>
      </c>
      <c r="BF11" s="12">
        <v>202</v>
      </c>
      <c r="BG11" s="12">
        <v>243</v>
      </c>
      <c r="BH11" s="12">
        <v>205</v>
      </c>
      <c r="BI11" s="12">
        <v>186</v>
      </c>
      <c r="BJ11" s="12">
        <v>370</v>
      </c>
      <c r="BK11" s="12">
        <v>189</v>
      </c>
      <c r="BL11" s="12">
        <v>189</v>
      </c>
      <c r="BM11" s="12">
        <v>180</v>
      </c>
      <c r="BN11" s="12">
        <v>147</v>
      </c>
      <c r="BO11" s="12">
        <v>183</v>
      </c>
      <c r="BP11" s="12">
        <v>303</v>
      </c>
      <c r="BQ11" s="12">
        <v>208</v>
      </c>
      <c r="BR11" s="12">
        <v>201</v>
      </c>
      <c r="BS11" s="12">
        <v>253</v>
      </c>
      <c r="BT11" s="12">
        <v>247</v>
      </c>
      <c r="BU11" s="12">
        <v>230</v>
      </c>
      <c r="BV11" s="12">
        <v>431</v>
      </c>
      <c r="BW11" s="12">
        <v>231</v>
      </c>
      <c r="BX11" s="12">
        <v>153</v>
      </c>
      <c r="BY11" s="12">
        <v>247</v>
      </c>
      <c r="BZ11" s="12">
        <v>156</v>
      </c>
      <c r="CA11" s="12">
        <v>178</v>
      </c>
      <c r="CB11" s="12">
        <v>219</v>
      </c>
      <c r="CC11" s="12">
        <v>286</v>
      </c>
      <c r="CD11" s="12">
        <v>226</v>
      </c>
      <c r="CE11" s="12">
        <v>197</v>
      </c>
      <c r="CF11" s="12">
        <v>172</v>
      </c>
      <c r="CG11" s="12">
        <v>174</v>
      </c>
      <c r="CH11" s="12">
        <v>430</v>
      </c>
      <c r="CI11" s="12">
        <v>110</v>
      </c>
      <c r="CJ11" s="12">
        <v>151</v>
      </c>
      <c r="CK11" s="12">
        <v>224</v>
      </c>
      <c r="CL11" s="12">
        <v>147</v>
      </c>
      <c r="CM11" s="12">
        <v>217</v>
      </c>
      <c r="CN11" s="12">
        <v>329</v>
      </c>
      <c r="CO11" s="12">
        <v>369</v>
      </c>
      <c r="CP11" s="12">
        <v>174</v>
      </c>
      <c r="CQ11" s="12">
        <v>156</v>
      </c>
      <c r="CR11" s="12">
        <v>245</v>
      </c>
      <c r="CS11" s="12">
        <v>297</v>
      </c>
      <c r="CT11" s="12">
        <v>134</v>
      </c>
      <c r="CU11" s="12">
        <v>43</v>
      </c>
      <c r="CV11" s="12">
        <v>215</v>
      </c>
      <c r="CW11" s="12">
        <v>202</v>
      </c>
      <c r="CX11" s="12">
        <v>260</v>
      </c>
      <c r="CY11" s="12">
        <v>281</v>
      </c>
      <c r="CZ11" s="12">
        <v>294</v>
      </c>
      <c r="DA11" s="12">
        <v>348</v>
      </c>
      <c r="DB11" s="12">
        <v>278</v>
      </c>
      <c r="DC11" s="12">
        <v>292</v>
      </c>
      <c r="DD11" s="12">
        <v>304</v>
      </c>
      <c r="DE11" s="12">
        <v>300</v>
      </c>
      <c r="DF11" s="12">
        <v>396</v>
      </c>
      <c r="DG11" s="12">
        <v>327</v>
      </c>
      <c r="DH11" s="12">
        <v>161</v>
      </c>
      <c r="DI11" s="14">
        <v>292</v>
      </c>
      <c r="DJ11" s="14">
        <v>248</v>
      </c>
      <c r="DK11" s="14">
        <v>337</v>
      </c>
      <c r="DL11" s="14">
        <v>390</v>
      </c>
      <c r="DM11" s="14">
        <v>423</v>
      </c>
      <c r="DN11" s="14">
        <v>239</v>
      </c>
      <c r="DO11" s="14">
        <v>322</v>
      </c>
      <c r="DP11" s="14">
        <v>221</v>
      </c>
      <c r="DQ11" s="14">
        <v>263</v>
      </c>
      <c r="DR11" s="14">
        <v>422</v>
      </c>
      <c r="DS11" s="14">
        <v>338</v>
      </c>
      <c r="DT11" s="14">
        <v>270</v>
      </c>
      <c r="DU11" s="14">
        <v>322</v>
      </c>
      <c r="DV11" s="14">
        <v>221</v>
      </c>
      <c r="DW11" s="14">
        <v>255</v>
      </c>
      <c r="DX11" s="14">
        <v>419</v>
      </c>
      <c r="DY11" s="14">
        <v>396</v>
      </c>
      <c r="DZ11" s="14">
        <v>230</v>
      </c>
      <c r="EA11" s="14">
        <v>325</v>
      </c>
      <c r="EB11" s="14">
        <v>237</v>
      </c>
      <c r="EC11" s="14">
        <v>247</v>
      </c>
      <c r="ED11" s="14">
        <v>329</v>
      </c>
      <c r="EE11" s="14">
        <v>180</v>
      </c>
      <c r="EF11" s="14">
        <v>241</v>
      </c>
      <c r="EG11" s="14">
        <v>207</v>
      </c>
      <c r="EH11" s="14">
        <v>197</v>
      </c>
      <c r="EI11" s="14">
        <v>210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/>
      <c r="FM11" s="14"/>
      <c r="FN11" s="14"/>
      <c r="FR11" s="12">
        <f t="shared" si="26"/>
        <v>230</v>
      </c>
      <c r="FS11" s="12">
        <f t="shared" si="27"/>
        <v>283</v>
      </c>
      <c r="FT11" s="12">
        <f t="shared" si="28"/>
        <v>321</v>
      </c>
      <c r="FU11" s="12">
        <f t="shared" si="29"/>
        <v>379</v>
      </c>
      <c r="FV11" s="12">
        <f t="shared" si="30"/>
        <v>373</v>
      </c>
      <c r="FW11" s="12">
        <f t="shared" si="31"/>
        <v>433</v>
      </c>
      <c r="FX11" s="12">
        <f t="shared" si="32"/>
        <v>630</v>
      </c>
      <c r="FY11" s="12">
        <f t="shared" si="33"/>
        <v>716</v>
      </c>
      <c r="FZ11" s="12">
        <f t="shared" si="34"/>
        <v>632</v>
      </c>
      <c r="GA11" s="12">
        <f t="shared" si="35"/>
        <v>671</v>
      </c>
      <c r="GB11" s="12">
        <f t="shared" si="36"/>
        <v>599</v>
      </c>
      <c r="GC11" s="12">
        <f t="shared" si="37"/>
        <v>834</v>
      </c>
      <c r="GD11" s="12">
        <f t="shared" si="38"/>
        <v>807</v>
      </c>
      <c r="GE11" s="12">
        <f t="shared" si="39"/>
        <v>522</v>
      </c>
      <c r="GF11" s="12">
        <f t="shared" si="40"/>
        <v>1005</v>
      </c>
      <c r="GG11" s="12">
        <f t="shared" si="41"/>
        <v>909</v>
      </c>
      <c r="GH11" s="12">
        <f t="shared" si="42"/>
        <v>447</v>
      </c>
      <c r="GI11" s="12">
        <f t="shared" si="43"/>
        <v>703</v>
      </c>
      <c r="GJ11" s="12">
        <f t="shared" si="44"/>
        <v>901</v>
      </c>
      <c r="GK11" s="12">
        <f t="shared" si="45"/>
        <v>761</v>
      </c>
      <c r="GL11" s="12">
        <f t="shared" si="46"/>
        <v>558</v>
      </c>
      <c r="GM11" s="12">
        <f t="shared" si="47"/>
        <v>633</v>
      </c>
      <c r="GN11" s="12">
        <f t="shared" si="48"/>
        <v>662</v>
      </c>
      <c r="GO11" s="12">
        <f t="shared" si="49"/>
        <v>908</v>
      </c>
      <c r="GP11" s="12">
        <f t="shared" si="50"/>
        <v>631</v>
      </c>
      <c r="GQ11" s="12">
        <f t="shared" si="51"/>
        <v>553</v>
      </c>
      <c r="GR11" s="12">
        <f t="shared" si="52"/>
        <v>709</v>
      </c>
      <c r="GS11" s="12">
        <f t="shared" si="53"/>
        <v>776</v>
      </c>
      <c r="GT11" s="12">
        <f t="shared" si="54"/>
        <v>485</v>
      </c>
      <c r="GU11" s="12">
        <f t="shared" si="55"/>
        <v>693</v>
      </c>
      <c r="GV11" s="12">
        <f t="shared" si="56"/>
        <v>699</v>
      </c>
      <c r="GW11" s="12">
        <f t="shared" si="57"/>
        <v>676</v>
      </c>
      <c r="GX11" s="12">
        <f t="shared" si="58"/>
        <v>460</v>
      </c>
      <c r="GY11" s="12">
        <f t="shared" si="59"/>
        <v>835</v>
      </c>
      <c r="GZ11" s="12">
        <f t="shared" si="2"/>
        <v>918</v>
      </c>
      <c r="HA11" s="12">
        <f t="shared" si="3"/>
        <v>1000</v>
      </c>
      <c r="HB11" s="12">
        <f t="shared" si="4"/>
        <v>488</v>
      </c>
      <c r="HC11" s="12">
        <f t="shared" si="5"/>
        <v>975</v>
      </c>
      <c r="HD11" s="12">
        <f t="shared" si="6"/>
        <v>984</v>
      </c>
      <c r="HE11" s="12">
        <f t="shared" si="7"/>
        <v>906</v>
      </c>
      <c r="HF11" s="12">
        <f t="shared" si="8"/>
        <v>930</v>
      </c>
      <c r="HG11" s="12">
        <f t="shared" si="9"/>
        <v>895</v>
      </c>
      <c r="HH11" s="12">
        <f t="shared" si="10"/>
        <v>951</v>
      </c>
      <c r="HI11" s="12">
        <f t="shared" si="11"/>
        <v>813</v>
      </c>
      <c r="HJ11" s="12">
        <f t="shared" si="12"/>
        <v>628</v>
      </c>
      <c r="HK11" s="12">
        <f t="shared" si="13"/>
        <v>407</v>
      </c>
      <c r="HL11" s="12">
        <f t="shared" si="14"/>
        <v>0</v>
      </c>
      <c r="HM11" s="12">
        <f t="shared" si="15"/>
        <v>0</v>
      </c>
      <c r="HN11" s="12">
        <f t="shared" si="60"/>
        <v>628</v>
      </c>
      <c r="HO11" s="12">
        <f t="shared" si="61"/>
        <v>407</v>
      </c>
      <c r="HP11" s="12">
        <f t="shared" si="62"/>
        <v>0</v>
      </c>
      <c r="HQ11" s="12">
        <f t="shared" si="63"/>
        <v>0</v>
      </c>
      <c r="HR11" s="12">
        <f t="shared" si="64"/>
        <v>0</v>
      </c>
      <c r="HS11" s="12">
        <f t="shared" si="65"/>
        <v>0</v>
      </c>
      <c r="HT11" s="12">
        <f t="shared" si="16"/>
        <v>0</v>
      </c>
      <c r="HU11" s="12">
        <f t="shared" si="17"/>
        <v>0</v>
      </c>
      <c r="HV11" s="12">
        <f t="shared" si="18"/>
        <v>0</v>
      </c>
      <c r="HW11" s="12">
        <f t="shared" si="19"/>
        <v>0</v>
      </c>
      <c r="HX11" s="12">
        <f t="shared" si="20"/>
        <v>0</v>
      </c>
      <c r="IB11" s="12">
        <f t="shared" si="66"/>
        <v>1213</v>
      </c>
      <c r="IC11" s="12">
        <f t="shared" si="67"/>
        <v>2152</v>
      </c>
      <c r="ID11" s="12">
        <f t="shared" si="68"/>
        <v>2736</v>
      </c>
      <c r="IE11" s="12">
        <f t="shared" si="69"/>
        <v>3243</v>
      </c>
      <c r="IF11" s="12">
        <f t="shared" si="70"/>
        <v>2812</v>
      </c>
      <c r="IG11" s="12">
        <f t="shared" si="71"/>
        <v>2761</v>
      </c>
      <c r="IH11" s="12">
        <f t="shared" si="72"/>
        <v>2669</v>
      </c>
      <c r="II11" s="12">
        <f t="shared" si="73"/>
        <v>2553</v>
      </c>
      <c r="IJ11" s="12">
        <f t="shared" si="21"/>
        <v>3213</v>
      </c>
      <c r="IK11" s="12">
        <f t="shared" si="22"/>
        <v>3645</v>
      </c>
      <c r="IL11" s="12">
        <f t="shared" si="23"/>
        <v>3589</v>
      </c>
      <c r="IM11" s="12">
        <f t="shared" si="24"/>
        <v>1035</v>
      </c>
      <c r="IN11" s="12">
        <f t="shared" si="25"/>
        <v>0</v>
      </c>
    </row>
    <row r="12" spans="1:249" outlineLevel="1" x14ac:dyDescent="0.3">
      <c r="A12" s="15" t="s">
        <v>81</v>
      </c>
      <c r="B12" s="15"/>
      <c r="C12" s="16">
        <f t="shared" ref="C12:BN12" si="76">+SUM(C9:C11)</f>
        <v>95</v>
      </c>
      <c r="D12" s="16">
        <f t="shared" si="76"/>
        <v>114</v>
      </c>
      <c r="E12" s="16">
        <f t="shared" si="76"/>
        <v>148</v>
      </c>
      <c r="F12" s="16">
        <f t="shared" si="76"/>
        <v>137</v>
      </c>
      <c r="G12" s="16">
        <f t="shared" si="76"/>
        <v>130</v>
      </c>
      <c r="H12" s="16">
        <f t="shared" si="76"/>
        <v>201</v>
      </c>
      <c r="I12" s="16">
        <f t="shared" si="76"/>
        <v>202</v>
      </c>
      <c r="J12" s="16">
        <f t="shared" si="76"/>
        <v>200</v>
      </c>
      <c r="K12" s="16">
        <f t="shared" si="76"/>
        <v>150</v>
      </c>
      <c r="L12" s="16">
        <f t="shared" si="76"/>
        <v>158</v>
      </c>
      <c r="M12" s="16">
        <f t="shared" si="76"/>
        <v>189</v>
      </c>
      <c r="N12" s="16">
        <f t="shared" si="76"/>
        <v>263</v>
      </c>
      <c r="O12" s="16">
        <f t="shared" si="76"/>
        <v>161</v>
      </c>
      <c r="P12" s="16">
        <f t="shared" si="76"/>
        <v>210</v>
      </c>
      <c r="Q12" s="16">
        <f t="shared" si="76"/>
        <v>250</v>
      </c>
      <c r="R12" s="16">
        <f t="shared" si="76"/>
        <v>176</v>
      </c>
      <c r="S12" s="16">
        <f t="shared" si="76"/>
        <v>231</v>
      </c>
      <c r="T12" s="16">
        <f t="shared" si="76"/>
        <v>303</v>
      </c>
      <c r="U12" s="16">
        <f t="shared" si="76"/>
        <v>407</v>
      </c>
      <c r="V12" s="16">
        <f t="shared" si="76"/>
        <v>254</v>
      </c>
      <c r="W12" s="16">
        <f t="shared" si="76"/>
        <v>270</v>
      </c>
      <c r="X12" s="16">
        <f t="shared" si="76"/>
        <v>280</v>
      </c>
      <c r="Y12" s="16">
        <f t="shared" si="76"/>
        <v>230</v>
      </c>
      <c r="Z12" s="16">
        <f t="shared" si="76"/>
        <v>447</v>
      </c>
      <c r="AA12" s="17">
        <f t="shared" si="76"/>
        <v>336</v>
      </c>
      <c r="AB12" s="17">
        <f t="shared" si="76"/>
        <v>247</v>
      </c>
      <c r="AC12" s="17">
        <f t="shared" si="76"/>
        <v>265</v>
      </c>
      <c r="AD12" s="17">
        <f t="shared" si="76"/>
        <v>228</v>
      </c>
      <c r="AE12" s="17">
        <f t="shared" si="76"/>
        <v>282</v>
      </c>
      <c r="AF12" s="17">
        <f t="shared" si="76"/>
        <v>517</v>
      </c>
      <c r="AG12" s="17">
        <f t="shared" si="76"/>
        <v>407</v>
      </c>
      <c r="AH12" s="17">
        <f t="shared" si="76"/>
        <v>291</v>
      </c>
      <c r="AI12" s="17">
        <f t="shared" si="76"/>
        <v>307</v>
      </c>
      <c r="AJ12" s="17">
        <f t="shared" si="76"/>
        <v>324</v>
      </c>
      <c r="AK12" s="17">
        <f t="shared" si="76"/>
        <v>300</v>
      </c>
      <c r="AL12" s="18">
        <f t="shared" si="76"/>
        <v>608</v>
      </c>
      <c r="AM12" s="17">
        <f t="shared" si="76"/>
        <v>414</v>
      </c>
      <c r="AN12" s="17">
        <f t="shared" si="76"/>
        <v>350</v>
      </c>
      <c r="AO12" s="17">
        <f t="shared" si="76"/>
        <v>415</v>
      </c>
      <c r="AP12" s="17">
        <f t="shared" si="76"/>
        <v>235</v>
      </c>
      <c r="AQ12" s="17">
        <f t="shared" si="76"/>
        <v>272</v>
      </c>
      <c r="AR12" s="17">
        <f t="shared" si="76"/>
        <v>292</v>
      </c>
      <c r="AS12" s="17">
        <f t="shared" si="76"/>
        <v>583</v>
      </c>
      <c r="AT12" s="17">
        <f t="shared" si="76"/>
        <v>541</v>
      </c>
      <c r="AU12" s="17">
        <f t="shared" si="76"/>
        <v>382</v>
      </c>
      <c r="AV12" s="17">
        <f t="shared" si="76"/>
        <v>294</v>
      </c>
      <c r="AW12" s="17">
        <f t="shared" si="76"/>
        <v>327</v>
      </c>
      <c r="AX12" s="17">
        <f t="shared" si="76"/>
        <v>628</v>
      </c>
      <c r="AY12" s="17">
        <f t="shared" si="76"/>
        <v>201</v>
      </c>
      <c r="AZ12" s="17">
        <f t="shared" si="76"/>
        <v>243</v>
      </c>
      <c r="BA12" s="17">
        <f t="shared" si="76"/>
        <v>267</v>
      </c>
      <c r="BB12" s="17">
        <f t="shared" si="76"/>
        <v>282</v>
      </c>
      <c r="BC12" s="17">
        <f t="shared" si="76"/>
        <v>220</v>
      </c>
      <c r="BD12" s="17">
        <f t="shared" si="76"/>
        <v>393</v>
      </c>
      <c r="BE12" s="17">
        <f t="shared" si="76"/>
        <v>569</v>
      </c>
      <c r="BF12" s="17">
        <f t="shared" si="76"/>
        <v>250</v>
      </c>
      <c r="BG12" s="17">
        <f t="shared" si="76"/>
        <v>294</v>
      </c>
      <c r="BH12" s="17">
        <f t="shared" si="76"/>
        <v>251</v>
      </c>
      <c r="BI12" s="17">
        <f t="shared" si="76"/>
        <v>222</v>
      </c>
      <c r="BJ12" s="17">
        <f t="shared" si="76"/>
        <v>463</v>
      </c>
      <c r="BK12" s="17">
        <f t="shared" si="76"/>
        <v>219</v>
      </c>
      <c r="BL12" s="17">
        <f t="shared" si="76"/>
        <v>204</v>
      </c>
      <c r="BM12" s="17">
        <f t="shared" si="76"/>
        <v>300</v>
      </c>
      <c r="BN12" s="17">
        <f t="shared" si="76"/>
        <v>235</v>
      </c>
      <c r="BO12" s="17">
        <f t="shared" ref="BO12:DA12" si="77">+SUM(BO9:BO11)</f>
        <v>258</v>
      </c>
      <c r="BP12" s="17">
        <f t="shared" si="77"/>
        <v>452</v>
      </c>
      <c r="BQ12" s="17">
        <f t="shared" si="77"/>
        <v>320</v>
      </c>
      <c r="BR12" s="17">
        <f t="shared" si="77"/>
        <v>273</v>
      </c>
      <c r="BS12" s="17">
        <f t="shared" si="77"/>
        <v>330</v>
      </c>
      <c r="BT12" s="17">
        <f t="shared" si="77"/>
        <v>310</v>
      </c>
      <c r="BU12" s="17">
        <f t="shared" si="77"/>
        <v>279</v>
      </c>
      <c r="BV12" s="17">
        <f t="shared" si="77"/>
        <v>546</v>
      </c>
      <c r="BW12" s="17">
        <f t="shared" si="77"/>
        <v>275</v>
      </c>
      <c r="BX12" s="17">
        <f t="shared" si="77"/>
        <v>189</v>
      </c>
      <c r="BY12" s="17">
        <f t="shared" si="77"/>
        <v>341</v>
      </c>
      <c r="BZ12" s="17">
        <f t="shared" si="77"/>
        <v>220</v>
      </c>
      <c r="CA12" s="17">
        <f t="shared" si="77"/>
        <v>233</v>
      </c>
      <c r="CB12" s="17">
        <f t="shared" si="77"/>
        <v>280</v>
      </c>
      <c r="CC12" s="17">
        <f t="shared" si="77"/>
        <v>400</v>
      </c>
      <c r="CD12" s="17">
        <f t="shared" si="77"/>
        <v>324</v>
      </c>
      <c r="CE12" s="17">
        <f t="shared" si="77"/>
        <v>301</v>
      </c>
      <c r="CF12" s="17">
        <f t="shared" si="77"/>
        <v>289</v>
      </c>
      <c r="CG12" s="17">
        <f t="shared" si="77"/>
        <v>287</v>
      </c>
      <c r="CH12" s="17">
        <f t="shared" si="77"/>
        <v>591</v>
      </c>
      <c r="CI12" s="17">
        <f t="shared" si="77"/>
        <v>168</v>
      </c>
      <c r="CJ12" s="17">
        <f t="shared" si="77"/>
        <v>202</v>
      </c>
      <c r="CK12" s="17">
        <f t="shared" si="77"/>
        <v>283</v>
      </c>
      <c r="CL12" s="17">
        <f t="shared" si="77"/>
        <v>209</v>
      </c>
      <c r="CM12" s="17">
        <f t="shared" si="77"/>
        <v>250</v>
      </c>
      <c r="CN12" s="17">
        <f t="shared" si="77"/>
        <v>399</v>
      </c>
      <c r="CO12" s="17">
        <f t="shared" si="77"/>
        <v>487</v>
      </c>
      <c r="CP12" s="17">
        <f t="shared" si="77"/>
        <v>204</v>
      </c>
      <c r="CQ12" s="17">
        <f t="shared" si="77"/>
        <v>217</v>
      </c>
      <c r="CR12" s="17">
        <f t="shared" si="77"/>
        <v>308</v>
      </c>
      <c r="CS12" s="17">
        <f t="shared" si="77"/>
        <v>358</v>
      </c>
      <c r="CT12" s="17">
        <f t="shared" si="77"/>
        <v>163</v>
      </c>
      <c r="CU12" s="17">
        <f t="shared" si="77"/>
        <v>46</v>
      </c>
      <c r="CV12" s="17">
        <f t="shared" si="77"/>
        <v>254</v>
      </c>
      <c r="CW12" s="17">
        <f t="shared" si="77"/>
        <v>263</v>
      </c>
      <c r="CX12" s="17">
        <f t="shared" si="77"/>
        <v>325</v>
      </c>
      <c r="CY12" s="17">
        <f t="shared" si="77"/>
        <v>329</v>
      </c>
      <c r="CZ12" s="17">
        <f t="shared" si="77"/>
        <v>368</v>
      </c>
      <c r="DA12" s="17">
        <f t="shared" si="77"/>
        <v>439</v>
      </c>
      <c r="DB12" s="17">
        <f>+SUM(DB9:DB11)</f>
        <v>328</v>
      </c>
      <c r="DC12" s="17">
        <v>358</v>
      </c>
      <c r="DD12" s="17">
        <v>390</v>
      </c>
      <c r="DE12" s="17">
        <v>384</v>
      </c>
      <c r="DF12" s="17">
        <v>517</v>
      </c>
      <c r="DG12" s="17">
        <v>384</v>
      </c>
      <c r="DH12" s="17">
        <v>175</v>
      </c>
      <c r="DI12" s="19">
        <v>337</v>
      </c>
      <c r="DJ12" s="19">
        <v>330</v>
      </c>
      <c r="DK12" s="19">
        <v>428</v>
      </c>
      <c r="DL12" s="19">
        <v>481</v>
      </c>
      <c r="DM12" s="19">
        <v>524</v>
      </c>
      <c r="DN12" s="19">
        <v>306</v>
      </c>
      <c r="DO12" s="19">
        <v>404</v>
      </c>
      <c r="DP12" s="19">
        <v>287</v>
      </c>
      <c r="DQ12" s="19">
        <v>331</v>
      </c>
      <c r="DR12" s="19">
        <v>529</v>
      </c>
      <c r="DS12" s="19">
        <v>391</v>
      </c>
      <c r="DT12" s="19">
        <v>323</v>
      </c>
      <c r="DU12" s="19">
        <v>413</v>
      </c>
      <c r="DV12" s="19">
        <v>266</v>
      </c>
      <c r="DW12" s="19">
        <v>292</v>
      </c>
      <c r="DX12" s="19">
        <v>507</v>
      </c>
      <c r="DY12" s="19">
        <v>456</v>
      </c>
      <c r="DZ12" s="19">
        <v>285</v>
      </c>
      <c r="EA12" s="19">
        <v>405</v>
      </c>
      <c r="EB12" s="19">
        <v>282</v>
      </c>
      <c r="EC12" s="19">
        <v>292</v>
      </c>
      <c r="ED12" s="19">
        <v>414</v>
      </c>
      <c r="EE12" s="19">
        <v>214</v>
      </c>
      <c r="EF12" s="19">
        <v>272</v>
      </c>
      <c r="EG12" s="19">
        <v>243</v>
      </c>
      <c r="EH12" s="19">
        <v>233</v>
      </c>
      <c r="EI12" s="19">
        <v>258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20"/>
      <c r="FM12" s="20"/>
      <c r="FN12" s="20"/>
      <c r="FR12" s="17">
        <f t="shared" si="26"/>
        <v>357</v>
      </c>
      <c r="FS12" s="17">
        <f t="shared" si="27"/>
        <v>468</v>
      </c>
      <c r="FT12" s="17">
        <f t="shared" si="28"/>
        <v>552</v>
      </c>
      <c r="FU12" s="17">
        <f t="shared" si="29"/>
        <v>610</v>
      </c>
      <c r="FV12" s="17">
        <f t="shared" si="30"/>
        <v>621</v>
      </c>
      <c r="FW12" s="17">
        <f t="shared" si="31"/>
        <v>710</v>
      </c>
      <c r="FX12" s="17">
        <f t="shared" si="32"/>
        <v>931</v>
      </c>
      <c r="FY12" s="17">
        <f t="shared" si="33"/>
        <v>957</v>
      </c>
      <c r="FZ12" s="17">
        <f t="shared" si="34"/>
        <v>848</v>
      </c>
      <c r="GA12" s="17">
        <f t="shared" si="35"/>
        <v>1027</v>
      </c>
      <c r="GB12" s="17">
        <f t="shared" si="36"/>
        <v>1005</v>
      </c>
      <c r="GC12" s="17">
        <f t="shared" si="37"/>
        <v>1232</v>
      </c>
      <c r="GD12" s="17">
        <f t="shared" si="38"/>
        <v>1179</v>
      </c>
      <c r="GE12" s="17">
        <f t="shared" si="39"/>
        <v>799</v>
      </c>
      <c r="GF12" s="17">
        <f t="shared" si="40"/>
        <v>1506</v>
      </c>
      <c r="GG12" s="17">
        <f t="shared" si="41"/>
        <v>1249</v>
      </c>
      <c r="GH12" s="17">
        <f t="shared" si="42"/>
        <v>711</v>
      </c>
      <c r="GI12" s="17">
        <f t="shared" si="43"/>
        <v>895</v>
      </c>
      <c r="GJ12" s="17">
        <f t="shared" si="44"/>
        <v>1113</v>
      </c>
      <c r="GK12" s="17">
        <f t="shared" si="45"/>
        <v>936</v>
      </c>
      <c r="GL12" s="17">
        <f t="shared" si="46"/>
        <v>723</v>
      </c>
      <c r="GM12" s="17">
        <f t="shared" si="47"/>
        <v>945</v>
      </c>
      <c r="GN12" s="17">
        <f t="shared" si="48"/>
        <v>923</v>
      </c>
      <c r="GO12" s="17">
        <f t="shared" si="49"/>
        <v>1135</v>
      </c>
      <c r="GP12" s="17">
        <f t="shared" si="50"/>
        <v>805</v>
      </c>
      <c r="GQ12" s="17">
        <f t="shared" si="51"/>
        <v>733</v>
      </c>
      <c r="GR12" s="17">
        <f t="shared" si="52"/>
        <v>1025</v>
      </c>
      <c r="GS12" s="17">
        <f t="shared" si="53"/>
        <v>1167</v>
      </c>
      <c r="GT12" s="17">
        <f t="shared" si="54"/>
        <v>653</v>
      </c>
      <c r="GU12" s="17">
        <f t="shared" si="55"/>
        <v>858</v>
      </c>
      <c r="GV12" s="17">
        <f t="shared" si="56"/>
        <v>908</v>
      </c>
      <c r="GW12" s="17">
        <f t="shared" si="57"/>
        <v>829</v>
      </c>
      <c r="GX12" s="17">
        <f t="shared" si="58"/>
        <v>563</v>
      </c>
      <c r="GY12" s="17">
        <f t="shared" si="59"/>
        <v>1022</v>
      </c>
      <c r="GZ12" s="17">
        <f t="shared" si="2"/>
        <v>1125</v>
      </c>
      <c r="HA12" s="17">
        <f t="shared" si="3"/>
        <v>1291</v>
      </c>
      <c r="HB12" s="17">
        <f t="shared" si="4"/>
        <v>559</v>
      </c>
      <c r="HC12" s="17">
        <f t="shared" si="5"/>
        <v>1239</v>
      </c>
      <c r="HD12" s="17">
        <f t="shared" si="6"/>
        <v>1234</v>
      </c>
      <c r="HE12" s="17">
        <f t="shared" si="7"/>
        <v>1147</v>
      </c>
      <c r="HF12" s="17">
        <f t="shared" si="8"/>
        <v>1127</v>
      </c>
      <c r="HG12" s="17">
        <f t="shared" si="9"/>
        <v>1065</v>
      </c>
      <c r="HH12" s="17">
        <f t="shared" si="10"/>
        <v>1146</v>
      </c>
      <c r="HI12" s="17">
        <f t="shared" si="11"/>
        <v>988</v>
      </c>
      <c r="HJ12" s="17">
        <f t="shared" si="12"/>
        <v>729</v>
      </c>
      <c r="HK12" s="17">
        <f t="shared" si="13"/>
        <v>491</v>
      </c>
      <c r="HL12" s="17">
        <f t="shared" si="14"/>
        <v>0</v>
      </c>
      <c r="HM12" s="17">
        <f t="shared" si="15"/>
        <v>0</v>
      </c>
      <c r="HN12" s="17">
        <f t="shared" si="60"/>
        <v>729</v>
      </c>
      <c r="HO12" s="17">
        <f t="shared" si="61"/>
        <v>491</v>
      </c>
      <c r="HP12" s="17">
        <f t="shared" si="62"/>
        <v>0</v>
      </c>
      <c r="HQ12" s="17">
        <f t="shared" si="63"/>
        <v>0</v>
      </c>
      <c r="HR12" s="17">
        <f t="shared" si="64"/>
        <v>0</v>
      </c>
      <c r="HS12" s="17">
        <f t="shared" si="65"/>
        <v>0</v>
      </c>
      <c r="HT12" s="17">
        <f t="shared" si="16"/>
        <v>0</v>
      </c>
      <c r="HU12" s="17">
        <f t="shared" si="17"/>
        <v>0</v>
      </c>
      <c r="HV12" s="17">
        <f t="shared" si="18"/>
        <v>0</v>
      </c>
      <c r="HW12" s="17">
        <f t="shared" si="19"/>
        <v>0</v>
      </c>
      <c r="HX12" s="17">
        <f t="shared" si="20"/>
        <v>0</v>
      </c>
      <c r="IB12" s="17">
        <f t="shared" si="66"/>
        <v>1987</v>
      </c>
      <c r="IC12" s="17">
        <f t="shared" si="67"/>
        <v>3219</v>
      </c>
      <c r="ID12" s="17">
        <f t="shared" si="68"/>
        <v>4112</v>
      </c>
      <c r="IE12" s="17">
        <f t="shared" si="69"/>
        <v>4733</v>
      </c>
      <c r="IF12" s="17">
        <f t="shared" si="70"/>
        <v>3655</v>
      </c>
      <c r="IG12" s="17">
        <f t="shared" si="71"/>
        <v>3726</v>
      </c>
      <c r="IH12" s="17">
        <f t="shared" si="72"/>
        <v>3730</v>
      </c>
      <c r="II12" s="17">
        <f t="shared" si="73"/>
        <v>3248</v>
      </c>
      <c r="IJ12" s="17">
        <f t="shared" si="21"/>
        <v>4001</v>
      </c>
      <c r="IK12" s="17">
        <f t="shared" si="22"/>
        <v>4516</v>
      </c>
      <c r="IL12" s="17">
        <f t="shared" si="23"/>
        <v>4326</v>
      </c>
      <c r="IM12" s="17">
        <f t="shared" si="24"/>
        <v>1220</v>
      </c>
      <c r="IN12" s="17">
        <f t="shared" si="25"/>
        <v>0</v>
      </c>
    </row>
    <row r="13" spans="1:249" outlineLevel="2" x14ac:dyDescent="0.3">
      <c r="A13" t="s">
        <v>82</v>
      </c>
      <c r="B13" t="s">
        <v>75</v>
      </c>
      <c r="C13" s="11">
        <v>134</v>
      </c>
      <c r="D13" s="11">
        <v>49</v>
      </c>
      <c r="E13" s="11">
        <v>147</v>
      </c>
      <c r="F13" s="11">
        <v>154</v>
      </c>
      <c r="G13" s="11">
        <v>216</v>
      </c>
      <c r="H13" s="11">
        <v>341</v>
      </c>
      <c r="I13" s="11">
        <v>232</v>
      </c>
      <c r="J13" s="11">
        <v>179</v>
      </c>
      <c r="K13" s="11">
        <v>200</v>
      </c>
      <c r="L13" s="11">
        <v>122</v>
      </c>
      <c r="M13" s="11">
        <v>61</v>
      </c>
      <c r="N13" s="11">
        <v>18</v>
      </c>
      <c r="O13" s="11">
        <v>64</v>
      </c>
      <c r="P13" s="11">
        <v>21</v>
      </c>
      <c r="Q13" s="11">
        <v>32</v>
      </c>
      <c r="R13" s="11">
        <v>51</v>
      </c>
      <c r="S13" s="11">
        <v>36</v>
      </c>
      <c r="T13" s="11">
        <v>44</v>
      </c>
      <c r="U13" s="11">
        <v>51</v>
      </c>
      <c r="V13" s="11">
        <v>144</v>
      </c>
      <c r="W13" s="11">
        <v>82</v>
      </c>
      <c r="X13" s="11">
        <v>161</v>
      </c>
      <c r="Y13" s="11">
        <v>84</v>
      </c>
      <c r="Z13" s="11">
        <v>146</v>
      </c>
      <c r="AA13" s="12">
        <v>47</v>
      </c>
      <c r="AB13" s="12">
        <v>48</v>
      </c>
      <c r="AC13" s="12">
        <v>73</v>
      </c>
      <c r="AD13" s="12">
        <v>59</v>
      </c>
      <c r="AE13" s="12">
        <v>70</v>
      </c>
      <c r="AF13" s="12">
        <v>126</v>
      </c>
      <c r="AG13" s="12">
        <v>62</v>
      </c>
      <c r="AH13" s="12">
        <v>63</v>
      </c>
      <c r="AI13" s="12">
        <v>41</v>
      </c>
      <c r="AJ13" s="12">
        <v>63</v>
      </c>
      <c r="AK13" s="12">
        <v>59</v>
      </c>
      <c r="AL13" s="13">
        <v>96</v>
      </c>
      <c r="AM13" s="12">
        <v>28</v>
      </c>
      <c r="AN13" s="12">
        <v>51</v>
      </c>
      <c r="AO13" s="12">
        <v>35</v>
      </c>
      <c r="AP13" s="12">
        <v>39</v>
      </c>
      <c r="AQ13" s="12">
        <v>79</v>
      </c>
      <c r="AR13" s="12">
        <v>80</v>
      </c>
      <c r="AS13" s="12">
        <v>59</v>
      </c>
      <c r="AT13" s="12">
        <v>33</v>
      </c>
      <c r="AU13" s="12">
        <v>30</v>
      </c>
      <c r="AV13" s="12">
        <v>33</v>
      </c>
      <c r="AW13" s="12">
        <v>23</v>
      </c>
      <c r="AX13" s="12">
        <v>17</v>
      </c>
      <c r="AY13" s="12">
        <v>32</v>
      </c>
      <c r="AZ13" s="12">
        <v>9</v>
      </c>
      <c r="BA13" s="12">
        <v>29</v>
      </c>
      <c r="BB13" s="12">
        <v>14</v>
      </c>
      <c r="BC13" s="12">
        <v>8</v>
      </c>
      <c r="BD13" s="12">
        <v>25</v>
      </c>
      <c r="BE13" s="12">
        <v>12</v>
      </c>
      <c r="BF13" s="12">
        <v>1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/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/>
      <c r="FM13" s="14"/>
      <c r="FN13" s="14"/>
      <c r="FR13" s="12">
        <f t="shared" si="26"/>
        <v>330</v>
      </c>
      <c r="FS13" s="12">
        <f t="shared" si="27"/>
        <v>711</v>
      </c>
      <c r="FT13" s="12">
        <f t="shared" si="28"/>
        <v>611</v>
      </c>
      <c r="FU13" s="12">
        <f t="shared" si="29"/>
        <v>201</v>
      </c>
      <c r="FV13" s="12">
        <f t="shared" si="30"/>
        <v>117</v>
      </c>
      <c r="FW13" s="12">
        <f t="shared" si="31"/>
        <v>131</v>
      </c>
      <c r="FX13" s="12">
        <f t="shared" si="32"/>
        <v>277</v>
      </c>
      <c r="FY13" s="12">
        <f t="shared" si="33"/>
        <v>391</v>
      </c>
      <c r="FZ13" s="12">
        <f t="shared" si="34"/>
        <v>168</v>
      </c>
      <c r="GA13" s="12">
        <f t="shared" si="35"/>
        <v>255</v>
      </c>
      <c r="GB13" s="12">
        <f t="shared" si="36"/>
        <v>166</v>
      </c>
      <c r="GC13" s="12">
        <f t="shared" si="37"/>
        <v>218</v>
      </c>
      <c r="GD13" s="12">
        <f t="shared" si="38"/>
        <v>114</v>
      </c>
      <c r="GE13" s="12">
        <f t="shared" si="39"/>
        <v>198</v>
      </c>
      <c r="GF13" s="12">
        <f t="shared" si="40"/>
        <v>122</v>
      </c>
      <c r="GG13" s="12">
        <f t="shared" si="41"/>
        <v>73</v>
      </c>
      <c r="GH13" s="12">
        <f t="shared" si="42"/>
        <v>70</v>
      </c>
      <c r="GI13" s="12">
        <f t="shared" si="43"/>
        <v>47</v>
      </c>
      <c r="GJ13" s="12">
        <f t="shared" si="44"/>
        <v>13</v>
      </c>
      <c r="GK13" s="12">
        <f t="shared" si="45"/>
        <v>0</v>
      </c>
      <c r="GL13" s="12">
        <f t="shared" si="46"/>
        <v>0</v>
      </c>
      <c r="GM13" s="12">
        <f t="shared" si="47"/>
        <v>0</v>
      </c>
      <c r="GN13" s="12">
        <f t="shared" si="48"/>
        <v>0</v>
      </c>
      <c r="GO13" s="12">
        <f t="shared" si="49"/>
        <v>0</v>
      </c>
      <c r="GP13" s="12">
        <f t="shared" si="50"/>
        <v>0</v>
      </c>
      <c r="GQ13" s="12">
        <f t="shared" si="51"/>
        <v>0</v>
      </c>
      <c r="GR13" s="12">
        <f t="shared" si="52"/>
        <v>0</v>
      </c>
      <c r="GS13" s="12">
        <f t="shared" si="53"/>
        <v>0</v>
      </c>
      <c r="GT13" s="12">
        <f t="shared" si="54"/>
        <v>0</v>
      </c>
      <c r="GU13" s="12">
        <f t="shared" si="55"/>
        <v>0</v>
      </c>
      <c r="GV13" s="12">
        <f t="shared" si="56"/>
        <v>0</v>
      </c>
      <c r="GW13" s="12">
        <f t="shared" si="57"/>
        <v>0</v>
      </c>
      <c r="GX13" s="12">
        <f t="shared" si="58"/>
        <v>0</v>
      </c>
      <c r="GY13" s="12">
        <f t="shared" si="59"/>
        <v>0</v>
      </c>
      <c r="GZ13" s="12">
        <f t="shared" si="2"/>
        <v>0</v>
      </c>
      <c r="HA13" s="12">
        <f t="shared" si="3"/>
        <v>0</v>
      </c>
      <c r="HB13" s="12">
        <f t="shared" si="4"/>
        <v>0</v>
      </c>
      <c r="HC13" s="12">
        <f t="shared" si="5"/>
        <v>0</v>
      </c>
      <c r="HD13" s="12">
        <f t="shared" si="6"/>
        <v>0</v>
      </c>
      <c r="HE13" s="12">
        <f t="shared" si="7"/>
        <v>0</v>
      </c>
      <c r="HF13" s="12">
        <f t="shared" si="8"/>
        <v>0</v>
      </c>
      <c r="HG13" s="12">
        <f t="shared" si="9"/>
        <v>0</v>
      </c>
      <c r="HH13" s="12">
        <f t="shared" si="10"/>
        <v>0</v>
      </c>
      <c r="HI13" s="12">
        <f t="shared" si="11"/>
        <v>0</v>
      </c>
      <c r="HJ13" s="12">
        <f t="shared" si="12"/>
        <v>0</v>
      </c>
      <c r="HK13" s="12">
        <f t="shared" si="13"/>
        <v>0</v>
      </c>
      <c r="HL13" s="12">
        <f t="shared" si="14"/>
        <v>0</v>
      </c>
      <c r="HM13" s="12">
        <f t="shared" si="15"/>
        <v>0</v>
      </c>
      <c r="HN13" s="12">
        <f t="shared" si="60"/>
        <v>0</v>
      </c>
      <c r="HO13" s="12">
        <f t="shared" si="61"/>
        <v>0</v>
      </c>
      <c r="HP13" s="12">
        <f t="shared" si="62"/>
        <v>0</v>
      </c>
      <c r="HQ13" s="12">
        <f t="shared" si="63"/>
        <v>0</v>
      </c>
      <c r="HR13" s="12">
        <f t="shared" si="64"/>
        <v>0</v>
      </c>
      <c r="HS13" s="12">
        <f t="shared" si="65"/>
        <v>0</v>
      </c>
      <c r="HT13" s="12">
        <f t="shared" si="16"/>
        <v>0</v>
      </c>
      <c r="HU13" s="12">
        <f t="shared" si="17"/>
        <v>0</v>
      </c>
      <c r="HV13" s="12">
        <f t="shared" si="18"/>
        <v>0</v>
      </c>
      <c r="HW13" s="12">
        <f t="shared" si="19"/>
        <v>0</v>
      </c>
      <c r="HX13" s="12">
        <f t="shared" si="20"/>
        <v>0</v>
      </c>
      <c r="IB13" s="12">
        <f t="shared" si="66"/>
        <v>1853</v>
      </c>
      <c r="IC13" s="12">
        <f t="shared" si="67"/>
        <v>916</v>
      </c>
      <c r="ID13" s="12">
        <f t="shared" si="68"/>
        <v>807</v>
      </c>
      <c r="IE13" s="12">
        <f t="shared" si="69"/>
        <v>507</v>
      </c>
      <c r="IF13" s="12">
        <f t="shared" si="70"/>
        <v>130</v>
      </c>
      <c r="IG13" s="12">
        <f t="shared" si="71"/>
        <v>0</v>
      </c>
      <c r="IH13" s="12">
        <f t="shared" si="72"/>
        <v>0</v>
      </c>
      <c r="II13" s="12">
        <f t="shared" si="73"/>
        <v>0</v>
      </c>
      <c r="IJ13" s="12">
        <f t="shared" si="21"/>
        <v>0</v>
      </c>
      <c r="IK13" s="12">
        <f t="shared" si="22"/>
        <v>0</v>
      </c>
      <c r="IL13" s="12">
        <f t="shared" si="23"/>
        <v>0</v>
      </c>
      <c r="IM13" s="12">
        <f t="shared" si="24"/>
        <v>0</v>
      </c>
      <c r="IN13" s="12">
        <f t="shared" si="25"/>
        <v>0</v>
      </c>
    </row>
    <row r="14" spans="1:249" outlineLevel="2" x14ac:dyDescent="0.3">
      <c r="B14" t="s">
        <v>76</v>
      </c>
      <c r="C14" s="11">
        <v>28</v>
      </c>
      <c r="D14" s="11">
        <v>23</v>
      </c>
      <c r="E14" s="11">
        <v>32</v>
      </c>
      <c r="F14" s="11">
        <v>34</v>
      </c>
      <c r="G14" s="11">
        <v>72</v>
      </c>
      <c r="H14" s="11">
        <v>108</v>
      </c>
      <c r="I14" s="11">
        <v>83</v>
      </c>
      <c r="J14" s="11">
        <v>34</v>
      </c>
      <c r="K14" s="11">
        <v>54</v>
      </c>
      <c r="L14" s="11">
        <v>26</v>
      </c>
      <c r="M14" s="11">
        <v>79</v>
      </c>
      <c r="N14" s="11">
        <v>0</v>
      </c>
      <c r="O14" s="11">
        <v>14</v>
      </c>
      <c r="P14" s="11">
        <v>14</v>
      </c>
      <c r="Q14" s="11">
        <v>0</v>
      </c>
      <c r="R14" s="11">
        <v>12</v>
      </c>
      <c r="S14" s="11">
        <v>3</v>
      </c>
      <c r="T14" s="11">
        <v>5</v>
      </c>
      <c r="U14" s="11">
        <v>9</v>
      </c>
      <c r="V14" s="11">
        <v>1</v>
      </c>
      <c r="W14" s="11">
        <v>14</v>
      </c>
      <c r="X14" s="11">
        <v>8</v>
      </c>
      <c r="Y14" s="11">
        <v>141</v>
      </c>
      <c r="Z14" s="11">
        <v>20</v>
      </c>
      <c r="AA14" s="12">
        <v>8</v>
      </c>
      <c r="AB14" s="12">
        <v>8</v>
      </c>
      <c r="AC14" s="12">
        <v>13</v>
      </c>
      <c r="AD14" s="12">
        <v>8</v>
      </c>
      <c r="AE14" s="12">
        <v>9</v>
      </c>
      <c r="AF14" s="12">
        <v>19</v>
      </c>
      <c r="AG14" s="12">
        <v>14</v>
      </c>
      <c r="AH14" s="12">
        <v>7</v>
      </c>
      <c r="AI14" s="12">
        <v>12</v>
      </c>
      <c r="AJ14" s="12">
        <v>9</v>
      </c>
      <c r="AK14" s="12">
        <v>6</v>
      </c>
      <c r="AL14" s="13">
        <v>9</v>
      </c>
      <c r="AM14" s="12">
        <v>4</v>
      </c>
      <c r="AN14" s="12">
        <v>10</v>
      </c>
      <c r="AO14" s="12">
        <v>1</v>
      </c>
      <c r="AP14" s="12">
        <v>16</v>
      </c>
      <c r="AQ14" s="12">
        <v>9</v>
      </c>
      <c r="AR14" s="12">
        <v>22</v>
      </c>
      <c r="AS14" s="12">
        <v>15</v>
      </c>
      <c r="AT14" s="12">
        <v>2</v>
      </c>
      <c r="AU14" s="12">
        <v>7</v>
      </c>
      <c r="AV14" s="12">
        <v>2</v>
      </c>
      <c r="AW14" s="12">
        <v>11</v>
      </c>
      <c r="AX14" s="12">
        <v>7</v>
      </c>
      <c r="AY14" s="12">
        <v>3</v>
      </c>
      <c r="AZ14" s="12">
        <v>2</v>
      </c>
      <c r="BA14" s="12">
        <v>4</v>
      </c>
      <c r="BB14" s="12">
        <v>5</v>
      </c>
      <c r="BC14" s="12">
        <v>2</v>
      </c>
      <c r="BD14" s="12">
        <v>6</v>
      </c>
      <c r="BE14" s="12">
        <v>5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/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/>
      <c r="FM14" s="14"/>
      <c r="FN14" s="14"/>
      <c r="FR14" s="12">
        <f t="shared" si="26"/>
        <v>83</v>
      </c>
      <c r="FS14" s="12">
        <f t="shared" si="27"/>
        <v>214</v>
      </c>
      <c r="FT14" s="12">
        <f t="shared" si="28"/>
        <v>171</v>
      </c>
      <c r="FU14" s="12">
        <f t="shared" si="29"/>
        <v>105</v>
      </c>
      <c r="FV14" s="12">
        <f t="shared" si="30"/>
        <v>28</v>
      </c>
      <c r="FW14" s="12">
        <f t="shared" si="31"/>
        <v>20</v>
      </c>
      <c r="FX14" s="12">
        <f t="shared" si="32"/>
        <v>24</v>
      </c>
      <c r="FY14" s="12">
        <f t="shared" si="33"/>
        <v>169</v>
      </c>
      <c r="FZ14" s="12">
        <f t="shared" si="34"/>
        <v>29</v>
      </c>
      <c r="GA14" s="12">
        <f t="shared" si="35"/>
        <v>36</v>
      </c>
      <c r="GB14" s="12">
        <f t="shared" si="36"/>
        <v>33</v>
      </c>
      <c r="GC14" s="12">
        <f t="shared" si="37"/>
        <v>24</v>
      </c>
      <c r="GD14" s="12">
        <f t="shared" si="38"/>
        <v>15</v>
      </c>
      <c r="GE14" s="12">
        <f t="shared" si="39"/>
        <v>47</v>
      </c>
      <c r="GF14" s="12">
        <f t="shared" si="40"/>
        <v>24</v>
      </c>
      <c r="GG14" s="12">
        <f t="shared" si="41"/>
        <v>20</v>
      </c>
      <c r="GH14" s="12">
        <f t="shared" si="42"/>
        <v>9</v>
      </c>
      <c r="GI14" s="12">
        <f t="shared" si="43"/>
        <v>13</v>
      </c>
      <c r="GJ14" s="12">
        <f t="shared" si="44"/>
        <v>5</v>
      </c>
      <c r="GK14" s="12">
        <f t="shared" si="45"/>
        <v>0</v>
      </c>
      <c r="GL14" s="12">
        <f t="shared" si="46"/>
        <v>0</v>
      </c>
      <c r="GM14" s="12">
        <f t="shared" si="47"/>
        <v>0</v>
      </c>
      <c r="GN14" s="12">
        <f t="shared" si="48"/>
        <v>0</v>
      </c>
      <c r="GO14" s="12">
        <f t="shared" si="49"/>
        <v>0</v>
      </c>
      <c r="GP14" s="12">
        <f t="shared" si="50"/>
        <v>0</v>
      </c>
      <c r="GQ14" s="12">
        <f t="shared" si="51"/>
        <v>0</v>
      </c>
      <c r="GR14" s="12">
        <f t="shared" si="52"/>
        <v>0</v>
      </c>
      <c r="GS14" s="12">
        <f t="shared" si="53"/>
        <v>0</v>
      </c>
      <c r="GT14" s="12">
        <f t="shared" si="54"/>
        <v>0</v>
      </c>
      <c r="GU14" s="12">
        <f t="shared" si="55"/>
        <v>0</v>
      </c>
      <c r="GV14" s="12">
        <f t="shared" si="56"/>
        <v>0</v>
      </c>
      <c r="GW14" s="12">
        <f t="shared" si="57"/>
        <v>0</v>
      </c>
      <c r="GX14" s="12">
        <f t="shared" si="58"/>
        <v>0</v>
      </c>
      <c r="GY14" s="12">
        <f t="shared" si="59"/>
        <v>0</v>
      </c>
      <c r="GZ14" s="12">
        <f t="shared" si="2"/>
        <v>0</v>
      </c>
      <c r="HA14" s="12">
        <f t="shared" si="3"/>
        <v>0</v>
      </c>
      <c r="HB14" s="12">
        <f t="shared" si="4"/>
        <v>0</v>
      </c>
      <c r="HC14" s="12">
        <f t="shared" si="5"/>
        <v>0</v>
      </c>
      <c r="HD14" s="12">
        <f t="shared" si="6"/>
        <v>0</v>
      </c>
      <c r="HE14" s="12">
        <f t="shared" si="7"/>
        <v>0</v>
      </c>
      <c r="HF14" s="12">
        <f t="shared" si="8"/>
        <v>0</v>
      </c>
      <c r="HG14" s="12">
        <f t="shared" si="9"/>
        <v>0</v>
      </c>
      <c r="HH14" s="12">
        <f t="shared" si="10"/>
        <v>0</v>
      </c>
      <c r="HI14" s="12">
        <f t="shared" si="11"/>
        <v>0</v>
      </c>
      <c r="HJ14" s="12">
        <f t="shared" si="12"/>
        <v>0</v>
      </c>
      <c r="HK14" s="12">
        <f t="shared" si="13"/>
        <v>0</v>
      </c>
      <c r="HL14" s="12">
        <f t="shared" si="14"/>
        <v>0</v>
      </c>
      <c r="HM14" s="12">
        <f t="shared" si="15"/>
        <v>0</v>
      </c>
      <c r="HN14" s="12">
        <f t="shared" si="60"/>
        <v>0</v>
      </c>
      <c r="HO14" s="12">
        <f t="shared" si="61"/>
        <v>0</v>
      </c>
      <c r="HP14" s="12">
        <f t="shared" si="62"/>
        <v>0</v>
      </c>
      <c r="HQ14" s="12">
        <f t="shared" si="63"/>
        <v>0</v>
      </c>
      <c r="HR14" s="12">
        <f t="shared" si="64"/>
        <v>0</v>
      </c>
      <c r="HS14" s="12">
        <f t="shared" si="65"/>
        <v>0</v>
      </c>
      <c r="HT14" s="12">
        <f t="shared" si="16"/>
        <v>0</v>
      </c>
      <c r="HU14" s="12">
        <f t="shared" si="17"/>
        <v>0</v>
      </c>
      <c r="HV14" s="12">
        <f t="shared" si="18"/>
        <v>0</v>
      </c>
      <c r="HW14" s="12">
        <f t="shared" si="19"/>
        <v>0</v>
      </c>
      <c r="HX14" s="12">
        <f t="shared" si="20"/>
        <v>0</v>
      </c>
      <c r="IB14" s="12">
        <f t="shared" si="66"/>
        <v>573</v>
      </c>
      <c r="IC14" s="12">
        <f t="shared" si="67"/>
        <v>241</v>
      </c>
      <c r="ID14" s="12">
        <f t="shared" si="68"/>
        <v>122</v>
      </c>
      <c r="IE14" s="12">
        <f t="shared" si="69"/>
        <v>106</v>
      </c>
      <c r="IF14" s="12">
        <f t="shared" si="70"/>
        <v>27</v>
      </c>
      <c r="IG14" s="12">
        <f t="shared" si="71"/>
        <v>0</v>
      </c>
      <c r="IH14" s="12">
        <f t="shared" si="72"/>
        <v>0</v>
      </c>
      <c r="II14" s="12">
        <f t="shared" si="73"/>
        <v>0</v>
      </c>
      <c r="IJ14" s="12">
        <f t="shared" si="21"/>
        <v>0</v>
      </c>
      <c r="IK14" s="12">
        <f t="shared" si="22"/>
        <v>0</v>
      </c>
      <c r="IL14" s="12">
        <f t="shared" si="23"/>
        <v>0</v>
      </c>
      <c r="IM14" s="12">
        <f t="shared" si="24"/>
        <v>0</v>
      </c>
      <c r="IN14" s="12">
        <f t="shared" si="25"/>
        <v>0</v>
      </c>
    </row>
    <row r="15" spans="1:249" outlineLevel="2" x14ac:dyDescent="0.3">
      <c r="B15" t="s">
        <v>77</v>
      </c>
      <c r="C15" s="11">
        <v>17</v>
      </c>
      <c r="D15" s="11">
        <v>15</v>
      </c>
      <c r="E15" s="11">
        <v>17</v>
      </c>
      <c r="F15" s="11">
        <v>39</v>
      </c>
      <c r="G15" s="11">
        <v>61</v>
      </c>
      <c r="H15" s="11">
        <v>116</v>
      </c>
      <c r="I15" s="11">
        <v>61</v>
      </c>
      <c r="J15" s="11">
        <v>36</v>
      </c>
      <c r="K15" s="11">
        <v>47</v>
      </c>
      <c r="L15" s="11">
        <v>2</v>
      </c>
      <c r="M15" s="11">
        <v>4</v>
      </c>
      <c r="N15" s="11">
        <v>0</v>
      </c>
      <c r="O15" s="11">
        <v>16</v>
      </c>
      <c r="P15" s="11">
        <v>10</v>
      </c>
      <c r="Q15" s="11">
        <v>15</v>
      </c>
      <c r="R15" s="11">
        <v>5</v>
      </c>
      <c r="S15" s="11">
        <v>12</v>
      </c>
      <c r="T15" s="11">
        <v>0</v>
      </c>
      <c r="U15" s="11">
        <v>10</v>
      </c>
      <c r="V15" s="11">
        <v>28</v>
      </c>
      <c r="W15" s="11">
        <v>33</v>
      </c>
      <c r="X15" s="11">
        <v>21</v>
      </c>
      <c r="Y15" s="11">
        <v>29</v>
      </c>
      <c r="Z15" s="11">
        <v>22</v>
      </c>
      <c r="AA15" s="12">
        <v>2</v>
      </c>
      <c r="AB15" s="12">
        <v>12</v>
      </c>
      <c r="AC15" s="12">
        <v>12</v>
      </c>
      <c r="AD15" s="12">
        <v>5</v>
      </c>
      <c r="AE15" s="12">
        <v>7</v>
      </c>
      <c r="AF15" s="12">
        <v>17</v>
      </c>
      <c r="AG15" s="12">
        <v>21</v>
      </c>
      <c r="AH15" s="12">
        <v>6</v>
      </c>
      <c r="AI15" s="12">
        <v>7</v>
      </c>
      <c r="AJ15" s="12">
        <v>5</v>
      </c>
      <c r="AK15" s="12">
        <v>3</v>
      </c>
      <c r="AL15" s="13">
        <v>10</v>
      </c>
      <c r="AM15" s="12">
        <v>5</v>
      </c>
      <c r="AN15" s="12">
        <v>7</v>
      </c>
      <c r="AO15" s="12">
        <v>5</v>
      </c>
      <c r="AP15" s="12">
        <v>5</v>
      </c>
      <c r="AQ15" s="12">
        <v>3</v>
      </c>
      <c r="AR15" s="12">
        <v>3</v>
      </c>
      <c r="AS15" s="12">
        <v>8</v>
      </c>
      <c r="AT15" s="12">
        <v>6</v>
      </c>
      <c r="AU15" s="12">
        <v>6</v>
      </c>
      <c r="AV15" s="12">
        <v>3</v>
      </c>
      <c r="AW15" s="12">
        <v>4</v>
      </c>
      <c r="AX15" s="12">
        <v>3</v>
      </c>
      <c r="AY15" s="12">
        <v>2</v>
      </c>
      <c r="AZ15" s="12">
        <v>1</v>
      </c>
      <c r="BA15" s="12">
        <v>6</v>
      </c>
      <c r="BB15" s="12">
        <v>2</v>
      </c>
      <c r="BC15" s="12">
        <v>2</v>
      </c>
      <c r="BD15" s="12">
        <v>2</v>
      </c>
      <c r="BE15" s="12">
        <v>1</v>
      </c>
      <c r="BF15" s="12">
        <v>0</v>
      </c>
      <c r="BG15" s="12">
        <v>0</v>
      </c>
      <c r="BH15" s="12">
        <v>1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/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/>
      <c r="FM15" s="14"/>
      <c r="FN15" s="14"/>
      <c r="FR15" s="12">
        <f t="shared" si="26"/>
        <v>49</v>
      </c>
      <c r="FS15" s="12">
        <f t="shared" si="27"/>
        <v>216</v>
      </c>
      <c r="FT15" s="12">
        <f t="shared" si="28"/>
        <v>144</v>
      </c>
      <c r="FU15" s="12">
        <f t="shared" si="29"/>
        <v>6</v>
      </c>
      <c r="FV15" s="12">
        <f t="shared" si="30"/>
        <v>41</v>
      </c>
      <c r="FW15" s="12">
        <f t="shared" si="31"/>
        <v>17</v>
      </c>
      <c r="FX15" s="12">
        <f t="shared" si="32"/>
        <v>71</v>
      </c>
      <c r="FY15" s="12">
        <f t="shared" si="33"/>
        <v>72</v>
      </c>
      <c r="FZ15" s="12">
        <f t="shared" si="34"/>
        <v>26</v>
      </c>
      <c r="GA15" s="12">
        <f t="shared" si="35"/>
        <v>29</v>
      </c>
      <c r="GB15" s="12">
        <f t="shared" si="36"/>
        <v>34</v>
      </c>
      <c r="GC15" s="12">
        <f t="shared" si="37"/>
        <v>18</v>
      </c>
      <c r="GD15" s="12">
        <f t="shared" si="38"/>
        <v>17</v>
      </c>
      <c r="GE15" s="12">
        <f t="shared" si="39"/>
        <v>11</v>
      </c>
      <c r="GF15" s="12">
        <f t="shared" si="40"/>
        <v>20</v>
      </c>
      <c r="GG15" s="12">
        <f t="shared" si="41"/>
        <v>10</v>
      </c>
      <c r="GH15" s="12">
        <f t="shared" si="42"/>
        <v>9</v>
      </c>
      <c r="GI15" s="12">
        <f t="shared" si="43"/>
        <v>6</v>
      </c>
      <c r="GJ15" s="12">
        <f t="shared" si="44"/>
        <v>1</v>
      </c>
      <c r="GK15" s="12">
        <f t="shared" si="45"/>
        <v>1</v>
      </c>
      <c r="GL15" s="12">
        <f t="shared" si="46"/>
        <v>0</v>
      </c>
      <c r="GM15" s="12">
        <f t="shared" si="47"/>
        <v>0</v>
      </c>
      <c r="GN15" s="12">
        <f t="shared" si="48"/>
        <v>0</v>
      </c>
      <c r="GO15" s="12">
        <f t="shared" si="49"/>
        <v>0</v>
      </c>
      <c r="GP15" s="12">
        <f t="shared" si="50"/>
        <v>0</v>
      </c>
      <c r="GQ15" s="12">
        <f t="shared" si="51"/>
        <v>0</v>
      </c>
      <c r="GR15" s="12">
        <f t="shared" si="52"/>
        <v>0</v>
      </c>
      <c r="GS15" s="12">
        <f t="shared" si="53"/>
        <v>0</v>
      </c>
      <c r="GT15" s="12">
        <f t="shared" si="54"/>
        <v>0</v>
      </c>
      <c r="GU15" s="12">
        <f t="shared" si="55"/>
        <v>0</v>
      </c>
      <c r="GV15" s="12">
        <f t="shared" si="56"/>
        <v>0</v>
      </c>
      <c r="GW15" s="12">
        <f t="shared" si="57"/>
        <v>0</v>
      </c>
      <c r="GX15" s="12">
        <f t="shared" si="58"/>
        <v>0</v>
      </c>
      <c r="GY15" s="12">
        <f t="shared" si="59"/>
        <v>0</v>
      </c>
      <c r="GZ15" s="12">
        <f t="shared" si="2"/>
        <v>0</v>
      </c>
      <c r="HA15" s="12">
        <f t="shared" si="3"/>
        <v>0</v>
      </c>
      <c r="HB15" s="12">
        <f t="shared" si="4"/>
        <v>0</v>
      </c>
      <c r="HC15" s="12">
        <f t="shared" si="5"/>
        <v>0</v>
      </c>
      <c r="HD15" s="12">
        <f t="shared" si="6"/>
        <v>0</v>
      </c>
      <c r="HE15" s="12">
        <f t="shared" si="7"/>
        <v>0</v>
      </c>
      <c r="HF15" s="12">
        <f t="shared" si="8"/>
        <v>0</v>
      </c>
      <c r="HG15" s="12">
        <f t="shared" si="9"/>
        <v>0</v>
      </c>
      <c r="HH15" s="12">
        <f t="shared" si="10"/>
        <v>0</v>
      </c>
      <c r="HI15" s="12">
        <f t="shared" si="11"/>
        <v>0</v>
      </c>
      <c r="HJ15" s="12">
        <f t="shared" si="12"/>
        <v>0</v>
      </c>
      <c r="HK15" s="12">
        <f t="shared" si="13"/>
        <v>0</v>
      </c>
      <c r="HL15" s="12">
        <f t="shared" si="14"/>
        <v>0</v>
      </c>
      <c r="HM15" s="12">
        <f t="shared" si="15"/>
        <v>0</v>
      </c>
      <c r="HN15" s="12">
        <f t="shared" si="60"/>
        <v>0</v>
      </c>
      <c r="HO15" s="12">
        <f t="shared" si="61"/>
        <v>0</v>
      </c>
      <c r="HP15" s="12">
        <f t="shared" si="62"/>
        <v>0</v>
      </c>
      <c r="HQ15" s="12">
        <f t="shared" si="63"/>
        <v>0</v>
      </c>
      <c r="HR15" s="12">
        <f t="shared" si="64"/>
        <v>0</v>
      </c>
      <c r="HS15" s="12">
        <f t="shared" si="65"/>
        <v>0</v>
      </c>
      <c r="HT15" s="12">
        <f t="shared" si="16"/>
        <v>0</v>
      </c>
      <c r="HU15" s="12">
        <f t="shared" si="17"/>
        <v>0</v>
      </c>
      <c r="HV15" s="12">
        <f t="shared" si="18"/>
        <v>0</v>
      </c>
      <c r="HW15" s="12">
        <f t="shared" si="19"/>
        <v>0</v>
      </c>
      <c r="HX15" s="12">
        <f t="shared" si="20"/>
        <v>0</v>
      </c>
      <c r="IB15" s="12">
        <f t="shared" si="66"/>
        <v>415</v>
      </c>
      <c r="IC15" s="12">
        <f t="shared" si="67"/>
        <v>201</v>
      </c>
      <c r="ID15" s="12">
        <f t="shared" si="68"/>
        <v>107</v>
      </c>
      <c r="IE15" s="12">
        <f t="shared" si="69"/>
        <v>58</v>
      </c>
      <c r="IF15" s="12">
        <f t="shared" si="70"/>
        <v>17</v>
      </c>
      <c r="IG15" s="12">
        <f t="shared" si="71"/>
        <v>0</v>
      </c>
      <c r="IH15" s="12">
        <f t="shared" si="72"/>
        <v>0</v>
      </c>
      <c r="II15" s="12">
        <f t="shared" si="73"/>
        <v>0</v>
      </c>
      <c r="IJ15" s="12">
        <f t="shared" si="21"/>
        <v>0</v>
      </c>
      <c r="IK15" s="12">
        <f t="shared" si="22"/>
        <v>0</v>
      </c>
      <c r="IL15" s="12">
        <f t="shared" si="23"/>
        <v>0</v>
      </c>
      <c r="IM15" s="12">
        <f t="shared" si="24"/>
        <v>0</v>
      </c>
      <c r="IN15" s="12">
        <f t="shared" si="25"/>
        <v>0</v>
      </c>
    </row>
    <row r="16" spans="1:249" outlineLevel="2" x14ac:dyDescent="0.3">
      <c r="B16" t="s">
        <v>78</v>
      </c>
      <c r="C16" s="11">
        <v>15</v>
      </c>
      <c r="D16" s="11">
        <v>16</v>
      </c>
      <c r="E16" s="11">
        <v>51</v>
      </c>
      <c r="F16" s="11">
        <v>23</v>
      </c>
      <c r="G16" s="11">
        <v>73</v>
      </c>
      <c r="H16" s="11">
        <v>87</v>
      </c>
      <c r="I16" s="11">
        <v>94</v>
      </c>
      <c r="J16" s="11">
        <v>21</v>
      </c>
      <c r="K16" s="11">
        <v>49</v>
      </c>
      <c r="L16" s="11">
        <v>31</v>
      </c>
      <c r="M16" s="11">
        <v>8</v>
      </c>
      <c r="N16" s="11">
        <v>11</v>
      </c>
      <c r="O16" s="11">
        <v>3</v>
      </c>
      <c r="P16" s="11">
        <v>3</v>
      </c>
      <c r="Q16" s="11">
        <v>8</v>
      </c>
      <c r="R16" s="11">
        <v>21</v>
      </c>
      <c r="S16" s="11">
        <v>2</v>
      </c>
      <c r="T16" s="11">
        <v>0</v>
      </c>
      <c r="U16" s="11">
        <v>14</v>
      </c>
      <c r="V16" s="11">
        <v>4</v>
      </c>
      <c r="W16" s="11">
        <v>15</v>
      </c>
      <c r="X16" s="11">
        <v>31</v>
      </c>
      <c r="Y16" s="11">
        <v>11</v>
      </c>
      <c r="Z16" s="11">
        <v>13</v>
      </c>
      <c r="AA16" s="12">
        <v>5</v>
      </c>
      <c r="AB16" s="12">
        <v>10</v>
      </c>
      <c r="AC16" s="12">
        <v>10</v>
      </c>
      <c r="AD16" s="12">
        <v>0</v>
      </c>
      <c r="AE16" s="12">
        <v>9</v>
      </c>
      <c r="AF16" s="12">
        <v>13</v>
      </c>
      <c r="AG16" s="12">
        <v>9</v>
      </c>
      <c r="AH16" s="12">
        <v>6</v>
      </c>
      <c r="AI16" s="12">
        <v>16</v>
      </c>
      <c r="AJ16" s="12">
        <v>2</v>
      </c>
      <c r="AK16" s="12">
        <v>4</v>
      </c>
      <c r="AL16" s="13">
        <v>7</v>
      </c>
      <c r="AM16" s="12">
        <v>7</v>
      </c>
      <c r="AN16" s="12">
        <v>4</v>
      </c>
      <c r="AO16" s="12">
        <v>12</v>
      </c>
      <c r="AP16" s="12">
        <v>1</v>
      </c>
      <c r="AQ16" s="12">
        <v>11</v>
      </c>
      <c r="AR16" s="12">
        <v>8</v>
      </c>
      <c r="AS16" s="12">
        <v>6</v>
      </c>
      <c r="AT16" s="12">
        <v>3</v>
      </c>
      <c r="AU16" s="12">
        <v>5</v>
      </c>
      <c r="AV16" s="12">
        <v>0</v>
      </c>
      <c r="AW16" s="12">
        <v>3</v>
      </c>
      <c r="AX16" s="12">
        <v>2</v>
      </c>
      <c r="AY16" s="12">
        <v>1</v>
      </c>
      <c r="AZ16" s="12">
        <v>0</v>
      </c>
      <c r="BA16" s="12">
        <v>0</v>
      </c>
      <c r="BB16" s="12">
        <v>2</v>
      </c>
      <c r="BC16" s="12">
        <v>2</v>
      </c>
      <c r="BD16" s="12">
        <v>3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/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/>
      <c r="FM16" s="14"/>
      <c r="FN16" s="14"/>
      <c r="FR16" s="12">
        <f t="shared" si="26"/>
        <v>82</v>
      </c>
      <c r="FS16" s="12">
        <f t="shared" si="27"/>
        <v>183</v>
      </c>
      <c r="FT16" s="12">
        <f t="shared" si="28"/>
        <v>164</v>
      </c>
      <c r="FU16" s="12">
        <f t="shared" si="29"/>
        <v>50</v>
      </c>
      <c r="FV16" s="12">
        <f t="shared" si="30"/>
        <v>14</v>
      </c>
      <c r="FW16" s="12">
        <f t="shared" si="31"/>
        <v>23</v>
      </c>
      <c r="FX16" s="12">
        <f t="shared" si="32"/>
        <v>33</v>
      </c>
      <c r="FY16" s="12">
        <f t="shared" si="33"/>
        <v>55</v>
      </c>
      <c r="FZ16" s="12">
        <f t="shared" si="34"/>
        <v>25</v>
      </c>
      <c r="GA16" s="12">
        <f t="shared" si="35"/>
        <v>22</v>
      </c>
      <c r="GB16" s="12">
        <f t="shared" si="36"/>
        <v>31</v>
      </c>
      <c r="GC16" s="12">
        <f t="shared" si="37"/>
        <v>13</v>
      </c>
      <c r="GD16" s="12">
        <f t="shared" si="38"/>
        <v>23</v>
      </c>
      <c r="GE16" s="12">
        <f t="shared" si="39"/>
        <v>20</v>
      </c>
      <c r="GF16" s="12">
        <f t="shared" si="40"/>
        <v>14</v>
      </c>
      <c r="GG16" s="12">
        <f t="shared" si="41"/>
        <v>5</v>
      </c>
      <c r="GH16" s="12">
        <f t="shared" si="42"/>
        <v>1</v>
      </c>
      <c r="GI16" s="12">
        <f t="shared" si="43"/>
        <v>7</v>
      </c>
      <c r="GJ16" s="12">
        <f t="shared" si="44"/>
        <v>0</v>
      </c>
      <c r="GK16" s="12">
        <f t="shared" si="45"/>
        <v>0</v>
      </c>
      <c r="GL16" s="12">
        <f t="shared" si="46"/>
        <v>0</v>
      </c>
      <c r="GM16" s="12">
        <f t="shared" si="47"/>
        <v>0</v>
      </c>
      <c r="GN16" s="12">
        <f t="shared" si="48"/>
        <v>0</v>
      </c>
      <c r="GO16" s="12">
        <f t="shared" si="49"/>
        <v>0</v>
      </c>
      <c r="GP16" s="12">
        <f t="shared" si="50"/>
        <v>0</v>
      </c>
      <c r="GQ16" s="12">
        <f t="shared" si="51"/>
        <v>0</v>
      </c>
      <c r="GR16" s="12">
        <f t="shared" si="52"/>
        <v>0</v>
      </c>
      <c r="GS16" s="12">
        <f t="shared" si="53"/>
        <v>0</v>
      </c>
      <c r="GT16" s="12">
        <f t="shared" si="54"/>
        <v>0</v>
      </c>
      <c r="GU16" s="12">
        <f t="shared" si="55"/>
        <v>0</v>
      </c>
      <c r="GV16" s="12">
        <f t="shared" si="56"/>
        <v>0</v>
      </c>
      <c r="GW16" s="12">
        <f t="shared" si="57"/>
        <v>0</v>
      </c>
      <c r="GX16" s="12">
        <f t="shared" si="58"/>
        <v>0</v>
      </c>
      <c r="GY16" s="12">
        <f t="shared" si="59"/>
        <v>0</v>
      </c>
      <c r="GZ16" s="12">
        <f t="shared" si="2"/>
        <v>0</v>
      </c>
      <c r="HA16" s="12">
        <f t="shared" si="3"/>
        <v>0</v>
      </c>
      <c r="HB16" s="12">
        <f t="shared" si="4"/>
        <v>0</v>
      </c>
      <c r="HC16" s="12">
        <f t="shared" si="5"/>
        <v>0</v>
      </c>
      <c r="HD16" s="12">
        <f t="shared" si="6"/>
        <v>0</v>
      </c>
      <c r="HE16" s="12">
        <f t="shared" si="7"/>
        <v>0</v>
      </c>
      <c r="HF16" s="12">
        <f t="shared" si="8"/>
        <v>0</v>
      </c>
      <c r="HG16" s="12">
        <f t="shared" si="9"/>
        <v>0</v>
      </c>
      <c r="HH16" s="12">
        <f t="shared" si="10"/>
        <v>0</v>
      </c>
      <c r="HI16" s="12">
        <f t="shared" si="11"/>
        <v>0</v>
      </c>
      <c r="HJ16" s="12">
        <f t="shared" si="12"/>
        <v>0</v>
      </c>
      <c r="HK16" s="12">
        <f t="shared" si="13"/>
        <v>0</v>
      </c>
      <c r="HL16" s="12">
        <f t="shared" si="14"/>
        <v>0</v>
      </c>
      <c r="HM16" s="12">
        <f t="shared" si="15"/>
        <v>0</v>
      </c>
      <c r="HN16" s="12">
        <f t="shared" si="60"/>
        <v>0</v>
      </c>
      <c r="HO16" s="12">
        <f t="shared" si="61"/>
        <v>0</v>
      </c>
      <c r="HP16" s="12">
        <f t="shared" si="62"/>
        <v>0</v>
      </c>
      <c r="HQ16" s="12">
        <f t="shared" si="63"/>
        <v>0</v>
      </c>
      <c r="HR16" s="12">
        <f t="shared" si="64"/>
        <v>0</v>
      </c>
      <c r="HS16" s="12">
        <f t="shared" si="65"/>
        <v>0</v>
      </c>
      <c r="HT16" s="12">
        <f t="shared" si="16"/>
        <v>0</v>
      </c>
      <c r="HU16" s="12">
        <f t="shared" si="17"/>
        <v>0</v>
      </c>
      <c r="HV16" s="12">
        <f t="shared" si="18"/>
        <v>0</v>
      </c>
      <c r="HW16" s="12">
        <f t="shared" si="19"/>
        <v>0</v>
      </c>
      <c r="HX16" s="12">
        <f t="shared" si="20"/>
        <v>0</v>
      </c>
      <c r="IB16" s="12">
        <f t="shared" si="66"/>
        <v>479</v>
      </c>
      <c r="IC16" s="12">
        <f t="shared" si="67"/>
        <v>125</v>
      </c>
      <c r="ID16" s="12">
        <f t="shared" si="68"/>
        <v>91</v>
      </c>
      <c r="IE16" s="12">
        <f t="shared" si="69"/>
        <v>62</v>
      </c>
      <c r="IF16" s="12">
        <f t="shared" si="70"/>
        <v>8</v>
      </c>
      <c r="IG16" s="12">
        <f t="shared" si="71"/>
        <v>0</v>
      </c>
      <c r="IH16" s="12">
        <f t="shared" si="72"/>
        <v>0</v>
      </c>
      <c r="II16" s="12">
        <f t="shared" si="73"/>
        <v>0</v>
      </c>
      <c r="IJ16" s="12">
        <f t="shared" si="21"/>
        <v>0</v>
      </c>
      <c r="IK16" s="12">
        <f t="shared" si="22"/>
        <v>0</v>
      </c>
      <c r="IL16" s="12">
        <f t="shared" si="23"/>
        <v>0</v>
      </c>
      <c r="IM16" s="12">
        <f t="shared" si="24"/>
        <v>0</v>
      </c>
      <c r="IN16" s="12">
        <f t="shared" si="25"/>
        <v>0</v>
      </c>
    </row>
    <row r="17" spans="1:248" outlineLevel="1" x14ac:dyDescent="0.3">
      <c r="A17" s="15" t="s">
        <v>83</v>
      </c>
      <c r="B17" s="15"/>
      <c r="C17" s="16">
        <v>194</v>
      </c>
      <c r="D17" s="16">
        <v>103</v>
      </c>
      <c r="E17" s="16">
        <v>247</v>
      </c>
      <c r="F17" s="16">
        <v>250</v>
      </c>
      <c r="G17" s="16">
        <v>422</v>
      </c>
      <c r="H17" s="16">
        <v>652</v>
      </c>
      <c r="I17" s="16">
        <v>470</v>
      </c>
      <c r="J17" s="16">
        <v>270</v>
      </c>
      <c r="K17" s="16">
        <v>350</v>
      </c>
      <c r="L17" s="16">
        <v>181</v>
      </c>
      <c r="M17" s="16">
        <v>152</v>
      </c>
      <c r="N17" s="16">
        <v>29</v>
      </c>
      <c r="O17" s="16">
        <v>97</v>
      </c>
      <c r="P17" s="16">
        <v>48</v>
      </c>
      <c r="Q17" s="16">
        <v>55</v>
      </c>
      <c r="R17" s="16">
        <v>89</v>
      </c>
      <c r="S17" s="16">
        <v>53</v>
      </c>
      <c r="T17" s="16">
        <v>49</v>
      </c>
      <c r="U17" s="16">
        <v>84</v>
      </c>
      <c r="V17" s="16">
        <v>177</v>
      </c>
      <c r="W17" s="16">
        <v>144</v>
      </c>
      <c r="X17" s="16">
        <v>221</v>
      </c>
      <c r="Y17" s="16">
        <v>265</v>
      </c>
      <c r="Z17" s="16">
        <v>201</v>
      </c>
      <c r="AA17" s="17">
        <v>62</v>
      </c>
      <c r="AB17" s="17">
        <v>78</v>
      </c>
      <c r="AC17" s="17">
        <v>108</v>
      </c>
      <c r="AD17" s="17">
        <v>72</v>
      </c>
      <c r="AE17" s="17">
        <v>95</v>
      </c>
      <c r="AF17" s="17">
        <v>175</v>
      </c>
      <c r="AG17" s="17">
        <v>106</v>
      </c>
      <c r="AH17" s="17">
        <v>82</v>
      </c>
      <c r="AI17" s="17">
        <v>76</v>
      </c>
      <c r="AJ17" s="17">
        <v>79</v>
      </c>
      <c r="AK17" s="17">
        <v>72</v>
      </c>
      <c r="AL17" s="18">
        <v>122</v>
      </c>
      <c r="AM17" s="17">
        <v>44</v>
      </c>
      <c r="AN17" s="17">
        <v>72</v>
      </c>
      <c r="AO17" s="17">
        <v>53</v>
      </c>
      <c r="AP17" s="17">
        <v>61</v>
      </c>
      <c r="AQ17" s="17">
        <v>102</v>
      </c>
      <c r="AR17" s="17">
        <v>113</v>
      </c>
      <c r="AS17" s="17">
        <v>88</v>
      </c>
      <c r="AT17" s="17">
        <v>44</v>
      </c>
      <c r="AU17" s="17">
        <v>48</v>
      </c>
      <c r="AV17" s="17">
        <v>38</v>
      </c>
      <c r="AW17" s="17">
        <v>41</v>
      </c>
      <c r="AX17" s="17">
        <v>29</v>
      </c>
      <c r="AY17" s="17">
        <v>38</v>
      </c>
      <c r="AZ17" s="17">
        <v>12</v>
      </c>
      <c r="BA17" s="17">
        <v>39</v>
      </c>
      <c r="BB17" s="17">
        <v>23</v>
      </c>
      <c r="BC17" s="17">
        <v>14</v>
      </c>
      <c r="BD17" s="17">
        <v>36</v>
      </c>
      <c r="BE17" s="17">
        <v>18</v>
      </c>
      <c r="BF17" s="17">
        <v>1</v>
      </c>
      <c r="BG17" s="17">
        <v>0</v>
      </c>
      <c r="BH17" s="17">
        <v>1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/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0</v>
      </c>
      <c r="EJ17" s="19">
        <v>0</v>
      </c>
      <c r="EK17" s="19">
        <v>0</v>
      </c>
      <c r="EL17" s="19">
        <v>0</v>
      </c>
      <c r="EM17" s="19">
        <v>0</v>
      </c>
      <c r="EN17" s="19">
        <v>0</v>
      </c>
      <c r="EO17" s="19">
        <v>0</v>
      </c>
      <c r="EP17" s="19">
        <v>0</v>
      </c>
      <c r="EQ17" s="19">
        <v>0</v>
      </c>
      <c r="ER17" s="19">
        <v>0</v>
      </c>
      <c r="ES17" s="19">
        <v>0</v>
      </c>
      <c r="ET17" s="19">
        <v>0</v>
      </c>
      <c r="EU17" s="19">
        <v>0</v>
      </c>
      <c r="EV17" s="19">
        <v>0</v>
      </c>
      <c r="EW17" s="19">
        <v>0</v>
      </c>
      <c r="EX17" s="19">
        <v>0</v>
      </c>
      <c r="EY17" s="19">
        <v>0</v>
      </c>
      <c r="EZ17" s="19">
        <v>0</v>
      </c>
      <c r="FA17" s="19">
        <v>0</v>
      </c>
      <c r="FB17" s="19">
        <v>0</v>
      </c>
      <c r="FC17" s="19">
        <v>0</v>
      </c>
      <c r="FD17" s="19">
        <v>0</v>
      </c>
      <c r="FE17" s="19">
        <v>0</v>
      </c>
      <c r="FF17" s="19">
        <v>0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20"/>
      <c r="FM17" s="20"/>
      <c r="FN17" s="20"/>
      <c r="FR17" s="17">
        <f t="shared" si="26"/>
        <v>544</v>
      </c>
      <c r="FS17" s="17">
        <f t="shared" si="27"/>
        <v>1324</v>
      </c>
      <c r="FT17" s="17">
        <f t="shared" si="28"/>
        <v>1090</v>
      </c>
      <c r="FU17" s="17">
        <f t="shared" si="29"/>
        <v>362</v>
      </c>
      <c r="FV17" s="17">
        <f t="shared" si="30"/>
        <v>200</v>
      </c>
      <c r="FW17" s="17">
        <f t="shared" si="31"/>
        <v>191</v>
      </c>
      <c r="FX17" s="17">
        <f t="shared" si="32"/>
        <v>405</v>
      </c>
      <c r="FY17" s="17">
        <f t="shared" si="33"/>
        <v>687</v>
      </c>
      <c r="FZ17" s="17">
        <f t="shared" si="34"/>
        <v>248</v>
      </c>
      <c r="GA17" s="17">
        <f t="shared" si="35"/>
        <v>342</v>
      </c>
      <c r="GB17" s="17">
        <f t="shared" si="36"/>
        <v>264</v>
      </c>
      <c r="GC17" s="17">
        <f t="shared" si="37"/>
        <v>273</v>
      </c>
      <c r="GD17" s="17">
        <f t="shared" si="38"/>
        <v>169</v>
      </c>
      <c r="GE17" s="17">
        <f t="shared" si="39"/>
        <v>276</v>
      </c>
      <c r="GF17" s="17">
        <f t="shared" si="40"/>
        <v>180</v>
      </c>
      <c r="GG17" s="17">
        <f t="shared" si="41"/>
        <v>108</v>
      </c>
      <c r="GH17" s="17">
        <f t="shared" si="42"/>
        <v>89</v>
      </c>
      <c r="GI17" s="17">
        <f t="shared" si="43"/>
        <v>73</v>
      </c>
      <c r="GJ17" s="17">
        <f t="shared" si="44"/>
        <v>19</v>
      </c>
      <c r="GK17" s="17">
        <f t="shared" si="45"/>
        <v>1</v>
      </c>
      <c r="GL17" s="17">
        <f t="shared" si="46"/>
        <v>0</v>
      </c>
      <c r="GM17" s="17">
        <f t="shared" si="47"/>
        <v>0</v>
      </c>
      <c r="GN17" s="17">
        <f t="shared" si="48"/>
        <v>0</v>
      </c>
      <c r="GO17" s="17">
        <f t="shared" si="49"/>
        <v>0</v>
      </c>
      <c r="GP17" s="17">
        <f t="shared" si="50"/>
        <v>0</v>
      </c>
      <c r="GQ17" s="17">
        <f t="shared" si="51"/>
        <v>0</v>
      </c>
      <c r="GR17" s="17">
        <f t="shared" si="52"/>
        <v>0</v>
      </c>
      <c r="GS17" s="17">
        <f t="shared" si="53"/>
        <v>0</v>
      </c>
      <c r="GT17" s="17">
        <f t="shared" si="54"/>
        <v>0</v>
      </c>
      <c r="GU17" s="17">
        <f t="shared" si="55"/>
        <v>0</v>
      </c>
      <c r="GV17" s="17">
        <f t="shared" si="56"/>
        <v>0</v>
      </c>
      <c r="GW17" s="17">
        <f t="shared" si="57"/>
        <v>0</v>
      </c>
      <c r="GX17" s="17">
        <f t="shared" si="58"/>
        <v>0</v>
      </c>
      <c r="GY17" s="17">
        <f t="shared" si="59"/>
        <v>0</v>
      </c>
      <c r="GZ17" s="17">
        <f t="shared" si="2"/>
        <v>0</v>
      </c>
      <c r="HA17" s="17">
        <f t="shared" si="3"/>
        <v>0</v>
      </c>
      <c r="HB17" s="17">
        <f t="shared" si="4"/>
        <v>0</v>
      </c>
      <c r="HC17" s="17">
        <f t="shared" si="5"/>
        <v>0</v>
      </c>
      <c r="HD17" s="17">
        <f t="shared" si="6"/>
        <v>0</v>
      </c>
      <c r="HE17" s="17">
        <f t="shared" si="7"/>
        <v>0</v>
      </c>
      <c r="HF17" s="17">
        <f t="shared" si="8"/>
        <v>0</v>
      </c>
      <c r="HG17" s="17">
        <f t="shared" si="9"/>
        <v>0</v>
      </c>
      <c r="HH17" s="17">
        <f t="shared" si="10"/>
        <v>0</v>
      </c>
      <c r="HI17" s="17">
        <f t="shared" si="11"/>
        <v>0</v>
      </c>
      <c r="HJ17" s="17">
        <f t="shared" si="12"/>
        <v>0</v>
      </c>
      <c r="HK17" s="17">
        <f t="shared" si="13"/>
        <v>0</v>
      </c>
      <c r="HL17" s="17">
        <f t="shared" si="14"/>
        <v>0</v>
      </c>
      <c r="HM17" s="17">
        <f t="shared" si="15"/>
        <v>0</v>
      </c>
      <c r="HN17" s="17">
        <f t="shared" si="60"/>
        <v>0</v>
      </c>
      <c r="HO17" s="17">
        <f t="shared" si="61"/>
        <v>0</v>
      </c>
      <c r="HP17" s="17">
        <f t="shared" si="62"/>
        <v>0</v>
      </c>
      <c r="HQ17" s="17">
        <f t="shared" si="63"/>
        <v>0</v>
      </c>
      <c r="HR17" s="17">
        <f t="shared" si="64"/>
        <v>0</v>
      </c>
      <c r="HS17" s="17">
        <f t="shared" si="65"/>
        <v>0</v>
      </c>
      <c r="HT17" s="17">
        <f t="shared" si="16"/>
        <v>0</v>
      </c>
      <c r="HU17" s="17">
        <f t="shared" si="17"/>
        <v>0</v>
      </c>
      <c r="HV17" s="17">
        <f t="shared" si="18"/>
        <v>0</v>
      </c>
      <c r="HW17" s="17">
        <f t="shared" si="19"/>
        <v>0</v>
      </c>
      <c r="HX17" s="17">
        <f t="shared" si="20"/>
        <v>0</v>
      </c>
      <c r="IB17" s="17">
        <f t="shared" si="66"/>
        <v>3320</v>
      </c>
      <c r="IC17" s="17">
        <f t="shared" si="67"/>
        <v>1483</v>
      </c>
      <c r="ID17" s="17">
        <f t="shared" si="68"/>
        <v>1127</v>
      </c>
      <c r="IE17" s="17">
        <f t="shared" si="69"/>
        <v>733</v>
      </c>
      <c r="IF17" s="17">
        <f t="shared" si="70"/>
        <v>182</v>
      </c>
      <c r="IG17" s="17">
        <f t="shared" si="71"/>
        <v>0</v>
      </c>
      <c r="IH17" s="17">
        <f t="shared" si="72"/>
        <v>0</v>
      </c>
      <c r="II17" s="17">
        <f t="shared" si="73"/>
        <v>0</v>
      </c>
      <c r="IJ17" s="17">
        <f t="shared" si="21"/>
        <v>0</v>
      </c>
      <c r="IK17" s="17">
        <f t="shared" si="22"/>
        <v>0</v>
      </c>
      <c r="IL17" s="17">
        <f t="shared" si="23"/>
        <v>0</v>
      </c>
      <c r="IM17" s="17">
        <f t="shared" si="24"/>
        <v>0</v>
      </c>
      <c r="IN17" s="17">
        <f t="shared" si="25"/>
        <v>0</v>
      </c>
    </row>
    <row r="18" spans="1:248" outlineLevel="2" x14ac:dyDescent="0.3">
      <c r="A18" t="s">
        <v>84</v>
      </c>
      <c r="B18" t="s">
        <v>75</v>
      </c>
      <c r="C18" s="11">
        <v>1207</v>
      </c>
      <c r="D18" s="11">
        <v>1987</v>
      </c>
      <c r="E18" s="11">
        <v>2608</v>
      </c>
      <c r="F18" s="11">
        <v>1285</v>
      </c>
      <c r="G18" s="11">
        <v>1336</v>
      </c>
      <c r="H18" s="11">
        <v>2129</v>
      </c>
      <c r="I18" s="11">
        <v>2747</v>
      </c>
      <c r="J18" s="11">
        <v>2014</v>
      </c>
      <c r="K18" s="11">
        <v>1690</v>
      </c>
      <c r="L18" s="11">
        <v>1506</v>
      </c>
      <c r="M18" s="11">
        <v>1582</v>
      </c>
      <c r="N18" s="11">
        <v>1902</v>
      </c>
      <c r="O18" s="11">
        <v>2228</v>
      </c>
      <c r="P18" s="11">
        <v>2496</v>
      </c>
      <c r="Q18" s="11">
        <v>3233</v>
      </c>
      <c r="R18" s="11">
        <v>1904</v>
      </c>
      <c r="S18" s="11">
        <v>1494</v>
      </c>
      <c r="T18" s="11">
        <v>2712</v>
      </c>
      <c r="U18" s="11">
        <v>3224</v>
      </c>
      <c r="V18" s="11">
        <v>2217</v>
      </c>
      <c r="W18" s="11">
        <v>1701</v>
      </c>
      <c r="X18" s="11">
        <v>1853</v>
      </c>
      <c r="Y18" s="11">
        <v>1952</v>
      </c>
      <c r="Z18" s="11">
        <v>2114</v>
      </c>
      <c r="AA18" s="12">
        <v>2305</v>
      </c>
      <c r="AB18" s="12">
        <v>2574</v>
      </c>
      <c r="AC18" s="12">
        <v>3412</v>
      </c>
      <c r="AD18" s="12">
        <v>2108</v>
      </c>
      <c r="AE18" s="12">
        <v>1534</v>
      </c>
      <c r="AF18" s="12">
        <v>2920</v>
      </c>
      <c r="AG18" s="12">
        <v>3316</v>
      </c>
      <c r="AH18" s="12">
        <v>1804</v>
      </c>
      <c r="AI18" s="12">
        <v>1549</v>
      </c>
      <c r="AJ18" s="12">
        <v>1629</v>
      </c>
      <c r="AK18" s="12">
        <v>1466</v>
      </c>
      <c r="AL18" s="13">
        <v>1636</v>
      </c>
      <c r="AM18" s="12">
        <v>1820</v>
      </c>
      <c r="AN18" s="12">
        <v>2114</v>
      </c>
      <c r="AO18" s="12">
        <v>3028</v>
      </c>
      <c r="AP18" s="12">
        <v>1859</v>
      </c>
      <c r="AQ18" s="12">
        <v>1269</v>
      </c>
      <c r="AR18" s="12">
        <v>1963</v>
      </c>
      <c r="AS18" s="12">
        <v>2493</v>
      </c>
      <c r="AT18" s="12">
        <v>2140</v>
      </c>
      <c r="AU18" s="12">
        <v>1391</v>
      </c>
      <c r="AV18" s="12">
        <v>1445</v>
      </c>
      <c r="AW18" s="12">
        <v>1476</v>
      </c>
      <c r="AX18" s="12">
        <v>1763</v>
      </c>
      <c r="AY18" s="12">
        <v>1977</v>
      </c>
      <c r="AZ18" s="12">
        <v>2196</v>
      </c>
      <c r="BA18" s="12">
        <v>3247</v>
      </c>
      <c r="BB18" s="12">
        <v>1751</v>
      </c>
      <c r="BC18" s="12">
        <v>1412</v>
      </c>
      <c r="BD18" s="12">
        <v>2735</v>
      </c>
      <c r="BE18" s="12">
        <v>3738</v>
      </c>
      <c r="BF18" s="12">
        <v>2092</v>
      </c>
      <c r="BG18" s="12">
        <v>1429</v>
      </c>
      <c r="BH18" s="12">
        <v>1319</v>
      </c>
      <c r="BI18" s="12">
        <v>1493</v>
      </c>
      <c r="BJ18" s="12">
        <v>1847</v>
      </c>
      <c r="BK18" s="12">
        <v>2179</v>
      </c>
      <c r="BL18" s="12">
        <v>2580</v>
      </c>
      <c r="BM18" s="12">
        <v>3034</v>
      </c>
      <c r="BN18" s="12">
        <v>1695</v>
      </c>
      <c r="BO18" s="12">
        <v>1719</v>
      </c>
      <c r="BP18" s="12">
        <v>4164</v>
      </c>
      <c r="BQ18" s="12">
        <v>3358</v>
      </c>
      <c r="BR18" s="12">
        <v>1810</v>
      </c>
      <c r="BS18" s="12">
        <v>1437</v>
      </c>
      <c r="BT18" s="12">
        <v>1846</v>
      </c>
      <c r="BU18" s="12">
        <v>1976</v>
      </c>
      <c r="BV18" s="12">
        <v>3371</v>
      </c>
      <c r="BW18" s="12">
        <v>2471</v>
      </c>
      <c r="BX18" s="12">
        <v>2789</v>
      </c>
      <c r="BY18" s="12">
        <v>3979</v>
      </c>
      <c r="BZ18" s="12">
        <v>2298</v>
      </c>
      <c r="CA18" s="12">
        <v>1818</v>
      </c>
      <c r="CB18" s="12">
        <v>4480</v>
      </c>
      <c r="CC18" s="12">
        <v>5157</v>
      </c>
      <c r="CD18" s="12">
        <v>2967</v>
      </c>
      <c r="CE18" s="12">
        <v>1862</v>
      </c>
      <c r="CF18" s="12">
        <v>1987</v>
      </c>
      <c r="CG18" s="12">
        <v>2123</v>
      </c>
      <c r="CH18" s="12">
        <v>2989</v>
      </c>
      <c r="CI18" s="12">
        <v>1755</v>
      </c>
      <c r="CJ18" s="12">
        <v>2193</v>
      </c>
      <c r="CK18" s="12">
        <v>2943</v>
      </c>
      <c r="CL18" s="12">
        <v>1619</v>
      </c>
      <c r="CM18" s="12">
        <v>1455</v>
      </c>
      <c r="CN18" s="12">
        <v>3329</v>
      </c>
      <c r="CO18" s="12">
        <v>4223</v>
      </c>
      <c r="CP18" s="12">
        <v>2342</v>
      </c>
      <c r="CQ18" s="12">
        <v>1664</v>
      </c>
      <c r="CR18" s="12">
        <v>1723</v>
      </c>
      <c r="CS18" s="12">
        <v>2616</v>
      </c>
      <c r="CT18" s="12">
        <v>1513</v>
      </c>
      <c r="CU18" s="12">
        <v>144</v>
      </c>
      <c r="CV18" s="12">
        <v>2152</v>
      </c>
      <c r="CW18" s="12">
        <v>4429</v>
      </c>
      <c r="CX18" s="12">
        <v>2800</v>
      </c>
      <c r="CY18" s="12">
        <v>2321</v>
      </c>
      <c r="CZ18" s="12">
        <v>4724</v>
      </c>
      <c r="DA18" s="12">
        <v>3799</v>
      </c>
      <c r="DB18" s="12">
        <v>3426</v>
      </c>
      <c r="DC18" s="12">
        <v>2430</v>
      </c>
      <c r="DD18" s="12">
        <v>2438</v>
      </c>
      <c r="DE18" s="12">
        <v>3075</v>
      </c>
      <c r="DF18" s="12">
        <v>3826</v>
      </c>
      <c r="DG18" s="12">
        <v>2140</v>
      </c>
      <c r="DH18" s="12">
        <v>2084</v>
      </c>
      <c r="DI18" s="14">
        <v>4240</v>
      </c>
      <c r="DJ18" s="14">
        <v>2927</v>
      </c>
      <c r="DK18" s="14">
        <v>1900</v>
      </c>
      <c r="DL18" s="14">
        <v>3413</v>
      </c>
      <c r="DM18" s="14">
        <v>4218</v>
      </c>
      <c r="DN18" s="14">
        <v>3033</v>
      </c>
      <c r="DO18" s="14">
        <v>1451</v>
      </c>
      <c r="DP18" s="14">
        <v>1907</v>
      </c>
      <c r="DQ18" s="14">
        <v>2159</v>
      </c>
      <c r="DR18" s="14">
        <v>2995</v>
      </c>
      <c r="DS18" s="14">
        <v>3246</v>
      </c>
      <c r="DT18" s="14">
        <v>3269</v>
      </c>
      <c r="DU18" s="14">
        <v>4242</v>
      </c>
      <c r="DV18" s="14">
        <v>2425</v>
      </c>
      <c r="DW18" s="14">
        <v>2488</v>
      </c>
      <c r="DX18" s="14">
        <v>5413</v>
      </c>
      <c r="DY18" s="14">
        <v>6162</v>
      </c>
      <c r="DZ18" s="14">
        <v>2647</v>
      </c>
      <c r="EA18" s="14">
        <v>2104</v>
      </c>
      <c r="EB18" s="14">
        <v>2478</v>
      </c>
      <c r="EC18" s="14">
        <v>2333</v>
      </c>
      <c r="ED18" s="14">
        <v>3441</v>
      </c>
      <c r="EE18" s="14">
        <v>3222</v>
      </c>
      <c r="EF18" s="14">
        <v>3589</v>
      </c>
      <c r="EG18" s="14">
        <v>4718</v>
      </c>
      <c r="EH18" s="14">
        <v>2626</v>
      </c>
      <c r="EI18" s="14">
        <v>2353</v>
      </c>
      <c r="EJ18" s="14">
        <v>4665</v>
      </c>
      <c r="EK18" s="14">
        <v>5453</v>
      </c>
      <c r="EL18" s="14">
        <v>3943</v>
      </c>
      <c r="EM18" s="14">
        <v>1814</v>
      </c>
      <c r="EN18" s="14">
        <v>2135</v>
      </c>
      <c r="EO18" s="14">
        <v>2051</v>
      </c>
      <c r="EP18" s="14">
        <v>2806</v>
      </c>
      <c r="EQ18" s="14">
        <v>3089</v>
      </c>
      <c r="ER18" s="14">
        <v>3790</v>
      </c>
      <c r="ES18" s="14">
        <v>5098</v>
      </c>
      <c r="ET18" s="14">
        <v>2695</v>
      </c>
      <c r="EU18" s="14">
        <v>2103</v>
      </c>
      <c r="EV18" s="14">
        <v>4479</v>
      </c>
      <c r="EW18" s="14">
        <v>5797</v>
      </c>
      <c r="EX18" s="14">
        <v>2839</v>
      </c>
      <c r="EY18" s="14">
        <v>2666</v>
      </c>
      <c r="EZ18" s="14">
        <v>2676</v>
      </c>
      <c r="FA18" s="14">
        <v>2530</v>
      </c>
      <c r="FB18" s="14">
        <v>3277</v>
      </c>
      <c r="FC18" s="14">
        <v>2990</v>
      </c>
      <c r="FD18" s="14">
        <v>3590</v>
      </c>
      <c r="FE18" s="14">
        <v>4700</v>
      </c>
      <c r="FF18" s="14">
        <v>2692</v>
      </c>
      <c r="FG18" s="14">
        <v>2589</v>
      </c>
      <c r="FH18" s="14">
        <v>5239</v>
      </c>
      <c r="FI18" s="14">
        <v>7778</v>
      </c>
      <c r="FJ18" s="14">
        <v>3762</v>
      </c>
      <c r="FK18" s="14">
        <v>3464</v>
      </c>
      <c r="FL18" s="14"/>
      <c r="FM18" s="14"/>
      <c r="FN18" s="14"/>
      <c r="FR18" s="12">
        <f t="shared" si="26"/>
        <v>5802</v>
      </c>
      <c r="FS18" s="12">
        <f t="shared" si="27"/>
        <v>4750</v>
      </c>
      <c r="FT18" s="12">
        <f t="shared" si="28"/>
        <v>6451</v>
      </c>
      <c r="FU18" s="12">
        <f t="shared" si="29"/>
        <v>4990</v>
      </c>
      <c r="FV18" s="12">
        <f t="shared" si="30"/>
        <v>7957</v>
      </c>
      <c r="FW18" s="12">
        <f t="shared" si="31"/>
        <v>6110</v>
      </c>
      <c r="FX18" s="12">
        <f t="shared" si="32"/>
        <v>7142</v>
      </c>
      <c r="FY18" s="12">
        <f t="shared" si="33"/>
        <v>5919</v>
      </c>
      <c r="FZ18" s="12">
        <f t="shared" si="34"/>
        <v>8291</v>
      </c>
      <c r="GA18" s="12">
        <f t="shared" si="35"/>
        <v>6562</v>
      </c>
      <c r="GB18" s="12">
        <f t="shared" si="36"/>
        <v>6669</v>
      </c>
      <c r="GC18" s="12">
        <f t="shared" si="37"/>
        <v>4731</v>
      </c>
      <c r="GD18" s="12">
        <f t="shared" si="38"/>
        <v>6962</v>
      </c>
      <c r="GE18" s="12">
        <f t="shared" si="39"/>
        <v>5091</v>
      </c>
      <c r="GF18" s="12">
        <f t="shared" si="40"/>
        <v>6024</v>
      </c>
      <c r="GG18" s="12">
        <f t="shared" si="41"/>
        <v>4684</v>
      </c>
      <c r="GH18" s="12">
        <f t="shared" si="42"/>
        <v>7420</v>
      </c>
      <c r="GI18" s="12">
        <f t="shared" si="43"/>
        <v>5898</v>
      </c>
      <c r="GJ18" s="12">
        <f t="shared" si="44"/>
        <v>7259</v>
      </c>
      <c r="GK18" s="12">
        <f t="shared" si="45"/>
        <v>4659</v>
      </c>
      <c r="GL18" s="12">
        <f t="shared" si="46"/>
        <v>7793</v>
      </c>
      <c r="GM18" s="12">
        <f t="shared" si="47"/>
        <v>7578</v>
      </c>
      <c r="GN18" s="12">
        <f t="shared" si="48"/>
        <v>6605</v>
      </c>
      <c r="GO18" s="12">
        <f t="shared" si="49"/>
        <v>7193</v>
      </c>
      <c r="GP18" s="12">
        <f t="shared" si="50"/>
        <v>9239</v>
      </c>
      <c r="GQ18" s="12">
        <f t="shared" si="51"/>
        <v>8596</v>
      </c>
      <c r="GR18" s="12">
        <f t="shared" si="52"/>
        <v>9986</v>
      </c>
      <c r="GS18" s="12">
        <f t="shared" si="53"/>
        <v>7099</v>
      </c>
      <c r="GT18" s="12">
        <f t="shared" si="54"/>
        <v>6891</v>
      </c>
      <c r="GU18" s="12">
        <f t="shared" si="55"/>
        <v>6403</v>
      </c>
      <c r="GV18" s="12">
        <f t="shared" si="56"/>
        <v>8229</v>
      </c>
      <c r="GW18" s="12">
        <f t="shared" si="57"/>
        <v>5852</v>
      </c>
      <c r="GX18" s="12">
        <f t="shared" si="58"/>
        <v>6725</v>
      </c>
      <c r="GY18" s="12">
        <f t="shared" si="59"/>
        <v>9845</v>
      </c>
      <c r="GZ18" s="12">
        <f t="shared" si="2"/>
        <v>9655</v>
      </c>
      <c r="HA18" s="12">
        <f t="shared" si="3"/>
        <v>9339</v>
      </c>
      <c r="HB18" s="12">
        <f t="shared" si="4"/>
        <v>4224</v>
      </c>
      <c r="HC18" s="12">
        <f t="shared" si="5"/>
        <v>8240</v>
      </c>
      <c r="HD18" s="12">
        <f t="shared" si="6"/>
        <v>8702</v>
      </c>
      <c r="HE18" s="12">
        <f t="shared" si="7"/>
        <v>7061</v>
      </c>
      <c r="HF18" s="12">
        <f t="shared" si="8"/>
        <v>10757</v>
      </c>
      <c r="HG18" s="12">
        <f t="shared" si="9"/>
        <v>10326</v>
      </c>
      <c r="HH18" s="12">
        <f t="shared" si="10"/>
        <v>10913</v>
      </c>
      <c r="HI18" s="12">
        <f t="shared" si="11"/>
        <v>8252</v>
      </c>
      <c r="HJ18" s="12">
        <f t="shared" si="12"/>
        <v>11529</v>
      </c>
      <c r="HK18" s="12">
        <f t="shared" si="13"/>
        <v>9644</v>
      </c>
      <c r="HL18" s="12">
        <f t="shared" si="14"/>
        <v>11210</v>
      </c>
      <c r="HM18" s="12">
        <f t="shared" si="15"/>
        <v>6992</v>
      </c>
      <c r="HN18" s="12">
        <f t="shared" si="60"/>
        <v>11529</v>
      </c>
      <c r="HO18" s="12">
        <f t="shared" si="61"/>
        <v>9644</v>
      </c>
      <c r="HP18" s="12">
        <f t="shared" si="62"/>
        <v>11210</v>
      </c>
      <c r="HQ18" s="12">
        <f t="shared" si="63"/>
        <v>6992</v>
      </c>
      <c r="HR18" s="12">
        <f t="shared" si="64"/>
        <v>11977</v>
      </c>
      <c r="HS18" s="12">
        <f t="shared" si="65"/>
        <v>9277</v>
      </c>
      <c r="HT18" s="12">
        <f t="shared" si="16"/>
        <v>11302</v>
      </c>
      <c r="HU18" s="12">
        <f t="shared" si="17"/>
        <v>8483</v>
      </c>
      <c r="HV18" s="12">
        <f t="shared" si="18"/>
        <v>11280</v>
      </c>
      <c r="HW18" s="12">
        <f t="shared" si="19"/>
        <v>10520</v>
      </c>
      <c r="HX18" s="12">
        <f t="shared" si="20"/>
        <v>15004</v>
      </c>
      <c r="IB18" s="12">
        <f t="shared" si="66"/>
        <v>21993</v>
      </c>
      <c r="IC18" s="12">
        <f t="shared" si="67"/>
        <v>27128</v>
      </c>
      <c r="ID18" s="12">
        <f t="shared" si="68"/>
        <v>26253</v>
      </c>
      <c r="IE18" s="12">
        <f t="shared" si="69"/>
        <v>22761</v>
      </c>
      <c r="IF18" s="12">
        <f t="shared" si="70"/>
        <v>25236</v>
      </c>
      <c r="IG18" s="12">
        <f t="shared" si="71"/>
        <v>29169</v>
      </c>
      <c r="IH18" s="12">
        <f t="shared" si="72"/>
        <v>34920</v>
      </c>
      <c r="II18" s="12">
        <f t="shared" si="73"/>
        <v>27375</v>
      </c>
      <c r="IJ18" s="12">
        <f t="shared" si="21"/>
        <v>35564</v>
      </c>
      <c r="IK18" s="12">
        <f t="shared" si="22"/>
        <v>32467</v>
      </c>
      <c r="IL18" s="12">
        <f t="shared" si="23"/>
        <v>40248</v>
      </c>
      <c r="IM18" s="12">
        <f t="shared" si="24"/>
        <v>39375</v>
      </c>
      <c r="IN18" s="12">
        <f t="shared" si="25"/>
        <v>41039</v>
      </c>
    </row>
    <row r="19" spans="1:248" outlineLevel="2" x14ac:dyDescent="0.3">
      <c r="B19" t="s">
        <v>76</v>
      </c>
      <c r="C19" s="11">
        <v>1591</v>
      </c>
      <c r="D19" s="11">
        <v>1036</v>
      </c>
      <c r="E19" s="11">
        <v>1143</v>
      </c>
      <c r="F19" s="11">
        <v>1566</v>
      </c>
      <c r="G19" s="11">
        <v>782</v>
      </c>
      <c r="H19" s="11">
        <v>1232</v>
      </c>
      <c r="I19" s="11">
        <v>1645</v>
      </c>
      <c r="J19" s="11">
        <v>1296</v>
      </c>
      <c r="K19" s="11">
        <v>1066</v>
      </c>
      <c r="L19" s="11">
        <v>1104</v>
      </c>
      <c r="M19" s="11">
        <v>1223</v>
      </c>
      <c r="N19" s="11">
        <v>1469</v>
      </c>
      <c r="O19" s="11">
        <v>1743</v>
      </c>
      <c r="P19" s="11">
        <v>1704</v>
      </c>
      <c r="Q19" s="11">
        <v>1874</v>
      </c>
      <c r="R19" s="11">
        <v>1235</v>
      </c>
      <c r="S19" s="11">
        <v>1179</v>
      </c>
      <c r="T19" s="11">
        <v>2687</v>
      </c>
      <c r="U19" s="11">
        <v>3178</v>
      </c>
      <c r="V19" s="11">
        <v>2034</v>
      </c>
      <c r="W19" s="11">
        <v>1614</v>
      </c>
      <c r="X19" s="11">
        <v>1685</v>
      </c>
      <c r="Y19" s="11">
        <v>1820</v>
      </c>
      <c r="Z19" s="11">
        <v>2086</v>
      </c>
      <c r="AA19" s="12">
        <v>2140</v>
      </c>
      <c r="AB19" s="12">
        <v>2249</v>
      </c>
      <c r="AC19" s="12">
        <v>2725</v>
      </c>
      <c r="AD19" s="12">
        <v>1530</v>
      </c>
      <c r="AE19" s="12">
        <v>1223</v>
      </c>
      <c r="AF19" s="12">
        <v>3038</v>
      </c>
      <c r="AG19" s="12">
        <v>3063</v>
      </c>
      <c r="AH19" s="12">
        <v>1749</v>
      </c>
      <c r="AI19" s="12">
        <v>1383</v>
      </c>
      <c r="AJ19" s="12">
        <v>1583</v>
      </c>
      <c r="AK19" s="12">
        <v>1454</v>
      </c>
      <c r="AL19" s="13">
        <v>1855</v>
      </c>
      <c r="AM19" s="12">
        <v>1917</v>
      </c>
      <c r="AN19" s="12">
        <v>2061</v>
      </c>
      <c r="AO19" s="12">
        <v>2564</v>
      </c>
      <c r="AP19" s="12">
        <v>1468</v>
      </c>
      <c r="AQ19" s="12">
        <v>1110</v>
      </c>
      <c r="AR19" s="12">
        <v>2019</v>
      </c>
      <c r="AS19" s="12">
        <v>2762</v>
      </c>
      <c r="AT19" s="12">
        <v>2315</v>
      </c>
      <c r="AU19" s="12">
        <v>1349</v>
      </c>
      <c r="AV19" s="12">
        <v>1614</v>
      </c>
      <c r="AW19" s="12">
        <v>1529</v>
      </c>
      <c r="AX19" s="12">
        <v>1833</v>
      </c>
      <c r="AY19" s="12">
        <v>2168</v>
      </c>
      <c r="AZ19" s="12">
        <v>2242</v>
      </c>
      <c r="BA19" s="12">
        <v>2949</v>
      </c>
      <c r="BB19" s="12">
        <v>1445</v>
      </c>
      <c r="BC19" s="12">
        <v>1358</v>
      </c>
      <c r="BD19" s="12">
        <v>3505</v>
      </c>
      <c r="BE19" s="12">
        <v>4377</v>
      </c>
      <c r="BF19" s="12">
        <v>2556</v>
      </c>
      <c r="BG19" s="12">
        <v>1805</v>
      </c>
      <c r="BH19" s="12">
        <v>1879</v>
      </c>
      <c r="BI19" s="12">
        <v>1860</v>
      </c>
      <c r="BJ19" s="12">
        <v>2602</v>
      </c>
      <c r="BK19" s="12">
        <v>2814</v>
      </c>
      <c r="BL19" s="12">
        <v>3133</v>
      </c>
      <c r="BM19" s="12">
        <v>3620</v>
      </c>
      <c r="BN19" s="12">
        <v>1740</v>
      </c>
      <c r="BO19" s="12">
        <v>1998</v>
      </c>
      <c r="BP19" s="12">
        <v>5420</v>
      </c>
      <c r="BQ19" s="12">
        <v>4493</v>
      </c>
      <c r="BR19" s="12">
        <v>2189</v>
      </c>
      <c r="BS19" s="12">
        <v>2006</v>
      </c>
      <c r="BT19" s="12">
        <v>2698</v>
      </c>
      <c r="BU19" s="12">
        <v>2976</v>
      </c>
      <c r="BV19" s="12">
        <v>4419</v>
      </c>
      <c r="BW19" s="12">
        <v>3110</v>
      </c>
      <c r="BX19" s="12">
        <v>3549</v>
      </c>
      <c r="BY19" s="12">
        <v>4384</v>
      </c>
      <c r="BZ19" s="12">
        <v>2254</v>
      </c>
      <c r="CA19" s="12">
        <v>2233</v>
      </c>
      <c r="CB19" s="12">
        <v>5642</v>
      </c>
      <c r="CC19" s="12">
        <v>5990</v>
      </c>
      <c r="CD19" s="12">
        <v>3695</v>
      </c>
      <c r="CE19" s="12">
        <v>2256</v>
      </c>
      <c r="CF19" s="12">
        <v>2553</v>
      </c>
      <c r="CG19" s="12">
        <v>2768</v>
      </c>
      <c r="CH19" s="12">
        <v>4086</v>
      </c>
      <c r="CI19" s="12">
        <v>2540</v>
      </c>
      <c r="CJ19" s="12">
        <v>2992</v>
      </c>
      <c r="CK19" s="12">
        <v>4246</v>
      </c>
      <c r="CL19" s="12">
        <v>2190</v>
      </c>
      <c r="CM19" s="12">
        <v>1973</v>
      </c>
      <c r="CN19" s="12">
        <v>5087</v>
      </c>
      <c r="CO19" s="12">
        <v>5910</v>
      </c>
      <c r="CP19" s="12">
        <v>3003</v>
      </c>
      <c r="CQ19" s="12">
        <v>2180</v>
      </c>
      <c r="CR19" s="12">
        <v>2430</v>
      </c>
      <c r="CS19" s="12">
        <v>3619</v>
      </c>
      <c r="CT19" s="12">
        <v>1686</v>
      </c>
      <c r="CU19" s="12">
        <v>444</v>
      </c>
      <c r="CV19" s="12">
        <v>4011</v>
      </c>
      <c r="CW19" s="12">
        <v>6828</v>
      </c>
      <c r="CX19" s="12">
        <v>3959</v>
      </c>
      <c r="CY19" s="12">
        <v>4072</v>
      </c>
      <c r="CZ19" s="12">
        <v>8374</v>
      </c>
      <c r="DA19" s="12">
        <v>7492</v>
      </c>
      <c r="DB19" s="12">
        <v>6243</v>
      </c>
      <c r="DC19" s="12">
        <v>4543</v>
      </c>
      <c r="DD19" s="12">
        <v>3934</v>
      </c>
      <c r="DE19" s="12">
        <v>4347</v>
      </c>
      <c r="DF19" s="12">
        <v>4528</v>
      </c>
      <c r="DG19" s="12">
        <v>3536</v>
      </c>
      <c r="DH19" s="12">
        <v>3576</v>
      </c>
      <c r="DI19" s="14">
        <v>6651</v>
      </c>
      <c r="DJ19" s="14">
        <v>3828</v>
      </c>
      <c r="DK19" s="14">
        <v>2714</v>
      </c>
      <c r="DL19" s="14">
        <v>5741</v>
      </c>
      <c r="DM19" s="14">
        <v>7629</v>
      </c>
      <c r="DN19" s="14">
        <v>4337</v>
      </c>
      <c r="DO19" s="14">
        <v>2608</v>
      </c>
      <c r="DP19" s="14">
        <v>2990</v>
      </c>
      <c r="DQ19" s="14">
        <v>3100</v>
      </c>
      <c r="DR19" s="14">
        <v>4298</v>
      </c>
      <c r="DS19" s="14">
        <v>5289</v>
      </c>
      <c r="DT19" s="14">
        <v>4827</v>
      </c>
      <c r="DU19" s="14">
        <v>5307</v>
      </c>
      <c r="DV19" s="14">
        <v>2884</v>
      </c>
      <c r="DW19" s="14">
        <v>2880</v>
      </c>
      <c r="DX19" s="14">
        <v>7096</v>
      </c>
      <c r="DY19" s="14">
        <v>7570</v>
      </c>
      <c r="DZ19" s="14">
        <v>3665</v>
      </c>
      <c r="EA19" s="14">
        <v>3397</v>
      </c>
      <c r="EB19" s="14">
        <v>4351</v>
      </c>
      <c r="EC19" s="14">
        <v>4089</v>
      </c>
      <c r="ED19" s="14">
        <v>6317</v>
      </c>
      <c r="EE19" s="14">
        <v>5848</v>
      </c>
      <c r="EF19" s="14">
        <v>6138</v>
      </c>
      <c r="EG19" s="14">
        <v>6001</v>
      </c>
      <c r="EH19" s="14">
        <v>3991</v>
      </c>
      <c r="EI19" s="14">
        <v>3898</v>
      </c>
      <c r="EJ19" s="14">
        <v>8237</v>
      </c>
      <c r="EK19" s="14">
        <v>9430</v>
      </c>
      <c r="EL19" s="14">
        <v>5670</v>
      </c>
      <c r="EM19" s="14">
        <v>3446</v>
      </c>
      <c r="EN19" s="14">
        <v>4368</v>
      </c>
      <c r="EO19" s="14">
        <v>4402</v>
      </c>
      <c r="EP19" s="14">
        <v>5372</v>
      </c>
      <c r="EQ19" s="14">
        <v>5919</v>
      </c>
      <c r="ER19" s="14">
        <v>6694</v>
      </c>
      <c r="ES19" s="14">
        <v>7882</v>
      </c>
      <c r="ET19" s="14">
        <v>3972</v>
      </c>
      <c r="EU19" s="14">
        <v>3830</v>
      </c>
      <c r="EV19" s="14">
        <v>8887</v>
      </c>
      <c r="EW19" s="14">
        <v>11081</v>
      </c>
      <c r="EX19" s="14">
        <v>5339</v>
      </c>
      <c r="EY19" s="14">
        <v>4402</v>
      </c>
      <c r="EZ19" s="14">
        <v>4733</v>
      </c>
      <c r="FA19" s="14">
        <v>4566</v>
      </c>
      <c r="FB19" s="14">
        <v>6464</v>
      </c>
      <c r="FC19" s="14">
        <v>6304</v>
      </c>
      <c r="FD19" s="14">
        <v>7209</v>
      </c>
      <c r="FE19" s="14">
        <v>9073</v>
      </c>
      <c r="FF19" s="14">
        <v>4238</v>
      </c>
      <c r="FG19" s="14">
        <v>5054</v>
      </c>
      <c r="FH19" s="14">
        <v>11937</v>
      </c>
      <c r="FI19" s="14">
        <v>15713</v>
      </c>
      <c r="FJ19" s="14">
        <v>6416</v>
      </c>
      <c r="FK19" s="14">
        <v>5441</v>
      </c>
      <c r="FL19" s="14"/>
      <c r="FM19" s="14"/>
      <c r="FN19" s="14"/>
      <c r="FR19" s="12">
        <f t="shared" si="26"/>
        <v>3770</v>
      </c>
      <c r="FS19" s="12">
        <f t="shared" si="27"/>
        <v>3580</v>
      </c>
      <c r="FT19" s="12">
        <f t="shared" si="28"/>
        <v>4007</v>
      </c>
      <c r="FU19" s="12">
        <f t="shared" si="29"/>
        <v>3796</v>
      </c>
      <c r="FV19" s="12">
        <f t="shared" si="30"/>
        <v>5321</v>
      </c>
      <c r="FW19" s="12">
        <f t="shared" si="31"/>
        <v>5101</v>
      </c>
      <c r="FX19" s="12">
        <f t="shared" si="32"/>
        <v>6826</v>
      </c>
      <c r="FY19" s="12">
        <f t="shared" si="33"/>
        <v>5591</v>
      </c>
      <c r="FZ19" s="12">
        <f t="shared" si="34"/>
        <v>7114</v>
      </c>
      <c r="GA19" s="12">
        <f t="shared" si="35"/>
        <v>5791</v>
      </c>
      <c r="GB19" s="12">
        <f t="shared" si="36"/>
        <v>6195</v>
      </c>
      <c r="GC19" s="12">
        <f t="shared" si="37"/>
        <v>4892</v>
      </c>
      <c r="GD19" s="12">
        <f t="shared" si="38"/>
        <v>6542</v>
      </c>
      <c r="GE19" s="12">
        <f t="shared" si="39"/>
        <v>4597</v>
      </c>
      <c r="GF19" s="12">
        <f t="shared" si="40"/>
        <v>6426</v>
      </c>
      <c r="GG19" s="12">
        <f t="shared" si="41"/>
        <v>4976</v>
      </c>
      <c r="GH19" s="12">
        <f t="shared" si="42"/>
        <v>7359</v>
      </c>
      <c r="GI19" s="12">
        <f t="shared" si="43"/>
        <v>6308</v>
      </c>
      <c r="GJ19" s="12">
        <f t="shared" si="44"/>
        <v>8738</v>
      </c>
      <c r="GK19" s="12">
        <f t="shared" si="45"/>
        <v>6341</v>
      </c>
      <c r="GL19" s="12">
        <f t="shared" si="46"/>
        <v>9567</v>
      </c>
      <c r="GM19" s="12">
        <f t="shared" si="47"/>
        <v>9158</v>
      </c>
      <c r="GN19" s="12">
        <f t="shared" si="48"/>
        <v>8688</v>
      </c>
      <c r="GO19" s="12">
        <f t="shared" si="49"/>
        <v>10093</v>
      </c>
      <c r="GP19" s="12">
        <f t="shared" si="50"/>
        <v>11043</v>
      </c>
      <c r="GQ19" s="12">
        <f t="shared" si="51"/>
        <v>10129</v>
      </c>
      <c r="GR19" s="12">
        <f t="shared" si="52"/>
        <v>11941</v>
      </c>
      <c r="GS19" s="12">
        <f t="shared" si="53"/>
        <v>9407</v>
      </c>
      <c r="GT19" s="12">
        <f t="shared" si="54"/>
        <v>9778</v>
      </c>
      <c r="GU19" s="12">
        <f t="shared" si="55"/>
        <v>9250</v>
      </c>
      <c r="GV19" s="12">
        <f t="shared" si="56"/>
        <v>11093</v>
      </c>
      <c r="GW19" s="12">
        <f t="shared" si="57"/>
        <v>7735</v>
      </c>
      <c r="GX19" s="12">
        <f t="shared" si="58"/>
        <v>11283</v>
      </c>
      <c r="GY19" s="12">
        <f t="shared" si="59"/>
        <v>16405</v>
      </c>
      <c r="GZ19" s="12">
        <f t="shared" si="2"/>
        <v>18278</v>
      </c>
      <c r="HA19" s="12">
        <f t="shared" si="3"/>
        <v>12809</v>
      </c>
      <c r="HB19" s="12">
        <f t="shared" si="4"/>
        <v>7112</v>
      </c>
      <c r="HC19" s="12">
        <f t="shared" si="5"/>
        <v>12283</v>
      </c>
      <c r="HD19" s="12">
        <f t="shared" si="6"/>
        <v>14574</v>
      </c>
      <c r="HE19" s="12">
        <f t="shared" si="7"/>
        <v>10388</v>
      </c>
      <c r="HF19" s="12">
        <f t="shared" si="8"/>
        <v>15423</v>
      </c>
      <c r="HG19" s="12">
        <f t="shared" si="9"/>
        <v>12860</v>
      </c>
      <c r="HH19" s="12">
        <f t="shared" si="10"/>
        <v>14632</v>
      </c>
      <c r="HI19" s="12">
        <f t="shared" si="11"/>
        <v>14757</v>
      </c>
      <c r="HJ19" s="12">
        <f t="shared" si="12"/>
        <v>17987</v>
      </c>
      <c r="HK19" s="12">
        <f t="shared" si="13"/>
        <v>16126</v>
      </c>
      <c r="HL19" s="12">
        <f t="shared" si="14"/>
        <v>18546</v>
      </c>
      <c r="HM19" s="12">
        <f t="shared" si="15"/>
        <v>14142</v>
      </c>
      <c r="HN19" s="12">
        <f t="shared" si="60"/>
        <v>17987</v>
      </c>
      <c r="HO19" s="12">
        <f t="shared" si="61"/>
        <v>16126</v>
      </c>
      <c r="HP19" s="12">
        <f t="shared" si="62"/>
        <v>18546</v>
      </c>
      <c r="HQ19" s="12">
        <f t="shared" si="63"/>
        <v>14142</v>
      </c>
      <c r="HR19" s="12">
        <f t="shared" si="64"/>
        <v>20495</v>
      </c>
      <c r="HS19" s="12">
        <f t="shared" si="65"/>
        <v>16689</v>
      </c>
      <c r="HT19" s="12">
        <f t="shared" si="16"/>
        <v>20822</v>
      </c>
      <c r="HU19" s="12">
        <f t="shared" si="17"/>
        <v>15763</v>
      </c>
      <c r="HV19" s="12">
        <f t="shared" si="18"/>
        <v>22586</v>
      </c>
      <c r="HW19" s="12">
        <f t="shared" si="19"/>
        <v>21229</v>
      </c>
      <c r="HX19" s="12">
        <f t="shared" si="20"/>
        <v>27570</v>
      </c>
      <c r="IB19" s="12">
        <f t="shared" si="66"/>
        <v>15153</v>
      </c>
      <c r="IC19" s="12">
        <f t="shared" si="67"/>
        <v>22839</v>
      </c>
      <c r="ID19" s="12">
        <f t="shared" si="68"/>
        <v>23992</v>
      </c>
      <c r="IE19" s="12">
        <f t="shared" si="69"/>
        <v>22541</v>
      </c>
      <c r="IF19" s="12">
        <f t="shared" si="70"/>
        <v>28746</v>
      </c>
      <c r="IG19" s="12">
        <f t="shared" si="71"/>
        <v>37506</v>
      </c>
      <c r="IH19" s="12">
        <f t="shared" si="72"/>
        <v>42520</v>
      </c>
      <c r="II19" s="12">
        <f t="shared" si="73"/>
        <v>37856</v>
      </c>
      <c r="IJ19" s="12">
        <f t="shared" si="21"/>
        <v>58775</v>
      </c>
      <c r="IK19" s="12">
        <f t="shared" si="22"/>
        <v>51008</v>
      </c>
      <c r="IL19" s="12">
        <f t="shared" si="23"/>
        <v>57672</v>
      </c>
      <c r="IM19" s="12">
        <f t="shared" si="24"/>
        <v>66801</v>
      </c>
      <c r="IN19" s="12">
        <f t="shared" si="25"/>
        <v>73769</v>
      </c>
    </row>
    <row r="20" spans="1:248" outlineLevel="2" x14ac:dyDescent="0.3">
      <c r="B20" t="s">
        <v>77</v>
      </c>
      <c r="C20" s="11">
        <v>698</v>
      </c>
      <c r="D20" s="11">
        <v>1070</v>
      </c>
      <c r="E20" s="11">
        <v>974</v>
      </c>
      <c r="F20" s="11">
        <v>546</v>
      </c>
      <c r="G20" s="11">
        <v>601</v>
      </c>
      <c r="H20" s="11">
        <v>1182</v>
      </c>
      <c r="I20" s="11">
        <v>1574</v>
      </c>
      <c r="J20" s="11">
        <v>879</v>
      </c>
      <c r="K20" s="11">
        <v>563</v>
      </c>
      <c r="L20" s="11">
        <v>740</v>
      </c>
      <c r="M20" s="11">
        <v>887</v>
      </c>
      <c r="N20" s="11">
        <v>1140</v>
      </c>
      <c r="O20" s="11">
        <v>1090</v>
      </c>
      <c r="P20" s="11">
        <v>1068</v>
      </c>
      <c r="Q20" s="11">
        <v>881</v>
      </c>
      <c r="R20" s="11">
        <v>544</v>
      </c>
      <c r="S20" s="11">
        <v>550</v>
      </c>
      <c r="T20" s="11">
        <v>1017</v>
      </c>
      <c r="U20" s="11">
        <v>1495</v>
      </c>
      <c r="V20" s="11">
        <v>839</v>
      </c>
      <c r="W20" s="11">
        <v>611</v>
      </c>
      <c r="X20" s="11">
        <v>873</v>
      </c>
      <c r="Y20" s="11">
        <v>916</v>
      </c>
      <c r="Z20" s="11">
        <v>1270</v>
      </c>
      <c r="AA20" s="12">
        <v>1099</v>
      </c>
      <c r="AB20" s="12">
        <v>1011</v>
      </c>
      <c r="AC20" s="12">
        <v>949</v>
      </c>
      <c r="AD20" s="12">
        <v>495</v>
      </c>
      <c r="AE20" s="12">
        <v>581</v>
      </c>
      <c r="AF20" s="12">
        <v>1034</v>
      </c>
      <c r="AG20" s="12">
        <v>1277</v>
      </c>
      <c r="AH20" s="12">
        <v>694</v>
      </c>
      <c r="AI20" s="12">
        <v>550</v>
      </c>
      <c r="AJ20" s="12">
        <v>796</v>
      </c>
      <c r="AK20" s="12">
        <v>823</v>
      </c>
      <c r="AL20" s="13">
        <v>972</v>
      </c>
      <c r="AM20" s="12">
        <v>839</v>
      </c>
      <c r="AN20" s="12">
        <v>879</v>
      </c>
      <c r="AO20" s="12">
        <v>838</v>
      </c>
      <c r="AP20" s="12">
        <v>432</v>
      </c>
      <c r="AQ20" s="12">
        <v>439</v>
      </c>
      <c r="AR20" s="12">
        <v>673</v>
      </c>
      <c r="AS20" s="12">
        <v>1004</v>
      </c>
      <c r="AT20" s="12">
        <v>658</v>
      </c>
      <c r="AU20" s="12">
        <v>461</v>
      </c>
      <c r="AV20" s="12">
        <v>542</v>
      </c>
      <c r="AW20" s="12">
        <v>716</v>
      </c>
      <c r="AX20" s="12">
        <v>890</v>
      </c>
      <c r="AY20" s="12">
        <v>840</v>
      </c>
      <c r="AZ20" s="12">
        <v>870</v>
      </c>
      <c r="BA20" s="12">
        <v>837</v>
      </c>
      <c r="BB20" s="12">
        <v>384</v>
      </c>
      <c r="BC20" s="12">
        <v>514</v>
      </c>
      <c r="BD20" s="12">
        <v>1049</v>
      </c>
      <c r="BE20" s="12">
        <v>1495</v>
      </c>
      <c r="BF20" s="12">
        <v>786</v>
      </c>
      <c r="BG20" s="12">
        <v>554</v>
      </c>
      <c r="BH20" s="12">
        <v>661</v>
      </c>
      <c r="BI20" s="12">
        <v>807</v>
      </c>
      <c r="BJ20" s="12">
        <v>1066</v>
      </c>
      <c r="BK20" s="12">
        <v>1033</v>
      </c>
      <c r="BL20" s="12">
        <v>1058</v>
      </c>
      <c r="BM20" s="12">
        <v>1187</v>
      </c>
      <c r="BN20" s="12">
        <v>455</v>
      </c>
      <c r="BO20" s="12">
        <v>740</v>
      </c>
      <c r="BP20" s="12">
        <v>1721</v>
      </c>
      <c r="BQ20" s="12">
        <v>1577</v>
      </c>
      <c r="BR20" s="12">
        <v>791</v>
      </c>
      <c r="BS20" s="12">
        <v>662</v>
      </c>
      <c r="BT20" s="12">
        <v>962</v>
      </c>
      <c r="BU20" s="12">
        <v>1123</v>
      </c>
      <c r="BV20" s="12">
        <v>1651</v>
      </c>
      <c r="BW20" s="12">
        <v>1093</v>
      </c>
      <c r="BX20" s="12">
        <v>1198</v>
      </c>
      <c r="BY20" s="12">
        <v>1066</v>
      </c>
      <c r="BZ20" s="12">
        <v>511</v>
      </c>
      <c r="CA20" s="12">
        <v>709</v>
      </c>
      <c r="CB20" s="12">
        <v>1362</v>
      </c>
      <c r="CC20" s="12">
        <v>1653</v>
      </c>
      <c r="CD20" s="12">
        <v>901</v>
      </c>
      <c r="CE20" s="12">
        <v>604</v>
      </c>
      <c r="CF20" s="12">
        <v>821</v>
      </c>
      <c r="CG20" s="12">
        <v>917</v>
      </c>
      <c r="CH20" s="12">
        <v>1343</v>
      </c>
      <c r="CI20" s="12">
        <v>891</v>
      </c>
      <c r="CJ20" s="12">
        <v>981</v>
      </c>
      <c r="CK20" s="12">
        <v>1118</v>
      </c>
      <c r="CL20" s="12">
        <v>488</v>
      </c>
      <c r="CM20" s="12">
        <v>664</v>
      </c>
      <c r="CN20" s="12">
        <v>1410</v>
      </c>
      <c r="CO20" s="12">
        <v>1621</v>
      </c>
      <c r="CP20" s="12">
        <v>944</v>
      </c>
      <c r="CQ20" s="12">
        <v>635</v>
      </c>
      <c r="CR20" s="12">
        <v>954</v>
      </c>
      <c r="CS20" s="12">
        <v>1317</v>
      </c>
      <c r="CT20" s="12">
        <v>849</v>
      </c>
      <c r="CU20" s="12">
        <v>111</v>
      </c>
      <c r="CV20" s="12">
        <v>1154</v>
      </c>
      <c r="CW20" s="12">
        <v>1715</v>
      </c>
      <c r="CX20" s="12">
        <v>943</v>
      </c>
      <c r="CY20" s="12">
        <v>1206</v>
      </c>
      <c r="CZ20" s="12">
        <v>2143</v>
      </c>
      <c r="DA20" s="12">
        <v>2026</v>
      </c>
      <c r="DB20" s="12">
        <v>1311</v>
      </c>
      <c r="DC20" s="12">
        <v>1140</v>
      </c>
      <c r="DD20" s="12">
        <v>1294</v>
      </c>
      <c r="DE20" s="12">
        <v>1700</v>
      </c>
      <c r="DF20" s="12">
        <v>1897</v>
      </c>
      <c r="DG20" s="12">
        <v>1006</v>
      </c>
      <c r="DH20" s="12">
        <v>746</v>
      </c>
      <c r="DI20" s="14">
        <v>1106</v>
      </c>
      <c r="DJ20" s="14">
        <v>655</v>
      </c>
      <c r="DK20" s="14">
        <v>618</v>
      </c>
      <c r="DL20" s="14">
        <v>1287</v>
      </c>
      <c r="DM20" s="14">
        <v>1419</v>
      </c>
      <c r="DN20" s="14">
        <v>737</v>
      </c>
      <c r="DO20" s="14">
        <v>500</v>
      </c>
      <c r="DP20" s="14">
        <v>720</v>
      </c>
      <c r="DQ20" s="14">
        <v>799</v>
      </c>
      <c r="DR20" s="14">
        <v>1116</v>
      </c>
      <c r="DS20" s="14">
        <v>1004</v>
      </c>
      <c r="DT20" s="14">
        <v>821</v>
      </c>
      <c r="DU20" s="14">
        <v>787</v>
      </c>
      <c r="DV20" s="14">
        <v>630</v>
      </c>
      <c r="DW20" s="14">
        <v>825</v>
      </c>
      <c r="DX20" s="14">
        <v>1576</v>
      </c>
      <c r="DY20" s="14">
        <v>1449</v>
      </c>
      <c r="DZ20" s="14">
        <v>798</v>
      </c>
      <c r="EA20" s="14">
        <v>675</v>
      </c>
      <c r="EB20" s="14">
        <v>119</v>
      </c>
      <c r="EC20" s="14">
        <v>67</v>
      </c>
      <c r="ED20" s="14">
        <v>81</v>
      </c>
      <c r="EE20" s="14">
        <v>56</v>
      </c>
      <c r="EF20" s="14">
        <v>59</v>
      </c>
      <c r="EG20" s="14">
        <v>50</v>
      </c>
      <c r="EH20" s="14">
        <v>48</v>
      </c>
      <c r="EI20" s="14">
        <v>32</v>
      </c>
      <c r="EJ20" s="14">
        <v>121</v>
      </c>
      <c r="EK20" s="14">
        <v>118</v>
      </c>
      <c r="EL20" s="14">
        <v>88</v>
      </c>
      <c r="EM20" s="14">
        <v>66</v>
      </c>
      <c r="EN20" s="14">
        <v>100</v>
      </c>
      <c r="EO20" s="14">
        <v>119</v>
      </c>
      <c r="EP20" s="14">
        <v>69</v>
      </c>
      <c r="EQ20" s="14">
        <v>98</v>
      </c>
      <c r="ER20" s="14">
        <v>96</v>
      </c>
      <c r="ES20" s="14">
        <v>121</v>
      </c>
      <c r="ET20" s="14">
        <v>87</v>
      </c>
      <c r="EU20" s="14">
        <v>91</v>
      </c>
      <c r="EV20" s="14">
        <v>200</v>
      </c>
      <c r="EW20" s="14">
        <v>238</v>
      </c>
      <c r="EX20" s="14">
        <v>119</v>
      </c>
      <c r="EY20" s="14">
        <v>78</v>
      </c>
      <c r="EZ20" s="14">
        <v>128</v>
      </c>
      <c r="FA20" s="14">
        <v>120</v>
      </c>
      <c r="FB20" s="14">
        <v>146</v>
      </c>
      <c r="FC20" s="14">
        <v>89</v>
      </c>
      <c r="FD20" s="14">
        <v>80</v>
      </c>
      <c r="FE20" s="14">
        <v>109</v>
      </c>
      <c r="FF20" s="14">
        <v>73</v>
      </c>
      <c r="FG20" s="14">
        <v>107</v>
      </c>
      <c r="FH20" s="14">
        <v>133</v>
      </c>
      <c r="FI20" s="14">
        <v>130</v>
      </c>
      <c r="FJ20" s="14">
        <v>81</v>
      </c>
      <c r="FK20" s="14">
        <v>99</v>
      </c>
      <c r="FL20" s="14"/>
      <c r="FM20" s="14"/>
      <c r="FN20" s="14"/>
      <c r="FR20" s="12">
        <f t="shared" si="26"/>
        <v>2742</v>
      </c>
      <c r="FS20" s="12">
        <f t="shared" si="27"/>
        <v>2329</v>
      </c>
      <c r="FT20" s="12">
        <f t="shared" si="28"/>
        <v>3016</v>
      </c>
      <c r="FU20" s="12">
        <f t="shared" si="29"/>
        <v>2767</v>
      </c>
      <c r="FV20" s="12">
        <f t="shared" si="30"/>
        <v>3039</v>
      </c>
      <c r="FW20" s="12">
        <f t="shared" si="31"/>
        <v>2111</v>
      </c>
      <c r="FX20" s="12">
        <f t="shared" si="32"/>
        <v>2945</v>
      </c>
      <c r="FY20" s="12">
        <f t="shared" si="33"/>
        <v>3059</v>
      </c>
      <c r="FZ20" s="12">
        <f t="shared" si="34"/>
        <v>3059</v>
      </c>
      <c r="GA20" s="12">
        <f t="shared" si="35"/>
        <v>2110</v>
      </c>
      <c r="GB20" s="12">
        <f t="shared" si="36"/>
        <v>2521</v>
      </c>
      <c r="GC20" s="12">
        <f t="shared" si="37"/>
        <v>2591</v>
      </c>
      <c r="GD20" s="12">
        <f t="shared" si="38"/>
        <v>2556</v>
      </c>
      <c r="GE20" s="12">
        <f t="shared" si="39"/>
        <v>1544</v>
      </c>
      <c r="GF20" s="12">
        <f t="shared" si="40"/>
        <v>2123</v>
      </c>
      <c r="GG20" s="12">
        <f t="shared" si="41"/>
        <v>2148</v>
      </c>
      <c r="GH20" s="12">
        <f t="shared" si="42"/>
        <v>2547</v>
      </c>
      <c r="GI20" s="12">
        <f t="shared" si="43"/>
        <v>1947</v>
      </c>
      <c r="GJ20" s="12">
        <f t="shared" si="44"/>
        <v>2835</v>
      </c>
      <c r="GK20" s="12">
        <f t="shared" si="45"/>
        <v>2534</v>
      </c>
      <c r="GL20" s="12">
        <f t="shared" si="46"/>
        <v>3278</v>
      </c>
      <c r="GM20" s="12">
        <f t="shared" si="47"/>
        <v>2916</v>
      </c>
      <c r="GN20" s="12">
        <f t="shared" si="48"/>
        <v>3030</v>
      </c>
      <c r="GO20" s="12">
        <f t="shared" si="49"/>
        <v>3736</v>
      </c>
      <c r="GP20" s="12">
        <f t="shared" si="50"/>
        <v>3357</v>
      </c>
      <c r="GQ20" s="12">
        <f t="shared" si="51"/>
        <v>2582</v>
      </c>
      <c r="GR20" s="12">
        <f t="shared" si="52"/>
        <v>3158</v>
      </c>
      <c r="GS20" s="12">
        <f t="shared" si="53"/>
        <v>3081</v>
      </c>
      <c r="GT20" s="12">
        <f t="shared" si="54"/>
        <v>2990</v>
      </c>
      <c r="GU20" s="12">
        <f t="shared" si="55"/>
        <v>2562</v>
      </c>
      <c r="GV20" s="12">
        <f t="shared" si="56"/>
        <v>3200</v>
      </c>
      <c r="GW20" s="12">
        <f t="shared" si="57"/>
        <v>3120</v>
      </c>
      <c r="GX20" s="12">
        <f t="shared" si="58"/>
        <v>2980</v>
      </c>
      <c r="GY20" s="12">
        <f t="shared" si="59"/>
        <v>4292</v>
      </c>
      <c r="GZ20" s="12">
        <f t="shared" si="2"/>
        <v>4477</v>
      </c>
      <c r="HA20" s="12">
        <f t="shared" si="3"/>
        <v>4891</v>
      </c>
      <c r="HB20" s="12">
        <f t="shared" si="4"/>
        <v>1752</v>
      </c>
      <c r="HC20" s="12">
        <f t="shared" si="5"/>
        <v>2560</v>
      </c>
      <c r="HD20" s="12">
        <f t="shared" si="6"/>
        <v>2656</v>
      </c>
      <c r="HE20" s="12">
        <f t="shared" si="7"/>
        <v>2635</v>
      </c>
      <c r="HF20" s="12">
        <f t="shared" si="8"/>
        <v>2612</v>
      </c>
      <c r="HG20" s="12">
        <f t="shared" si="9"/>
        <v>3031</v>
      </c>
      <c r="HH20" s="12">
        <f t="shared" si="10"/>
        <v>2922</v>
      </c>
      <c r="HI20" s="12">
        <f t="shared" si="11"/>
        <v>267</v>
      </c>
      <c r="HJ20" s="12">
        <f t="shared" si="12"/>
        <v>165</v>
      </c>
      <c r="HK20" s="12">
        <f t="shared" si="13"/>
        <v>201</v>
      </c>
      <c r="HL20" s="12">
        <f t="shared" si="14"/>
        <v>272</v>
      </c>
      <c r="HM20" s="12">
        <f t="shared" si="15"/>
        <v>288</v>
      </c>
      <c r="HN20" s="12">
        <f t="shared" si="60"/>
        <v>165</v>
      </c>
      <c r="HO20" s="12">
        <f t="shared" si="61"/>
        <v>201</v>
      </c>
      <c r="HP20" s="12">
        <f t="shared" si="62"/>
        <v>272</v>
      </c>
      <c r="HQ20" s="12">
        <f t="shared" si="63"/>
        <v>288</v>
      </c>
      <c r="HR20" s="12">
        <f t="shared" si="64"/>
        <v>315</v>
      </c>
      <c r="HS20" s="12">
        <f t="shared" si="65"/>
        <v>378</v>
      </c>
      <c r="HT20" s="12">
        <f t="shared" si="16"/>
        <v>435</v>
      </c>
      <c r="HU20" s="12">
        <f t="shared" si="17"/>
        <v>394</v>
      </c>
      <c r="HV20" s="12">
        <f t="shared" si="18"/>
        <v>278</v>
      </c>
      <c r="HW20" s="12">
        <f t="shared" si="19"/>
        <v>313</v>
      </c>
      <c r="HX20" s="12">
        <f t="shared" si="20"/>
        <v>310</v>
      </c>
      <c r="IB20" s="12">
        <f t="shared" si="66"/>
        <v>10854</v>
      </c>
      <c r="IC20" s="12">
        <f t="shared" si="67"/>
        <v>11154</v>
      </c>
      <c r="ID20" s="12">
        <f t="shared" si="68"/>
        <v>10281</v>
      </c>
      <c r="IE20" s="12">
        <f t="shared" si="69"/>
        <v>8371</v>
      </c>
      <c r="IF20" s="12">
        <f t="shared" si="70"/>
        <v>9863</v>
      </c>
      <c r="IG20" s="12">
        <f t="shared" si="71"/>
        <v>12960</v>
      </c>
      <c r="IH20" s="12">
        <f t="shared" si="72"/>
        <v>12178</v>
      </c>
      <c r="II20" s="12">
        <f t="shared" si="73"/>
        <v>11872</v>
      </c>
      <c r="IJ20" s="12">
        <f t="shared" si="21"/>
        <v>16640</v>
      </c>
      <c r="IK20" s="12">
        <f t="shared" si="22"/>
        <v>10709</v>
      </c>
      <c r="IL20" s="12">
        <f t="shared" si="23"/>
        <v>8832</v>
      </c>
      <c r="IM20" s="12">
        <f t="shared" si="24"/>
        <v>926</v>
      </c>
      <c r="IN20" s="12">
        <f t="shared" si="25"/>
        <v>1522</v>
      </c>
    </row>
    <row r="21" spans="1:248" outlineLevel="2" x14ac:dyDescent="0.3">
      <c r="B21" t="s">
        <v>78</v>
      </c>
      <c r="C21" s="11">
        <v>226</v>
      </c>
      <c r="D21" s="11">
        <v>269</v>
      </c>
      <c r="E21" s="11">
        <v>307</v>
      </c>
      <c r="F21" s="11">
        <v>209</v>
      </c>
      <c r="G21" s="11">
        <v>178</v>
      </c>
      <c r="H21" s="11">
        <v>206</v>
      </c>
      <c r="I21" s="11">
        <v>277</v>
      </c>
      <c r="J21" s="11">
        <v>228</v>
      </c>
      <c r="K21" s="11">
        <v>184</v>
      </c>
      <c r="L21" s="11">
        <v>226</v>
      </c>
      <c r="M21" s="11">
        <v>222</v>
      </c>
      <c r="N21" s="11">
        <v>317</v>
      </c>
      <c r="O21" s="11">
        <v>245</v>
      </c>
      <c r="P21" s="11">
        <v>303</v>
      </c>
      <c r="Q21" s="11">
        <v>406</v>
      </c>
      <c r="R21" s="11">
        <v>424</v>
      </c>
      <c r="S21" s="11">
        <v>285</v>
      </c>
      <c r="T21" s="11">
        <v>412</v>
      </c>
      <c r="U21" s="11">
        <v>506</v>
      </c>
      <c r="V21" s="11">
        <v>424</v>
      </c>
      <c r="W21" s="11">
        <v>366</v>
      </c>
      <c r="X21" s="11">
        <v>351</v>
      </c>
      <c r="Y21" s="11">
        <v>314</v>
      </c>
      <c r="Z21" s="11">
        <v>384</v>
      </c>
      <c r="AA21" s="12">
        <v>475</v>
      </c>
      <c r="AB21" s="12">
        <v>628</v>
      </c>
      <c r="AC21" s="12">
        <v>724</v>
      </c>
      <c r="AD21" s="12">
        <v>382</v>
      </c>
      <c r="AE21" s="12">
        <v>416</v>
      </c>
      <c r="AF21" s="12">
        <v>727</v>
      </c>
      <c r="AG21" s="12">
        <v>562</v>
      </c>
      <c r="AH21" s="12">
        <v>360</v>
      </c>
      <c r="AI21" s="12">
        <v>341</v>
      </c>
      <c r="AJ21" s="12">
        <v>328</v>
      </c>
      <c r="AK21" s="12">
        <v>364</v>
      </c>
      <c r="AL21" s="13">
        <v>427</v>
      </c>
      <c r="AM21" s="12">
        <v>472</v>
      </c>
      <c r="AN21" s="12">
        <v>493</v>
      </c>
      <c r="AO21" s="12">
        <v>664</v>
      </c>
      <c r="AP21" s="12">
        <v>434</v>
      </c>
      <c r="AQ21" s="12">
        <v>356</v>
      </c>
      <c r="AR21" s="12">
        <v>498</v>
      </c>
      <c r="AS21" s="12">
        <v>648</v>
      </c>
      <c r="AT21" s="12">
        <v>440</v>
      </c>
      <c r="AU21" s="12">
        <v>249</v>
      </c>
      <c r="AV21" s="12">
        <v>263</v>
      </c>
      <c r="AW21" s="12">
        <v>233</v>
      </c>
      <c r="AX21" s="12">
        <v>299</v>
      </c>
      <c r="AY21" s="12">
        <v>407</v>
      </c>
      <c r="AZ21" s="12">
        <v>430</v>
      </c>
      <c r="BA21" s="12">
        <v>562</v>
      </c>
      <c r="BB21" s="12">
        <v>364</v>
      </c>
      <c r="BC21" s="12">
        <v>446</v>
      </c>
      <c r="BD21" s="12">
        <v>675</v>
      </c>
      <c r="BE21" s="12">
        <v>769</v>
      </c>
      <c r="BF21" s="12">
        <v>344</v>
      </c>
      <c r="BG21" s="12">
        <v>292</v>
      </c>
      <c r="BH21" s="12">
        <v>313</v>
      </c>
      <c r="BI21" s="12">
        <v>329</v>
      </c>
      <c r="BJ21" s="12">
        <v>514</v>
      </c>
      <c r="BK21" s="12">
        <v>493</v>
      </c>
      <c r="BL21" s="12">
        <v>496</v>
      </c>
      <c r="BM21" s="12">
        <v>538</v>
      </c>
      <c r="BN21" s="12">
        <v>437</v>
      </c>
      <c r="BO21" s="12">
        <v>430</v>
      </c>
      <c r="BP21" s="12">
        <v>751</v>
      </c>
      <c r="BQ21" s="12">
        <v>596</v>
      </c>
      <c r="BR21" s="12">
        <v>440</v>
      </c>
      <c r="BS21" s="12">
        <v>411</v>
      </c>
      <c r="BT21" s="12">
        <v>530</v>
      </c>
      <c r="BU21" s="12">
        <v>673</v>
      </c>
      <c r="BV21" s="12">
        <v>814</v>
      </c>
      <c r="BW21" s="12">
        <v>501</v>
      </c>
      <c r="BX21" s="12">
        <v>564</v>
      </c>
      <c r="BY21" s="12">
        <v>667</v>
      </c>
      <c r="BZ21" s="12">
        <v>593</v>
      </c>
      <c r="CA21" s="12">
        <v>527</v>
      </c>
      <c r="CB21" s="12">
        <v>627</v>
      </c>
      <c r="CC21" s="12">
        <v>643</v>
      </c>
      <c r="CD21" s="12">
        <v>466</v>
      </c>
      <c r="CE21" s="12">
        <v>330</v>
      </c>
      <c r="CF21" s="12">
        <v>439</v>
      </c>
      <c r="CG21" s="12">
        <v>377</v>
      </c>
      <c r="CH21" s="12">
        <v>624</v>
      </c>
      <c r="CI21" s="12">
        <v>426</v>
      </c>
      <c r="CJ21" s="12">
        <v>349</v>
      </c>
      <c r="CK21" s="12">
        <v>520</v>
      </c>
      <c r="CL21" s="12">
        <v>491</v>
      </c>
      <c r="CM21" s="12">
        <v>468</v>
      </c>
      <c r="CN21" s="12">
        <v>745</v>
      </c>
      <c r="CO21" s="12">
        <v>600</v>
      </c>
      <c r="CP21" s="12">
        <v>439</v>
      </c>
      <c r="CQ21" s="12">
        <v>484</v>
      </c>
      <c r="CR21" s="12">
        <v>478</v>
      </c>
      <c r="CS21" s="12">
        <v>503</v>
      </c>
      <c r="CT21" s="12">
        <v>352</v>
      </c>
      <c r="CU21" s="12">
        <v>50</v>
      </c>
      <c r="CV21" s="12">
        <v>323</v>
      </c>
      <c r="CW21" s="12">
        <v>719</v>
      </c>
      <c r="CX21" s="12">
        <v>517</v>
      </c>
      <c r="CY21" s="12">
        <v>606</v>
      </c>
      <c r="CZ21" s="12">
        <v>759</v>
      </c>
      <c r="DA21" s="12">
        <v>683</v>
      </c>
      <c r="DB21" s="12">
        <v>498</v>
      </c>
      <c r="DC21" s="12">
        <v>425</v>
      </c>
      <c r="DD21" s="12">
        <v>488</v>
      </c>
      <c r="DE21" s="12">
        <v>636</v>
      </c>
      <c r="DF21" s="12">
        <v>820</v>
      </c>
      <c r="DG21" s="12">
        <v>440</v>
      </c>
      <c r="DH21" s="12">
        <v>461</v>
      </c>
      <c r="DI21" s="14">
        <v>884</v>
      </c>
      <c r="DJ21" s="14">
        <v>705</v>
      </c>
      <c r="DK21" s="14">
        <v>582</v>
      </c>
      <c r="DL21" s="14">
        <v>785</v>
      </c>
      <c r="DM21" s="14">
        <v>734</v>
      </c>
      <c r="DN21" s="14">
        <v>577</v>
      </c>
      <c r="DO21" s="14">
        <v>282</v>
      </c>
      <c r="DP21" s="14">
        <v>417</v>
      </c>
      <c r="DQ21" s="14">
        <v>447</v>
      </c>
      <c r="DR21" s="14">
        <v>562</v>
      </c>
      <c r="DS21" s="14">
        <v>678</v>
      </c>
      <c r="DT21" s="14">
        <v>576</v>
      </c>
      <c r="DU21" s="14">
        <v>981</v>
      </c>
      <c r="DV21" s="14">
        <v>799</v>
      </c>
      <c r="DW21" s="14">
        <v>821</v>
      </c>
      <c r="DX21" s="14">
        <v>945</v>
      </c>
      <c r="DY21" s="14">
        <v>1087</v>
      </c>
      <c r="DZ21" s="14">
        <v>760</v>
      </c>
      <c r="EA21" s="14">
        <v>686</v>
      </c>
      <c r="EB21" s="14">
        <v>633</v>
      </c>
      <c r="EC21" s="14">
        <v>505</v>
      </c>
      <c r="ED21" s="14">
        <v>777</v>
      </c>
      <c r="EE21" s="14">
        <v>691</v>
      </c>
      <c r="EF21" s="14">
        <v>791</v>
      </c>
      <c r="EG21" s="14">
        <v>1287</v>
      </c>
      <c r="EH21" s="14">
        <v>1008</v>
      </c>
      <c r="EI21" s="14">
        <v>701</v>
      </c>
      <c r="EJ21" s="14">
        <v>709</v>
      </c>
      <c r="EK21" s="14">
        <v>661</v>
      </c>
      <c r="EL21" s="14">
        <v>590</v>
      </c>
      <c r="EM21" s="14">
        <v>500</v>
      </c>
      <c r="EN21" s="14">
        <v>555</v>
      </c>
      <c r="EO21" s="14">
        <v>339</v>
      </c>
      <c r="EP21" s="14">
        <v>435</v>
      </c>
      <c r="EQ21" s="14">
        <v>543</v>
      </c>
      <c r="ER21" s="14">
        <v>550</v>
      </c>
      <c r="ES21" s="14">
        <v>961</v>
      </c>
      <c r="ET21" s="14">
        <v>739</v>
      </c>
      <c r="EU21" s="14">
        <v>469</v>
      </c>
      <c r="EV21" s="14">
        <v>743</v>
      </c>
      <c r="EW21" s="14">
        <v>886</v>
      </c>
      <c r="EX21" s="14">
        <v>515</v>
      </c>
      <c r="EY21" s="14">
        <v>486</v>
      </c>
      <c r="EZ21" s="14">
        <v>490</v>
      </c>
      <c r="FA21" s="14">
        <v>454</v>
      </c>
      <c r="FB21" s="14">
        <v>598</v>
      </c>
      <c r="FC21" s="14">
        <v>572</v>
      </c>
      <c r="FD21" s="14">
        <v>933</v>
      </c>
      <c r="FE21" s="14">
        <v>1118</v>
      </c>
      <c r="FF21" s="14">
        <v>712</v>
      </c>
      <c r="FG21" s="14">
        <v>573</v>
      </c>
      <c r="FH21" s="14">
        <v>662</v>
      </c>
      <c r="FI21" s="14">
        <v>1160</v>
      </c>
      <c r="FJ21" s="14">
        <v>585</v>
      </c>
      <c r="FK21" s="14">
        <v>374</v>
      </c>
      <c r="FL21" s="14"/>
      <c r="FM21" s="14"/>
      <c r="FN21" s="14"/>
      <c r="FR21" s="12">
        <f t="shared" si="26"/>
        <v>802</v>
      </c>
      <c r="FS21" s="12">
        <f t="shared" si="27"/>
        <v>593</v>
      </c>
      <c r="FT21" s="12">
        <f t="shared" si="28"/>
        <v>689</v>
      </c>
      <c r="FU21" s="12">
        <f t="shared" si="29"/>
        <v>765</v>
      </c>
      <c r="FV21" s="12">
        <f t="shared" si="30"/>
        <v>954</v>
      </c>
      <c r="FW21" s="12">
        <f t="shared" si="31"/>
        <v>1121</v>
      </c>
      <c r="FX21" s="12">
        <f t="shared" si="32"/>
        <v>1296</v>
      </c>
      <c r="FY21" s="12">
        <f t="shared" si="33"/>
        <v>1049</v>
      </c>
      <c r="FZ21" s="12">
        <f t="shared" si="34"/>
        <v>1827</v>
      </c>
      <c r="GA21" s="12">
        <f t="shared" si="35"/>
        <v>1525</v>
      </c>
      <c r="GB21" s="12">
        <f t="shared" si="36"/>
        <v>1263</v>
      </c>
      <c r="GC21" s="12">
        <f t="shared" si="37"/>
        <v>1119</v>
      </c>
      <c r="GD21" s="12">
        <f t="shared" si="38"/>
        <v>1629</v>
      </c>
      <c r="GE21" s="12">
        <f t="shared" si="39"/>
        <v>1288</v>
      </c>
      <c r="GF21" s="12">
        <f t="shared" si="40"/>
        <v>1337</v>
      </c>
      <c r="GG21" s="12">
        <f t="shared" si="41"/>
        <v>795</v>
      </c>
      <c r="GH21" s="12">
        <f t="shared" si="42"/>
        <v>1399</v>
      </c>
      <c r="GI21" s="12">
        <f t="shared" si="43"/>
        <v>1485</v>
      </c>
      <c r="GJ21" s="12">
        <f t="shared" si="44"/>
        <v>1405</v>
      </c>
      <c r="GK21" s="12">
        <f t="shared" si="45"/>
        <v>1156</v>
      </c>
      <c r="GL21" s="12">
        <f t="shared" si="46"/>
        <v>1527</v>
      </c>
      <c r="GM21" s="12">
        <f t="shared" si="47"/>
        <v>1618</v>
      </c>
      <c r="GN21" s="12">
        <f t="shared" si="48"/>
        <v>1447</v>
      </c>
      <c r="GO21" s="12">
        <f t="shared" si="49"/>
        <v>2017</v>
      </c>
      <c r="GP21" s="12">
        <f t="shared" si="50"/>
        <v>1732</v>
      </c>
      <c r="GQ21" s="12">
        <f t="shared" si="51"/>
        <v>1747</v>
      </c>
      <c r="GR21" s="12">
        <f t="shared" si="52"/>
        <v>1439</v>
      </c>
      <c r="GS21" s="12">
        <f t="shared" si="53"/>
        <v>1440</v>
      </c>
      <c r="GT21" s="12">
        <f t="shared" si="54"/>
        <v>1295</v>
      </c>
      <c r="GU21" s="12">
        <f t="shared" si="55"/>
        <v>1704</v>
      </c>
      <c r="GV21" s="12">
        <f t="shared" si="56"/>
        <v>1523</v>
      </c>
      <c r="GW21" s="12">
        <f t="shared" si="57"/>
        <v>1333</v>
      </c>
      <c r="GX21" s="12">
        <f t="shared" si="58"/>
        <v>1092</v>
      </c>
      <c r="GY21" s="12">
        <f t="shared" si="59"/>
        <v>1882</v>
      </c>
      <c r="GZ21" s="12">
        <f t="shared" si="2"/>
        <v>1606</v>
      </c>
      <c r="HA21" s="12">
        <f t="shared" si="3"/>
        <v>1944</v>
      </c>
      <c r="HB21" s="12">
        <f t="shared" si="4"/>
        <v>901</v>
      </c>
      <c r="HC21" s="12">
        <f t="shared" si="5"/>
        <v>2072</v>
      </c>
      <c r="HD21" s="12">
        <f t="shared" si="6"/>
        <v>1593</v>
      </c>
      <c r="HE21" s="12">
        <f t="shared" si="7"/>
        <v>1426</v>
      </c>
      <c r="HF21" s="12">
        <f t="shared" si="8"/>
        <v>2235</v>
      </c>
      <c r="HG21" s="12">
        <f t="shared" si="9"/>
        <v>2565</v>
      </c>
      <c r="HH21" s="12">
        <f t="shared" si="10"/>
        <v>2533</v>
      </c>
      <c r="HI21" s="12">
        <f t="shared" si="11"/>
        <v>1915</v>
      </c>
      <c r="HJ21" s="12">
        <f t="shared" si="12"/>
        <v>2769</v>
      </c>
      <c r="HK21" s="12">
        <f t="shared" si="13"/>
        <v>2418</v>
      </c>
      <c r="HL21" s="12">
        <f t="shared" si="14"/>
        <v>1751</v>
      </c>
      <c r="HM21" s="12">
        <f t="shared" si="15"/>
        <v>1329</v>
      </c>
      <c r="HN21" s="12">
        <f t="shared" si="60"/>
        <v>2769</v>
      </c>
      <c r="HO21" s="12">
        <f t="shared" si="61"/>
        <v>2418</v>
      </c>
      <c r="HP21" s="12">
        <f t="shared" si="62"/>
        <v>1751</v>
      </c>
      <c r="HQ21" s="12">
        <f t="shared" si="63"/>
        <v>1329</v>
      </c>
      <c r="HR21" s="12">
        <f t="shared" si="64"/>
        <v>2054</v>
      </c>
      <c r="HS21" s="12">
        <f t="shared" si="65"/>
        <v>1951</v>
      </c>
      <c r="HT21" s="12">
        <f t="shared" si="16"/>
        <v>1887</v>
      </c>
      <c r="HU21" s="12">
        <f t="shared" si="17"/>
        <v>1542</v>
      </c>
      <c r="HV21" s="12">
        <f t="shared" si="18"/>
        <v>2623</v>
      </c>
      <c r="HW21" s="12">
        <f t="shared" si="19"/>
        <v>1947</v>
      </c>
      <c r="HX21" s="12">
        <f t="shared" si="20"/>
        <v>2119</v>
      </c>
      <c r="IB21" s="12">
        <f t="shared" si="66"/>
        <v>2849</v>
      </c>
      <c r="IC21" s="12">
        <f t="shared" si="67"/>
        <v>4420</v>
      </c>
      <c r="ID21" s="12">
        <f t="shared" si="68"/>
        <v>5734</v>
      </c>
      <c r="IE21" s="12">
        <f t="shared" si="69"/>
        <v>5049</v>
      </c>
      <c r="IF21" s="12">
        <f t="shared" si="70"/>
        <v>5445</v>
      </c>
      <c r="IG21" s="12">
        <f t="shared" si="71"/>
        <v>6609</v>
      </c>
      <c r="IH21" s="12">
        <f t="shared" si="72"/>
        <v>6358</v>
      </c>
      <c r="II21" s="12">
        <f t="shared" si="73"/>
        <v>5855</v>
      </c>
      <c r="IJ21" s="12">
        <f t="shared" si="21"/>
        <v>6524</v>
      </c>
      <c r="IK21" s="12">
        <f t="shared" si="22"/>
        <v>6876</v>
      </c>
      <c r="IL21" s="12">
        <f t="shared" si="23"/>
        <v>9248</v>
      </c>
      <c r="IM21" s="12">
        <f t="shared" si="24"/>
        <v>8267</v>
      </c>
      <c r="IN21" s="12">
        <f t="shared" si="25"/>
        <v>7434</v>
      </c>
    </row>
    <row r="22" spans="1:248" outlineLevel="1" x14ac:dyDescent="0.3">
      <c r="A22" s="15" t="s">
        <v>85</v>
      </c>
      <c r="B22" s="15"/>
      <c r="C22" s="16">
        <f t="shared" ref="C22:BN22" si="78">+SUM(C18:C21)</f>
        <v>3722</v>
      </c>
      <c r="D22" s="16">
        <f t="shared" si="78"/>
        <v>4362</v>
      </c>
      <c r="E22" s="16">
        <f t="shared" si="78"/>
        <v>5032</v>
      </c>
      <c r="F22" s="16">
        <f t="shared" si="78"/>
        <v>3606</v>
      </c>
      <c r="G22" s="16">
        <f t="shared" si="78"/>
        <v>2897</v>
      </c>
      <c r="H22" s="16">
        <f t="shared" si="78"/>
        <v>4749</v>
      </c>
      <c r="I22" s="16">
        <f t="shared" si="78"/>
        <v>6243</v>
      </c>
      <c r="J22" s="16">
        <f t="shared" si="78"/>
        <v>4417</v>
      </c>
      <c r="K22" s="16">
        <f t="shared" si="78"/>
        <v>3503</v>
      </c>
      <c r="L22" s="16">
        <f t="shared" si="78"/>
        <v>3576</v>
      </c>
      <c r="M22" s="16">
        <f t="shared" si="78"/>
        <v>3914</v>
      </c>
      <c r="N22" s="16">
        <f t="shared" si="78"/>
        <v>4828</v>
      </c>
      <c r="O22" s="16">
        <f t="shared" si="78"/>
        <v>5306</v>
      </c>
      <c r="P22" s="16">
        <f t="shared" si="78"/>
        <v>5571</v>
      </c>
      <c r="Q22" s="16">
        <f t="shared" si="78"/>
        <v>6394</v>
      </c>
      <c r="R22" s="16">
        <f t="shared" si="78"/>
        <v>4107</v>
      </c>
      <c r="S22" s="16">
        <f t="shared" si="78"/>
        <v>3508</v>
      </c>
      <c r="T22" s="16">
        <f t="shared" si="78"/>
        <v>6828</v>
      </c>
      <c r="U22" s="16">
        <f t="shared" si="78"/>
        <v>8403</v>
      </c>
      <c r="V22" s="16">
        <f t="shared" si="78"/>
        <v>5514</v>
      </c>
      <c r="W22" s="16">
        <f t="shared" si="78"/>
        <v>4292</v>
      </c>
      <c r="X22" s="16">
        <f t="shared" si="78"/>
        <v>4762</v>
      </c>
      <c r="Y22" s="16">
        <f t="shared" si="78"/>
        <v>5002</v>
      </c>
      <c r="Z22" s="16">
        <f t="shared" si="78"/>
        <v>5854</v>
      </c>
      <c r="AA22" s="17">
        <f t="shared" si="78"/>
        <v>6019</v>
      </c>
      <c r="AB22" s="17">
        <f t="shared" si="78"/>
        <v>6462</v>
      </c>
      <c r="AC22" s="17">
        <f t="shared" si="78"/>
        <v>7810</v>
      </c>
      <c r="AD22" s="17">
        <f t="shared" si="78"/>
        <v>4515</v>
      </c>
      <c r="AE22" s="17">
        <f t="shared" si="78"/>
        <v>3754</v>
      </c>
      <c r="AF22" s="17">
        <f t="shared" si="78"/>
        <v>7719</v>
      </c>
      <c r="AG22" s="17">
        <f t="shared" si="78"/>
        <v>8218</v>
      </c>
      <c r="AH22" s="17">
        <f t="shared" si="78"/>
        <v>4607</v>
      </c>
      <c r="AI22" s="17">
        <f t="shared" si="78"/>
        <v>3823</v>
      </c>
      <c r="AJ22" s="17">
        <f t="shared" si="78"/>
        <v>4336</v>
      </c>
      <c r="AK22" s="17">
        <f t="shared" si="78"/>
        <v>4107</v>
      </c>
      <c r="AL22" s="18">
        <f t="shared" si="78"/>
        <v>4890</v>
      </c>
      <c r="AM22" s="17">
        <f t="shared" si="78"/>
        <v>5048</v>
      </c>
      <c r="AN22" s="17">
        <f t="shared" si="78"/>
        <v>5547</v>
      </c>
      <c r="AO22" s="17">
        <f t="shared" si="78"/>
        <v>7094</v>
      </c>
      <c r="AP22" s="17">
        <f t="shared" si="78"/>
        <v>4193</v>
      </c>
      <c r="AQ22" s="17">
        <f t="shared" si="78"/>
        <v>3174</v>
      </c>
      <c r="AR22" s="17">
        <f t="shared" si="78"/>
        <v>5153</v>
      </c>
      <c r="AS22" s="17">
        <f t="shared" si="78"/>
        <v>6907</v>
      </c>
      <c r="AT22" s="17">
        <f t="shared" si="78"/>
        <v>5553</v>
      </c>
      <c r="AU22" s="17">
        <f t="shared" si="78"/>
        <v>3450</v>
      </c>
      <c r="AV22" s="17">
        <f t="shared" si="78"/>
        <v>3864</v>
      </c>
      <c r="AW22" s="17">
        <f t="shared" si="78"/>
        <v>3954</v>
      </c>
      <c r="AX22" s="17">
        <f t="shared" si="78"/>
        <v>4785</v>
      </c>
      <c r="AY22" s="17">
        <f t="shared" si="78"/>
        <v>5392</v>
      </c>
      <c r="AZ22" s="17">
        <f t="shared" si="78"/>
        <v>5738</v>
      </c>
      <c r="BA22" s="17">
        <f t="shared" si="78"/>
        <v>7595</v>
      </c>
      <c r="BB22" s="17">
        <f t="shared" si="78"/>
        <v>3944</v>
      </c>
      <c r="BC22" s="17">
        <f t="shared" si="78"/>
        <v>3730</v>
      </c>
      <c r="BD22" s="17">
        <f t="shared" si="78"/>
        <v>7964</v>
      </c>
      <c r="BE22" s="17">
        <f t="shared" si="78"/>
        <v>10379</v>
      </c>
      <c r="BF22" s="17">
        <f t="shared" si="78"/>
        <v>5778</v>
      </c>
      <c r="BG22" s="17">
        <f t="shared" si="78"/>
        <v>4080</v>
      </c>
      <c r="BH22" s="17">
        <f t="shared" si="78"/>
        <v>4172</v>
      </c>
      <c r="BI22" s="17">
        <f t="shared" si="78"/>
        <v>4489</v>
      </c>
      <c r="BJ22" s="17">
        <f t="shared" si="78"/>
        <v>6029</v>
      </c>
      <c r="BK22" s="17">
        <f t="shared" si="78"/>
        <v>6519</v>
      </c>
      <c r="BL22" s="17">
        <f t="shared" si="78"/>
        <v>7267</v>
      </c>
      <c r="BM22" s="17">
        <f t="shared" si="78"/>
        <v>8379</v>
      </c>
      <c r="BN22" s="17">
        <f t="shared" si="78"/>
        <v>4327</v>
      </c>
      <c r="BO22" s="17">
        <f t="shared" ref="BO22:DA22" si="79">+SUM(BO18:BO21)</f>
        <v>4887</v>
      </c>
      <c r="BP22" s="17">
        <f t="shared" si="79"/>
        <v>12056</v>
      </c>
      <c r="BQ22" s="17">
        <f t="shared" si="79"/>
        <v>10024</v>
      </c>
      <c r="BR22" s="17">
        <f t="shared" si="79"/>
        <v>5230</v>
      </c>
      <c r="BS22" s="17">
        <f t="shared" si="79"/>
        <v>4516</v>
      </c>
      <c r="BT22" s="17">
        <f t="shared" si="79"/>
        <v>6036</v>
      </c>
      <c r="BU22" s="17">
        <f t="shared" si="79"/>
        <v>6748</v>
      </c>
      <c r="BV22" s="17">
        <f t="shared" si="79"/>
        <v>10255</v>
      </c>
      <c r="BW22" s="17">
        <f t="shared" si="79"/>
        <v>7175</v>
      </c>
      <c r="BX22" s="17">
        <f t="shared" si="79"/>
        <v>8100</v>
      </c>
      <c r="BY22" s="17">
        <f t="shared" si="79"/>
        <v>10096</v>
      </c>
      <c r="BZ22" s="17">
        <f t="shared" si="79"/>
        <v>5656</v>
      </c>
      <c r="CA22" s="17">
        <f t="shared" si="79"/>
        <v>5287</v>
      </c>
      <c r="CB22" s="17">
        <f t="shared" si="79"/>
        <v>12111</v>
      </c>
      <c r="CC22" s="17">
        <f t="shared" si="79"/>
        <v>13443</v>
      </c>
      <c r="CD22" s="17">
        <f t="shared" si="79"/>
        <v>8029</v>
      </c>
      <c r="CE22" s="17">
        <f t="shared" si="79"/>
        <v>5052</v>
      </c>
      <c r="CF22" s="17">
        <f t="shared" si="79"/>
        <v>5800</v>
      </c>
      <c r="CG22" s="17">
        <f t="shared" si="79"/>
        <v>6185</v>
      </c>
      <c r="CH22" s="17">
        <f t="shared" si="79"/>
        <v>9042</v>
      </c>
      <c r="CI22" s="17">
        <f t="shared" si="79"/>
        <v>5612</v>
      </c>
      <c r="CJ22" s="17">
        <f t="shared" si="79"/>
        <v>6515</v>
      </c>
      <c r="CK22" s="17">
        <f t="shared" si="79"/>
        <v>8827</v>
      </c>
      <c r="CL22" s="17">
        <f t="shared" si="79"/>
        <v>4788</v>
      </c>
      <c r="CM22" s="17">
        <f t="shared" si="79"/>
        <v>4560</v>
      </c>
      <c r="CN22" s="17">
        <f t="shared" si="79"/>
        <v>10571</v>
      </c>
      <c r="CO22" s="17">
        <f t="shared" si="79"/>
        <v>12354</v>
      </c>
      <c r="CP22" s="17">
        <f t="shared" si="79"/>
        <v>6728</v>
      </c>
      <c r="CQ22" s="17">
        <f t="shared" si="79"/>
        <v>4963</v>
      </c>
      <c r="CR22" s="17">
        <f t="shared" si="79"/>
        <v>5585</v>
      </c>
      <c r="CS22" s="17">
        <f t="shared" si="79"/>
        <v>8055</v>
      </c>
      <c r="CT22" s="17">
        <f t="shared" si="79"/>
        <v>4400</v>
      </c>
      <c r="CU22" s="17">
        <f t="shared" si="79"/>
        <v>749</v>
      </c>
      <c r="CV22" s="17">
        <f t="shared" si="79"/>
        <v>7640</v>
      </c>
      <c r="CW22" s="17">
        <f t="shared" si="79"/>
        <v>13691</v>
      </c>
      <c r="CX22" s="17">
        <f t="shared" si="79"/>
        <v>8219</v>
      </c>
      <c r="CY22" s="17">
        <f t="shared" si="79"/>
        <v>8205</v>
      </c>
      <c r="CZ22" s="17">
        <f t="shared" si="79"/>
        <v>16000</v>
      </c>
      <c r="DA22" s="17">
        <f t="shared" si="79"/>
        <v>14000</v>
      </c>
      <c r="DB22" s="17">
        <f>+SUM(DB18:DB21)</f>
        <v>11478</v>
      </c>
      <c r="DC22" s="17">
        <v>8538</v>
      </c>
      <c r="DD22" s="17">
        <v>8154</v>
      </c>
      <c r="DE22" s="17">
        <v>9758</v>
      </c>
      <c r="DF22" s="17">
        <v>11071</v>
      </c>
      <c r="DG22" s="17">
        <v>7122</v>
      </c>
      <c r="DH22" s="17">
        <v>6867</v>
      </c>
      <c r="DI22" s="19">
        <v>12881</v>
      </c>
      <c r="DJ22" s="19">
        <v>8115</v>
      </c>
      <c r="DK22" s="19">
        <v>5814</v>
      </c>
      <c r="DL22" s="19">
        <v>11226</v>
      </c>
      <c r="DM22" s="19">
        <v>14000</v>
      </c>
      <c r="DN22" s="19">
        <v>8684</v>
      </c>
      <c r="DO22" s="19">
        <v>4841</v>
      </c>
      <c r="DP22" s="19">
        <v>6034</v>
      </c>
      <c r="DQ22" s="19">
        <v>6505</v>
      </c>
      <c r="DR22" s="19">
        <v>8971</v>
      </c>
      <c r="DS22" s="19">
        <v>10217</v>
      </c>
      <c r="DT22" s="19">
        <v>9493</v>
      </c>
      <c r="DU22" s="19">
        <v>11317</v>
      </c>
      <c r="DV22" s="19">
        <v>6738</v>
      </c>
      <c r="DW22" s="19">
        <v>7014</v>
      </c>
      <c r="DX22" s="19">
        <v>15030</v>
      </c>
      <c r="DY22" s="19">
        <v>16268</v>
      </c>
      <c r="DZ22" s="19">
        <v>7870</v>
      </c>
      <c r="EA22" s="19">
        <v>6862</v>
      </c>
      <c r="EB22" s="19">
        <v>7581</v>
      </c>
      <c r="EC22" s="19">
        <v>6994</v>
      </c>
      <c r="ED22" s="19">
        <v>10616</v>
      </c>
      <c r="EE22" s="19">
        <v>9817</v>
      </c>
      <c r="EF22" s="19">
        <v>10577</v>
      </c>
      <c r="EG22" s="19">
        <v>12056</v>
      </c>
      <c r="EH22" s="19">
        <v>7673</v>
      </c>
      <c r="EI22" s="19">
        <v>6984</v>
      </c>
      <c r="EJ22" s="19">
        <v>13732</v>
      </c>
      <c r="EK22" s="19">
        <v>15662</v>
      </c>
      <c r="EL22" s="19">
        <v>10291</v>
      </c>
      <c r="EM22" s="19">
        <v>5826</v>
      </c>
      <c r="EN22" s="19">
        <v>7158</v>
      </c>
      <c r="EO22" s="19">
        <v>6911</v>
      </c>
      <c r="EP22" s="19">
        <v>8682</v>
      </c>
      <c r="EQ22" s="19">
        <v>9649</v>
      </c>
      <c r="ER22" s="19">
        <v>11130</v>
      </c>
      <c r="ES22" s="19">
        <v>14062</v>
      </c>
      <c r="ET22" s="19">
        <v>7493</v>
      </c>
      <c r="EU22" s="19">
        <v>6493</v>
      </c>
      <c r="EV22" s="19">
        <v>14309</v>
      </c>
      <c r="EW22" s="19">
        <v>18002</v>
      </c>
      <c r="EX22" s="19">
        <v>8812</v>
      </c>
      <c r="EY22" s="19">
        <v>7632</v>
      </c>
      <c r="EZ22" s="19">
        <v>8027</v>
      </c>
      <c r="FA22" s="19">
        <v>7670</v>
      </c>
      <c r="FB22" s="19">
        <v>10485</v>
      </c>
      <c r="FC22" s="19">
        <v>9955</v>
      </c>
      <c r="FD22" s="19">
        <v>11812</v>
      </c>
      <c r="FE22" s="19">
        <v>15000</v>
      </c>
      <c r="FF22" s="19">
        <v>7715</v>
      </c>
      <c r="FG22" s="19">
        <v>8323</v>
      </c>
      <c r="FH22" s="19">
        <v>17971</v>
      </c>
      <c r="FI22" s="19">
        <v>24781</v>
      </c>
      <c r="FJ22" s="19">
        <v>10844</v>
      </c>
      <c r="FK22" s="19">
        <v>9378</v>
      </c>
      <c r="FL22" s="20"/>
      <c r="FM22" s="20"/>
      <c r="FN22" s="20"/>
      <c r="FR22" s="17">
        <f t="shared" si="26"/>
        <v>13116</v>
      </c>
      <c r="FS22" s="17">
        <f t="shared" si="27"/>
        <v>11252</v>
      </c>
      <c r="FT22" s="17">
        <f t="shared" si="28"/>
        <v>14163</v>
      </c>
      <c r="FU22" s="17">
        <f t="shared" si="29"/>
        <v>12318</v>
      </c>
      <c r="FV22" s="17">
        <f t="shared" si="30"/>
        <v>17271</v>
      </c>
      <c r="FW22" s="17">
        <f t="shared" si="31"/>
        <v>14443</v>
      </c>
      <c r="FX22" s="17">
        <f t="shared" si="32"/>
        <v>18209</v>
      </c>
      <c r="FY22" s="17">
        <f t="shared" si="33"/>
        <v>15618</v>
      </c>
      <c r="FZ22" s="17">
        <f t="shared" si="34"/>
        <v>20291</v>
      </c>
      <c r="GA22" s="17">
        <f t="shared" si="35"/>
        <v>15988</v>
      </c>
      <c r="GB22" s="17">
        <f t="shared" si="36"/>
        <v>16648</v>
      </c>
      <c r="GC22" s="17">
        <f t="shared" si="37"/>
        <v>13333</v>
      </c>
      <c r="GD22" s="17">
        <f t="shared" si="38"/>
        <v>17689</v>
      </c>
      <c r="GE22" s="17">
        <f t="shared" si="39"/>
        <v>12520</v>
      </c>
      <c r="GF22" s="17">
        <f t="shared" si="40"/>
        <v>15910</v>
      </c>
      <c r="GG22" s="17">
        <f t="shared" si="41"/>
        <v>12603</v>
      </c>
      <c r="GH22" s="17">
        <f t="shared" si="42"/>
        <v>18725</v>
      </c>
      <c r="GI22" s="17">
        <f t="shared" si="43"/>
        <v>15638</v>
      </c>
      <c r="GJ22" s="17">
        <f t="shared" si="44"/>
        <v>20237</v>
      </c>
      <c r="GK22" s="17">
        <f t="shared" si="45"/>
        <v>14690</v>
      </c>
      <c r="GL22" s="17">
        <f t="shared" si="46"/>
        <v>22165</v>
      </c>
      <c r="GM22" s="17">
        <f t="shared" si="47"/>
        <v>21270</v>
      </c>
      <c r="GN22" s="17">
        <f t="shared" si="48"/>
        <v>19770</v>
      </c>
      <c r="GO22" s="17">
        <f t="shared" si="49"/>
        <v>23039</v>
      </c>
      <c r="GP22" s="17">
        <f t="shared" si="50"/>
        <v>25371</v>
      </c>
      <c r="GQ22" s="17">
        <f t="shared" si="51"/>
        <v>23054</v>
      </c>
      <c r="GR22" s="17">
        <f t="shared" si="52"/>
        <v>26524</v>
      </c>
      <c r="GS22" s="17">
        <f t="shared" si="53"/>
        <v>21027</v>
      </c>
      <c r="GT22" s="17">
        <f t="shared" si="54"/>
        <v>20954</v>
      </c>
      <c r="GU22" s="17">
        <f t="shared" si="55"/>
        <v>19919</v>
      </c>
      <c r="GV22" s="17">
        <f t="shared" si="56"/>
        <v>24045</v>
      </c>
      <c r="GW22" s="17">
        <f t="shared" si="57"/>
        <v>18040</v>
      </c>
      <c r="GX22" s="17">
        <f t="shared" si="58"/>
        <v>22080</v>
      </c>
      <c r="GY22" s="17">
        <f t="shared" si="59"/>
        <v>32424</v>
      </c>
      <c r="GZ22" s="17">
        <f t="shared" si="2"/>
        <v>34016</v>
      </c>
      <c r="HA22" s="17">
        <f t="shared" si="3"/>
        <v>28983</v>
      </c>
      <c r="HB22" s="17">
        <f t="shared" si="4"/>
        <v>13989</v>
      </c>
      <c r="HC22" s="17">
        <f t="shared" si="5"/>
        <v>25155</v>
      </c>
      <c r="HD22" s="17">
        <f t="shared" si="6"/>
        <v>27525</v>
      </c>
      <c r="HE22" s="17">
        <f t="shared" si="7"/>
        <v>21510</v>
      </c>
      <c r="HF22" s="17">
        <f t="shared" si="8"/>
        <v>31027</v>
      </c>
      <c r="HG22" s="17">
        <f t="shared" si="9"/>
        <v>28782</v>
      </c>
      <c r="HH22" s="17">
        <f t="shared" si="10"/>
        <v>31000</v>
      </c>
      <c r="HI22" s="17">
        <f t="shared" si="11"/>
        <v>25191</v>
      </c>
      <c r="HJ22" s="17">
        <f t="shared" si="12"/>
        <v>32450</v>
      </c>
      <c r="HK22" s="17">
        <f t="shared" si="13"/>
        <v>28389</v>
      </c>
      <c r="HL22" s="17">
        <f t="shared" si="14"/>
        <v>31779</v>
      </c>
      <c r="HM22" s="17">
        <f t="shared" si="15"/>
        <v>22751</v>
      </c>
      <c r="HN22" s="17">
        <f t="shared" si="60"/>
        <v>32450</v>
      </c>
      <c r="HO22" s="17">
        <f t="shared" si="61"/>
        <v>28389</v>
      </c>
      <c r="HP22" s="17">
        <f t="shared" si="62"/>
        <v>31779</v>
      </c>
      <c r="HQ22" s="17">
        <f t="shared" si="63"/>
        <v>22751</v>
      </c>
      <c r="HR22" s="17">
        <f t="shared" si="64"/>
        <v>34841</v>
      </c>
      <c r="HS22" s="17">
        <f t="shared" si="65"/>
        <v>28295</v>
      </c>
      <c r="HT22" s="17">
        <f t="shared" si="16"/>
        <v>34446</v>
      </c>
      <c r="HU22" s="17">
        <f t="shared" si="17"/>
        <v>26182</v>
      </c>
      <c r="HV22" s="17">
        <f t="shared" si="18"/>
        <v>36767</v>
      </c>
      <c r="HW22" s="17">
        <f t="shared" si="19"/>
        <v>34009</v>
      </c>
      <c r="HX22" s="17">
        <f t="shared" si="20"/>
        <v>45003</v>
      </c>
      <c r="IB22" s="17">
        <f t="shared" si="66"/>
        <v>50849</v>
      </c>
      <c r="IC22" s="17">
        <f t="shared" si="67"/>
        <v>65541</v>
      </c>
      <c r="ID22" s="17">
        <f t="shared" si="68"/>
        <v>66260</v>
      </c>
      <c r="IE22" s="17">
        <f t="shared" si="69"/>
        <v>58722</v>
      </c>
      <c r="IF22" s="17">
        <f t="shared" si="70"/>
        <v>69290</v>
      </c>
      <c r="IG22" s="17">
        <f t="shared" si="71"/>
        <v>86244</v>
      </c>
      <c r="IH22" s="17">
        <f t="shared" si="72"/>
        <v>95976</v>
      </c>
      <c r="II22" s="17">
        <f t="shared" si="73"/>
        <v>82958</v>
      </c>
      <c r="IJ22" s="17">
        <f t="shared" si="21"/>
        <v>117503</v>
      </c>
      <c r="IK22" s="17">
        <f t="shared" si="22"/>
        <v>101060</v>
      </c>
      <c r="IL22" s="17">
        <f t="shared" si="23"/>
        <v>116000</v>
      </c>
      <c r="IM22" s="17">
        <f t="shared" si="24"/>
        <v>115369</v>
      </c>
      <c r="IN22" s="17">
        <f t="shared" si="25"/>
        <v>123764</v>
      </c>
    </row>
    <row r="23" spans="1:248" outlineLevel="2" x14ac:dyDescent="0.3">
      <c r="A23" t="s">
        <v>86</v>
      </c>
      <c r="B23" t="s">
        <v>75</v>
      </c>
      <c r="C23" s="11">
        <v>685</v>
      </c>
      <c r="D23" s="11">
        <v>471</v>
      </c>
      <c r="E23" s="11">
        <v>594</v>
      </c>
      <c r="F23" s="11">
        <v>789</v>
      </c>
      <c r="G23" s="11">
        <v>483</v>
      </c>
      <c r="H23" s="11">
        <v>663</v>
      </c>
      <c r="I23" s="11">
        <v>1574</v>
      </c>
      <c r="J23" s="11">
        <v>445</v>
      </c>
      <c r="K23" s="11">
        <v>400</v>
      </c>
      <c r="L23" s="11">
        <v>524</v>
      </c>
      <c r="M23" s="11">
        <v>372</v>
      </c>
      <c r="N23" s="11">
        <v>555</v>
      </c>
      <c r="O23" s="11">
        <v>986</v>
      </c>
      <c r="P23" s="11">
        <v>528</v>
      </c>
      <c r="Q23" s="11">
        <v>757</v>
      </c>
      <c r="R23" s="11">
        <v>689</v>
      </c>
      <c r="S23" s="11">
        <v>474</v>
      </c>
      <c r="T23" s="11">
        <v>567</v>
      </c>
      <c r="U23" s="11">
        <v>1409</v>
      </c>
      <c r="V23" s="11">
        <v>374</v>
      </c>
      <c r="W23" s="11">
        <v>476</v>
      </c>
      <c r="X23" s="11">
        <v>523</v>
      </c>
      <c r="Y23" s="11">
        <v>331</v>
      </c>
      <c r="Z23" s="11">
        <v>418</v>
      </c>
      <c r="AA23" s="12">
        <v>701</v>
      </c>
      <c r="AB23" s="12">
        <v>481</v>
      </c>
      <c r="AC23" s="12">
        <v>612</v>
      </c>
      <c r="AD23" s="12">
        <v>613</v>
      </c>
      <c r="AE23" s="12">
        <v>357</v>
      </c>
      <c r="AF23" s="12">
        <v>514</v>
      </c>
      <c r="AG23" s="12">
        <v>925</v>
      </c>
      <c r="AH23" s="12">
        <v>231</v>
      </c>
      <c r="AI23" s="12">
        <v>218</v>
      </c>
      <c r="AJ23" s="12">
        <v>323</v>
      </c>
      <c r="AK23" s="12">
        <v>215</v>
      </c>
      <c r="AL23" s="13">
        <v>228</v>
      </c>
      <c r="AM23" s="12">
        <v>417</v>
      </c>
      <c r="AN23" s="12">
        <v>412</v>
      </c>
      <c r="AO23" s="12">
        <v>625</v>
      </c>
      <c r="AP23" s="12">
        <v>488</v>
      </c>
      <c r="AQ23" s="12">
        <v>278</v>
      </c>
      <c r="AR23" s="12">
        <v>358</v>
      </c>
      <c r="AS23" s="12">
        <v>744</v>
      </c>
      <c r="AT23" s="12">
        <v>324</v>
      </c>
      <c r="AU23" s="12">
        <v>229</v>
      </c>
      <c r="AV23" s="12">
        <v>374</v>
      </c>
      <c r="AW23" s="12">
        <v>341</v>
      </c>
      <c r="AX23" s="12">
        <v>330</v>
      </c>
      <c r="AY23" s="12">
        <v>531</v>
      </c>
      <c r="AZ23" s="12">
        <v>539</v>
      </c>
      <c r="BA23" s="12">
        <v>720</v>
      </c>
      <c r="BB23" s="12">
        <v>690</v>
      </c>
      <c r="BC23" s="12">
        <v>631</v>
      </c>
      <c r="BD23" s="12">
        <v>888</v>
      </c>
      <c r="BE23" s="12">
        <v>1943</v>
      </c>
      <c r="BF23" s="12">
        <v>795</v>
      </c>
      <c r="BG23" s="12">
        <v>494</v>
      </c>
      <c r="BH23" s="12">
        <v>655</v>
      </c>
      <c r="BI23" s="12">
        <v>500</v>
      </c>
      <c r="BJ23" s="12">
        <v>738</v>
      </c>
      <c r="BK23" s="12">
        <v>946</v>
      </c>
      <c r="BL23" s="12">
        <v>1021</v>
      </c>
      <c r="BM23" s="12">
        <v>946</v>
      </c>
      <c r="BN23" s="12">
        <v>1213</v>
      </c>
      <c r="BO23" s="12">
        <v>893</v>
      </c>
      <c r="BP23" s="12">
        <v>2052</v>
      </c>
      <c r="BQ23" s="12">
        <v>2949</v>
      </c>
      <c r="BR23" s="12">
        <v>1070</v>
      </c>
      <c r="BS23" s="12">
        <v>907</v>
      </c>
      <c r="BT23" s="12">
        <v>1419</v>
      </c>
      <c r="BU23" s="12">
        <v>936</v>
      </c>
      <c r="BV23" s="12">
        <v>1436</v>
      </c>
      <c r="BW23" s="12">
        <v>1157</v>
      </c>
      <c r="BX23" s="12">
        <v>1472</v>
      </c>
      <c r="BY23" s="12">
        <v>2162</v>
      </c>
      <c r="BZ23" s="12">
        <v>1642</v>
      </c>
      <c r="CA23" s="12">
        <v>1355</v>
      </c>
      <c r="CB23" s="12">
        <v>1883</v>
      </c>
      <c r="CC23" s="12">
        <v>3774</v>
      </c>
      <c r="CD23" s="12">
        <v>1058</v>
      </c>
      <c r="CE23" s="12">
        <v>1057</v>
      </c>
      <c r="CF23" s="12">
        <v>1324</v>
      </c>
      <c r="CG23" s="12">
        <v>1005</v>
      </c>
      <c r="CH23" s="12">
        <v>1495</v>
      </c>
      <c r="CI23" s="12">
        <v>1477</v>
      </c>
      <c r="CJ23" s="12">
        <v>1608</v>
      </c>
      <c r="CK23" s="12">
        <v>2458</v>
      </c>
      <c r="CL23" s="12">
        <v>1536</v>
      </c>
      <c r="CM23" s="12">
        <v>1057</v>
      </c>
      <c r="CN23" s="12">
        <v>1564</v>
      </c>
      <c r="CO23" s="12">
        <v>2895</v>
      </c>
      <c r="CP23" s="12">
        <v>1504</v>
      </c>
      <c r="CQ23" s="12">
        <v>1252</v>
      </c>
      <c r="CR23" s="12">
        <v>1851</v>
      </c>
      <c r="CS23" s="12">
        <v>1698</v>
      </c>
      <c r="CT23" s="12">
        <v>696</v>
      </c>
      <c r="CU23" s="12">
        <v>304</v>
      </c>
      <c r="CV23" s="12">
        <v>879</v>
      </c>
      <c r="CW23" s="12">
        <v>1315</v>
      </c>
      <c r="CX23" s="12">
        <v>2156</v>
      </c>
      <c r="CY23" s="12">
        <v>1457</v>
      </c>
      <c r="CZ23" s="12">
        <v>1926</v>
      </c>
      <c r="DA23" s="12">
        <v>2533</v>
      </c>
      <c r="DB23" s="12">
        <v>1698</v>
      </c>
      <c r="DC23" s="12">
        <v>1363</v>
      </c>
      <c r="DD23" s="12">
        <v>1468</v>
      </c>
      <c r="DE23" s="12">
        <v>1268</v>
      </c>
      <c r="DF23" s="12">
        <v>1571</v>
      </c>
      <c r="DG23" s="12">
        <v>1193</v>
      </c>
      <c r="DH23" s="12">
        <v>1007</v>
      </c>
      <c r="DI23" s="14">
        <v>1887</v>
      </c>
      <c r="DJ23" s="14">
        <v>1838</v>
      </c>
      <c r="DK23" s="14">
        <v>1674</v>
      </c>
      <c r="DL23" s="14">
        <v>249</v>
      </c>
      <c r="DM23" s="14">
        <v>2384</v>
      </c>
      <c r="DN23" s="14">
        <v>1101</v>
      </c>
      <c r="DO23" s="14">
        <v>913</v>
      </c>
      <c r="DP23" s="14">
        <v>1016</v>
      </c>
      <c r="DQ23" s="14">
        <v>1033</v>
      </c>
      <c r="DR23" s="14">
        <v>1051</v>
      </c>
      <c r="DS23" s="14">
        <v>1284</v>
      </c>
      <c r="DT23" s="14">
        <v>1350</v>
      </c>
      <c r="DU23" s="14">
        <v>1764</v>
      </c>
      <c r="DV23" s="14">
        <v>1425</v>
      </c>
      <c r="DW23" s="14">
        <v>808</v>
      </c>
      <c r="DX23" s="14">
        <v>1565</v>
      </c>
      <c r="DY23" s="14">
        <v>2127</v>
      </c>
      <c r="DZ23" s="14">
        <v>846</v>
      </c>
      <c r="EA23" s="14">
        <v>727</v>
      </c>
      <c r="EB23" s="14">
        <v>788</v>
      </c>
      <c r="EC23" s="14">
        <v>938</v>
      </c>
      <c r="ED23" s="14">
        <v>952</v>
      </c>
      <c r="EE23" s="14">
        <v>1214</v>
      </c>
      <c r="EF23" s="14">
        <v>1077</v>
      </c>
      <c r="EG23" s="14">
        <v>1971</v>
      </c>
      <c r="EH23" s="14">
        <v>1190</v>
      </c>
      <c r="EI23" s="14">
        <v>1241</v>
      </c>
      <c r="EJ23" s="14">
        <v>980</v>
      </c>
      <c r="EK23" s="14">
        <v>2159</v>
      </c>
      <c r="EL23" s="14">
        <v>889</v>
      </c>
      <c r="EM23" s="14">
        <v>756</v>
      </c>
      <c r="EN23" s="14">
        <v>963</v>
      </c>
      <c r="EO23" s="14">
        <v>802</v>
      </c>
      <c r="EP23" s="14">
        <v>874</v>
      </c>
      <c r="EQ23" s="14">
        <v>993</v>
      </c>
      <c r="ER23" s="14">
        <v>1495</v>
      </c>
      <c r="ES23" s="14">
        <v>1161</v>
      </c>
      <c r="ET23" s="14">
        <v>1191</v>
      </c>
      <c r="EU23" s="14">
        <v>815</v>
      </c>
      <c r="EV23" s="14">
        <v>1037</v>
      </c>
      <c r="EW23" s="14">
        <v>1827</v>
      </c>
      <c r="EX23" s="14">
        <v>855</v>
      </c>
      <c r="EY23" s="14">
        <v>786</v>
      </c>
      <c r="EZ23" s="14">
        <v>738</v>
      </c>
      <c r="FA23" s="14">
        <v>629</v>
      </c>
      <c r="FB23" s="14">
        <v>783</v>
      </c>
      <c r="FC23" s="14">
        <v>829</v>
      </c>
      <c r="FD23" s="14">
        <v>1204</v>
      </c>
      <c r="FE23" s="14">
        <v>1283</v>
      </c>
      <c r="FF23" s="14">
        <v>846</v>
      </c>
      <c r="FG23" s="14">
        <v>766</v>
      </c>
      <c r="FH23" s="14">
        <v>1079</v>
      </c>
      <c r="FI23" s="14">
        <v>1379</v>
      </c>
      <c r="FJ23" s="14">
        <v>1019</v>
      </c>
      <c r="FK23" s="14">
        <v>1067</v>
      </c>
      <c r="FL23" s="14"/>
      <c r="FM23" s="14"/>
      <c r="FN23" s="14"/>
      <c r="FR23" s="12">
        <f t="shared" si="26"/>
        <v>1750</v>
      </c>
      <c r="FS23" s="12">
        <f t="shared" si="27"/>
        <v>1935</v>
      </c>
      <c r="FT23" s="12">
        <f t="shared" si="28"/>
        <v>2419</v>
      </c>
      <c r="FU23" s="12">
        <f t="shared" si="29"/>
        <v>1451</v>
      </c>
      <c r="FV23" s="12">
        <f t="shared" si="30"/>
        <v>2271</v>
      </c>
      <c r="FW23" s="12">
        <f t="shared" si="31"/>
        <v>1730</v>
      </c>
      <c r="FX23" s="12">
        <f t="shared" si="32"/>
        <v>2259</v>
      </c>
      <c r="FY23" s="12">
        <f t="shared" si="33"/>
        <v>1272</v>
      </c>
      <c r="FZ23" s="12">
        <f t="shared" si="34"/>
        <v>1794</v>
      </c>
      <c r="GA23" s="12">
        <f t="shared" si="35"/>
        <v>1484</v>
      </c>
      <c r="GB23" s="12">
        <f t="shared" si="36"/>
        <v>1374</v>
      </c>
      <c r="GC23" s="12">
        <f t="shared" si="37"/>
        <v>766</v>
      </c>
      <c r="GD23" s="12">
        <f t="shared" si="38"/>
        <v>1454</v>
      </c>
      <c r="GE23" s="12">
        <f t="shared" si="39"/>
        <v>1124</v>
      </c>
      <c r="GF23" s="12">
        <f t="shared" si="40"/>
        <v>1297</v>
      </c>
      <c r="GG23" s="12">
        <f t="shared" si="41"/>
        <v>1045</v>
      </c>
      <c r="GH23" s="12">
        <f t="shared" si="42"/>
        <v>1790</v>
      </c>
      <c r="GI23" s="12">
        <f t="shared" si="43"/>
        <v>2209</v>
      </c>
      <c r="GJ23" s="12">
        <f t="shared" si="44"/>
        <v>3232</v>
      </c>
      <c r="GK23" s="12">
        <f t="shared" si="45"/>
        <v>1893</v>
      </c>
      <c r="GL23" s="12">
        <f t="shared" si="46"/>
        <v>2913</v>
      </c>
      <c r="GM23" s="12">
        <f t="shared" si="47"/>
        <v>4158</v>
      </c>
      <c r="GN23" s="12">
        <f t="shared" si="48"/>
        <v>4926</v>
      </c>
      <c r="GO23" s="12">
        <f t="shared" si="49"/>
        <v>3791</v>
      </c>
      <c r="GP23" s="12">
        <f t="shared" si="50"/>
        <v>4791</v>
      </c>
      <c r="GQ23" s="12">
        <f t="shared" si="51"/>
        <v>4880</v>
      </c>
      <c r="GR23" s="12">
        <f t="shared" si="52"/>
        <v>5889</v>
      </c>
      <c r="GS23" s="12">
        <f t="shared" si="53"/>
        <v>3824</v>
      </c>
      <c r="GT23" s="12">
        <f t="shared" si="54"/>
        <v>5543</v>
      </c>
      <c r="GU23" s="12">
        <f t="shared" si="55"/>
        <v>4157</v>
      </c>
      <c r="GV23" s="12">
        <f t="shared" si="56"/>
        <v>5651</v>
      </c>
      <c r="GW23" s="12">
        <f t="shared" si="57"/>
        <v>4245</v>
      </c>
      <c r="GX23" s="12">
        <f t="shared" si="58"/>
        <v>2498</v>
      </c>
      <c r="GY23" s="12">
        <f t="shared" si="59"/>
        <v>5539</v>
      </c>
      <c r="GZ23" s="12">
        <f t="shared" si="2"/>
        <v>5594</v>
      </c>
      <c r="HA23" s="12">
        <f t="shared" si="3"/>
        <v>4307</v>
      </c>
      <c r="HB23" s="12">
        <f t="shared" si="4"/>
        <v>2200</v>
      </c>
      <c r="HC23" s="12">
        <f t="shared" si="5"/>
        <v>3761</v>
      </c>
      <c r="HD23" s="12">
        <f t="shared" si="6"/>
        <v>4398</v>
      </c>
      <c r="HE23" s="12">
        <f t="shared" si="7"/>
        <v>3100</v>
      </c>
      <c r="HF23" s="12">
        <f t="shared" si="8"/>
        <v>4398</v>
      </c>
      <c r="HG23" s="12">
        <f t="shared" si="9"/>
        <v>3798</v>
      </c>
      <c r="HH23" s="12">
        <f t="shared" si="10"/>
        <v>3700</v>
      </c>
      <c r="HI23" s="12">
        <f t="shared" si="11"/>
        <v>2678</v>
      </c>
      <c r="HJ23" s="12">
        <f t="shared" si="12"/>
        <v>4262</v>
      </c>
      <c r="HK23" s="12">
        <f t="shared" si="13"/>
        <v>3411</v>
      </c>
      <c r="HL23" s="12">
        <f t="shared" si="14"/>
        <v>3804</v>
      </c>
      <c r="HM23" s="12">
        <f t="shared" si="15"/>
        <v>2639</v>
      </c>
      <c r="HN23" s="12">
        <f t="shared" si="60"/>
        <v>4262</v>
      </c>
      <c r="HO23" s="12">
        <f t="shared" si="61"/>
        <v>3411</v>
      </c>
      <c r="HP23" s="12">
        <f t="shared" si="62"/>
        <v>3804</v>
      </c>
      <c r="HQ23" s="12">
        <f t="shared" si="63"/>
        <v>2639</v>
      </c>
      <c r="HR23" s="12">
        <f t="shared" si="64"/>
        <v>3649</v>
      </c>
      <c r="HS23" s="12">
        <f t="shared" si="65"/>
        <v>3043</v>
      </c>
      <c r="HT23" s="12">
        <f t="shared" si="16"/>
        <v>3468</v>
      </c>
      <c r="HU23" s="12">
        <f t="shared" si="17"/>
        <v>2150</v>
      </c>
      <c r="HV23" s="12">
        <f t="shared" si="18"/>
        <v>3316</v>
      </c>
      <c r="HW23" s="12">
        <f t="shared" si="19"/>
        <v>2691</v>
      </c>
      <c r="HX23" s="12">
        <f t="shared" si="20"/>
        <v>3465</v>
      </c>
      <c r="IB23" s="12">
        <f t="shared" si="66"/>
        <v>7555</v>
      </c>
      <c r="IC23" s="12">
        <f t="shared" si="67"/>
        <v>7532</v>
      </c>
      <c r="ID23" s="12">
        <f t="shared" si="68"/>
        <v>5418</v>
      </c>
      <c r="IE23" s="12">
        <f t="shared" si="69"/>
        <v>4920</v>
      </c>
      <c r="IF23" s="12">
        <f t="shared" si="70"/>
        <v>9124</v>
      </c>
      <c r="IG23" s="12">
        <f t="shared" si="71"/>
        <v>15788</v>
      </c>
      <c r="IH23" s="12">
        <f t="shared" si="72"/>
        <v>19384</v>
      </c>
      <c r="II23" s="12">
        <f t="shared" si="73"/>
        <v>19596</v>
      </c>
      <c r="IJ23" s="12">
        <f t="shared" si="21"/>
        <v>17938</v>
      </c>
      <c r="IK23" s="12">
        <f t="shared" si="22"/>
        <v>15346</v>
      </c>
      <c r="IL23" s="12">
        <f t="shared" si="23"/>
        <v>14574</v>
      </c>
      <c r="IM23" s="12">
        <f t="shared" si="24"/>
        <v>14116</v>
      </c>
      <c r="IN23" s="12">
        <f t="shared" si="25"/>
        <v>12310</v>
      </c>
    </row>
    <row r="24" spans="1:248" outlineLevel="2" x14ac:dyDescent="0.3">
      <c r="B24" t="s">
        <v>76</v>
      </c>
      <c r="C24" s="11">
        <v>1935</v>
      </c>
      <c r="D24" s="11">
        <v>1376</v>
      </c>
      <c r="E24" s="11">
        <v>1622</v>
      </c>
      <c r="F24" s="11">
        <v>1044</v>
      </c>
      <c r="G24" s="11">
        <v>678</v>
      </c>
      <c r="H24" s="11">
        <v>1063</v>
      </c>
      <c r="I24" s="11">
        <v>2751</v>
      </c>
      <c r="J24" s="11">
        <v>913</v>
      </c>
      <c r="K24" s="11">
        <v>1017</v>
      </c>
      <c r="L24" s="11">
        <v>1398</v>
      </c>
      <c r="M24" s="11">
        <v>1052</v>
      </c>
      <c r="N24" s="11">
        <v>1507</v>
      </c>
      <c r="O24" s="11">
        <v>2506</v>
      </c>
      <c r="P24" s="11">
        <v>1631</v>
      </c>
      <c r="Q24" s="11">
        <v>1964</v>
      </c>
      <c r="R24" s="11">
        <v>1699</v>
      </c>
      <c r="S24" s="11">
        <v>1220</v>
      </c>
      <c r="T24" s="11">
        <v>2164</v>
      </c>
      <c r="U24" s="11">
        <v>4832</v>
      </c>
      <c r="V24" s="11">
        <v>1282</v>
      </c>
      <c r="W24" s="11">
        <v>1538</v>
      </c>
      <c r="X24" s="11">
        <v>2116</v>
      </c>
      <c r="Y24" s="11">
        <v>1683</v>
      </c>
      <c r="Z24" s="11">
        <v>1834</v>
      </c>
      <c r="AA24" s="12">
        <v>2659</v>
      </c>
      <c r="AB24" s="12">
        <v>1957</v>
      </c>
      <c r="AC24" s="12">
        <v>2104</v>
      </c>
      <c r="AD24" s="12">
        <v>1659</v>
      </c>
      <c r="AE24" s="12">
        <v>775</v>
      </c>
      <c r="AF24" s="12">
        <v>1685</v>
      </c>
      <c r="AG24" s="12">
        <v>3226</v>
      </c>
      <c r="AH24" s="12">
        <v>711</v>
      </c>
      <c r="AI24" s="12">
        <v>705</v>
      </c>
      <c r="AJ24" s="12">
        <v>1096</v>
      </c>
      <c r="AK24" s="12">
        <v>798</v>
      </c>
      <c r="AL24" s="13">
        <v>1324</v>
      </c>
      <c r="AM24" s="12">
        <v>1356</v>
      </c>
      <c r="AN24" s="12">
        <v>1264</v>
      </c>
      <c r="AO24" s="12">
        <v>1700</v>
      </c>
      <c r="AP24" s="12">
        <v>1596</v>
      </c>
      <c r="AQ24" s="12">
        <v>800</v>
      </c>
      <c r="AR24" s="12">
        <v>1182</v>
      </c>
      <c r="AS24" s="12">
        <v>2698</v>
      </c>
      <c r="AT24" s="12">
        <v>1075</v>
      </c>
      <c r="AU24" s="12">
        <v>909</v>
      </c>
      <c r="AV24" s="12">
        <v>1557</v>
      </c>
      <c r="AW24" s="12">
        <v>1271</v>
      </c>
      <c r="AX24" s="12">
        <v>1520</v>
      </c>
      <c r="AY24" s="12">
        <v>2411</v>
      </c>
      <c r="AZ24" s="12">
        <v>2065</v>
      </c>
      <c r="BA24" s="12">
        <v>2383</v>
      </c>
      <c r="BB24" s="12">
        <v>1726</v>
      </c>
      <c r="BC24" s="12">
        <v>967</v>
      </c>
      <c r="BD24" s="12">
        <v>1680</v>
      </c>
      <c r="BE24" s="12">
        <v>4230</v>
      </c>
      <c r="BF24" s="12">
        <v>1691</v>
      </c>
      <c r="BG24" s="12">
        <v>1214</v>
      </c>
      <c r="BH24" s="12">
        <v>1857</v>
      </c>
      <c r="BI24" s="12">
        <v>1485</v>
      </c>
      <c r="BJ24" s="12">
        <v>2389</v>
      </c>
      <c r="BK24" s="12">
        <v>2779</v>
      </c>
      <c r="BL24" s="12">
        <v>2149</v>
      </c>
      <c r="BM24" s="12">
        <v>2297</v>
      </c>
      <c r="BN24" s="12">
        <v>2274</v>
      </c>
      <c r="BO24" s="12">
        <v>1610</v>
      </c>
      <c r="BP24" s="12">
        <v>4226</v>
      </c>
      <c r="BQ24" s="12">
        <v>4906</v>
      </c>
      <c r="BR24" s="12">
        <v>2003</v>
      </c>
      <c r="BS24" s="12">
        <v>1715</v>
      </c>
      <c r="BT24" s="12">
        <v>3034</v>
      </c>
      <c r="BU24" s="12">
        <v>2290</v>
      </c>
      <c r="BV24" s="12">
        <v>3316</v>
      </c>
      <c r="BW24" s="12">
        <v>3092</v>
      </c>
      <c r="BX24" s="12">
        <v>2778</v>
      </c>
      <c r="BY24" s="12">
        <v>3363</v>
      </c>
      <c r="BZ24" s="12">
        <v>2207</v>
      </c>
      <c r="CA24" s="12">
        <v>1894</v>
      </c>
      <c r="CB24" s="12">
        <v>2873</v>
      </c>
      <c r="CC24" s="12">
        <v>5353</v>
      </c>
      <c r="CD24" s="12">
        <v>1513</v>
      </c>
      <c r="CE24" s="12">
        <v>2171</v>
      </c>
      <c r="CF24" s="12">
        <v>2366</v>
      </c>
      <c r="CG24" s="12">
        <v>1726</v>
      </c>
      <c r="CH24" s="12">
        <v>2659</v>
      </c>
      <c r="CI24" s="12">
        <v>2281</v>
      </c>
      <c r="CJ24" s="12">
        <v>2377</v>
      </c>
      <c r="CK24" s="12">
        <v>3233</v>
      </c>
      <c r="CL24" s="12">
        <v>1940</v>
      </c>
      <c r="CM24" s="12">
        <v>2048</v>
      </c>
      <c r="CN24" s="12">
        <v>2799</v>
      </c>
      <c r="CO24" s="12">
        <v>5434</v>
      </c>
      <c r="CP24" s="12">
        <v>2344</v>
      </c>
      <c r="CQ24" s="12">
        <v>2307</v>
      </c>
      <c r="CR24" s="12">
        <v>3059</v>
      </c>
      <c r="CS24" s="12">
        <v>2399</v>
      </c>
      <c r="CT24" s="12">
        <v>1739</v>
      </c>
      <c r="CU24" s="12">
        <v>553</v>
      </c>
      <c r="CV24" s="12">
        <v>1897</v>
      </c>
      <c r="CW24" s="12">
        <v>3224</v>
      </c>
      <c r="CX24" s="12">
        <v>3537</v>
      </c>
      <c r="CY24" s="12">
        <v>3695</v>
      </c>
      <c r="CZ24" s="12">
        <v>4904</v>
      </c>
      <c r="DA24" s="12">
        <v>5959</v>
      </c>
      <c r="DB24" s="12">
        <v>4057</v>
      </c>
      <c r="DC24" s="12">
        <v>4048</v>
      </c>
      <c r="DD24" s="12">
        <v>4178</v>
      </c>
      <c r="DE24" s="12">
        <v>3562</v>
      </c>
      <c r="DF24" s="12">
        <v>4207</v>
      </c>
      <c r="DG24" s="12">
        <v>3606</v>
      </c>
      <c r="DH24" s="12">
        <v>2560</v>
      </c>
      <c r="DI24" s="14">
        <v>5092</v>
      </c>
      <c r="DJ24" s="14">
        <v>4192</v>
      </c>
      <c r="DK24" s="14">
        <v>3960</v>
      </c>
      <c r="DL24" s="14">
        <v>1712</v>
      </c>
      <c r="DM24" s="14">
        <v>6362</v>
      </c>
      <c r="DN24" s="14">
        <v>3178</v>
      </c>
      <c r="DO24" s="14">
        <v>2664</v>
      </c>
      <c r="DP24" s="14">
        <v>3198</v>
      </c>
      <c r="DQ24" s="14">
        <v>3059</v>
      </c>
      <c r="DR24" s="14">
        <v>3595</v>
      </c>
      <c r="DS24" s="14">
        <v>4138</v>
      </c>
      <c r="DT24" s="14">
        <v>4594</v>
      </c>
      <c r="DU24" s="14">
        <v>5083</v>
      </c>
      <c r="DV24" s="14">
        <v>4152</v>
      </c>
      <c r="DW24" s="14">
        <v>2643</v>
      </c>
      <c r="DX24" s="14">
        <v>5240</v>
      </c>
      <c r="DY24" s="14">
        <v>7011</v>
      </c>
      <c r="DZ24" s="14">
        <v>3360</v>
      </c>
      <c r="EA24" s="14">
        <v>3435</v>
      </c>
      <c r="EB24" s="14">
        <v>4179</v>
      </c>
      <c r="EC24" s="14">
        <v>4137</v>
      </c>
      <c r="ED24" s="14">
        <v>4256</v>
      </c>
      <c r="EE24" s="14">
        <v>3516</v>
      </c>
      <c r="EF24" s="14">
        <v>4896</v>
      </c>
      <c r="EG24" s="14">
        <v>5164</v>
      </c>
      <c r="EH24" s="14">
        <v>3388</v>
      </c>
      <c r="EI24" s="14">
        <v>3046</v>
      </c>
      <c r="EJ24" s="14">
        <v>4341</v>
      </c>
      <c r="EK24" s="14">
        <v>7174</v>
      </c>
      <c r="EL24" s="14">
        <v>3115</v>
      </c>
      <c r="EM24" s="14">
        <v>2972</v>
      </c>
      <c r="EN24" s="14">
        <v>3863</v>
      </c>
      <c r="EO24" s="14">
        <v>3506</v>
      </c>
      <c r="EP24" s="14">
        <v>3890</v>
      </c>
      <c r="EQ24" s="14">
        <v>4171</v>
      </c>
      <c r="ER24" s="14">
        <v>5196</v>
      </c>
      <c r="ES24" s="14">
        <v>6338</v>
      </c>
      <c r="ET24" s="14">
        <v>3786</v>
      </c>
      <c r="EU24" s="14">
        <v>3334</v>
      </c>
      <c r="EV24" s="14">
        <v>5029</v>
      </c>
      <c r="EW24" s="14">
        <v>8151</v>
      </c>
      <c r="EX24" s="14">
        <v>4022</v>
      </c>
      <c r="EY24" s="14">
        <v>3870</v>
      </c>
      <c r="EZ24" s="14">
        <v>4843</v>
      </c>
      <c r="FA24" s="14">
        <v>4261</v>
      </c>
      <c r="FB24" s="14">
        <v>5212</v>
      </c>
      <c r="FC24" s="14">
        <v>5258</v>
      </c>
      <c r="FD24" s="14">
        <v>6428</v>
      </c>
      <c r="FE24" s="14">
        <v>6820</v>
      </c>
      <c r="FF24" s="14">
        <v>5115</v>
      </c>
      <c r="FG24" s="14">
        <v>4220</v>
      </c>
      <c r="FH24" s="14">
        <v>7009</v>
      </c>
      <c r="FI24" s="14">
        <v>9052</v>
      </c>
      <c r="FJ24" s="14">
        <v>6911</v>
      </c>
      <c r="FK24" s="14">
        <v>6559</v>
      </c>
      <c r="FL24" s="14"/>
      <c r="FM24" s="14"/>
      <c r="FN24" s="14"/>
      <c r="FR24" s="12">
        <f t="shared" si="26"/>
        <v>4933</v>
      </c>
      <c r="FS24" s="12">
        <f t="shared" si="27"/>
        <v>2785</v>
      </c>
      <c r="FT24" s="12">
        <f t="shared" si="28"/>
        <v>4681</v>
      </c>
      <c r="FU24" s="12">
        <f t="shared" si="29"/>
        <v>3957</v>
      </c>
      <c r="FV24" s="12">
        <f t="shared" si="30"/>
        <v>6101</v>
      </c>
      <c r="FW24" s="12">
        <f t="shared" si="31"/>
        <v>5083</v>
      </c>
      <c r="FX24" s="12">
        <f t="shared" si="32"/>
        <v>7652</v>
      </c>
      <c r="FY24" s="12">
        <f t="shared" si="33"/>
        <v>5633</v>
      </c>
      <c r="FZ24" s="12">
        <f t="shared" si="34"/>
        <v>6720</v>
      </c>
      <c r="GA24" s="12">
        <f t="shared" si="35"/>
        <v>4119</v>
      </c>
      <c r="GB24" s="12">
        <f t="shared" si="36"/>
        <v>4642</v>
      </c>
      <c r="GC24" s="12">
        <f t="shared" si="37"/>
        <v>3218</v>
      </c>
      <c r="GD24" s="12">
        <f t="shared" si="38"/>
        <v>4320</v>
      </c>
      <c r="GE24" s="12">
        <f t="shared" si="39"/>
        <v>3578</v>
      </c>
      <c r="GF24" s="12">
        <f t="shared" si="40"/>
        <v>4682</v>
      </c>
      <c r="GG24" s="12">
        <f t="shared" si="41"/>
        <v>4348</v>
      </c>
      <c r="GH24" s="12">
        <f t="shared" si="42"/>
        <v>6859</v>
      </c>
      <c r="GI24" s="12">
        <f t="shared" si="43"/>
        <v>4373</v>
      </c>
      <c r="GJ24" s="12">
        <f t="shared" si="44"/>
        <v>7135</v>
      </c>
      <c r="GK24" s="12">
        <f t="shared" si="45"/>
        <v>5731</v>
      </c>
      <c r="GL24" s="12">
        <f t="shared" si="46"/>
        <v>7225</v>
      </c>
      <c r="GM24" s="12">
        <f t="shared" si="47"/>
        <v>8110</v>
      </c>
      <c r="GN24" s="12">
        <f t="shared" si="48"/>
        <v>8624</v>
      </c>
      <c r="GO24" s="12">
        <f t="shared" si="49"/>
        <v>8640</v>
      </c>
      <c r="GP24" s="12">
        <f t="shared" si="50"/>
        <v>9233</v>
      </c>
      <c r="GQ24" s="12">
        <f t="shared" si="51"/>
        <v>6974</v>
      </c>
      <c r="GR24" s="12">
        <f t="shared" si="52"/>
        <v>9037</v>
      </c>
      <c r="GS24" s="12">
        <f t="shared" si="53"/>
        <v>6751</v>
      </c>
      <c r="GT24" s="12">
        <f t="shared" si="54"/>
        <v>7891</v>
      </c>
      <c r="GU24" s="12">
        <f t="shared" si="55"/>
        <v>6787</v>
      </c>
      <c r="GV24" s="12">
        <f t="shared" si="56"/>
        <v>10085</v>
      </c>
      <c r="GW24" s="12">
        <f t="shared" si="57"/>
        <v>7197</v>
      </c>
      <c r="GX24" s="12">
        <f t="shared" si="58"/>
        <v>5674</v>
      </c>
      <c r="GY24" s="12">
        <f t="shared" si="59"/>
        <v>12136</v>
      </c>
      <c r="GZ24" s="12">
        <f t="shared" si="2"/>
        <v>14064</v>
      </c>
      <c r="HA24" s="12">
        <f t="shared" si="3"/>
        <v>11947</v>
      </c>
      <c r="HB24" s="12">
        <f t="shared" si="4"/>
        <v>6166</v>
      </c>
      <c r="HC24" s="12">
        <f t="shared" si="5"/>
        <v>9864</v>
      </c>
      <c r="HD24" s="12">
        <f t="shared" si="6"/>
        <v>12204</v>
      </c>
      <c r="HE24" s="12">
        <f t="shared" si="7"/>
        <v>9852</v>
      </c>
      <c r="HF24" s="12">
        <f t="shared" si="8"/>
        <v>13815</v>
      </c>
      <c r="HG24" s="12">
        <f t="shared" si="9"/>
        <v>12035</v>
      </c>
      <c r="HH24" s="12">
        <f t="shared" si="10"/>
        <v>13806</v>
      </c>
      <c r="HI24" s="12">
        <f t="shared" si="11"/>
        <v>12572</v>
      </c>
      <c r="HJ24" s="12">
        <f t="shared" si="12"/>
        <v>13576</v>
      </c>
      <c r="HK24" s="12">
        <f t="shared" si="13"/>
        <v>10775</v>
      </c>
      <c r="HL24" s="12">
        <f t="shared" si="14"/>
        <v>13261</v>
      </c>
      <c r="HM24" s="12">
        <f t="shared" si="15"/>
        <v>11259</v>
      </c>
      <c r="HN24" s="12">
        <f t="shared" si="60"/>
        <v>13576</v>
      </c>
      <c r="HO24" s="12">
        <f t="shared" si="61"/>
        <v>10775</v>
      </c>
      <c r="HP24" s="12">
        <f t="shared" si="62"/>
        <v>13261</v>
      </c>
      <c r="HQ24" s="12">
        <f t="shared" si="63"/>
        <v>11259</v>
      </c>
      <c r="HR24" s="12">
        <f t="shared" si="64"/>
        <v>15705</v>
      </c>
      <c r="HS24" s="12">
        <f t="shared" si="65"/>
        <v>12149</v>
      </c>
      <c r="HT24" s="12">
        <f t="shared" si="16"/>
        <v>16043</v>
      </c>
      <c r="HU24" s="12">
        <f t="shared" si="17"/>
        <v>14316</v>
      </c>
      <c r="HV24" s="12">
        <f t="shared" si="18"/>
        <v>18506</v>
      </c>
      <c r="HW24" s="12">
        <f t="shared" si="19"/>
        <v>16344</v>
      </c>
      <c r="HX24" s="12">
        <f t="shared" si="20"/>
        <v>22522</v>
      </c>
      <c r="IB24" s="12">
        <f t="shared" si="66"/>
        <v>16356</v>
      </c>
      <c r="IC24" s="12">
        <f t="shared" si="67"/>
        <v>24469</v>
      </c>
      <c r="ID24" s="12">
        <f t="shared" si="68"/>
        <v>18699</v>
      </c>
      <c r="IE24" s="12">
        <f t="shared" si="69"/>
        <v>16928</v>
      </c>
      <c r="IF24" s="12">
        <f t="shared" si="70"/>
        <v>24098</v>
      </c>
      <c r="IG24" s="12">
        <f t="shared" si="71"/>
        <v>32599</v>
      </c>
      <c r="IH24" s="12">
        <f t="shared" si="72"/>
        <v>31995</v>
      </c>
      <c r="II24" s="12">
        <f t="shared" si="73"/>
        <v>31960</v>
      </c>
      <c r="IJ24" s="12">
        <f t="shared" si="21"/>
        <v>43821</v>
      </c>
      <c r="IK24" s="12">
        <f t="shared" si="22"/>
        <v>43178</v>
      </c>
      <c r="IL24" s="12">
        <f t="shared" si="23"/>
        <v>52228</v>
      </c>
      <c r="IM24" s="12">
        <f t="shared" si="24"/>
        <v>48871</v>
      </c>
      <c r="IN24" s="12">
        <f t="shared" si="25"/>
        <v>58213</v>
      </c>
    </row>
    <row r="25" spans="1:248" outlineLevel="2" x14ac:dyDescent="0.3">
      <c r="B25" t="s">
        <v>77</v>
      </c>
      <c r="C25" s="11">
        <v>740</v>
      </c>
      <c r="D25" s="11">
        <v>146</v>
      </c>
      <c r="E25" s="11">
        <v>21</v>
      </c>
      <c r="F25" s="11">
        <v>406</v>
      </c>
      <c r="G25" s="11">
        <v>365</v>
      </c>
      <c r="H25" s="11">
        <v>471</v>
      </c>
      <c r="I25" s="11">
        <v>1169</v>
      </c>
      <c r="J25" s="11">
        <v>344</v>
      </c>
      <c r="K25" s="11">
        <v>383</v>
      </c>
      <c r="L25" s="11">
        <v>590</v>
      </c>
      <c r="M25" s="11">
        <v>588</v>
      </c>
      <c r="N25" s="11">
        <v>685</v>
      </c>
      <c r="O25" s="11">
        <v>816</v>
      </c>
      <c r="P25" s="11">
        <v>357</v>
      </c>
      <c r="Q25" s="11">
        <v>289</v>
      </c>
      <c r="R25" s="11">
        <v>336</v>
      </c>
      <c r="S25" s="11">
        <v>308</v>
      </c>
      <c r="T25" s="11">
        <v>334</v>
      </c>
      <c r="U25" s="11">
        <v>866</v>
      </c>
      <c r="V25" s="11">
        <v>301</v>
      </c>
      <c r="W25" s="11">
        <v>323</v>
      </c>
      <c r="X25" s="11">
        <v>445</v>
      </c>
      <c r="Y25" s="11">
        <v>545</v>
      </c>
      <c r="Z25" s="11">
        <v>557</v>
      </c>
      <c r="AA25" s="12">
        <v>542</v>
      </c>
      <c r="AB25" s="12">
        <v>210</v>
      </c>
      <c r="AC25" s="12">
        <v>203</v>
      </c>
      <c r="AD25" s="12">
        <v>247</v>
      </c>
      <c r="AE25" s="12">
        <v>169</v>
      </c>
      <c r="AF25" s="12">
        <v>584</v>
      </c>
      <c r="AG25" s="12">
        <v>795</v>
      </c>
      <c r="AH25" s="12">
        <v>363</v>
      </c>
      <c r="AI25" s="12">
        <v>321</v>
      </c>
      <c r="AJ25" s="12">
        <v>579</v>
      </c>
      <c r="AK25" s="12">
        <v>571</v>
      </c>
      <c r="AL25" s="13">
        <v>664</v>
      </c>
      <c r="AM25" s="12">
        <v>731</v>
      </c>
      <c r="AN25" s="12">
        <v>501</v>
      </c>
      <c r="AO25" s="12">
        <v>475</v>
      </c>
      <c r="AP25" s="12">
        <v>510</v>
      </c>
      <c r="AQ25" s="12">
        <v>475</v>
      </c>
      <c r="AR25" s="12">
        <v>622</v>
      </c>
      <c r="AS25" s="12">
        <v>1249</v>
      </c>
      <c r="AT25" s="12">
        <v>542</v>
      </c>
      <c r="AU25" s="12">
        <v>525</v>
      </c>
      <c r="AV25" s="12">
        <v>901</v>
      </c>
      <c r="AW25" s="12">
        <v>829</v>
      </c>
      <c r="AX25" s="12">
        <v>967</v>
      </c>
      <c r="AY25" s="12">
        <v>1057</v>
      </c>
      <c r="AZ25" s="12">
        <v>562</v>
      </c>
      <c r="BA25" s="12">
        <v>619</v>
      </c>
      <c r="BB25" s="12">
        <v>656</v>
      </c>
      <c r="BC25" s="12">
        <v>577</v>
      </c>
      <c r="BD25" s="12">
        <v>876</v>
      </c>
      <c r="BE25" s="12">
        <v>2228</v>
      </c>
      <c r="BF25" s="12">
        <v>699</v>
      </c>
      <c r="BG25" s="12">
        <v>521</v>
      </c>
      <c r="BH25" s="12">
        <v>819</v>
      </c>
      <c r="BI25" s="12">
        <v>920</v>
      </c>
      <c r="BJ25" s="12">
        <v>1424</v>
      </c>
      <c r="BK25" s="12">
        <v>1358</v>
      </c>
      <c r="BL25" s="12">
        <v>656</v>
      </c>
      <c r="BM25" s="12">
        <v>555</v>
      </c>
      <c r="BN25" s="12">
        <v>687</v>
      </c>
      <c r="BO25" s="12">
        <v>714</v>
      </c>
      <c r="BP25" s="12">
        <v>1590</v>
      </c>
      <c r="BQ25" s="12">
        <v>1923</v>
      </c>
      <c r="BR25" s="12">
        <v>936</v>
      </c>
      <c r="BS25" s="12">
        <v>858</v>
      </c>
      <c r="BT25" s="12">
        <v>1389</v>
      </c>
      <c r="BU25" s="12">
        <v>1325</v>
      </c>
      <c r="BV25" s="12">
        <v>1821</v>
      </c>
      <c r="BW25" s="12">
        <v>1545</v>
      </c>
      <c r="BX25" s="12">
        <v>1356</v>
      </c>
      <c r="BY25" s="12">
        <v>1233</v>
      </c>
      <c r="BZ25" s="12">
        <v>787</v>
      </c>
      <c r="CA25" s="12">
        <v>1104</v>
      </c>
      <c r="CB25" s="12">
        <v>1872</v>
      </c>
      <c r="CC25" s="12">
        <v>2905</v>
      </c>
      <c r="CD25" s="12">
        <v>834</v>
      </c>
      <c r="CE25" s="12">
        <v>891</v>
      </c>
      <c r="CF25" s="12">
        <v>991</v>
      </c>
      <c r="CG25" s="12">
        <v>972</v>
      </c>
      <c r="CH25" s="12">
        <v>1341</v>
      </c>
      <c r="CI25" s="12">
        <v>1067</v>
      </c>
      <c r="CJ25" s="12">
        <v>927</v>
      </c>
      <c r="CK25" s="12">
        <v>925</v>
      </c>
      <c r="CL25" s="12">
        <v>675</v>
      </c>
      <c r="CM25" s="12">
        <v>770</v>
      </c>
      <c r="CN25" s="12">
        <v>1478</v>
      </c>
      <c r="CO25" s="12">
        <v>2087</v>
      </c>
      <c r="CP25" s="12">
        <v>1231</v>
      </c>
      <c r="CQ25" s="12">
        <v>1042</v>
      </c>
      <c r="CR25" s="12">
        <v>1879</v>
      </c>
      <c r="CS25" s="12">
        <v>1975</v>
      </c>
      <c r="CT25" s="12">
        <v>1176</v>
      </c>
      <c r="CU25" s="12">
        <v>262</v>
      </c>
      <c r="CV25" s="12">
        <v>606</v>
      </c>
      <c r="CW25" s="12">
        <v>1266</v>
      </c>
      <c r="CX25" s="12">
        <v>1689</v>
      </c>
      <c r="CY25" s="12">
        <v>2147</v>
      </c>
      <c r="CZ25" s="12">
        <v>2793</v>
      </c>
      <c r="DA25" s="12">
        <v>3278</v>
      </c>
      <c r="DB25" s="12">
        <v>1887</v>
      </c>
      <c r="DC25" s="12">
        <v>1770</v>
      </c>
      <c r="DD25" s="12">
        <v>2333</v>
      </c>
      <c r="DE25" s="12">
        <v>2115</v>
      </c>
      <c r="DF25" s="12">
        <v>2199</v>
      </c>
      <c r="DG25" s="12">
        <v>1508</v>
      </c>
      <c r="DH25" s="12">
        <v>681</v>
      </c>
      <c r="DI25" s="14">
        <v>1173</v>
      </c>
      <c r="DJ25" s="14">
        <v>1083</v>
      </c>
      <c r="DK25" s="14">
        <v>1347</v>
      </c>
      <c r="DL25" s="14">
        <v>4507</v>
      </c>
      <c r="DM25" s="14">
        <v>2085</v>
      </c>
      <c r="DN25" s="14">
        <v>868</v>
      </c>
      <c r="DO25" s="14">
        <v>955</v>
      </c>
      <c r="DP25" s="14">
        <v>983</v>
      </c>
      <c r="DQ25" s="14">
        <v>1205</v>
      </c>
      <c r="DR25" s="14">
        <v>1336</v>
      </c>
      <c r="DS25" s="14">
        <v>1389</v>
      </c>
      <c r="DT25" s="14">
        <v>1050</v>
      </c>
      <c r="DU25" s="14">
        <v>1066</v>
      </c>
      <c r="DV25" s="14">
        <v>803</v>
      </c>
      <c r="DW25" s="14">
        <v>1017</v>
      </c>
      <c r="DX25" s="14">
        <v>1973</v>
      </c>
      <c r="DY25" s="14">
        <v>2059</v>
      </c>
      <c r="DZ25" s="14">
        <v>944</v>
      </c>
      <c r="EA25" s="14">
        <v>1220</v>
      </c>
      <c r="EB25" s="14">
        <v>1691</v>
      </c>
      <c r="EC25" s="14">
        <v>625</v>
      </c>
      <c r="ED25" s="14">
        <v>652</v>
      </c>
      <c r="EE25" s="14">
        <v>699</v>
      </c>
      <c r="EF25" s="14">
        <v>532</v>
      </c>
      <c r="EG25" s="14">
        <v>499</v>
      </c>
      <c r="EH25" s="14">
        <v>453</v>
      </c>
      <c r="EI25" s="14">
        <v>561</v>
      </c>
      <c r="EJ25" s="14">
        <v>782</v>
      </c>
      <c r="EK25" s="14">
        <v>1251</v>
      </c>
      <c r="EL25" s="14">
        <v>504</v>
      </c>
      <c r="EM25" s="14">
        <v>431</v>
      </c>
      <c r="EN25" s="14">
        <v>565</v>
      </c>
      <c r="EO25" s="14">
        <v>678</v>
      </c>
      <c r="EP25" s="14">
        <v>697</v>
      </c>
      <c r="EQ25" s="14">
        <v>559</v>
      </c>
      <c r="ER25" s="14">
        <v>473</v>
      </c>
      <c r="ES25" s="14">
        <v>458</v>
      </c>
      <c r="ET25" s="14">
        <v>552</v>
      </c>
      <c r="EU25" s="14">
        <v>552</v>
      </c>
      <c r="EV25" s="14">
        <v>861</v>
      </c>
      <c r="EW25" s="14">
        <v>1375</v>
      </c>
      <c r="EX25" s="14">
        <v>583</v>
      </c>
      <c r="EY25" s="14">
        <v>500</v>
      </c>
      <c r="EZ25" s="14">
        <v>862</v>
      </c>
      <c r="FA25" s="14">
        <v>797</v>
      </c>
      <c r="FB25" s="14">
        <v>876</v>
      </c>
      <c r="FC25" s="14">
        <v>679</v>
      </c>
      <c r="FD25" s="14">
        <v>546</v>
      </c>
      <c r="FE25" s="14">
        <v>594</v>
      </c>
      <c r="FF25" s="14">
        <v>715</v>
      </c>
      <c r="FG25" s="14">
        <v>839</v>
      </c>
      <c r="FH25" s="14">
        <v>1043</v>
      </c>
      <c r="FI25" s="14">
        <v>1321</v>
      </c>
      <c r="FJ25" s="14">
        <v>760</v>
      </c>
      <c r="FK25" s="14">
        <v>963</v>
      </c>
      <c r="FL25" s="14"/>
      <c r="FM25" s="14"/>
      <c r="FN25" s="14"/>
      <c r="FR25" s="12">
        <f t="shared" si="26"/>
        <v>907</v>
      </c>
      <c r="FS25" s="12">
        <f t="shared" si="27"/>
        <v>1242</v>
      </c>
      <c r="FT25" s="12">
        <f t="shared" si="28"/>
        <v>1896</v>
      </c>
      <c r="FU25" s="12">
        <f t="shared" si="29"/>
        <v>1863</v>
      </c>
      <c r="FV25" s="12">
        <f t="shared" si="30"/>
        <v>1462</v>
      </c>
      <c r="FW25" s="12">
        <f t="shared" si="31"/>
        <v>978</v>
      </c>
      <c r="FX25" s="12">
        <f t="shared" si="32"/>
        <v>1490</v>
      </c>
      <c r="FY25" s="12">
        <f t="shared" si="33"/>
        <v>1547</v>
      </c>
      <c r="FZ25" s="12">
        <f t="shared" si="34"/>
        <v>955</v>
      </c>
      <c r="GA25" s="12">
        <f t="shared" si="35"/>
        <v>1000</v>
      </c>
      <c r="GB25" s="12">
        <f t="shared" si="36"/>
        <v>1479</v>
      </c>
      <c r="GC25" s="12">
        <f t="shared" si="37"/>
        <v>1814</v>
      </c>
      <c r="GD25" s="12">
        <f t="shared" si="38"/>
        <v>1707</v>
      </c>
      <c r="GE25" s="12">
        <f t="shared" si="39"/>
        <v>1607</v>
      </c>
      <c r="GF25" s="12">
        <f t="shared" si="40"/>
        <v>2316</v>
      </c>
      <c r="GG25" s="12">
        <f t="shared" si="41"/>
        <v>2697</v>
      </c>
      <c r="GH25" s="12">
        <f t="shared" si="42"/>
        <v>2238</v>
      </c>
      <c r="GI25" s="12">
        <f t="shared" si="43"/>
        <v>2109</v>
      </c>
      <c r="GJ25" s="12">
        <f t="shared" si="44"/>
        <v>3448</v>
      </c>
      <c r="GK25" s="12">
        <f t="shared" si="45"/>
        <v>3163</v>
      </c>
      <c r="GL25" s="12">
        <f t="shared" si="46"/>
        <v>2569</v>
      </c>
      <c r="GM25" s="12">
        <f t="shared" si="47"/>
        <v>2991</v>
      </c>
      <c r="GN25" s="12">
        <f t="shared" si="48"/>
        <v>3717</v>
      </c>
      <c r="GO25" s="12">
        <f t="shared" si="49"/>
        <v>4535</v>
      </c>
      <c r="GP25" s="12">
        <f t="shared" si="50"/>
        <v>4134</v>
      </c>
      <c r="GQ25" s="12">
        <f t="shared" si="51"/>
        <v>3763</v>
      </c>
      <c r="GR25" s="12">
        <f t="shared" si="52"/>
        <v>4630</v>
      </c>
      <c r="GS25" s="12">
        <f t="shared" si="53"/>
        <v>3304</v>
      </c>
      <c r="GT25" s="12">
        <f t="shared" si="54"/>
        <v>2919</v>
      </c>
      <c r="GU25" s="12">
        <f t="shared" si="55"/>
        <v>2923</v>
      </c>
      <c r="GV25" s="12">
        <f t="shared" si="56"/>
        <v>4360</v>
      </c>
      <c r="GW25" s="12">
        <f t="shared" si="57"/>
        <v>5030</v>
      </c>
      <c r="GX25" s="12">
        <f t="shared" si="58"/>
        <v>2134</v>
      </c>
      <c r="GY25" s="12">
        <f t="shared" si="59"/>
        <v>6629</v>
      </c>
      <c r="GZ25" s="12">
        <f t="shared" si="2"/>
        <v>6935</v>
      </c>
      <c r="HA25" s="12">
        <f t="shared" si="3"/>
        <v>6647</v>
      </c>
      <c r="HB25" s="12">
        <f t="shared" si="4"/>
        <v>2189</v>
      </c>
      <c r="HC25" s="12">
        <f t="shared" si="5"/>
        <v>6937</v>
      </c>
      <c r="HD25" s="12">
        <f t="shared" si="6"/>
        <v>3908</v>
      </c>
      <c r="HE25" s="12">
        <f t="shared" si="7"/>
        <v>3524</v>
      </c>
      <c r="HF25" s="12">
        <f t="shared" si="8"/>
        <v>3505</v>
      </c>
      <c r="HG25" s="12">
        <f t="shared" si="9"/>
        <v>3793</v>
      </c>
      <c r="HH25" s="12">
        <f t="shared" si="10"/>
        <v>4223</v>
      </c>
      <c r="HI25" s="12">
        <f t="shared" si="11"/>
        <v>2968</v>
      </c>
      <c r="HJ25" s="12">
        <f t="shared" si="12"/>
        <v>1730</v>
      </c>
      <c r="HK25" s="12">
        <f t="shared" si="13"/>
        <v>1796</v>
      </c>
      <c r="HL25" s="12">
        <f t="shared" si="14"/>
        <v>2186</v>
      </c>
      <c r="HM25" s="12">
        <f t="shared" si="15"/>
        <v>1940</v>
      </c>
      <c r="HN25" s="12">
        <f t="shared" si="60"/>
        <v>1730</v>
      </c>
      <c r="HO25" s="12">
        <f t="shared" si="61"/>
        <v>1796</v>
      </c>
      <c r="HP25" s="12">
        <f t="shared" si="62"/>
        <v>2186</v>
      </c>
      <c r="HQ25" s="12">
        <f t="shared" si="63"/>
        <v>1940</v>
      </c>
      <c r="HR25" s="12">
        <f t="shared" si="64"/>
        <v>1490</v>
      </c>
      <c r="HS25" s="12">
        <f t="shared" si="65"/>
        <v>1965</v>
      </c>
      <c r="HT25" s="12">
        <f t="shared" si="16"/>
        <v>2458</v>
      </c>
      <c r="HU25" s="12">
        <f t="shared" si="17"/>
        <v>2535</v>
      </c>
      <c r="HV25" s="12">
        <f t="shared" si="18"/>
        <v>1819</v>
      </c>
      <c r="HW25" s="12">
        <f t="shared" si="19"/>
        <v>2597</v>
      </c>
      <c r="HX25" s="12">
        <f t="shared" si="20"/>
        <v>3044</v>
      </c>
      <c r="IB25" s="12">
        <f t="shared" si="66"/>
        <v>5908</v>
      </c>
      <c r="IC25" s="12">
        <f t="shared" si="67"/>
        <v>5477</v>
      </c>
      <c r="ID25" s="12">
        <f t="shared" si="68"/>
        <v>5248</v>
      </c>
      <c r="IE25" s="12">
        <f t="shared" si="69"/>
        <v>8327</v>
      </c>
      <c r="IF25" s="12">
        <f t="shared" si="70"/>
        <v>10958</v>
      </c>
      <c r="IG25" s="12">
        <f t="shared" si="71"/>
        <v>13812</v>
      </c>
      <c r="IH25" s="12">
        <f t="shared" si="72"/>
        <v>15831</v>
      </c>
      <c r="II25" s="12">
        <f t="shared" si="73"/>
        <v>15232</v>
      </c>
      <c r="IJ25" s="12">
        <f t="shared" si="21"/>
        <v>22345</v>
      </c>
      <c r="IK25" s="12">
        <f t="shared" si="22"/>
        <v>17731</v>
      </c>
      <c r="IL25" s="12">
        <f t="shared" si="23"/>
        <v>14489</v>
      </c>
      <c r="IM25" s="12">
        <f t="shared" si="24"/>
        <v>7652</v>
      </c>
      <c r="IN25" s="12">
        <f t="shared" si="25"/>
        <v>8448</v>
      </c>
    </row>
    <row r="26" spans="1:248" outlineLevel="2" x14ac:dyDescent="0.3">
      <c r="B26" t="s">
        <v>78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3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57</v>
      </c>
      <c r="BX26" s="12">
        <v>75</v>
      </c>
      <c r="BY26" s="12">
        <v>89</v>
      </c>
      <c r="BZ26" s="12">
        <v>124</v>
      </c>
      <c r="CA26" s="12">
        <v>96</v>
      </c>
      <c r="CB26" s="12">
        <v>89</v>
      </c>
      <c r="CC26" s="12">
        <v>161</v>
      </c>
      <c r="CD26" s="12">
        <v>22</v>
      </c>
      <c r="CE26" s="12">
        <v>32</v>
      </c>
      <c r="CF26" s="12">
        <v>50</v>
      </c>
      <c r="CG26" s="12">
        <v>32</v>
      </c>
      <c r="CH26" s="12">
        <v>95</v>
      </c>
      <c r="CI26" s="12">
        <v>84</v>
      </c>
      <c r="CJ26" s="12">
        <v>39</v>
      </c>
      <c r="CK26" s="12">
        <v>67</v>
      </c>
      <c r="CL26" s="12">
        <v>94</v>
      </c>
      <c r="CM26" s="12">
        <v>137</v>
      </c>
      <c r="CN26" s="12">
        <v>169</v>
      </c>
      <c r="CO26" s="12">
        <v>300</v>
      </c>
      <c r="CP26" s="12">
        <v>123</v>
      </c>
      <c r="CQ26" s="12">
        <v>94</v>
      </c>
      <c r="CR26" s="12">
        <v>137</v>
      </c>
      <c r="CS26" s="12">
        <v>148</v>
      </c>
      <c r="CT26" s="12">
        <v>142</v>
      </c>
      <c r="CU26" s="12">
        <v>31</v>
      </c>
      <c r="CV26" s="12">
        <v>29</v>
      </c>
      <c r="CW26" s="12">
        <v>56</v>
      </c>
      <c r="CX26" s="12">
        <v>139</v>
      </c>
      <c r="CY26" s="12">
        <v>129</v>
      </c>
      <c r="CZ26" s="12">
        <v>182</v>
      </c>
      <c r="DA26" s="12">
        <v>203</v>
      </c>
      <c r="DB26" s="12">
        <v>183</v>
      </c>
      <c r="DC26" s="12">
        <v>134</v>
      </c>
      <c r="DD26" s="12">
        <v>111</v>
      </c>
      <c r="DE26" s="12">
        <v>134</v>
      </c>
      <c r="DF26" s="12">
        <v>167</v>
      </c>
      <c r="DG26" s="12">
        <v>143</v>
      </c>
      <c r="DH26" s="12">
        <v>73</v>
      </c>
      <c r="DI26" s="14">
        <v>135</v>
      </c>
      <c r="DJ26" s="14">
        <v>131</v>
      </c>
      <c r="DK26" s="14">
        <v>177</v>
      </c>
      <c r="DL26" s="14">
        <v>1525</v>
      </c>
      <c r="DM26" s="14">
        <v>247</v>
      </c>
      <c r="DN26" s="14">
        <v>96</v>
      </c>
      <c r="DO26" s="14">
        <v>131</v>
      </c>
      <c r="DP26" s="14">
        <v>118</v>
      </c>
      <c r="DQ26" s="14">
        <v>138</v>
      </c>
      <c r="DR26" s="14">
        <v>139</v>
      </c>
      <c r="DS26" s="14">
        <v>181</v>
      </c>
      <c r="DT26" s="14">
        <v>166</v>
      </c>
      <c r="DU26" s="14">
        <v>123</v>
      </c>
      <c r="DV26" s="14">
        <v>160</v>
      </c>
      <c r="DW26" s="14">
        <v>91</v>
      </c>
      <c r="DX26" s="14">
        <v>120</v>
      </c>
      <c r="DY26" s="14">
        <v>176</v>
      </c>
      <c r="DZ26" s="14">
        <v>105</v>
      </c>
      <c r="EA26" s="14">
        <v>51</v>
      </c>
      <c r="EB26" s="14">
        <v>62</v>
      </c>
      <c r="EC26" s="14">
        <v>61</v>
      </c>
      <c r="ED26" s="14">
        <v>71</v>
      </c>
      <c r="EE26" s="14">
        <v>58</v>
      </c>
      <c r="EF26" s="14">
        <v>81</v>
      </c>
      <c r="EG26" s="14">
        <v>28</v>
      </c>
      <c r="EH26" s="14">
        <v>23</v>
      </c>
      <c r="EI26" s="14">
        <v>138</v>
      </c>
      <c r="EJ26" s="14">
        <v>44</v>
      </c>
      <c r="EK26" s="14">
        <v>98</v>
      </c>
      <c r="EL26" s="14">
        <v>59</v>
      </c>
      <c r="EM26" s="14">
        <v>64</v>
      </c>
      <c r="EN26" s="14">
        <v>63</v>
      </c>
      <c r="EO26" s="14">
        <v>51</v>
      </c>
      <c r="EP26" s="14">
        <v>62</v>
      </c>
      <c r="EQ26" s="14">
        <v>56</v>
      </c>
      <c r="ER26" s="14">
        <v>46</v>
      </c>
      <c r="ES26" s="14">
        <v>66</v>
      </c>
      <c r="ET26" s="14">
        <v>84</v>
      </c>
      <c r="EU26" s="14">
        <v>69</v>
      </c>
      <c r="EV26" s="14">
        <v>77</v>
      </c>
      <c r="EW26" s="14">
        <v>130</v>
      </c>
      <c r="EX26" s="14">
        <v>48</v>
      </c>
      <c r="EY26" s="14">
        <v>36</v>
      </c>
      <c r="EZ26" s="14">
        <v>41</v>
      </c>
      <c r="FA26" s="14">
        <v>84</v>
      </c>
      <c r="FB26" s="14">
        <v>65</v>
      </c>
      <c r="FC26" s="14">
        <v>90</v>
      </c>
      <c r="FD26" s="14">
        <v>80</v>
      </c>
      <c r="FE26" s="14">
        <v>112</v>
      </c>
      <c r="FF26" s="14">
        <v>79</v>
      </c>
      <c r="FG26" s="14">
        <v>91</v>
      </c>
      <c r="FH26" s="14">
        <v>109</v>
      </c>
      <c r="FI26" s="14">
        <v>141</v>
      </c>
      <c r="FJ26" s="14">
        <v>98</v>
      </c>
      <c r="FK26" s="14">
        <v>199</v>
      </c>
      <c r="FL26" s="14"/>
      <c r="FM26" s="14"/>
      <c r="FN26" s="14"/>
      <c r="FR26" s="12">
        <f t="shared" si="26"/>
        <v>0</v>
      </c>
      <c r="FS26" s="12">
        <f t="shared" si="27"/>
        <v>0</v>
      </c>
      <c r="FT26" s="12">
        <f t="shared" si="28"/>
        <v>0</v>
      </c>
      <c r="FU26" s="12">
        <f t="shared" si="29"/>
        <v>0</v>
      </c>
      <c r="FV26" s="12">
        <f t="shared" si="30"/>
        <v>0</v>
      </c>
      <c r="FW26" s="12">
        <f t="shared" si="31"/>
        <v>0</v>
      </c>
      <c r="FX26" s="12">
        <f t="shared" si="32"/>
        <v>0</v>
      </c>
      <c r="FY26" s="12">
        <f t="shared" si="33"/>
        <v>0</v>
      </c>
      <c r="FZ26" s="12">
        <f t="shared" si="34"/>
        <v>0</v>
      </c>
      <c r="GA26" s="12">
        <f t="shared" si="35"/>
        <v>0</v>
      </c>
      <c r="GB26" s="12">
        <f t="shared" si="36"/>
        <v>0</v>
      </c>
      <c r="GC26" s="12">
        <f t="shared" si="37"/>
        <v>0</v>
      </c>
      <c r="GD26" s="12">
        <f t="shared" si="38"/>
        <v>0</v>
      </c>
      <c r="GE26" s="12">
        <f t="shared" si="39"/>
        <v>0</v>
      </c>
      <c r="GF26" s="12">
        <f t="shared" si="40"/>
        <v>0</v>
      </c>
      <c r="GG26" s="12">
        <f t="shared" si="41"/>
        <v>0</v>
      </c>
      <c r="GH26" s="12">
        <f t="shared" si="42"/>
        <v>0</v>
      </c>
      <c r="GI26" s="12">
        <f t="shared" si="43"/>
        <v>0</v>
      </c>
      <c r="GJ26" s="12">
        <f t="shared" si="44"/>
        <v>0</v>
      </c>
      <c r="GK26" s="12">
        <f t="shared" si="45"/>
        <v>0</v>
      </c>
      <c r="GL26" s="12">
        <f t="shared" si="46"/>
        <v>0</v>
      </c>
      <c r="GM26" s="12">
        <f t="shared" si="47"/>
        <v>0</v>
      </c>
      <c r="GN26" s="12">
        <f t="shared" si="48"/>
        <v>0</v>
      </c>
      <c r="GO26" s="12">
        <f t="shared" si="49"/>
        <v>0</v>
      </c>
      <c r="GP26" s="12">
        <f t="shared" si="50"/>
        <v>221</v>
      </c>
      <c r="GQ26" s="12">
        <f t="shared" si="51"/>
        <v>309</v>
      </c>
      <c r="GR26" s="12">
        <f t="shared" si="52"/>
        <v>215</v>
      </c>
      <c r="GS26" s="12">
        <f t="shared" si="53"/>
        <v>177</v>
      </c>
      <c r="GT26" s="12">
        <f t="shared" si="54"/>
        <v>190</v>
      </c>
      <c r="GU26" s="12">
        <f t="shared" si="55"/>
        <v>400</v>
      </c>
      <c r="GV26" s="12">
        <f t="shared" si="56"/>
        <v>517</v>
      </c>
      <c r="GW26" s="12">
        <f t="shared" si="57"/>
        <v>427</v>
      </c>
      <c r="GX26" s="12">
        <f t="shared" si="58"/>
        <v>116</v>
      </c>
      <c r="GY26" s="12">
        <f t="shared" si="59"/>
        <v>450</v>
      </c>
      <c r="GZ26" s="12">
        <f t="shared" si="2"/>
        <v>520</v>
      </c>
      <c r="HA26" s="12">
        <f t="shared" si="3"/>
        <v>412</v>
      </c>
      <c r="HB26" s="12">
        <f t="shared" si="4"/>
        <v>216</v>
      </c>
      <c r="HC26" s="12">
        <f t="shared" si="5"/>
        <v>1833</v>
      </c>
      <c r="HD26" s="12">
        <f t="shared" si="6"/>
        <v>474</v>
      </c>
      <c r="HE26" s="12">
        <f t="shared" si="7"/>
        <v>395</v>
      </c>
      <c r="HF26" s="12">
        <f t="shared" si="8"/>
        <v>470</v>
      </c>
      <c r="HG26" s="12">
        <f t="shared" si="9"/>
        <v>371</v>
      </c>
      <c r="HH26" s="12">
        <f t="shared" si="10"/>
        <v>332</v>
      </c>
      <c r="HI26" s="12">
        <f t="shared" si="11"/>
        <v>194</v>
      </c>
      <c r="HJ26" s="12">
        <f t="shared" si="12"/>
        <v>167</v>
      </c>
      <c r="HK26" s="12">
        <f t="shared" si="13"/>
        <v>205</v>
      </c>
      <c r="HL26" s="12">
        <f t="shared" si="14"/>
        <v>221</v>
      </c>
      <c r="HM26" s="12">
        <f t="shared" si="15"/>
        <v>176</v>
      </c>
      <c r="HN26" s="12">
        <f t="shared" si="60"/>
        <v>167</v>
      </c>
      <c r="HO26" s="12">
        <f t="shared" si="61"/>
        <v>205</v>
      </c>
      <c r="HP26" s="12">
        <f t="shared" si="62"/>
        <v>221</v>
      </c>
      <c r="HQ26" s="12">
        <f t="shared" si="63"/>
        <v>176</v>
      </c>
      <c r="HR26" s="12">
        <f t="shared" si="64"/>
        <v>168</v>
      </c>
      <c r="HS26" s="12">
        <f t="shared" si="65"/>
        <v>230</v>
      </c>
      <c r="HT26" s="12">
        <f t="shared" si="16"/>
        <v>214</v>
      </c>
      <c r="HU26" s="12">
        <f t="shared" si="17"/>
        <v>190</v>
      </c>
      <c r="HV26" s="12">
        <f t="shared" si="18"/>
        <v>282</v>
      </c>
      <c r="HW26" s="12">
        <f t="shared" si="19"/>
        <v>279</v>
      </c>
      <c r="HX26" s="12">
        <f t="shared" si="20"/>
        <v>438</v>
      </c>
      <c r="IB26" s="12">
        <f t="shared" si="66"/>
        <v>0</v>
      </c>
      <c r="IC26" s="12">
        <f t="shared" si="67"/>
        <v>0</v>
      </c>
      <c r="ID26" s="12">
        <f t="shared" si="68"/>
        <v>0</v>
      </c>
      <c r="IE26" s="12">
        <f t="shared" si="69"/>
        <v>0</v>
      </c>
      <c r="IF26" s="12">
        <f t="shared" si="70"/>
        <v>0</v>
      </c>
      <c r="IG26" s="12">
        <f t="shared" si="71"/>
        <v>0</v>
      </c>
      <c r="IH26" s="12">
        <f t="shared" si="72"/>
        <v>922</v>
      </c>
      <c r="II26" s="12">
        <f t="shared" si="73"/>
        <v>1534</v>
      </c>
      <c r="IJ26" s="12">
        <f t="shared" si="21"/>
        <v>1498</v>
      </c>
      <c r="IK26" s="12">
        <f t="shared" si="22"/>
        <v>3053</v>
      </c>
      <c r="IL26" s="12">
        <f t="shared" si="23"/>
        <v>1367</v>
      </c>
      <c r="IM26" s="12">
        <f t="shared" si="24"/>
        <v>769</v>
      </c>
      <c r="IN26" s="12">
        <f t="shared" si="25"/>
        <v>802</v>
      </c>
    </row>
    <row r="27" spans="1:248" outlineLevel="1" x14ac:dyDescent="0.3">
      <c r="A27" s="15" t="s">
        <v>87</v>
      </c>
      <c r="B27" s="15"/>
      <c r="C27" s="16">
        <f t="shared" ref="C27:BN27" si="80">+SUM(C23:C26)</f>
        <v>3360</v>
      </c>
      <c r="D27" s="16">
        <f t="shared" si="80"/>
        <v>1993</v>
      </c>
      <c r="E27" s="16">
        <f t="shared" si="80"/>
        <v>2237</v>
      </c>
      <c r="F27" s="16">
        <f t="shared" si="80"/>
        <v>2239</v>
      </c>
      <c r="G27" s="16">
        <f t="shared" si="80"/>
        <v>1526</v>
      </c>
      <c r="H27" s="16">
        <f t="shared" si="80"/>
        <v>2197</v>
      </c>
      <c r="I27" s="16">
        <f t="shared" si="80"/>
        <v>5494</v>
      </c>
      <c r="J27" s="16">
        <f t="shared" si="80"/>
        <v>1702</v>
      </c>
      <c r="K27" s="16">
        <f t="shared" si="80"/>
        <v>1800</v>
      </c>
      <c r="L27" s="16">
        <f t="shared" si="80"/>
        <v>2512</v>
      </c>
      <c r="M27" s="16">
        <f t="shared" si="80"/>
        <v>2012</v>
      </c>
      <c r="N27" s="16">
        <f t="shared" si="80"/>
        <v>2747</v>
      </c>
      <c r="O27" s="16">
        <f t="shared" si="80"/>
        <v>4308</v>
      </c>
      <c r="P27" s="16">
        <f t="shared" si="80"/>
        <v>2516</v>
      </c>
      <c r="Q27" s="16">
        <f t="shared" si="80"/>
        <v>3010</v>
      </c>
      <c r="R27" s="16">
        <f t="shared" si="80"/>
        <v>2724</v>
      </c>
      <c r="S27" s="16">
        <f t="shared" si="80"/>
        <v>2002</v>
      </c>
      <c r="T27" s="16">
        <f t="shared" si="80"/>
        <v>3065</v>
      </c>
      <c r="U27" s="16">
        <f t="shared" si="80"/>
        <v>7107</v>
      </c>
      <c r="V27" s="16">
        <f t="shared" si="80"/>
        <v>1957</v>
      </c>
      <c r="W27" s="16">
        <f t="shared" si="80"/>
        <v>2337</v>
      </c>
      <c r="X27" s="16">
        <f t="shared" si="80"/>
        <v>3084</v>
      </c>
      <c r="Y27" s="16">
        <f t="shared" si="80"/>
        <v>2559</v>
      </c>
      <c r="Z27" s="16">
        <f t="shared" si="80"/>
        <v>2809</v>
      </c>
      <c r="AA27" s="17">
        <f t="shared" si="80"/>
        <v>3902</v>
      </c>
      <c r="AB27" s="17">
        <f t="shared" si="80"/>
        <v>2648</v>
      </c>
      <c r="AC27" s="17">
        <f t="shared" si="80"/>
        <v>2919</v>
      </c>
      <c r="AD27" s="17">
        <f t="shared" si="80"/>
        <v>2519</v>
      </c>
      <c r="AE27" s="17">
        <f t="shared" si="80"/>
        <v>1301</v>
      </c>
      <c r="AF27" s="17">
        <f t="shared" si="80"/>
        <v>2783</v>
      </c>
      <c r="AG27" s="17">
        <f t="shared" si="80"/>
        <v>4946</v>
      </c>
      <c r="AH27" s="17">
        <f t="shared" si="80"/>
        <v>1305</v>
      </c>
      <c r="AI27" s="17">
        <f t="shared" si="80"/>
        <v>1244</v>
      </c>
      <c r="AJ27" s="17">
        <f t="shared" si="80"/>
        <v>1998</v>
      </c>
      <c r="AK27" s="17">
        <f t="shared" si="80"/>
        <v>1584</v>
      </c>
      <c r="AL27" s="18">
        <f t="shared" si="80"/>
        <v>2216</v>
      </c>
      <c r="AM27" s="17">
        <f t="shared" si="80"/>
        <v>2504</v>
      </c>
      <c r="AN27" s="17">
        <f t="shared" si="80"/>
        <v>2177</v>
      </c>
      <c r="AO27" s="17">
        <f t="shared" si="80"/>
        <v>2800</v>
      </c>
      <c r="AP27" s="17">
        <f t="shared" si="80"/>
        <v>2594</v>
      </c>
      <c r="AQ27" s="17">
        <f t="shared" si="80"/>
        <v>1553</v>
      </c>
      <c r="AR27" s="17">
        <f t="shared" si="80"/>
        <v>2162</v>
      </c>
      <c r="AS27" s="17">
        <f t="shared" si="80"/>
        <v>4691</v>
      </c>
      <c r="AT27" s="17">
        <f t="shared" si="80"/>
        <v>1941</v>
      </c>
      <c r="AU27" s="17">
        <f t="shared" si="80"/>
        <v>1663</v>
      </c>
      <c r="AV27" s="17">
        <f t="shared" si="80"/>
        <v>2832</v>
      </c>
      <c r="AW27" s="17">
        <f t="shared" si="80"/>
        <v>2441</v>
      </c>
      <c r="AX27" s="17">
        <f t="shared" si="80"/>
        <v>2817</v>
      </c>
      <c r="AY27" s="17">
        <f t="shared" si="80"/>
        <v>3999</v>
      </c>
      <c r="AZ27" s="17">
        <f t="shared" si="80"/>
        <v>3166</v>
      </c>
      <c r="BA27" s="17">
        <f t="shared" si="80"/>
        <v>3722</v>
      </c>
      <c r="BB27" s="17">
        <f t="shared" si="80"/>
        <v>3072</v>
      </c>
      <c r="BC27" s="17">
        <f t="shared" si="80"/>
        <v>2175</v>
      </c>
      <c r="BD27" s="17">
        <f t="shared" si="80"/>
        <v>3444</v>
      </c>
      <c r="BE27" s="17">
        <f t="shared" si="80"/>
        <v>8401</v>
      </c>
      <c r="BF27" s="17">
        <f t="shared" si="80"/>
        <v>3185</v>
      </c>
      <c r="BG27" s="17">
        <f t="shared" si="80"/>
        <v>2229</v>
      </c>
      <c r="BH27" s="17">
        <f t="shared" si="80"/>
        <v>3331</v>
      </c>
      <c r="BI27" s="17">
        <f t="shared" si="80"/>
        <v>2905</v>
      </c>
      <c r="BJ27" s="17">
        <f t="shared" si="80"/>
        <v>4551</v>
      </c>
      <c r="BK27" s="17">
        <f t="shared" si="80"/>
        <v>5083</v>
      </c>
      <c r="BL27" s="17">
        <f t="shared" si="80"/>
        <v>3826</v>
      </c>
      <c r="BM27" s="17">
        <f t="shared" si="80"/>
        <v>3798</v>
      </c>
      <c r="BN27" s="17">
        <f t="shared" si="80"/>
        <v>4174</v>
      </c>
      <c r="BO27" s="17">
        <f t="shared" ref="BO27:DA27" si="81">+SUM(BO23:BO26)</f>
        <v>3217</v>
      </c>
      <c r="BP27" s="17">
        <f t="shared" si="81"/>
        <v>7868</v>
      </c>
      <c r="BQ27" s="17">
        <f t="shared" si="81"/>
        <v>9778</v>
      </c>
      <c r="BR27" s="17">
        <f t="shared" si="81"/>
        <v>4009</v>
      </c>
      <c r="BS27" s="17">
        <f t="shared" si="81"/>
        <v>3480</v>
      </c>
      <c r="BT27" s="17">
        <f t="shared" si="81"/>
        <v>5842</v>
      </c>
      <c r="BU27" s="17">
        <f t="shared" si="81"/>
        <v>4551</v>
      </c>
      <c r="BV27" s="17">
        <f t="shared" si="81"/>
        <v>6573</v>
      </c>
      <c r="BW27" s="17">
        <f t="shared" si="81"/>
        <v>5851</v>
      </c>
      <c r="BX27" s="17">
        <f t="shared" si="81"/>
        <v>5681</v>
      </c>
      <c r="BY27" s="17">
        <f t="shared" si="81"/>
        <v>6847</v>
      </c>
      <c r="BZ27" s="17">
        <f t="shared" si="81"/>
        <v>4760</v>
      </c>
      <c r="CA27" s="17">
        <f t="shared" si="81"/>
        <v>4449</v>
      </c>
      <c r="CB27" s="17">
        <f t="shared" si="81"/>
        <v>6717</v>
      </c>
      <c r="CC27" s="17">
        <f t="shared" si="81"/>
        <v>12193</v>
      </c>
      <c r="CD27" s="17">
        <f t="shared" si="81"/>
        <v>3427</v>
      </c>
      <c r="CE27" s="17">
        <f t="shared" si="81"/>
        <v>4151</v>
      </c>
      <c r="CF27" s="17">
        <f t="shared" si="81"/>
        <v>4731</v>
      </c>
      <c r="CG27" s="17">
        <f t="shared" si="81"/>
        <v>3735</v>
      </c>
      <c r="CH27" s="17">
        <f t="shared" si="81"/>
        <v>5590</v>
      </c>
      <c r="CI27" s="17">
        <f t="shared" si="81"/>
        <v>4909</v>
      </c>
      <c r="CJ27" s="17">
        <f t="shared" si="81"/>
        <v>4951</v>
      </c>
      <c r="CK27" s="17">
        <f t="shared" si="81"/>
        <v>6683</v>
      </c>
      <c r="CL27" s="17">
        <f t="shared" si="81"/>
        <v>4245</v>
      </c>
      <c r="CM27" s="17">
        <f t="shared" si="81"/>
        <v>4012</v>
      </c>
      <c r="CN27" s="17">
        <f t="shared" si="81"/>
        <v>6010</v>
      </c>
      <c r="CO27" s="17">
        <f t="shared" si="81"/>
        <v>10716</v>
      </c>
      <c r="CP27" s="17">
        <f t="shared" si="81"/>
        <v>5202</v>
      </c>
      <c r="CQ27" s="17">
        <f t="shared" si="81"/>
        <v>4695</v>
      </c>
      <c r="CR27" s="17">
        <f t="shared" si="81"/>
        <v>6926</v>
      </c>
      <c r="CS27" s="17">
        <f t="shared" si="81"/>
        <v>6220</v>
      </c>
      <c r="CT27" s="17">
        <f t="shared" si="81"/>
        <v>3753</v>
      </c>
      <c r="CU27" s="17">
        <f t="shared" si="81"/>
        <v>1150</v>
      </c>
      <c r="CV27" s="17">
        <f t="shared" si="81"/>
        <v>3411</v>
      </c>
      <c r="CW27" s="17">
        <f t="shared" si="81"/>
        <v>5861</v>
      </c>
      <c r="CX27" s="17">
        <f t="shared" si="81"/>
        <v>7521</v>
      </c>
      <c r="CY27" s="17">
        <f t="shared" si="81"/>
        <v>7428</v>
      </c>
      <c r="CZ27" s="17">
        <f t="shared" si="81"/>
        <v>9805</v>
      </c>
      <c r="DA27" s="17">
        <f t="shared" si="81"/>
        <v>11973</v>
      </c>
      <c r="DB27" s="17">
        <f>+SUM(DB23:DB26)</f>
        <v>7825</v>
      </c>
      <c r="DC27" s="17">
        <v>7315</v>
      </c>
      <c r="DD27" s="17">
        <v>8090</v>
      </c>
      <c r="DE27" s="17">
        <v>7079</v>
      </c>
      <c r="DF27" s="17">
        <v>8144</v>
      </c>
      <c r="DG27" s="17">
        <v>6450</v>
      </c>
      <c r="DH27" s="17">
        <v>4321</v>
      </c>
      <c r="DI27" s="19">
        <v>8287</v>
      </c>
      <c r="DJ27" s="19">
        <v>7244</v>
      </c>
      <c r="DK27" s="19">
        <v>7158</v>
      </c>
      <c r="DL27" s="19">
        <v>7993</v>
      </c>
      <c r="DM27" s="19">
        <v>11078</v>
      </c>
      <c r="DN27" s="19">
        <v>5243</v>
      </c>
      <c r="DO27" s="19">
        <v>4663</v>
      </c>
      <c r="DP27" s="19">
        <v>5315</v>
      </c>
      <c r="DQ27" s="19">
        <v>5435</v>
      </c>
      <c r="DR27" s="19">
        <v>6121</v>
      </c>
      <c r="DS27" s="19">
        <v>6992</v>
      </c>
      <c r="DT27" s="19">
        <v>7160</v>
      </c>
      <c r="DU27" s="19">
        <v>8036</v>
      </c>
      <c r="DV27" s="19">
        <v>6540</v>
      </c>
      <c r="DW27" s="19">
        <v>4559</v>
      </c>
      <c r="DX27" s="19">
        <v>8898</v>
      </c>
      <c r="DY27" s="19">
        <v>11373</v>
      </c>
      <c r="DZ27" s="19">
        <v>5255</v>
      </c>
      <c r="EA27" s="19">
        <v>5433</v>
      </c>
      <c r="EB27" s="19">
        <v>6720</v>
      </c>
      <c r="EC27" s="19">
        <v>5761</v>
      </c>
      <c r="ED27" s="19">
        <v>5931</v>
      </c>
      <c r="EE27" s="19">
        <v>5487</v>
      </c>
      <c r="EF27" s="19">
        <v>6586</v>
      </c>
      <c r="EG27" s="19">
        <v>7662</v>
      </c>
      <c r="EH27" s="19">
        <v>5054</v>
      </c>
      <c r="EI27" s="19">
        <v>4986</v>
      </c>
      <c r="EJ27" s="19">
        <v>6147</v>
      </c>
      <c r="EK27" s="19">
        <v>10682</v>
      </c>
      <c r="EL27" s="19">
        <v>4567</v>
      </c>
      <c r="EM27" s="19">
        <v>4223</v>
      </c>
      <c r="EN27" s="19">
        <v>5454</v>
      </c>
      <c r="EO27" s="19">
        <v>5037</v>
      </c>
      <c r="EP27" s="19">
        <v>5523</v>
      </c>
      <c r="EQ27" s="19">
        <v>5779</v>
      </c>
      <c r="ER27" s="19">
        <v>7210</v>
      </c>
      <c r="ES27" s="19">
        <v>8023</v>
      </c>
      <c r="ET27" s="19">
        <v>5613</v>
      </c>
      <c r="EU27" s="19">
        <v>4770</v>
      </c>
      <c r="EV27" s="19">
        <v>7004</v>
      </c>
      <c r="EW27" s="19">
        <v>11483</v>
      </c>
      <c r="EX27" s="19">
        <v>5508</v>
      </c>
      <c r="EY27" s="19">
        <v>5192</v>
      </c>
      <c r="EZ27" s="19">
        <v>6484</v>
      </c>
      <c r="FA27" s="19">
        <v>5771</v>
      </c>
      <c r="FB27" s="19">
        <v>6936</v>
      </c>
      <c r="FC27" s="19">
        <v>6856</v>
      </c>
      <c r="FD27" s="19">
        <v>8258</v>
      </c>
      <c r="FE27" s="19">
        <v>8809</v>
      </c>
      <c r="FF27" s="19">
        <v>6755</v>
      </c>
      <c r="FG27" s="19">
        <v>5916</v>
      </c>
      <c r="FH27" s="19">
        <v>9240</v>
      </c>
      <c r="FI27" s="19">
        <v>11893</v>
      </c>
      <c r="FJ27" s="19">
        <v>8788</v>
      </c>
      <c r="FK27" s="19">
        <v>8788</v>
      </c>
      <c r="FL27" s="20"/>
      <c r="FM27" s="20"/>
      <c r="FN27" s="20"/>
      <c r="FR27" s="17">
        <f t="shared" si="26"/>
        <v>7590</v>
      </c>
      <c r="FS27" s="17">
        <f t="shared" si="27"/>
        <v>5962</v>
      </c>
      <c r="FT27" s="17">
        <f t="shared" si="28"/>
        <v>8996</v>
      </c>
      <c r="FU27" s="17">
        <f t="shared" si="29"/>
        <v>7271</v>
      </c>
      <c r="FV27" s="17">
        <f t="shared" si="30"/>
        <v>9834</v>
      </c>
      <c r="FW27" s="17">
        <f t="shared" si="31"/>
        <v>7791</v>
      </c>
      <c r="FX27" s="17">
        <f t="shared" si="32"/>
        <v>11401</v>
      </c>
      <c r="FY27" s="17">
        <f t="shared" si="33"/>
        <v>8452</v>
      </c>
      <c r="FZ27" s="17">
        <f t="shared" si="34"/>
        <v>9469</v>
      </c>
      <c r="GA27" s="17">
        <f t="shared" si="35"/>
        <v>6603</v>
      </c>
      <c r="GB27" s="17">
        <f t="shared" si="36"/>
        <v>7495</v>
      </c>
      <c r="GC27" s="17">
        <f t="shared" si="37"/>
        <v>5798</v>
      </c>
      <c r="GD27" s="17">
        <f t="shared" si="38"/>
        <v>7481</v>
      </c>
      <c r="GE27" s="17">
        <f t="shared" si="39"/>
        <v>6309</v>
      </c>
      <c r="GF27" s="17">
        <f t="shared" si="40"/>
        <v>8295</v>
      </c>
      <c r="GG27" s="17">
        <f t="shared" si="41"/>
        <v>8090</v>
      </c>
      <c r="GH27" s="17">
        <f t="shared" si="42"/>
        <v>10887</v>
      </c>
      <c r="GI27" s="17">
        <f t="shared" si="43"/>
        <v>8691</v>
      </c>
      <c r="GJ27" s="17">
        <f t="shared" si="44"/>
        <v>13815</v>
      </c>
      <c r="GK27" s="17">
        <f t="shared" si="45"/>
        <v>10787</v>
      </c>
      <c r="GL27" s="17">
        <f t="shared" si="46"/>
        <v>12707</v>
      </c>
      <c r="GM27" s="17">
        <f t="shared" si="47"/>
        <v>15259</v>
      </c>
      <c r="GN27" s="17">
        <f t="shared" si="48"/>
        <v>17267</v>
      </c>
      <c r="GO27" s="17">
        <f t="shared" si="49"/>
        <v>16966</v>
      </c>
      <c r="GP27" s="17">
        <f t="shared" si="50"/>
        <v>18379</v>
      </c>
      <c r="GQ27" s="17">
        <f t="shared" si="51"/>
        <v>15926</v>
      </c>
      <c r="GR27" s="17">
        <f t="shared" si="52"/>
        <v>19771</v>
      </c>
      <c r="GS27" s="17">
        <f t="shared" si="53"/>
        <v>14056</v>
      </c>
      <c r="GT27" s="17">
        <f t="shared" si="54"/>
        <v>16543</v>
      </c>
      <c r="GU27" s="17">
        <f t="shared" si="55"/>
        <v>14267</v>
      </c>
      <c r="GV27" s="17">
        <f t="shared" si="56"/>
        <v>20613</v>
      </c>
      <c r="GW27" s="17">
        <f t="shared" si="57"/>
        <v>16899</v>
      </c>
      <c r="GX27" s="17">
        <f t="shared" si="58"/>
        <v>10422</v>
      </c>
      <c r="GY27" s="17">
        <f t="shared" si="59"/>
        <v>24754</v>
      </c>
      <c r="GZ27" s="17">
        <f t="shared" si="2"/>
        <v>27113</v>
      </c>
      <c r="HA27" s="17">
        <f t="shared" si="3"/>
        <v>23313</v>
      </c>
      <c r="HB27" s="17">
        <f t="shared" si="4"/>
        <v>10771</v>
      </c>
      <c r="HC27" s="17">
        <f t="shared" si="5"/>
        <v>22395</v>
      </c>
      <c r="HD27" s="17">
        <f t="shared" si="6"/>
        <v>20984</v>
      </c>
      <c r="HE27" s="17">
        <f t="shared" si="7"/>
        <v>16871</v>
      </c>
      <c r="HF27" s="17">
        <f t="shared" si="8"/>
        <v>22188</v>
      </c>
      <c r="HG27" s="17">
        <f t="shared" si="9"/>
        <v>19997</v>
      </c>
      <c r="HH27" s="17">
        <f t="shared" si="10"/>
        <v>22061</v>
      </c>
      <c r="HI27" s="17">
        <f t="shared" si="11"/>
        <v>18412</v>
      </c>
      <c r="HJ27" s="17">
        <f t="shared" si="12"/>
        <v>19735</v>
      </c>
      <c r="HK27" s="17">
        <f t="shared" si="13"/>
        <v>16187</v>
      </c>
      <c r="HL27" s="17">
        <f t="shared" si="14"/>
        <v>19472</v>
      </c>
      <c r="HM27" s="17">
        <f t="shared" si="15"/>
        <v>16014</v>
      </c>
      <c r="HN27" s="17">
        <f t="shared" si="60"/>
        <v>19735</v>
      </c>
      <c r="HO27" s="17">
        <f t="shared" si="61"/>
        <v>16187</v>
      </c>
      <c r="HP27" s="17">
        <f t="shared" si="62"/>
        <v>19472</v>
      </c>
      <c r="HQ27" s="17">
        <f t="shared" si="63"/>
        <v>16014</v>
      </c>
      <c r="HR27" s="17">
        <f t="shared" si="64"/>
        <v>21012</v>
      </c>
      <c r="HS27" s="17">
        <f t="shared" si="65"/>
        <v>17387</v>
      </c>
      <c r="HT27" s="17">
        <f t="shared" si="16"/>
        <v>22183</v>
      </c>
      <c r="HU27" s="17">
        <f t="shared" si="17"/>
        <v>19191</v>
      </c>
      <c r="HV27" s="17">
        <f t="shared" si="18"/>
        <v>23923</v>
      </c>
      <c r="HW27" s="17">
        <f t="shared" si="19"/>
        <v>21911</v>
      </c>
      <c r="HX27" s="17">
        <f t="shared" si="20"/>
        <v>29469</v>
      </c>
      <c r="IB27" s="17">
        <f t="shared" si="66"/>
        <v>29819</v>
      </c>
      <c r="IC27" s="17">
        <f t="shared" si="67"/>
        <v>37478</v>
      </c>
      <c r="ID27" s="17">
        <f t="shared" si="68"/>
        <v>29365</v>
      </c>
      <c r="IE27" s="17">
        <f t="shared" si="69"/>
        <v>30175</v>
      </c>
      <c r="IF27" s="17">
        <f t="shared" si="70"/>
        <v>44180</v>
      </c>
      <c r="IG27" s="17">
        <f t="shared" si="71"/>
        <v>62199</v>
      </c>
      <c r="IH27" s="17">
        <f t="shared" si="72"/>
        <v>68132</v>
      </c>
      <c r="II27" s="17">
        <f t="shared" si="73"/>
        <v>68322</v>
      </c>
      <c r="IJ27" s="17">
        <f t="shared" si="21"/>
        <v>85602</v>
      </c>
      <c r="IK27" s="17">
        <f t="shared" si="22"/>
        <v>79308</v>
      </c>
      <c r="IL27" s="17">
        <f t="shared" si="23"/>
        <v>82658</v>
      </c>
      <c r="IM27" s="17">
        <f t="shared" si="24"/>
        <v>71408</v>
      </c>
      <c r="IN27" s="17">
        <f t="shared" si="25"/>
        <v>79773</v>
      </c>
    </row>
    <row r="28" spans="1:248" outlineLevel="2" x14ac:dyDescent="0.3">
      <c r="A28" t="s">
        <v>88</v>
      </c>
      <c r="B28" t="s">
        <v>75</v>
      </c>
      <c r="C28" s="11">
        <v>6212</v>
      </c>
      <c r="D28" s="11">
        <v>7329</v>
      </c>
      <c r="E28" s="11">
        <v>10444</v>
      </c>
      <c r="F28" s="11">
        <v>7217</v>
      </c>
      <c r="G28" s="11">
        <v>5372</v>
      </c>
      <c r="H28" s="11">
        <v>8406</v>
      </c>
      <c r="I28" s="11">
        <v>13118</v>
      </c>
      <c r="J28" s="11">
        <v>8746</v>
      </c>
      <c r="K28" s="11">
        <v>5649</v>
      </c>
      <c r="L28" s="11">
        <v>4936</v>
      </c>
      <c r="M28" s="11">
        <v>4328</v>
      </c>
      <c r="N28" s="11">
        <v>4663</v>
      </c>
      <c r="O28" s="11">
        <v>6851</v>
      </c>
      <c r="P28" s="11">
        <v>7492</v>
      </c>
      <c r="Q28" s="11">
        <v>10094</v>
      </c>
      <c r="R28" s="11">
        <v>6180</v>
      </c>
      <c r="S28" s="11">
        <v>3958</v>
      </c>
      <c r="T28" s="11">
        <v>8526</v>
      </c>
      <c r="U28" s="11">
        <v>11999</v>
      </c>
      <c r="V28" s="11">
        <v>7151</v>
      </c>
      <c r="W28" s="11">
        <v>4763</v>
      </c>
      <c r="X28" s="11">
        <v>5508</v>
      </c>
      <c r="Y28" s="11">
        <v>4748</v>
      </c>
      <c r="Z28" s="11">
        <v>4492</v>
      </c>
      <c r="AA28" s="12">
        <v>6097</v>
      </c>
      <c r="AB28" s="12">
        <v>7215</v>
      </c>
      <c r="AC28" s="12">
        <v>11272</v>
      </c>
      <c r="AD28" s="12">
        <v>6323</v>
      </c>
      <c r="AE28" s="12">
        <v>4440</v>
      </c>
      <c r="AF28" s="12">
        <v>8983</v>
      </c>
      <c r="AG28" s="12">
        <v>10494</v>
      </c>
      <c r="AH28" s="12">
        <v>5008</v>
      </c>
      <c r="AI28" s="12">
        <v>3552</v>
      </c>
      <c r="AJ28" s="12">
        <v>4134</v>
      </c>
      <c r="AK28" s="12">
        <v>3226</v>
      </c>
      <c r="AL28" s="13">
        <v>2952</v>
      </c>
      <c r="AM28" s="12">
        <v>5224</v>
      </c>
      <c r="AN28" s="12">
        <v>5860</v>
      </c>
      <c r="AO28" s="12">
        <v>8758</v>
      </c>
      <c r="AP28" s="12">
        <v>5387</v>
      </c>
      <c r="AQ28" s="12">
        <v>3704</v>
      </c>
      <c r="AR28" s="12">
        <v>6315</v>
      </c>
      <c r="AS28" s="12">
        <v>9882</v>
      </c>
      <c r="AT28" s="12">
        <v>7793</v>
      </c>
      <c r="AU28" s="12">
        <v>3913</v>
      </c>
      <c r="AV28" s="12">
        <v>4269</v>
      </c>
      <c r="AW28" s="12">
        <v>3899</v>
      </c>
      <c r="AX28" s="12">
        <v>4100</v>
      </c>
      <c r="AY28" s="12">
        <v>6361</v>
      </c>
      <c r="AZ28" s="12">
        <v>7274</v>
      </c>
      <c r="BA28" s="12">
        <v>10672</v>
      </c>
      <c r="BB28" s="12">
        <v>5939</v>
      </c>
      <c r="BC28" s="12">
        <v>3764</v>
      </c>
      <c r="BD28" s="12">
        <v>10227</v>
      </c>
      <c r="BE28" s="12">
        <v>15499</v>
      </c>
      <c r="BF28" s="12">
        <v>5709</v>
      </c>
      <c r="BG28" s="12">
        <v>4026</v>
      </c>
      <c r="BH28" s="12">
        <v>4293</v>
      </c>
      <c r="BI28" s="12">
        <v>4116</v>
      </c>
      <c r="BJ28" s="12">
        <v>4912</v>
      </c>
      <c r="BK28" s="12">
        <v>7763</v>
      </c>
      <c r="BL28" s="12">
        <v>8451</v>
      </c>
      <c r="BM28" s="12">
        <v>12108</v>
      </c>
      <c r="BN28" s="12">
        <v>6400</v>
      </c>
      <c r="BO28" s="12">
        <v>4538</v>
      </c>
      <c r="BP28" s="12">
        <v>14355</v>
      </c>
      <c r="BQ28" s="12">
        <v>13294</v>
      </c>
      <c r="BR28" s="12">
        <v>6003</v>
      </c>
      <c r="BS28" s="12">
        <v>4392</v>
      </c>
      <c r="BT28" s="12">
        <v>5359</v>
      </c>
      <c r="BU28" s="12">
        <v>5363</v>
      </c>
      <c r="BV28" s="12">
        <v>7091</v>
      </c>
      <c r="BW28" s="12">
        <v>8947</v>
      </c>
      <c r="BX28" s="12">
        <v>9639</v>
      </c>
      <c r="BY28" s="12">
        <v>14401</v>
      </c>
      <c r="BZ28" s="12">
        <v>8143</v>
      </c>
      <c r="CA28" s="12">
        <v>5360</v>
      </c>
      <c r="CB28" s="12">
        <v>12031</v>
      </c>
      <c r="CC28" s="12">
        <v>16174</v>
      </c>
      <c r="CD28" s="12">
        <v>9222</v>
      </c>
      <c r="CE28" s="12">
        <v>5714</v>
      </c>
      <c r="CF28" s="12">
        <v>7225</v>
      </c>
      <c r="CG28" s="12">
        <v>6194</v>
      </c>
      <c r="CH28" s="12">
        <v>5304</v>
      </c>
      <c r="CI28" s="12">
        <v>9230</v>
      </c>
      <c r="CJ28" s="12">
        <v>8224</v>
      </c>
      <c r="CK28" s="12">
        <v>12568</v>
      </c>
      <c r="CL28" s="12">
        <v>7022</v>
      </c>
      <c r="CM28" s="12">
        <v>4124</v>
      </c>
      <c r="CN28" s="12">
        <v>12194</v>
      </c>
      <c r="CO28" s="12">
        <v>14848</v>
      </c>
      <c r="CP28" s="12">
        <v>6658</v>
      </c>
      <c r="CQ28" s="12">
        <v>5194</v>
      </c>
      <c r="CR28" s="12">
        <v>6209</v>
      </c>
      <c r="CS28" s="12">
        <v>5732</v>
      </c>
      <c r="CT28" s="12">
        <v>3165</v>
      </c>
      <c r="CU28" s="12">
        <v>1241</v>
      </c>
      <c r="CV28" s="12">
        <v>7251</v>
      </c>
      <c r="CW28" s="12">
        <v>11008</v>
      </c>
      <c r="CX28" s="12">
        <v>7212</v>
      </c>
      <c r="CY28" s="12">
        <v>5551</v>
      </c>
      <c r="CZ28" s="12">
        <v>12495</v>
      </c>
      <c r="DA28" s="12">
        <v>14459</v>
      </c>
      <c r="DB28" s="12">
        <v>9373</v>
      </c>
      <c r="DC28" s="12">
        <v>5045</v>
      </c>
      <c r="DD28" s="12">
        <v>8225</v>
      </c>
      <c r="DE28" s="12">
        <v>6663</v>
      </c>
      <c r="DF28" s="12">
        <v>8099</v>
      </c>
      <c r="DG28" s="12">
        <v>7221</v>
      </c>
      <c r="DH28" s="12">
        <v>5838</v>
      </c>
      <c r="DI28" s="14">
        <v>14754</v>
      </c>
      <c r="DJ28" s="14">
        <v>7997</v>
      </c>
      <c r="DK28" s="14">
        <v>5104</v>
      </c>
      <c r="DL28" s="14">
        <v>11288</v>
      </c>
      <c r="DM28" s="14">
        <v>14073</v>
      </c>
      <c r="DN28" s="14">
        <v>8437</v>
      </c>
      <c r="DO28" s="14">
        <v>4792</v>
      </c>
      <c r="DP28" s="14">
        <v>5953</v>
      </c>
      <c r="DQ28" s="14">
        <v>5291</v>
      </c>
      <c r="DR28" s="14">
        <v>7883</v>
      </c>
      <c r="DS28" s="14">
        <v>11033</v>
      </c>
      <c r="DT28" s="14">
        <v>10314</v>
      </c>
      <c r="DU28" s="14">
        <v>12807</v>
      </c>
      <c r="DV28" s="14">
        <v>7677</v>
      </c>
      <c r="DW28" s="14">
        <v>5957</v>
      </c>
      <c r="DX28" s="14">
        <v>14852</v>
      </c>
      <c r="DY28" s="14">
        <v>16048</v>
      </c>
      <c r="DZ28" s="14">
        <v>9020</v>
      </c>
      <c r="EA28" s="14">
        <v>5914</v>
      </c>
      <c r="EB28" s="14">
        <v>7092</v>
      </c>
      <c r="EC28" s="14">
        <v>5995</v>
      </c>
      <c r="ED28" s="14">
        <v>8781</v>
      </c>
      <c r="EE28" s="14">
        <v>9616</v>
      </c>
      <c r="EF28" s="14">
        <v>9413</v>
      </c>
      <c r="EG28" s="14">
        <v>14035</v>
      </c>
      <c r="EH28" s="14">
        <v>7556</v>
      </c>
      <c r="EI28" s="14">
        <v>5739</v>
      </c>
      <c r="EJ28" s="14">
        <v>12066</v>
      </c>
      <c r="EK28" s="14">
        <v>13930</v>
      </c>
      <c r="EL28" s="14">
        <v>9527</v>
      </c>
      <c r="EM28" s="14">
        <v>4576</v>
      </c>
      <c r="EN28" s="14">
        <v>5350</v>
      </c>
      <c r="EO28" s="14">
        <v>4688</v>
      </c>
      <c r="EP28" s="14">
        <v>5661</v>
      </c>
      <c r="EQ28" s="14">
        <v>8785</v>
      </c>
      <c r="ER28" s="14">
        <v>9762</v>
      </c>
      <c r="ES28" s="14">
        <v>13722</v>
      </c>
      <c r="ET28" s="14">
        <v>7165</v>
      </c>
      <c r="EU28" s="14">
        <v>4941</v>
      </c>
      <c r="EV28" s="14">
        <v>10509</v>
      </c>
      <c r="EW28" s="14">
        <v>16139</v>
      </c>
      <c r="EX28" s="14">
        <v>8145</v>
      </c>
      <c r="EY28" s="14">
        <v>5425</v>
      </c>
      <c r="EZ28" s="14">
        <v>6176</v>
      </c>
      <c r="FA28" s="14">
        <v>5508</v>
      </c>
      <c r="FB28" s="14">
        <v>6801</v>
      </c>
      <c r="FC28" s="14">
        <v>8649</v>
      </c>
      <c r="FD28" s="14">
        <v>8953</v>
      </c>
      <c r="FE28" s="14">
        <v>13806</v>
      </c>
      <c r="FF28" s="14">
        <v>6756</v>
      </c>
      <c r="FG28" s="14">
        <v>5380</v>
      </c>
      <c r="FH28" s="14">
        <v>14300</v>
      </c>
      <c r="FI28" s="14">
        <v>15748</v>
      </c>
      <c r="FJ28" s="14">
        <v>8424</v>
      </c>
      <c r="FK28" s="14">
        <v>5527</v>
      </c>
      <c r="FL28" s="14"/>
      <c r="FM28" s="14"/>
      <c r="FN28" s="14"/>
      <c r="FR28" s="12">
        <f t="shared" si="26"/>
        <v>23985</v>
      </c>
      <c r="FS28" s="12">
        <f t="shared" si="27"/>
        <v>20995</v>
      </c>
      <c r="FT28" s="12">
        <f t="shared" si="28"/>
        <v>27513</v>
      </c>
      <c r="FU28" s="12">
        <f t="shared" si="29"/>
        <v>13927</v>
      </c>
      <c r="FV28" s="12">
        <f t="shared" si="30"/>
        <v>24437</v>
      </c>
      <c r="FW28" s="12">
        <f t="shared" si="31"/>
        <v>18664</v>
      </c>
      <c r="FX28" s="12">
        <f t="shared" si="32"/>
        <v>23913</v>
      </c>
      <c r="FY28" s="12">
        <f t="shared" si="33"/>
        <v>14748</v>
      </c>
      <c r="FZ28" s="12">
        <f t="shared" si="34"/>
        <v>24584</v>
      </c>
      <c r="GA28" s="12">
        <f t="shared" si="35"/>
        <v>19746</v>
      </c>
      <c r="GB28" s="12">
        <f t="shared" si="36"/>
        <v>19054</v>
      </c>
      <c r="GC28" s="12">
        <f t="shared" si="37"/>
        <v>10312</v>
      </c>
      <c r="GD28" s="12">
        <f t="shared" si="38"/>
        <v>19842</v>
      </c>
      <c r="GE28" s="12">
        <f t="shared" si="39"/>
        <v>15406</v>
      </c>
      <c r="GF28" s="12">
        <f t="shared" si="40"/>
        <v>21588</v>
      </c>
      <c r="GG28" s="12">
        <f t="shared" si="41"/>
        <v>12268</v>
      </c>
      <c r="GH28" s="12">
        <f t="shared" si="42"/>
        <v>24307</v>
      </c>
      <c r="GI28" s="12">
        <f t="shared" si="43"/>
        <v>19930</v>
      </c>
      <c r="GJ28" s="12">
        <f t="shared" si="44"/>
        <v>25234</v>
      </c>
      <c r="GK28" s="12">
        <f t="shared" si="45"/>
        <v>13321</v>
      </c>
      <c r="GL28" s="12">
        <f t="shared" si="46"/>
        <v>28322</v>
      </c>
      <c r="GM28" s="12">
        <f t="shared" si="47"/>
        <v>25293</v>
      </c>
      <c r="GN28" s="12">
        <f t="shared" si="48"/>
        <v>23689</v>
      </c>
      <c r="GO28" s="12">
        <f t="shared" si="49"/>
        <v>17813</v>
      </c>
      <c r="GP28" s="12">
        <f t="shared" si="50"/>
        <v>32987</v>
      </c>
      <c r="GQ28" s="12">
        <f t="shared" si="51"/>
        <v>25534</v>
      </c>
      <c r="GR28" s="12">
        <f t="shared" si="52"/>
        <v>31110</v>
      </c>
      <c r="GS28" s="12">
        <f t="shared" si="53"/>
        <v>18723</v>
      </c>
      <c r="GT28" s="12">
        <f t="shared" si="54"/>
        <v>30022</v>
      </c>
      <c r="GU28" s="12">
        <f t="shared" si="55"/>
        <v>23340</v>
      </c>
      <c r="GV28" s="12">
        <f t="shared" si="56"/>
        <v>26700</v>
      </c>
      <c r="GW28" s="12">
        <f t="shared" si="57"/>
        <v>15106</v>
      </c>
      <c r="GX28" s="12">
        <f t="shared" si="58"/>
        <v>19500</v>
      </c>
      <c r="GY28" s="12">
        <f t="shared" si="59"/>
        <v>25258</v>
      </c>
      <c r="GZ28" s="12">
        <f t="shared" si="2"/>
        <v>28877</v>
      </c>
      <c r="HA28" s="12">
        <f t="shared" si="3"/>
        <v>22987</v>
      </c>
      <c r="HB28" s="12">
        <f t="shared" si="4"/>
        <v>13059</v>
      </c>
      <c r="HC28" s="12">
        <f t="shared" si="5"/>
        <v>24389</v>
      </c>
      <c r="HD28" s="12">
        <f t="shared" si="6"/>
        <v>27302</v>
      </c>
      <c r="HE28" s="12">
        <f t="shared" si="7"/>
        <v>19127</v>
      </c>
      <c r="HF28" s="12">
        <f t="shared" si="8"/>
        <v>34154</v>
      </c>
      <c r="HG28" s="12">
        <f t="shared" si="9"/>
        <v>28486</v>
      </c>
      <c r="HH28" s="12">
        <f t="shared" si="10"/>
        <v>30982</v>
      </c>
      <c r="HI28" s="12">
        <f t="shared" si="11"/>
        <v>21868</v>
      </c>
      <c r="HJ28" s="12">
        <f t="shared" si="12"/>
        <v>33064</v>
      </c>
      <c r="HK28" s="12">
        <f t="shared" si="13"/>
        <v>25361</v>
      </c>
      <c r="HL28" s="12">
        <f t="shared" si="14"/>
        <v>28033</v>
      </c>
      <c r="HM28" s="12">
        <f t="shared" si="15"/>
        <v>15699</v>
      </c>
      <c r="HN28" s="12">
        <f t="shared" si="60"/>
        <v>33064</v>
      </c>
      <c r="HO28" s="12">
        <f t="shared" si="61"/>
        <v>25361</v>
      </c>
      <c r="HP28" s="12">
        <f t="shared" si="62"/>
        <v>28033</v>
      </c>
      <c r="HQ28" s="12">
        <f t="shared" si="63"/>
        <v>15699</v>
      </c>
      <c r="HR28" s="12">
        <f t="shared" si="64"/>
        <v>32269</v>
      </c>
      <c r="HS28" s="12">
        <f t="shared" si="65"/>
        <v>22615</v>
      </c>
      <c r="HT28" s="12">
        <f t="shared" si="16"/>
        <v>29709</v>
      </c>
      <c r="HU28" s="12">
        <f t="shared" si="17"/>
        <v>18485</v>
      </c>
      <c r="HV28" s="12">
        <f t="shared" si="18"/>
        <v>31408</v>
      </c>
      <c r="HW28" s="12">
        <f t="shared" si="19"/>
        <v>26436</v>
      </c>
      <c r="HX28" s="12">
        <f t="shared" si="20"/>
        <v>29699</v>
      </c>
      <c r="IB28" s="12">
        <f t="shared" si="66"/>
        <v>86420</v>
      </c>
      <c r="IC28" s="12">
        <f t="shared" si="67"/>
        <v>81762</v>
      </c>
      <c r="ID28" s="12">
        <f t="shared" si="68"/>
        <v>73696</v>
      </c>
      <c r="IE28" s="12">
        <f t="shared" si="69"/>
        <v>69104</v>
      </c>
      <c r="IF28" s="12">
        <f t="shared" si="70"/>
        <v>82792</v>
      </c>
      <c r="IG28" s="12">
        <f t="shared" si="71"/>
        <v>95117</v>
      </c>
      <c r="IH28" s="12">
        <f t="shared" si="72"/>
        <v>108354</v>
      </c>
      <c r="II28" s="12">
        <f t="shared" si="73"/>
        <v>95168</v>
      </c>
      <c r="IJ28" s="12">
        <f t="shared" si="21"/>
        <v>96622</v>
      </c>
      <c r="IK28" s="12">
        <f t="shared" si="22"/>
        <v>98631</v>
      </c>
      <c r="IL28" s="12">
        <f t="shared" si="23"/>
        <v>115490</v>
      </c>
      <c r="IM28" s="12">
        <f t="shared" si="24"/>
        <v>102157</v>
      </c>
      <c r="IN28" s="12">
        <f t="shared" si="25"/>
        <v>103078</v>
      </c>
    </row>
    <row r="29" spans="1:248" outlineLevel="2" x14ac:dyDescent="0.3">
      <c r="B29" t="s">
        <v>76</v>
      </c>
      <c r="C29" s="11">
        <v>6007</v>
      </c>
      <c r="D29" s="11">
        <v>6504</v>
      </c>
      <c r="E29" s="11">
        <v>7537</v>
      </c>
      <c r="F29" s="11">
        <v>5133</v>
      </c>
      <c r="G29" s="11">
        <v>4754</v>
      </c>
      <c r="H29" s="11">
        <v>7849</v>
      </c>
      <c r="I29" s="11">
        <v>11929</v>
      </c>
      <c r="J29" s="11">
        <v>9300</v>
      </c>
      <c r="K29" s="11">
        <v>6858</v>
      </c>
      <c r="L29" s="11">
        <v>8856</v>
      </c>
      <c r="M29" s="11">
        <v>7446</v>
      </c>
      <c r="N29" s="11">
        <v>7996</v>
      </c>
      <c r="O29" s="11">
        <v>11878</v>
      </c>
      <c r="P29" s="11">
        <v>11245</v>
      </c>
      <c r="Q29" s="11">
        <v>12056</v>
      </c>
      <c r="R29" s="11">
        <v>7956</v>
      </c>
      <c r="S29" s="11">
        <v>7000</v>
      </c>
      <c r="T29" s="11">
        <v>13919</v>
      </c>
      <c r="U29" s="11">
        <v>19562</v>
      </c>
      <c r="V29" s="11">
        <v>11100</v>
      </c>
      <c r="W29" s="11">
        <v>8687</v>
      </c>
      <c r="X29" s="11">
        <v>10852</v>
      </c>
      <c r="Y29" s="11">
        <v>9136</v>
      </c>
      <c r="Z29" s="11">
        <v>9263</v>
      </c>
      <c r="AA29" s="12">
        <v>10831</v>
      </c>
      <c r="AB29" s="12">
        <v>12341</v>
      </c>
      <c r="AC29" s="12">
        <v>13503</v>
      </c>
      <c r="AD29" s="12">
        <v>7504</v>
      </c>
      <c r="AE29" s="12">
        <v>6697</v>
      </c>
      <c r="AF29" s="12">
        <v>13590</v>
      </c>
      <c r="AG29" s="12">
        <v>15080</v>
      </c>
      <c r="AH29" s="12">
        <v>6514</v>
      </c>
      <c r="AI29" s="12">
        <v>5452</v>
      </c>
      <c r="AJ29" s="12">
        <v>7321</v>
      </c>
      <c r="AK29" s="12">
        <v>5110</v>
      </c>
      <c r="AL29" s="13">
        <v>5333</v>
      </c>
      <c r="AM29" s="12">
        <v>8948</v>
      </c>
      <c r="AN29" s="12">
        <v>9506</v>
      </c>
      <c r="AO29" s="12">
        <v>11190</v>
      </c>
      <c r="AP29" s="12">
        <v>6421</v>
      </c>
      <c r="AQ29" s="12">
        <v>5125</v>
      </c>
      <c r="AR29" s="12">
        <v>7885</v>
      </c>
      <c r="AS29" s="12">
        <v>12525</v>
      </c>
      <c r="AT29" s="12">
        <v>9344</v>
      </c>
      <c r="AU29" s="12">
        <v>5959</v>
      </c>
      <c r="AV29" s="12">
        <v>7695</v>
      </c>
      <c r="AW29" s="12">
        <v>6773</v>
      </c>
      <c r="AX29" s="12">
        <v>7624</v>
      </c>
      <c r="AY29" s="12">
        <v>10627</v>
      </c>
      <c r="AZ29" s="12">
        <v>11714</v>
      </c>
      <c r="BA29" s="12">
        <v>13958</v>
      </c>
      <c r="BB29" s="12">
        <v>7814</v>
      </c>
      <c r="BC29" s="12">
        <v>6418</v>
      </c>
      <c r="BD29" s="12">
        <v>14688</v>
      </c>
      <c r="BE29" s="12">
        <v>21519</v>
      </c>
      <c r="BF29" s="12">
        <v>8106</v>
      </c>
      <c r="BG29" s="12">
        <v>6933</v>
      </c>
      <c r="BH29" s="12">
        <v>8612</v>
      </c>
      <c r="BI29" s="12">
        <v>7731</v>
      </c>
      <c r="BJ29" s="12">
        <v>10021</v>
      </c>
      <c r="BK29" s="12">
        <v>13836</v>
      </c>
      <c r="BL29" s="12">
        <v>12434</v>
      </c>
      <c r="BM29" s="12">
        <v>15356</v>
      </c>
      <c r="BN29" s="12">
        <v>7887</v>
      </c>
      <c r="BO29" s="12">
        <v>7814</v>
      </c>
      <c r="BP29" s="12">
        <v>23634</v>
      </c>
      <c r="BQ29" s="12">
        <v>20424</v>
      </c>
      <c r="BR29" s="12">
        <v>11841</v>
      </c>
      <c r="BS29" s="12">
        <v>10034</v>
      </c>
      <c r="BT29" s="12">
        <v>12354</v>
      </c>
      <c r="BU29" s="12">
        <v>10708</v>
      </c>
      <c r="BV29" s="12">
        <v>15045</v>
      </c>
      <c r="BW29" s="12">
        <v>16160</v>
      </c>
      <c r="BX29" s="12">
        <v>14100</v>
      </c>
      <c r="BY29" s="12">
        <v>18933</v>
      </c>
      <c r="BZ29" s="12">
        <v>9635</v>
      </c>
      <c r="CA29" s="12">
        <v>7837</v>
      </c>
      <c r="CB29" s="12">
        <v>18952</v>
      </c>
      <c r="CC29" s="12">
        <v>24366</v>
      </c>
      <c r="CD29" s="12">
        <v>12378</v>
      </c>
      <c r="CE29" s="12">
        <v>8470</v>
      </c>
      <c r="CF29" s="12">
        <v>10654</v>
      </c>
      <c r="CG29" s="12">
        <v>8855</v>
      </c>
      <c r="CH29" s="12">
        <v>9457</v>
      </c>
      <c r="CI29" s="12">
        <v>14034</v>
      </c>
      <c r="CJ29" s="12">
        <v>11860</v>
      </c>
      <c r="CK29" s="12">
        <v>14846</v>
      </c>
      <c r="CL29" s="12">
        <v>8872</v>
      </c>
      <c r="CM29" s="12">
        <v>7221</v>
      </c>
      <c r="CN29" s="12">
        <v>18705</v>
      </c>
      <c r="CO29" s="12">
        <v>23314</v>
      </c>
      <c r="CP29" s="12">
        <v>10442</v>
      </c>
      <c r="CQ29" s="12">
        <v>9329</v>
      </c>
      <c r="CR29" s="12">
        <v>12576</v>
      </c>
      <c r="CS29" s="12">
        <v>12100</v>
      </c>
      <c r="CT29" s="12">
        <v>7787</v>
      </c>
      <c r="CU29" s="12">
        <v>2670</v>
      </c>
      <c r="CV29" s="12">
        <v>13671</v>
      </c>
      <c r="CW29" s="12">
        <v>19204</v>
      </c>
      <c r="CX29" s="12">
        <v>13281</v>
      </c>
      <c r="CY29" s="12">
        <v>13743</v>
      </c>
      <c r="CZ29" s="12">
        <v>23968</v>
      </c>
      <c r="DA29" s="12">
        <v>24478</v>
      </c>
      <c r="DB29" s="12">
        <v>17409</v>
      </c>
      <c r="DC29" s="12">
        <v>12964</v>
      </c>
      <c r="DD29" s="12">
        <v>20384</v>
      </c>
      <c r="DE29" s="12">
        <v>16231</v>
      </c>
      <c r="DF29" s="12">
        <v>16896</v>
      </c>
      <c r="DG29" s="12">
        <v>14920</v>
      </c>
      <c r="DH29" s="12">
        <v>13179</v>
      </c>
      <c r="DI29" s="14">
        <v>25637</v>
      </c>
      <c r="DJ29" s="14">
        <v>13142</v>
      </c>
      <c r="DK29" s="14">
        <v>10465</v>
      </c>
      <c r="DL29" s="14">
        <v>21748</v>
      </c>
      <c r="DM29" s="14">
        <v>24555</v>
      </c>
      <c r="DN29" s="14">
        <v>13623</v>
      </c>
      <c r="DO29" s="14">
        <v>9050</v>
      </c>
      <c r="DP29" s="14">
        <v>11818</v>
      </c>
      <c r="DQ29" s="14">
        <v>10345</v>
      </c>
      <c r="DR29" s="14">
        <v>15131</v>
      </c>
      <c r="DS29" s="14">
        <v>21596</v>
      </c>
      <c r="DT29" s="14">
        <v>18896</v>
      </c>
      <c r="DU29" s="14">
        <v>21046</v>
      </c>
      <c r="DV29" s="14">
        <v>10317</v>
      </c>
      <c r="DW29" s="14">
        <v>9683</v>
      </c>
      <c r="DX29" s="14">
        <v>24954</v>
      </c>
      <c r="DY29" s="14">
        <v>27250</v>
      </c>
      <c r="DZ29" s="14">
        <v>15142</v>
      </c>
      <c r="EA29" s="14">
        <v>11779</v>
      </c>
      <c r="EB29" s="14">
        <v>15817</v>
      </c>
      <c r="EC29" s="14">
        <v>14512</v>
      </c>
      <c r="ED29" s="14">
        <v>19917</v>
      </c>
      <c r="EE29" s="14">
        <v>20653</v>
      </c>
      <c r="EF29" s="14">
        <v>18774</v>
      </c>
      <c r="EG29" s="14">
        <v>23195</v>
      </c>
      <c r="EH29" s="14">
        <v>11875</v>
      </c>
      <c r="EI29" s="14">
        <v>11173</v>
      </c>
      <c r="EJ29" s="14">
        <v>24273</v>
      </c>
      <c r="EK29" s="14">
        <v>29836</v>
      </c>
      <c r="EL29" s="14">
        <v>18070</v>
      </c>
      <c r="EM29" s="14">
        <v>10632</v>
      </c>
      <c r="EN29" s="14">
        <v>14213</v>
      </c>
      <c r="EO29" s="14">
        <v>12633</v>
      </c>
      <c r="EP29" s="14">
        <v>14948</v>
      </c>
      <c r="EQ29" s="14">
        <v>23115</v>
      </c>
      <c r="ER29" s="14">
        <v>21660</v>
      </c>
      <c r="ES29" s="14">
        <v>26506</v>
      </c>
      <c r="ET29" s="14">
        <v>14129</v>
      </c>
      <c r="EU29" s="14">
        <v>12411</v>
      </c>
      <c r="EV29" s="14">
        <v>27596</v>
      </c>
      <c r="EW29" s="14">
        <v>41585</v>
      </c>
      <c r="EX29" s="14">
        <v>19999</v>
      </c>
      <c r="EY29" s="14">
        <v>13682</v>
      </c>
      <c r="EZ29" s="14">
        <v>16610</v>
      </c>
      <c r="FA29" s="14">
        <v>15481</v>
      </c>
      <c r="FB29" s="14">
        <v>21357</v>
      </c>
      <c r="FC29" s="14">
        <v>25209</v>
      </c>
      <c r="FD29" s="14">
        <v>25135</v>
      </c>
      <c r="FE29" s="14">
        <v>31269</v>
      </c>
      <c r="FF29" s="14">
        <v>15377</v>
      </c>
      <c r="FG29" s="14">
        <v>16486</v>
      </c>
      <c r="FH29" s="14">
        <v>43359</v>
      </c>
      <c r="FI29" s="14">
        <v>47447</v>
      </c>
      <c r="FJ29" s="14">
        <v>27528</v>
      </c>
      <c r="FK29" s="14">
        <v>20461</v>
      </c>
      <c r="FL29" s="14"/>
      <c r="FM29" s="14"/>
      <c r="FN29" s="14"/>
      <c r="FR29" s="12">
        <f t="shared" si="26"/>
        <v>20048</v>
      </c>
      <c r="FS29" s="12">
        <f t="shared" si="27"/>
        <v>17736</v>
      </c>
      <c r="FT29" s="12">
        <f t="shared" si="28"/>
        <v>28087</v>
      </c>
      <c r="FU29" s="12">
        <f t="shared" si="29"/>
        <v>24298</v>
      </c>
      <c r="FV29" s="12">
        <f t="shared" si="30"/>
        <v>35179</v>
      </c>
      <c r="FW29" s="12">
        <f t="shared" si="31"/>
        <v>28875</v>
      </c>
      <c r="FX29" s="12">
        <f t="shared" si="32"/>
        <v>39349</v>
      </c>
      <c r="FY29" s="12">
        <f t="shared" si="33"/>
        <v>29251</v>
      </c>
      <c r="FZ29" s="12">
        <f t="shared" si="34"/>
        <v>36675</v>
      </c>
      <c r="GA29" s="12">
        <f t="shared" si="35"/>
        <v>27791</v>
      </c>
      <c r="GB29" s="12">
        <f t="shared" si="36"/>
        <v>27046</v>
      </c>
      <c r="GC29" s="12">
        <f t="shared" si="37"/>
        <v>17764</v>
      </c>
      <c r="GD29" s="12">
        <f t="shared" si="38"/>
        <v>29644</v>
      </c>
      <c r="GE29" s="12">
        <f t="shared" si="39"/>
        <v>19431</v>
      </c>
      <c r="GF29" s="12">
        <f t="shared" si="40"/>
        <v>27828</v>
      </c>
      <c r="GG29" s="12">
        <f t="shared" si="41"/>
        <v>22092</v>
      </c>
      <c r="GH29" s="12">
        <f t="shared" si="42"/>
        <v>36299</v>
      </c>
      <c r="GI29" s="12">
        <f t="shared" si="43"/>
        <v>28920</v>
      </c>
      <c r="GJ29" s="12">
        <f t="shared" si="44"/>
        <v>36558</v>
      </c>
      <c r="GK29" s="12">
        <f t="shared" si="45"/>
        <v>26364</v>
      </c>
      <c r="GL29" s="12">
        <f t="shared" si="46"/>
        <v>41626</v>
      </c>
      <c r="GM29" s="12">
        <f t="shared" si="47"/>
        <v>39335</v>
      </c>
      <c r="GN29" s="12">
        <f t="shared" si="48"/>
        <v>42299</v>
      </c>
      <c r="GO29" s="12">
        <f t="shared" si="49"/>
        <v>38107</v>
      </c>
      <c r="GP29" s="12">
        <f t="shared" si="50"/>
        <v>49193</v>
      </c>
      <c r="GQ29" s="12">
        <f t="shared" si="51"/>
        <v>36424</v>
      </c>
      <c r="GR29" s="12">
        <f t="shared" si="52"/>
        <v>45214</v>
      </c>
      <c r="GS29" s="12">
        <f t="shared" si="53"/>
        <v>28966</v>
      </c>
      <c r="GT29" s="12">
        <f t="shared" si="54"/>
        <v>40740</v>
      </c>
      <c r="GU29" s="12">
        <f t="shared" si="55"/>
        <v>34798</v>
      </c>
      <c r="GV29" s="12">
        <f t="shared" si="56"/>
        <v>43085</v>
      </c>
      <c r="GW29" s="12">
        <f t="shared" si="57"/>
        <v>32463</v>
      </c>
      <c r="GX29" s="12">
        <f t="shared" si="58"/>
        <v>35545</v>
      </c>
      <c r="GY29" s="12">
        <f t="shared" si="59"/>
        <v>50992</v>
      </c>
      <c r="GZ29" s="12">
        <f t="shared" si="2"/>
        <v>54851</v>
      </c>
      <c r="HA29" s="12">
        <f t="shared" si="3"/>
        <v>53511</v>
      </c>
      <c r="HB29" s="12">
        <f t="shared" si="4"/>
        <v>28099</v>
      </c>
      <c r="HC29" s="12">
        <f t="shared" si="5"/>
        <v>45355</v>
      </c>
      <c r="HD29" s="12">
        <f t="shared" si="6"/>
        <v>47228</v>
      </c>
      <c r="HE29" s="12">
        <f t="shared" si="7"/>
        <v>37294</v>
      </c>
      <c r="HF29" s="12">
        <f t="shared" si="8"/>
        <v>61538</v>
      </c>
      <c r="HG29" s="12">
        <f t="shared" si="9"/>
        <v>44954</v>
      </c>
      <c r="HH29" s="12">
        <f t="shared" si="10"/>
        <v>54171</v>
      </c>
      <c r="HI29" s="12">
        <f t="shared" si="11"/>
        <v>50246</v>
      </c>
      <c r="HJ29" s="12">
        <f t="shared" si="12"/>
        <v>62622</v>
      </c>
      <c r="HK29" s="12">
        <f t="shared" si="13"/>
        <v>47321</v>
      </c>
      <c r="HL29" s="12">
        <f t="shared" si="14"/>
        <v>58538</v>
      </c>
      <c r="HM29" s="12">
        <f t="shared" si="15"/>
        <v>41794</v>
      </c>
      <c r="HN29" s="12">
        <f t="shared" si="60"/>
        <v>62622</v>
      </c>
      <c r="HO29" s="12">
        <f t="shared" si="61"/>
        <v>47321</v>
      </c>
      <c r="HP29" s="12">
        <f t="shared" si="62"/>
        <v>58538</v>
      </c>
      <c r="HQ29" s="12">
        <f t="shared" si="63"/>
        <v>41794</v>
      </c>
      <c r="HR29" s="12">
        <f t="shared" si="64"/>
        <v>71281</v>
      </c>
      <c r="HS29" s="12">
        <f t="shared" si="65"/>
        <v>54136</v>
      </c>
      <c r="HT29" s="12">
        <f t="shared" si="16"/>
        <v>75266</v>
      </c>
      <c r="HU29" s="12">
        <f t="shared" si="17"/>
        <v>53448</v>
      </c>
      <c r="HV29" s="12">
        <f t="shared" si="18"/>
        <v>81613</v>
      </c>
      <c r="HW29" s="12">
        <f t="shared" si="19"/>
        <v>75222</v>
      </c>
      <c r="HX29" s="12">
        <f t="shared" si="20"/>
        <v>95436</v>
      </c>
      <c r="IB29" s="12">
        <f t="shared" si="66"/>
        <v>90169</v>
      </c>
      <c r="IC29" s="12">
        <f t="shared" si="67"/>
        <v>132654</v>
      </c>
      <c r="ID29" s="12">
        <f t="shared" si="68"/>
        <v>109276</v>
      </c>
      <c r="IE29" s="12">
        <f t="shared" si="69"/>
        <v>98995</v>
      </c>
      <c r="IF29" s="12">
        <f t="shared" si="70"/>
        <v>128141</v>
      </c>
      <c r="IG29" s="12">
        <f t="shared" si="71"/>
        <v>161367</v>
      </c>
      <c r="IH29" s="12">
        <f t="shared" si="72"/>
        <v>159797</v>
      </c>
      <c r="II29" s="12">
        <f t="shared" si="73"/>
        <v>151086</v>
      </c>
      <c r="IJ29" s="12">
        <f t="shared" si="21"/>
        <v>194899</v>
      </c>
      <c r="IK29" s="12">
        <f t="shared" si="22"/>
        <v>183613</v>
      </c>
      <c r="IL29" s="12">
        <f t="shared" si="23"/>
        <v>210909</v>
      </c>
      <c r="IM29" s="12">
        <f t="shared" si="24"/>
        <v>210275</v>
      </c>
      <c r="IN29" s="12">
        <f t="shared" si="25"/>
        <v>254131</v>
      </c>
    </row>
    <row r="30" spans="1:248" outlineLevel="2" x14ac:dyDescent="0.3">
      <c r="B30" t="s">
        <v>77</v>
      </c>
      <c r="C30" s="11">
        <v>2557</v>
      </c>
      <c r="D30" s="11">
        <v>2613</v>
      </c>
      <c r="E30" s="11">
        <v>2751</v>
      </c>
      <c r="F30" s="11">
        <v>1595</v>
      </c>
      <c r="G30" s="11">
        <v>1118</v>
      </c>
      <c r="H30" s="11">
        <v>1794</v>
      </c>
      <c r="I30" s="11">
        <v>2684</v>
      </c>
      <c r="J30" s="11">
        <v>503</v>
      </c>
      <c r="K30" s="11">
        <v>322</v>
      </c>
      <c r="L30" s="11">
        <v>463</v>
      </c>
      <c r="M30" s="11">
        <v>368</v>
      </c>
      <c r="N30" s="11">
        <v>547</v>
      </c>
      <c r="O30" s="11">
        <v>622</v>
      </c>
      <c r="P30" s="11">
        <v>569</v>
      </c>
      <c r="Q30" s="11">
        <v>468</v>
      </c>
      <c r="R30" s="11">
        <v>323</v>
      </c>
      <c r="S30" s="11">
        <v>356</v>
      </c>
      <c r="T30" s="11">
        <v>713</v>
      </c>
      <c r="U30" s="11">
        <v>1346</v>
      </c>
      <c r="V30" s="11">
        <v>713</v>
      </c>
      <c r="W30" s="11">
        <v>519</v>
      </c>
      <c r="X30" s="11">
        <v>613</v>
      </c>
      <c r="Y30" s="11">
        <v>526</v>
      </c>
      <c r="Z30" s="11">
        <v>631</v>
      </c>
      <c r="AA30" s="12">
        <v>596</v>
      </c>
      <c r="AB30" s="12">
        <v>581</v>
      </c>
      <c r="AC30" s="12">
        <v>489</v>
      </c>
      <c r="AD30" s="12">
        <v>271</v>
      </c>
      <c r="AE30" s="12">
        <v>569</v>
      </c>
      <c r="AF30" s="12">
        <v>1446</v>
      </c>
      <c r="AG30" s="12">
        <v>1690</v>
      </c>
      <c r="AH30" s="12">
        <v>656</v>
      </c>
      <c r="AI30" s="12">
        <v>510</v>
      </c>
      <c r="AJ30" s="12">
        <v>688</v>
      </c>
      <c r="AK30" s="12">
        <v>452</v>
      </c>
      <c r="AL30" s="13">
        <v>599</v>
      </c>
      <c r="AM30" s="12">
        <v>723</v>
      </c>
      <c r="AN30" s="12">
        <v>698</v>
      </c>
      <c r="AO30" s="12">
        <v>801</v>
      </c>
      <c r="AP30" s="12">
        <v>433</v>
      </c>
      <c r="AQ30" s="12">
        <v>407</v>
      </c>
      <c r="AR30" s="12">
        <v>852</v>
      </c>
      <c r="AS30" s="12">
        <v>1520</v>
      </c>
      <c r="AT30" s="12">
        <v>1012</v>
      </c>
      <c r="AU30" s="12">
        <v>487</v>
      </c>
      <c r="AV30" s="12">
        <v>640</v>
      </c>
      <c r="AW30" s="12">
        <v>680</v>
      </c>
      <c r="AX30" s="12">
        <v>800</v>
      </c>
      <c r="AY30" s="12">
        <v>980</v>
      </c>
      <c r="AZ30" s="12">
        <v>893</v>
      </c>
      <c r="BA30" s="12">
        <v>970</v>
      </c>
      <c r="BB30" s="12">
        <v>499</v>
      </c>
      <c r="BC30" s="12">
        <v>545</v>
      </c>
      <c r="BD30" s="12">
        <v>1539</v>
      </c>
      <c r="BE30" s="12">
        <v>2129</v>
      </c>
      <c r="BF30" s="12">
        <v>853</v>
      </c>
      <c r="BG30" s="12">
        <v>702</v>
      </c>
      <c r="BH30" s="12">
        <v>800</v>
      </c>
      <c r="BI30" s="12">
        <v>823</v>
      </c>
      <c r="BJ30" s="12">
        <v>1031</v>
      </c>
      <c r="BK30" s="12">
        <v>1329</v>
      </c>
      <c r="BL30" s="12">
        <v>1174</v>
      </c>
      <c r="BM30" s="12">
        <v>1166</v>
      </c>
      <c r="BN30" s="12">
        <v>516</v>
      </c>
      <c r="BO30" s="12">
        <v>694</v>
      </c>
      <c r="BP30" s="12">
        <v>2353</v>
      </c>
      <c r="BQ30" s="12">
        <v>1886</v>
      </c>
      <c r="BR30" s="12">
        <v>948</v>
      </c>
      <c r="BS30" s="12">
        <v>699</v>
      </c>
      <c r="BT30" s="12">
        <v>959</v>
      </c>
      <c r="BU30" s="12">
        <v>1062</v>
      </c>
      <c r="BV30" s="12">
        <v>1425</v>
      </c>
      <c r="BW30" s="12">
        <v>1397</v>
      </c>
      <c r="BX30" s="12">
        <v>1354</v>
      </c>
      <c r="BY30" s="12">
        <v>1426</v>
      </c>
      <c r="BZ30" s="12">
        <v>816</v>
      </c>
      <c r="CA30" s="12">
        <v>817</v>
      </c>
      <c r="CB30" s="12">
        <v>1856</v>
      </c>
      <c r="CC30" s="12">
        <v>2410</v>
      </c>
      <c r="CD30" s="12">
        <v>1021</v>
      </c>
      <c r="CE30" s="12">
        <v>837</v>
      </c>
      <c r="CF30" s="12">
        <v>1105</v>
      </c>
      <c r="CG30" s="12">
        <v>1177</v>
      </c>
      <c r="CH30" s="12">
        <v>1321</v>
      </c>
      <c r="CI30" s="12">
        <v>1555</v>
      </c>
      <c r="CJ30" s="12">
        <v>1151</v>
      </c>
      <c r="CK30" s="12">
        <v>1193</v>
      </c>
      <c r="CL30" s="12">
        <v>628</v>
      </c>
      <c r="CM30" s="12">
        <v>635</v>
      </c>
      <c r="CN30" s="12">
        <v>1847</v>
      </c>
      <c r="CO30" s="12">
        <v>2403</v>
      </c>
      <c r="CP30" s="12">
        <v>971</v>
      </c>
      <c r="CQ30" s="12">
        <v>767</v>
      </c>
      <c r="CR30" s="12">
        <v>1202</v>
      </c>
      <c r="CS30" s="12">
        <v>1489</v>
      </c>
      <c r="CT30" s="12">
        <v>846</v>
      </c>
      <c r="CU30" s="12">
        <v>364</v>
      </c>
      <c r="CV30" s="12">
        <v>1166</v>
      </c>
      <c r="CW30" s="12">
        <v>1669</v>
      </c>
      <c r="CX30" s="12">
        <v>1230</v>
      </c>
      <c r="CY30" s="12">
        <v>1728</v>
      </c>
      <c r="CZ30" s="12">
        <v>2603</v>
      </c>
      <c r="DA30" s="12">
        <v>2464</v>
      </c>
      <c r="DB30" s="12">
        <v>1781</v>
      </c>
      <c r="DC30" s="12">
        <v>1350</v>
      </c>
      <c r="DD30" s="12">
        <v>1865</v>
      </c>
      <c r="DE30" s="12">
        <v>1842</v>
      </c>
      <c r="DF30" s="12">
        <v>1817</v>
      </c>
      <c r="DG30" s="12">
        <v>1166</v>
      </c>
      <c r="DH30" s="12">
        <v>1235</v>
      </c>
      <c r="DI30" s="14">
        <v>1654</v>
      </c>
      <c r="DJ30" s="14">
        <v>1155</v>
      </c>
      <c r="DK30" s="14">
        <v>1284</v>
      </c>
      <c r="DL30" s="14">
        <v>2219</v>
      </c>
      <c r="DM30" s="14">
        <v>2517</v>
      </c>
      <c r="DN30" s="14">
        <v>1189</v>
      </c>
      <c r="DO30" s="14">
        <v>902</v>
      </c>
      <c r="DP30" s="14">
        <v>1153</v>
      </c>
      <c r="DQ30" s="14">
        <v>1311</v>
      </c>
      <c r="DR30" s="14">
        <v>1913</v>
      </c>
      <c r="DS30" s="14">
        <v>1941</v>
      </c>
      <c r="DT30" s="14">
        <v>1093</v>
      </c>
      <c r="DU30" s="14">
        <v>1314</v>
      </c>
      <c r="DV30" s="14">
        <v>931</v>
      </c>
      <c r="DW30" s="14">
        <v>1514</v>
      </c>
      <c r="DX30" s="14">
        <v>2772</v>
      </c>
      <c r="DY30" s="14">
        <v>2277</v>
      </c>
      <c r="DZ30" s="14">
        <v>1323</v>
      </c>
      <c r="EA30" s="14">
        <v>986</v>
      </c>
      <c r="EB30" s="14">
        <v>1434</v>
      </c>
      <c r="EC30" s="14">
        <v>1599</v>
      </c>
      <c r="ED30" s="14">
        <v>1150</v>
      </c>
      <c r="EE30" s="14">
        <v>866</v>
      </c>
      <c r="EF30" s="14">
        <v>1226</v>
      </c>
      <c r="EG30" s="14">
        <v>833</v>
      </c>
      <c r="EH30" s="14">
        <v>464</v>
      </c>
      <c r="EI30" s="14">
        <v>650</v>
      </c>
      <c r="EJ30" s="14">
        <v>1017</v>
      </c>
      <c r="EK30" s="14">
        <v>1081</v>
      </c>
      <c r="EL30" s="14">
        <v>575</v>
      </c>
      <c r="EM30" s="14">
        <v>415</v>
      </c>
      <c r="EN30" s="14">
        <v>611</v>
      </c>
      <c r="EO30" s="14">
        <v>663</v>
      </c>
      <c r="EP30" s="14">
        <v>913</v>
      </c>
      <c r="EQ30" s="14">
        <v>887</v>
      </c>
      <c r="ER30" s="14">
        <v>579</v>
      </c>
      <c r="ES30" s="14">
        <v>490</v>
      </c>
      <c r="ET30" s="14">
        <v>416</v>
      </c>
      <c r="EU30" s="14">
        <v>660</v>
      </c>
      <c r="EV30" s="14">
        <v>1216</v>
      </c>
      <c r="EW30" s="14">
        <v>1387</v>
      </c>
      <c r="EX30" s="14">
        <v>582</v>
      </c>
      <c r="EY30" s="14">
        <v>422</v>
      </c>
      <c r="EZ30" s="14">
        <v>645</v>
      </c>
      <c r="FA30" s="14">
        <v>675</v>
      </c>
      <c r="FB30" s="14">
        <v>799</v>
      </c>
      <c r="FC30" s="14">
        <v>704</v>
      </c>
      <c r="FD30" s="14">
        <v>484</v>
      </c>
      <c r="FE30" s="14">
        <v>587</v>
      </c>
      <c r="FF30" s="14">
        <v>577</v>
      </c>
      <c r="FG30" s="14">
        <v>761</v>
      </c>
      <c r="FH30" s="14">
        <v>1430</v>
      </c>
      <c r="FI30" s="14">
        <v>1437</v>
      </c>
      <c r="FJ30" s="14">
        <v>751</v>
      </c>
      <c r="FK30" s="14">
        <v>633</v>
      </c>
      <c r="FL30" s="14"/>
      <c r="FM30" s="14"/>
      <c r="FN30" s="14"/>
      <c r="FR30" s="12">
        <f t="shared" si="26"/>
        <v>7921</v>
      </c>
      <c r="FS30" s="12">
        <f t="shared" si="27"/>
        <v>4507</v>
      </c>
      <c r="FT30" s="12">
        <f t="shared" si="28"/>
        <v>3509</v>
      </c>
      <c r="FU30" s="12">
        <f t="shared" si="29"/>
        <v>1378</v>
      </c>
      <c r="FV30" s="12">
        <f t="shared" si="30"/>
        <v>1659</v>
      </c>
      <c r="FW30" s="12">
        <f t="shared" si="31"/>
        <v>1392</v>
      </c>
      <c r="FX30" s="12">
        <f t="shared" si="32"/>
        <v>2578</v>
      </c>
      <c r="FY30" s="12">
        <f t="shared" si="33"/>
        <v>1770</v>
      </c>
      <c r="FZ30" s="12">
        <f t="shared" si="34"/>
        <v>1666</v>
      </c>
      <c r="GA30" s="12">
        <f t="shared" si="35"/>
        <v>2286</v>
      </c>
      <c r="GB30" s="12">
        <f t="shared" si="36"/>
        <v>2856</v>
      </c>
      <c r="GC30" s="12">
        <f t="shared" si="37"/>
        <v>1739</v>
      </c>
      <c r="GD30" s="12">
        <f t="shared" si="38"/>
        <v>2222</v>
      </c>
      <c r="GE30" s="12">
        <f t="shared" si="39"/>
        <v>1692</v>
      </c>
      <c r="GF30" s="12">
        <f t="shared" si="40"/>
        <v>3019</v>
      </c>
      <c r="GG30" s="12">
        <f t="shared" si="41"/>
        <v>2120</v>
      </c>
      <c r="GH30" s="12">
        <f t="shared" si="42"/>
        <v>2843</v>
      </c>
      <c r="GI30" s="12">
        <f t="shared" si="43"/>
        <v>2583</v>
      </c>
      <c r="GJ30" s="12">
        <f t="shared" si="44"/>
        <v>3684</v>
      </c>
      <c r="GK30" s="12">
        <f t="shared" si="45"/>
        <v>2654</v>
      </c>
      <c r="GL30" s="12">
        <f t="shared" si="46"/>
        <v>3669</v>
      </c>
      <c r="GM30" s="12">
        <f t="shared" si="47"/>
        <v>3563</v>
      </c>
      <c r="GN30" s="12">
        <f t="shared" si="48"/>
        <v>3533</v>
      </c>
      <c r="GO30" s="12">
        <f t="shared" si="49"/>
        <v>3446</v>
      </c>
      <c r="GP30" s="12">
        <f t="shared" si="50"/>
        <v>4177</v>
      </c>
      <c r="GQ30" s="12">
        <f t="shared" si="51"/>
        <v>3489</v>
      </c>
      <c r="GR30" s="12">
        <f t="shared" si="52"/>
        <v>4268</v>
      </c>
      <c r="GS30" s="12">
        <f t="shared" si="53"/>
        <v>3603</v>
      </c>
      <c r="GT30" s="12">
        <f t="shared" si="54"/>
        <v>3899</v>
      </c>
      <c r="GU30" s="12">
        <f t="shared" si="55"/>
        <v>3110</v>
      </c>
      <c r="GV30" s="12">
        <f t="shared" si="56"/>
        <v>4141</v>
      </c>
      <c r="GW30" s="12">
        <f t="shared" si="57"/>
        <v>3537</v>
      </c>
      <c r="GX30" s="12">
        <f t="shared" si="58"/>
        <v>3199</v>
      </c>
      <c r="GY30" s="12">
        <f t="shared" si="59"/>
        <v>5561</v>
      </c>
      <c r="GZ30" s="12">
        <f t="shared" si="2"/>
        <v>5595</v>
      </c>
      <c r="HA30" s="12">
        <f t="shared" si="3"/>
        <v>5524</v>
      </c>
      <c r="HB30" s="12">
        <f t="shared" si="4"/>
        <v>2401</v>
      </c>
      <c r="HC30" s="12">
        <f t="shared" si="5"/>
        <v>4658</v>
      </c>
      <c r="HD30" s="12">
        <f t="shared" si="6"/>
        <v>4608</v>
      </c>
      <c r="HE30" s="12">
        <f t="shared" si="7"/>
        <v>4377</v>
      </c>
      <c r="HF30" s="12">
        <f t="shared" si="8"/>
        <v>4348</v>
      </c>
      <c r="HG30" s="12">
        <f t="shared" si="9"/>
        <v>5217</v>
      </c>
      <c r="HH30" s="12">
        <f t="shared" si="10"/>
        <v>4586</v>
      </c>
      <c r="HI30" s="12">
        <f t="shared" si="11"/>
        <v>4183</v>
      </c>
      <c r="HJ30" s="12">
        <f t="shared" si="12"/>
        <v>2925</v>
      </c>
      <c r="HK30" s="12">
        <f t="shared" si="13"/>
        <v>2131</v>
      </c>
      <c r="HL30" s="12">
        <f t="shared" si="14"/>
        <v>2071</v>
      </c>
      <c r="HM30" s="12">
        <f t="shared" si="15"/>
        <v>2187</v>
      </c>
      <c r="HN30" s="12">
        <f t="shared" si="60"/>
        <v>2925</v>
      </c>
      <c r="HO30" s="12">
        <f t="shared" si="61"/>
        <v>2131</v>
      </c>
      <c r="HP30" s="12">
        <f t="shared" si="62"/>
        <v>2071</v>
      </c>
      <c r="HQ30" s="12">
        <f t="shared" si="63"/>
        <v>2187</v>
      </c>
      <c r="HR30" s="12">
        <f t="shared" si="64"/>
        <v>1956</v>
      </c>
      <c r="HS30" s="12">
        <f t="shared" si="65"/>
        <v>2292</v>
      </c>
      <c r="HT30" s="12">
        <f t="shared" si="16"/>
        <v>2391</v>
      </c>
      <c r="HU30" s="12">
        <f t="shared" si="17"/>
        <v>2119</v>
      </c>
      <c r="HV30" s="12">
        <f t="shared" si="18"/>
        <v>1775</v>
      </c>
      <c r="HW30" s="12">
        <f t="shared" si="19"/>
        <v>2768</v>
      </c>
      <c r="HX30" s="12">
        <f t="shared" si="20"/>
        <v>2821</v>
      </c>
      <c r="IB30" s="12">
        <f t="shared" si="66"/>
        <v>17315</v>
      </c>
      <c r="IC30" s="12">
        <f t="shared" si="67"/>
        <v>7399</v>
      </c>
      <c r="ID30" s="12">
        <f t="shared" si="68"/>
        <v>8547</v>
      </c>
      <c r="IE30" s="12">
        <f t="shared" si="69"/>
        <v>9053</v>
      </c>
      <c r="IF30" s="12">
        <f t="shared" si="70"/>
        <v>11764</v>
      </c>
      <c r="IG30" s="12">
        <f t="shared" si="71"/>
        <v>14211</v>
      </c>
      <c r="IH30" s="12">
        <f t="shared" si="72"/>
        <v>15537</v>
      </c>
      <c r="II30" s="12">
        <f t="shared" si="73"/>
        <v>14687</v>
      </c>
      <c r="IJ30" s="12">
        <f t="shared" si="21"/>
        <v>19879</v>
      </c>
      <c r="IK30" s="12">
        <f t="shared" si="22"/>
        <v>17698</v>
      </c>
      <c r="IL30" s="12">
        <f t="shared" si="23"/>
        <v>18334</v>
      </c>
      <c r="IM30" s="12">
        <f t="shared" si="24"/>
        <v>9314</v>
      </c>
      <c r="IN30" s="12">
        <f t="shared" si="25"/>
        <v>8758</v>
      </c>
    </row>
    <row r="31" spans="1:248" outlineLevel="2" x14ac:dyDescent="0.3">
      <c r="B31" t="s">
        <v>78</v>
      </c>
      <c r="C31" s="11">
        <v>1466</v>
      </c>
      <c r="D31" s="11">
        <v>1839</v>
      </c>
      <c r="E31" s="11">
        <v>2166</v>
      </c>
      <c r="F31" s="11">
        <v>1807</v>
      </c>
      <c r="G31" s="11">
        <v>1289</v>
      </c>
      <c r="H31" s="11">
        <v>1044</v>
      </c>
      <c r="I31" s="11">
        <v>1490</v>
      </c>
      <c r="J31" s="11">
        <v>1414</v>
      </c>
      <c r="K31" s="11">
        <v>1096</v>
      </c>
      <c r="L31" s="11">
        <v>2373</v>
      </c>
      <c r="M31" s="11">
        <v>2024</v>
      </c>
      <c r="N31" s="11">
        <v>2466</v>
      </c>
      <c r="O31" s="11">
        <v>3067</v>
      </c>
      <c r="P31" s="11">
        <v>3409</v>
      </c>
      <c r="Q31" s="11">
        <v>4511</v>
      </c>
      <c r="R31" s="11">
        <v>3573</v>
      </c>
      <c r="S31" s="11">
        <v>2379</v>
      </c>
      <c r="T31" s="11">
        <v>2991</v>
      </c>
      <c r="U31" s="11">
        <v>4898</v>
      </c>
      <c r="V31" s="11">
        <v>3586</v>
      </c>
      <c r="W31" s="11">
        <v>2483</v>
      </c>
      <c r="X31" s="11">
        <v>2576</v>
      </c>
      <c r="Y31" s="11">
        <v>2317</v>
      </c>
      <c r="Z31" s="11">
        <v>2302</v>
      </c>
      <c r="AA31" s="12">
        <v>2583</v>
      </c>
      <c r="AB31" s="12">
        <v>3238</v>
      </c>
      <c r="AC31" s="12">
        <v>3771</v>
      </c>
      <c r="AD31" s="12">
        <v>2517</v>
      </c>
      <c r="AE31" s="12">
        <v>2202</v>
      </c>
      <c r="AF31" s="12">
        <v>3587</v>
      </c>
      <c r="AG31" s="12">
        <v>3756</v>
      </c>
      <c r="AH31" s="12">
        <v>2211</v>
      </c>
      <c r="AI31" s="12">
        <v>1937</v>
      </c>
      <c r="AJ31" s="12">
        <v>1834</v>
      </c>
      <c r="AK31" s="12">
        <v>1562</v>
      </c>
      <c r="AL31" s="13">
        <v>1617</v>
      </c>
      <c r="AM31" s="12">
        <v>2296</v>
      </c>
      <c r="AN31" s="12">
        <v>2341</v>
      </c>
      <c r="AO31" s="12">
        <v>3297</v>
      </c>
      <c r="AP31" s="12">
        <v>2208</v>
      </c>
      <c r="AQ31" s="12">
        <v>1632</v>
      </c>
      <c r="AR31" s="12">
        <v>2110</v>
      </c>
      <c r="AS31" s="12">
        <v>3528</v>
      </c>
      <c r="AT31" s="12">
        <v>2794</v>
      </c>
      <c r="AU31" s="12">
        <v>1448</v>
      </c>
      <c r="AV31" s="12">
        <v>1858</v>
      </c>
      <c r="AW31" s="12">
        <v>1504</v>
      </c>
      <c r="AX31" s="12">
        <v>1566</v>
      </c>
      <c r="AY31" s="12">
        <v>2871</v>
      </c>
      <c r="AZ31" s="12">
        <v>2398</v>
      </c>
      <c r="BA31" s="12">
        <v>3362</v>
      </c>
      <c r="BB31" s="12">
        <v>2295</v>
      </c>
      <c r="BC31" s="12">
        <v>1684</v>
      </c>
      <c r="BD31" s="12">
        <v>2703</v>
      </c>
      <c r="BE31" s="12">
        <v>4869</v>
      </c>
      <c r="BF31" s="12">
        <v>1390</v>
      </c>
      <c r="BG31" s="12">
        <v>1067</v>
      </c>
      <c r="BH31" s="12">
        <v>1107</v>
      </c>
      <c r="BI31" s="12">
        <v>1220</v>
      </c>
      <c r="BJ31" s="12">
        <v>2020</v>
      </c>
      <c r="BK31" s="12">
        <v>2280</v>
      </c>
      <c r="BL31" s="12">
        <v>2651</v>
      </c>
      <c r="BM31" s="12">
        <v>3030</v>
      </c>
      <c r="BN31" s="12">
        <v>3001</v>
      </c>
      <c r="BO31" s="12">
        <v>2310</v>
      </c>
      <c r="BP31" s="12">
        <v>3878</v>
      </c>
      <c r="BQ31" s="12">
        <v>3912</v>
      </c>
      <c r="BR31" s="12">
        <v>2479</v>
      </c>
      <c r="BS31" s="12">
        <v>1730</v>
      </c>
      <c r="BT31" s="12">
        <v>2150</v>
      </c>
      <c r="BU31" s="12">
        <v>2309</v>
      </c>
      <c r="BV31" s="12">
        <v>3594</v>
      </c>
      <c r="BW31" s="12">
        <v>3380</v>
      </c>
      <c r="BX31" s="12">
        <v>3106</v>
      </c>
      <c r="BY31" s="12">
        <v>4517</v>
      </c>
      <c r="BZ31" s="12">
        <v>2980</v>
      </c>
      <c r="CA31" s="12">
        <v>2361</v>
      </c>
      <c r="CB31" s="12">
        <v>3114</v>
      </c>
      <c r="CC31" s="12">
        <v>3362</v>
      </c>
      <c r="CD31" s="12">
        <v>2538</v>
      </c>
      <c r="CE31" s="12">
        <v>1489</v>
      </c>
      <c r="CF31" s="12">
        <v>1964</v>
      </c>
      <c r="CG31" s="12">
        <v>1879</v>
      </c>
      <c r="CH31" s="12">
        <v>2364</v>
      </c>
      <c r="CI31" s="12">
        <v>2676</v>
      </c>
      <c r="CJ31" s="12">
        <v>2304</v>
      </c>
      <c r="CK31" s="12">
        <v>3272</v>
      </c>
      <c r="CL31" s="12">
        <v>2652</v>
      </c>
      <c r="CM31" s="12">
        <v>1891</v>
      </c>
      <c r="CN31" s="12">
        <v>3300</v>
      </c>
      <c r="CO31" s="12">
        <v>4081</v>
      </c>
      <c r="CP31" s="12">
        <v>2343</v>
      </c>
      <c r="CQ31" s="12">
        <v>1923</v>
      </c>
      <c r="CR31" s="12">
        <v>2342</v>
      </c>
      <c r="CS31" s="12">
        <v>2556</v>
      </c>
      <c r="CT31" s="12">
        <v>1620</v>
      </c>
      <c r="CU31" s="12">
        <v>441</v>
      </c>
      <c r="CV31" s="12">
        <v>1929</v>
      </c>
      <c r="CW31" s="12">
        <v>3963</v>
      </c>
      <c r="CX31" s="12">
        <v>2740</v>
      </c>
      <c r="CY31" s="12">
        <v>2481</v>
      </c>
      <c r="CZ31" s="12">
        <v>3295</v>
      </c>
      <c r="DA31" s="12">
        <v>4187</v>
      </c>
      <c r="DB31" s="12">
        <v>3056</v>
      </c>
      <c r="DC31" s="12">
        <v>1814</v>
      </c>
      <c r="DD31" s="12">
        <v>3088</v>
      </c>
      <c r="DE31" s="12">
        <v>2434</v>
      </c>
      <c r="DF31" s="12">
        <v>3005</v>
      </c>
      <c r="DG31" s="12">
        <v>2823</v>
      </c>
      <c r="DH31" s="12">
        <v>2591</v>
      </c>
      <c r="DI31" s="14">
        <v>4830</v>
      </c>
      <c r="DJ31" s="14">
        <v>3475</v>
      </c>
      <c r="DK31" s="14">
        <v>3144</v>
      </c>
      <c r="DL31" s="14">
        <v>3798</v>
      </c>
      <c r="DM31" s="14">
        <v>4275</v>
      </c>
      <c r="DN31" s="14">
        <v>2845</v>
      </c>
      <c r="DO31" s="14">
        <v>1943</v>
      </c>
      <c r="DP31" s="14">
        <v>2238</v>
      </c>
      <c r="DQ31" s="14">
        <v>1963</v>
      </c>
      <c r="DR31" s="14">
        <v>3185</v>
      </c>
      <c r="DS31" s="14">
        <v>4835</v>
      </c>
      <c r="DT31" s="14">
        <v>3850</v>
      </c>
      <c r="DU31" s="14">
        <v>4658</v>
      </c>
      <c r="DV31" s="14">
        <v>2759</v>
      </c>
      <c r="DW31" s="14">
        <v>2984</v>
      </c>
      <c r="DX31" s="14">
        <v>4522</v>
      </c>
      <c r="DY31" s="14">
        <v>4964</v>
      </c>
      <c r="DZ31" s="14">
        <v>3695</v>
      </c>
      <c r="EA31" s="14">
        <v>2961</v>
      </c>
      <c r="EB31" s="14">
        <v>3283</v>
      </c>
      <c r="EC31" s="14">
        <v>2513</v>
      </c>
      <c r="ED31" s="14">
        <v>3774</v>
      </c>
      <c r="EE31" s="14">
        <v>4263</v>
      </c>
      <c r="EF31" s="14">
        <v>3700</v>
      </c>
      <c r="EG31" s="14">
        <v>5301</v>
      </c>
      <c r="EH31" s="14">
        <v>4273</v>
      </c>
      <c r="EI31" s="14">
        <v>3085</v>
      </c>
      <c r="EJ31" s="14">
        <v>4678</v>
      </c>
      <c r="EK31" s="14">
        <v>4489</v>
      </c>
      <c r="EL31" s="14">
        <v>2897</v>
      </c>
      <c r="EM31" s="14">
        <v>2405</v>
      </c>
      <c r="EN31" s="14">
        <v>2798</v>
      </c>
      <c r="EO31" s="14">
        <v>2137</v>
      </c>
      <c r="EP31" s="14">
        <v>2754</v>
      </c>
      <c r="EQ31" s="14">
        <v>3018</v>
      </c>
      <c r="ER31" s="14">
        <v>3236</v>
      </c>
      <c r="ES31" s="14">
        <v>5170</v>
      </c>
      <c r="ET31" s="14">
        <v>3877</v>
      </c>
      <c r="EU31" s="14">
        <v>2506</v>
      </c>
      <c r="EV31" s="14">
        <v>3880</v>
      </c>
      <c r="EW31" s="14">
        <v>5215</v>
      </c>
      <c r="EX31" s="14">
        <v>3020</v>
      </c>
      <c r="EY31" s="14">
        <v>2490</v>
      </c>
      <c r="EZ31" s="14">
        <v>2874</v>
      </c>
      <c r="FA31" s="14">
        <v>2216</v>
      </c>
      <c r="FB31" s="14">
        <v>3625</v>
      </c>
      <c r="FC31" s="14">
        <v>3954</v>
      </c>
      <c r="FD31" s="14">
        <v>4342</v>
      </c>
      <c r="FE31" s="14">
        <v>6107</v>
      </c>
      <c r="FF31" s="14">
        <v>4280</v>
      </c>
      <c r="FG31" s="14">
        <v>3574</v>
      </c>
      <c r="FH31" s="14">
        <v>5857</v>
      </c>
      <c r="FI31" s="14">
        <v>7439</v>
      </c>
      <c r="FJ31" s="14">
        <v>5570</v>
      </c>
      <c r="FK31" s="14">
        <v>3589</v>
      </c>
      <c r="FL31" s="14"/>
      <c r="FM31" s="14"/>
      <c r="FN31" s="14"/>
      <c r="FR31" s="12">
        <f t="shared" si="26"/>
        <v>5471</v>
      </c>
      <c r="FS31" s="12">
        <f t="shared" si="27"/>
        <v>4140</v>
      </c>
      <c r="FT31" s="12">
        <f t="shared" si="28"/>
        <v>4000</v>
      </c>
      <c r="FU31" s="12">
        <f t="shared" si="29"/>
        <v>6863</v>
      </c>
      <c r="FV31" s="12">
        <f t="shared" si="30"/>
        <v>10987</v>
      </c>
      <c r="FW31" s="12">
        <f t="shared" si="31"/>
        <v>8943</v>
      </c>
      <c r="FX31" s="12">
        <f t="shared" si="32"/>
        <v>10967</v>
      </c>
      <c r="FY31" s="12">
        <f t="shared" si="33"/>
        <v>7195</v>
      </c>
      <c r="FZ31" s="12">
        <f t="shared" si="34"/>
        <v>9592</v>
      </c>
      <c r="GA31" s="12">
        <f t="shared" si="35"/>
        <v>8306</v>
      </c>
      <c r="GB31" s="12">
        <f t="shared" si="36"/>
        <v>7904</v>
      </c>
      <c r="GC31" s="12">
        <f t="shared" si="37"/>
        <v>5013</v>
      </c>
      <c r="GD31" s="12">
        <f t="shared" si="38"/>
        <v>7934</v>
      </c>
      <c r="GE31" s="12">
        <f t="shared" si="39"/>
        <v>5950</v>
      </c>
      <c r="GF31" s="12">
        <f t="shared" si="40"/>
        <v>7770</v>
      </c>
      <c r="GG31" s="12">
        <f t="shared" si="41"/>
        <v>4928</v>
      </c>
      <c r="GH31" s="12">
        <f t="shared" si="42"/>
        <v>8631</v>
      </c>
      <c r="GI31" s="12">
        <f t="shared" si="43"/>
        <v>6682</v>
      </c>
      <c r="GJ31" s="12">
        <f t="shared" si="44"/>
        <v>7326</v>
      </c>
      <c r="GK31" s="12">
        <f t="shared" si="45"/>
        <v>4347</v>
      </c>
      <c r="GL31" s="12">
        <f t="shared" si="46"/>
        <v>7961</v>
      </c>
      <c r="GM31" s="12">
        <f t="shared" si="47"/>
        <v>9189</v>
      </c>
      <c r="GN31" s="12">
        <f t="shared" si="48"/>
        <v>8121</v>
      </c>
      <c r="GO31" s="12">
        <f t="shared" si="49"/>
        <v>8053</v>
      </c>
      <c r="GP31" s="12">
        <f t="shared" si="50"/>
        <v>11003</v>
      </c>
      <c r="GQ31" s="12">
        <f t="shared" si="51"/>
        <v>8455</v>
      </c>
      <c r="GR31" s="12">
        <f t="shared" si="52"/>
        <v>7389</v>
      </c>
      <c r="GS31" s="12">
        <f t="shared" si="53"/>
        <v>6207</v>
      </c>
      <c r="GT31" s="12">
        <f t="shared" si="54"/>
        <v>8252</v>
      </c>
      <c r="GU31" s="12">
        <f t="shared" si="55"/>
        <v>7843</v>
      </c>
      <c r="GV31" s="12">
        <f t="shared" si="56"/>
        <v>8347</v>
      </c>
      <c r="GW31" s="12">
        <f t="shared" si="57"/>
        <v>6518</v>
      </c>
      <c r="GX31" s="12">
        <f t="shared" si="58"/>
        <v>6333</v>
      </c>
      <c r="GY31" s="12">
        <f t="shared" si="59"/>
        <v>8516</v>
      </c>
      <c r="GZ31" s="12">
        <f t="shared" si="2"/>
        <v>9057</v>
      </c>
      <c r="HA31" s="12">
        <f t="shared" si="3"/>
        <v>8527</v>
      </c>
      <c r="HB31" s="12">
        <f t="shared" si="4"/>
        <v>5414</v>
      </c>
      <c r="HC31" s="12">
        <f t="shared" si="5"/>
        <v>10417</v>
      </c>
      <c r="HD31" s="12">
        <f t="shared" si="6"/>
        <v>9063</v>
      </c>
      <c r="HE31" s="12">
        <f t="shared" si="7"/>
        <v>7386</v>
      </c>
      <c r="HF31" s="12">
        <f t="shared" si="8"/>
        <v>13343</v>
      </c>
      <c r="HG31" s="12">
        <f t="shared" si="9"/>
        <v>10265</v>
      </c>
      <c r="HH31" s="12">
        <f t="shared" si="10"/>
        <v>11620</v>
      </c>
      <c r="HI31" s="12">
        <f t="shared" si="11"/>
        <v>9570</v>
      </c>
      <c r="HJ31" s="12">
        <f t="shared" si="12"/>
        <v>13264</v>
      </c>
      <c r="HK31" s="12">
        <f t="shared" si="13"/>
        <v>12036</v>
      </c>
      <c r="HL31" s="12">
        <f t="shared" si="14"/>
        <v>9791</v>
      </c>
      <c r="HM31" s="12">
        <f t="shared" si="15"/>
        <v>7689</v>
      </c>
      <c r="HN31" s="12">
        <f t="shared" si="60"/>
        <v>13264</v>
      </c>
      <c r="HO31" s="12">
        <f t="shared" si="61"/>
        <v>12036</v>
      </c>
      <c r="HP31" s="12">
        <f t="shared" si="62"/>
        <v>9791</v>
      </c>
      <c r="HQ31" s="12">
        <f t="shared" si="63"/>
        <v>7689</v>
      </c>
      <c r="HR31" s="12">
        <f t="shared" si="64"/>
        <v>11424</v>
      </c>
      <c r="HS31" s="12">
        <f t="shared" si="65"/>
        <v>10263</v>
      </c>
      <c r="HT31" s="12">
        <f t="shared" si="16"/>
        <v>10725</v>
      </c>
      <c r="HU31" s="12">
        <f t="shared" si="17"/>
        <v>8715</v>
      </c>
      <c r="HV31" s="12">
        <f t="shared" si="18"/>
        <v>14403</v>
      </c>
      <c r="HW31" s="12">
        <f t="shared" si="19"/>
        <v>13711</v>
      </c>
      <c r="HX31" s="12">
        <f t="shared" si="20"/>
        <v>16598</v>
      </c>
      <c r="IB31" s="12">
        <f t="shared" si="66"/>
        <v>20474</v>
      </c>
      <c r="IC31" s="12">
        <f t="shared" si="67"/>
        <v>38092</v>
      </c>
      <c r="ID31" s="12">
        <f t="shared" si="68"/>
        <v>30815</v>
      </c>
      <c r="IE31" s="12">
        <f t="shared" si="69"/>
        <v>26582</v>
      </c>
      <c r="IF31" s="12">
        <f t="shared" si="70"/>
        <v>26986</v>
      </c>
      <c r="IG31" s="12">
        <f t="shared" si="71"/>
        <v>33324</v>
      </c>
      <c r="IH31" s="12">
        <f t="shared" si="72"/>
        <v>33054</v>
      </c>
      <c r="II31" s="12">
        <f t="shared" si="73"/>
        <v>30960</v>
      </c>
      <c r="IJ31" s="12">
        <f t="shared" si="21"/>
        <v>32433</v>
      </c>
      <c r="IK31" s="12">
        <f t="shared" si="22"/>
        <v>37110</v>
      </c>
      <c r="IL31" s="12">
        <f t="shared" si="23"/>
        <v>44798</v>
      </c>
      <c r="IM31" s="12">
        <f t="shared" si="24"/>
        <v>42780</v>
      </c>
      <c r="IN31" s="12">
        <f t="shared" si="25"/>
        <v>41127</v>
      </c>
    </row>
    <row r="32" spans="1:248" outlineLevel="1" x14ac:dyDescent="0.3">
      <c r="A32" s="15" t="s">
        <v>89</v>
      </c>
      <c r="B32" s="15"/>
      <c r="C32" s="16">
        <f t="shared" ref="C32:BN32" si="82">+SUM(C28:C31)</f>
        <v>16242</v>
      </c>
      <c r="D32" s="16">
        <f t="shared" si="82"/>
        <v>18285</v>
      </c>
      <c r="E32" s="16">
        <f t="shared" si="82"/>
        <v>22898</v>
      </c>
      <c r="F32" s="16">
        <f t="shared" si="82"/>
        <v>15752</v>
      </c>
      <c r="G32" s="16">
        <f t="shared" si="82"/>
        <v>12533</v>
      </c>
      <c r="H32" s="16">
        <f t="shared" si="82"/>
        <v>19093</v>
      </c>
      <c r="I32" s="16">
        <f t="shared" si="82"/>
        <v>29221</v>
      </c>
      <c r="J32" s="16">
        <f t="shared" si="82"/>
        <v>19963</v>
      </c>
      <c r="K32" s="16">
        <f t="shared" si="82"/>
        <v>13925</v>
      </c>
      <c r="L32" s="16">
        <f t="shared" si="82"/>
        <v>16628</v>
      </c>
      <c r="M32" s="16">
        <f t="shared" si="82"/>
        <v>14166</v>
      </c>
      <c r="N32" s="16">
        <f t="shared" si="82"/>
        <v>15672</v>
      </c>
      <c r="O32" s="16">
        <f t="shared" si="82"/>
        <v>22418</v>
      </c>
      <c r="P32" s="16">
        <f t="shared" si="82"/>
        <v>22715</v>
      </c>
      <c r="Q32" s="16">
        <f t="shared" si="82"/>
        <v>27129</v>
      </c>
      <c r="R32" s="16">
        <f t="shared" si="82"/>
        <v>18032</v>
      </c>
      <c r="S32" s="16">
        <f t="shared" si="82"/>
        <v>13693</v>
      </c>
      <c r="T32" s="16">
        <f t="shared" si="82"/>
        <v>26149</v>
      </c>
      <c r="U32" s="16">
        <f t="shared" si="82"/>
        <v>37805</v>
      </c>
      <c r="V32" s="16">
        <f t="shared" si="82"/>
        <v>22550</v>
      </c>
      <c r="W32" s="16">
        <f t="shared" si="82"/>
        <v>16452</v>
      </c>
      <c r="X32" s="16">
        <f t="shared" si="82"/>
        <v>19549</v>
      </c>
      <c r="Y32" s="16">
        <f t="shared" si="82"/>
        <v>16727</v>
      </c>
      <c r="Z32" s="16">
        <f t="shared" si="82"/>
        <v>16688</v>
      </c>
      <c r="AA32" s="17">
        <f t="shared" si="82"/>
        <v>20107</v>
      </c>
      <c r="AB32" s="17">
        <f t="shared" si="82"/>
        <v>23375</v>
      </c>
      <c r="AC32" s="17">
        <f t="shared" si="82"/>
        <v>29035</v>
      </c>
      <c r="AD32" s="17">
        <f t="shared" si="82"/>
        <v>16615</v>
      </c>
      <c r="AE32" s="17">
        <f t="shared" si="82"/>
        <v>13908</v>
      </c>
      <c r="AF32" s="17">
        <f t="shared" si="82"/>
        <v>27606</v>
      </c>
      <c r="AG32" s="17">
        <f t="shared" si="82"/>
        <v>31020</v>
      </c>
      <c r="AH32" s="17">
        <f t="shared" si="82"/>
        <v>14389</v>
      </c>
      <c r="AI32" s="17">
        <f t="shared" si="82"/>
        <v>11451</v>
      </c>
      <c r="AJ32" s="17">
        <f t="shared" si="82"/>
        <v>13977</v>
      </c>
      <c r="AK32" s="17">
        <f t="shared" si="82"/>
        <v>10350</v>
      </c>
      <c r="AL32" s="18">
        <f t="shared" si="82"/>
        <v>10501</v>
      </c>
      <c r="AM32" s="17">
        <f t="shared" si="82"/>
        <v>17191</v>
      </c>
      <c r="AN32" s="17">
        <f t="shared" si="82"/>
        <v>18405</v>
      </c>
      <c r="AO32" s="17">
        <f t="shared" si="82"/>
        <v>24046</v>
      </c>
      <c r="AP32" s="17">
        <f t="shared" si="82"/>
        <v>14449</v>
      </c>
      <c r="AQ32" s="17">
        <f t="shared" si="82"/>
        <v>10868</v>
      </c>
      <c r="AR32" s="17">
        <f t="shared" si="82"/>
        <v>17162</v>
      </c>
      <c r="AS32" s="17">
        <f t="shared" si="82"/>
        <v>27455</v>
      </c>
      <c r="AT32" s="17">
        <f t="shared" si="82"/>
        <v>20943</v>
      </c>
      <c r="AU32" s="17">
        <f t="shared" si="82"/>
        <v>11807</v>
      </c>
      <c r="AV32" s="17">
        <f t="shared" si="82"/>
        <v>14462</v>
      </c>
      <c r="AW32" s="17">
        <f t="shared" si="82"/>
        <v>12856</v>
      </c>
      <c r="AX32" s="17">
        <f t="shared" si="82"/>
        <v>14090</v>
      </c>
      <c r="AY32" s="17">
        <f t="shared" si="82"/>
        <v>20839</v>
      </c>
      <c r="AZ32" s="17">
        <f t="shared" si="82"/>
        <v>22279</v>
      </c>
      <c r="BA32" s="17">
        <f t="shared" si="82"/>
        <v>28962</v>
      </c>
      <c r="BB32" s="17">
        <f t="shared" si="82"/>
        <v>16547</v>
      </c>
      <c r="BC32" s="17">
        <f t="shared" si="82"/>
        <v>12411</v>
      </c>
      <c r="BD32" s="17">
        <f t="shared" si="82"/>
        <v>29157</v>
      </c>
      <c r="BE32" s="17">
        <f t="shared" si="82"/>
        <v>44016</v>
      </c>
      <c r="BF32" s="17">
        <f t="shared" si="82"/>
        <v>16058</v>
      </c>
      <c r="BG32" s="17">
        <f t="shared" si="82"/>
        <v>12728</v>
      </c>
      <c r="BH32" s="17">
        <f t="shared" si="82"/>
        <v>14812</v>
      </c>
      <c r="BI32" s="17">
        <f t="shared" si="82"/>
        <v>13890</v>
      </c>
      <c r="BJ32" s="17">
        <f t="shared" si="82"/>
        <v>17984</v>
      </c>
      <c r="BK32" s="17">
        <f t="shared" si="82"/>
        <v>25208</v>
      </c>
      <c r="BL32" s="17">
        <f t="shared" si="82"/>
        <v>24710</v>
      </c>
      <c r="BM32" s="17">
        <f t="shared" si="82"/>
        <v>31660</v>
      </c>
      <c r="BN32" s="17">
        <f t="shared" si="82"/>
        <v>17804</v>
      </c>
      <c r="BO32" s="17">
        <f t="shared" ref="BO32:DA32" si="83">+SUM(BO28:BO31)</f>
        <v>15356</v>
      </c>
      <c r="BP32" s="17">
        <f t="shared" si="83"/>
        <v>44220</v>
      </c>
      <c r="BQ32" s="17">
        <f t="shared" si="83"/>
        <v>39516</v>
      </c>
      <c r="BR32" s="17">
        <f t="shared" si="83"/>
        <v>21271</v>
      </c>
      <c r="BS32" s="17">
        <f t="shared" si="83"/>
        <v>16855</v>
      </c>
      <c r="BT32" s="17">
        <f t="shared" si="83"/>
        <v>20822</v>
      </c>
      <c r="BU32" s="17">
        <f t="shared" si="83"/>
        <v>19442</v>
      </c>
      <c r="BV32" s="17">
        <f t="shared" si="83"/>
        <v>27155</v>
      </c>
      <c r="BW32" s="17">
        <f t="shared" si="83"/>
        <v>29884</v>
      </c>
      <c r="BX32" s="17">
        <f t="shared" si="83"/>
        <v>28199</v>
      </c>
      <c r="BY32" s="17">
        <f t="shared" si="83"/>
        <v>39277</v>
      </c>
      <c r="BZ32" s="17">
        <f t="shared" si="83"/>
        <v>21574</v>
      </c>
      <c r="CA32" s="17">
        <f t="shared" si="83"/>
        <v>16375</v>
      </c>
      <c r="CB32" s="17">
        <f t="shared" si="83"/>
        <v>35953</v>
      </c>
      <c r="CC32" s="17">
        <f t="shared" si="83"/>
        <v>46312</v>
      </c>
      <c r="CD32" s="17">
        <f t="shared" si="83"/>
        <v>25159</v>
      </c>
      <c r="CE32" s="17">
        <f t="shared" si="83"/>
        <v>16510</v>
      </c>
      <c r="CF32" s="17">
        <f t="shared" si="83"/>
        <v>20948</v>
      </c>
      <c r="CG32" s="17">
        <f t="shared" si="83"/>
        <v>18105</v>
      </c>
      <c r="CH32" s="17">
        <f t="shared" si="83"/>
        <v>18446</v>
      </c>
      <c r="CI32" s="17">
        <f t="shared" si="83"/>
        <v>27495</v>
      </c>
      <c r="CJ32" s="17">
        <f t="shared" si="83"/>
        <v>23539</v>
      </c>
      <c r="CK32" s="17">
        <f t="shared" si="83"/>
        <v>31879</v>
      </c>
      <c r="CL32" s="17">
        <f t="shared" si="83"/>
        <v>19174</v>
      </c>
      <c r="CM32" s="17">
        <f t="shared" si="83"/>
        <v>13871</v>
      </c>
      <c r="CN32" s="17">
        <f t="shared" si="83"/>
        <v>36046</v>
      </c>
      <c r="CO32" s="17">
        <f t="shared" si="83"/>
        <v>44646</v>
      </c>
      <c r="CP32" s="17">
        <f t="shared" si="83"/>
        <v>20414</v>
      </c>
      <c r="CQ32" s="17">
        <f t="shared" si="83"/>
        <v>17213</v>
      </c>
      <c r="CR32" s="17">
        <f t="shared" si="83"/>
        <v>22329</v>
      </c>
      <c r="CS32" s="17">
        <f t="shared" si="83"/>
        <v>21877</v>
      </c>
      <c r="CT32" s="17">
        <f t="shared" si="83"/>
        <v>13418</v>
      </c>
      <c r="CU32" s="17">
        <f t="shared" si="83"/>
        <v>4716</v>
      </c>
      <c r="CV32" s="17">
        <f t="shared" si="83"/>
        <v>24017</v>
      </c>
      <c r="CW32" s="17">
        <f t="shared" si="83"/>
        <v>35844</v>
      </c>
      <c r="CX32" s="17">
        <f t="shared" si="83"/>
        <v>24463</v>
      </c>
      <c r="CY32" s="17">
        <f t="shared" si="83"/>
        <v>23503</v>
      </c>
      <c r="CZ32" s="17">
        <f t="shared" si="83"/>
        <v>42361</v>
      </c>
      <c r="DA32" s="17">
        <f t="shared" si="83"/>
        <v>45588</v>
      </c>
      <c r="DB32" s="17">
        <f>+SUM(DB28:DB31)</f>
        <v>31619</v>
      </c>
      <c r="DC32" s="17">
        <v>21173</v>
      </c>
      <c r="DD32" s="17">
        <v>33562</v>
      </c>
      <c r="DE32" s="17">
        <v>27170</v>
      </c>
      <c r="DF32" s="17">
        <v>29817</v>
      </c>
      <c r="DG32" s="17">
        <v>26130</v>
      </c>
      <c r="DH32" s="17">
        <v>22843</v>
      </c>
      <c r="DI32" s="19">
        <v>46875</v>
      </c>
      <c r="DJ32" s="19">
        <v>25769</v>
      </c>
      <c r="DK32" s="19">
        <v>19997</v>
      </c>
      <c r="DL32" s="19">
        <v>39053</v>
      </c>
      <c r="DM32" s="19">
        <v>45420</v>
      </c>
      <c r="DN32" s="19">
        <v>26094</v>
      </c>
      <c r="DO32" s="19">
        <v>16687</v>
      </c>
      <c r="DP32" s="19">
        <v>21162</v>
      </c>
      <c r="DQ32" s="19">
        <v>18910</v>
      </c>
      <c r="DR32" s="19">
        <v>28112</v>
      </c>
      <c r="DS32" s="19">
        <v>39405</v>
      </c>
      <c r="DT32" s="19">
        <v>34153</v>
      </c>
      <c r="DU32" s="19">
        <v>39825</v>
      </c>
      <c r="DV32" s="19">
        <v>21684</v>
      </c>
      <c r="DW32" s="19">
        <v>20138</v>
      </c>
      <c r="DX32" s="19">
        <v>47100</v>
      </c>
      <c r="DY32" s="19">
        <v>50539</v>
      </c>
      <c r="DZ32" s="19">
        <v>29180</v>
      </c>
      <c r="EA32" s="19">
        <v>21640</v>
      </c>
      <c r="EB32" s="19">
        <v>27626</v>
      </c>
      <c r="EC32" s="19">
        <v>24619</v>
      </c>
      <c r="ED32" s="19">
        <v>33622</v>
      </c>
      <c r="EE32" s="19">
        <v>35398</v>
      </c>
      <c r="EF32" s="19">
        <v>33113</v>
      </c>
      <c r="EG32" s="19">
        <v>43364</v>
      </c>
      <c r="EH32" s="19">
        <v>24168</v>
      </c>
      <c r="EI32" s="19">
        <v>20647</v>
      </c>
      <c r="EJ32" s="19">
        <v>42034</v>
      </c>
      <c r="EK32" s="19">
        <v>49336</v>
      </c>
      <c r="EL32" s="19">
        <v>31069</v>
      </c>
      <c r="EM32" s="19">
        <v>18028</v>
      </c>
      <c r="EN32" s="19">
        <v>22972</v>
      </c>
      <c r="EO32" s="19">
        <v>20121</v>
      </c>
      <c r="EP32" s="19">
        <v>24276</v>
      </c>
      <c r="EQ32" s="19">
        <v>35805</v>
      </c>
      <c r="ER32" s="19">
        <v>35237</v>
      </c>
      <c r="ES32" s="19">
        <v>45888</v>
      </c>
      <c r="ET32" s="19">
        <v>25587</v>
      </c>
      <c r="EU32" s="19">
        <v>20518</v>
      </c>
      <c r="EV32" s="19">
        <v>43201</v>
      </c>
      <c r="EW32" s="19">
        <v>64326</v>
      </c>
      <c r="EX32" s="19">
        <v>31746</v>
      </c>
      <c r="EY32" s="19">
        <v>22019</v>
      </c>
      <c r="EZ32" s="19">
        <v>26305</v>
      </c>
      <c r="FA32" s="19">
        <v>23880</v>
      </c>
      <c r="FB32" s="19">
        <v>32582</v>
      </c>
      <c r="FC32" s="19">
        <v>38516</v>
      </c>
      <c r="FD32" s="19">
        <v>38914</v>
      </c>
      <c r="FE32" s="19">
        <v>51769</v>
      </c>
      <c r="FF32" s="19">
        <v>26990</v>
      </c>
      <c r="FG32" s="19">
        <v>26201</v>
      </c>
      <c r="FH32" s="19">
        <v>64946</v>
      </c>
      <c r="FI32" s="19">
        <v>72071</v>
      </c>
      <c r="FJ32" s="19">
        <v>42273</v>
      </c>
      <c r="FK32" s="19">
        <v>30210</v>
      </c>
      <c r="FL32" s="20"/>
      <c r="FM32" s="20"/>
      <c r="FN32" s="20"/>
      <c r="FR32" s="17">
        <f t="shared" si="26"/>
        <v>57425</v>
      </c>
      <c r="FS32" s="17">
        <f t="shared" si="27"/>
        <v>47378</v>
      </c>
      <c r="FT32" s="17">
        <f t="shared" si="28"/>
        <v>63109</v>
      </c>
      <c r="FU32" s="17">
        <f t="shared" si="29"/>
        <v>46466</v>
      </c>
      <c r="FV32" s="17">
        <f t="shared" si="30"/>
        <v>72262</v>
      </c>
      <c r="FW32" s="17">
        <f t="shared" si="31"/>
        <v>57874</v>
      </c>
      <c r="FX32" s="17">
        <f t="shared" si="32"/>
        <v>76807</v>
      </c>
      <c r="FY32" s="17">
        <f t="shared" si="33"/>
        <v>52964</v>
      </c>
      <c r="FZ32" s="17">
        <f t="shared" si="34"/>
        <v>72517</v>
      </c>
      <c r="GA32" s="17">
        <f t="shared" si="35"/>
        <v>58129</v>
      </c>
      <c r="GB32" s="17">
        <f t="shared" si="36"/>
        <v>56860</v>
      </c>
      <c r="GC32" s="17">
        <f t="shared" si="37"/>
        <v>34828</v>
      </c>
      <c r="GD32" s="17">
        <f t="shared" si="38"/>
        <v>59642</v>
      </c>
      <c r="GE32" s="17">
        <f t="shared" si="39"/>
        <v>42479</v>
      </c>
      <c r="GF32" s="17">
        <f t="shared" si="40"/>
        <v>60205</v>
      </c>
      <c r="GG32" s="17">
        <f t="shared" si="41"/>
        <v>41408</v>
      </c>
      <c r="GH32" s="17">
        <f t="shared" si="42"/>
        <v>72080</v>
      </c>
      <c r="GI32" s="17">
        <f t="shared" si="43"/>
        <v>58115</v>
      </c>
      <c r="GJ32" s="17">
        <f t="shared" si="44"/>
        <v>72802</v>
      </c>
      <c r="GK32" s="17">
        <f t="shared" si="45"/>
        <v>46686</v>
      </c>
      <c r="GL32" s="17">
        <f t="shared" si="46"/>
        <v>81578</v>
      </c>
      <c r="GM32" s="17">
        <f t="shared" si="47"/>
        <v>77380</v>
      </c>
      <c r="GN32" s="17">
        <f t="shared" si="48"/>
        <v>77642</v>
      </c>
      <c r="GO32" s="17">
        <f t="shared" si="49"/>
        <v>67419</v>
      </c>
      <c r="GP32" s="17">
        <f t="shared" si="50"/>
        <v>97360</v>
      </c>
      <c r="GQ32" s="17">
        <f t="shared" si="51"/>
        <v>73902</v>
      </c>
      <c r="GR32" s="17">
        <f t="shared" si="52"/>
        <v>87981</v>
      </c>
      <c r="GS32" s="17">
        <f t="shared" si="53"/>
        <v>57499</v>
      </c>
      <c r="GT32" s="17">
        <f t="shared" si="54"/>
        <v>82913</v>
      </c>
      <c r="GU32" s="17">
        <f t="shared" si="55"/>
        <v>69091</v>
      </c>
      <c r="GV32" s="17">
        <f t="shared" si="56"/>
        <v>82273</v>
      </c>
      <c r="GW32" s="17">
        <f t="shared" si="57"/>
        <v>57624</v>
      </c>
      <c r="GX32" s="17">
        <f t="shared" si="58"/>
        <v>64577</v>
      </c>
      <c r="GY32" s="17">
        <f t="shared" si="59"/>
        <v>90327</v>
      </c>
      <c r="GZ32" s="17">
        <f t="shared" si="2"/>
        <v>98380</v>
      </c>
      <c r="HA32" s="17">
        <f t="shared" si="3"/>
        <v>90549</v>
      </c>
      <c r="HB32" s="17">
        <f t="shared" si="4"/>
        <v>48973</v>
      </c>
      <c r="HC32" s="17">
        <f t="shared" si="5"/>
        <v>84819</v>
      </c>
      <c r="HD32" s="17">
        <f t="shared" si="6"/>
        <v>88201</v>
      </c>
      <c r="HE32" s="17">
        <f t="shared" si="7"/>
        <v>68184</v>
      </c>
      <c r="HF32" s="17">
        <f t="shared" si="8"/>
        <v>113383</v>
      </c>
      <c r="HG32" s="17">
        <f t="shared" si="9"/>
        <v>88922</v>
      </c>
      <c r="HH32" s="17">
        <f t="shared" si="10"/>
        <v>101359</v>
      </c>
      <c r="HI32" s="17">
        <f t="shared" si="11"/>
        <v>85867</v>
      </c>
      <c r="HJ32" s="17">
        <f t="shared" si="12"/>
        <v>111875</v>
      </c>
      <c r="HK32" s="17">
        <f t="shared" si="13"/>
        <v>86849</v>
      </c>
      <c r="HL32" s="17">
        <f t="shared" si="14"/>
        <v>98433</v>
      </c>
      <c r="HM32" s="17">
        <f t="shared" si="15"/>
        <v>67369</v>
      </c>
      <c r="HN32" s="17">
        <f t="shared" si="60"/>
        <v>111875</v>
      </c>
      <c r="HO32" s="17">
        <f t="shared" si="61"/>
        <v>86849</v>
      </c>
      <c r="HP32" s="17">
        <f t="shared" si="62"/>
        <v>98433</v>
      </c>
      <c r="HQ32" s="17">
        <f t="shared" si="63"/>
        <v>67369</v>
      </c>
      <c r="HR32" s="17">
        <f t="shared" si="64"/>
        <v>116930</v>
      </c>
      <c r="HS32" s="17">
        <f t="shared" si="65"/>
        <v>89306</v>
      </c>
      <c r="HT32" s="17">
        <f t="shared" si="16"/>
        <v>118091</v>
      </c>
      <c r="HU32" s="17">
        <f t="shared" si="17"/>
        <v>82767</v>
      </c>
      <c r="HV32" s="17">
        <f t="shared" si="18"/>
        <v>129199</v>
      </c>
      <c r="HW32" s="17">
        <f t="shared" si="19"/>
        <v>118137</v>
      </c>
      <c r="HX32" s="17">
        <f t="shared" si="20"/>
        <v>144554</v>
      </c>
      <c r="IB32" s="17">
        <f t="shared" si="66"/>
        <v>214378</v>
      </c>
      <c r="IC32" s="17">
        <f t="shared" si="67"/>
        <v>259907</v>
      </c>
      <c r="ID32" s="17">
        <f t="shared" si="68"/>
        <v>222334</v>
      </c>
      <c r="IE32" s="17">
        <f t="shared" si="69"/>
        <v>203734</v>
      </c>
      <c r="IF32" s="17">
        <f t="shared" si="70"/>
        <v>249683</v>
      </c>
      <c r="IG32" s="17">
        <f t="shared" si="71"/>
        <v>304019</v>
      </c>
      <c r="IH32" s="17">
        <f t="shared" si="72"/>
        <v>316742</v>
      </c>
      <c r="II32" s="17">
        <f t="shared" si="73"/>
        <v>291901</v>
      </c>
      <c r="IJ32" s="17">
        <f t="shared" si="21"/>
        <v>343833</v>
      </c>
      <c r="IK32" s="17">
        <f t="shared" si="22"/>
        <v>337052</v>
      </c>
      <c r="IL32" s="17">
        <f t="shared" si="23"/>
        <v>389531</v>
      </c>
      <c r="IM32" s="17">
        <f t="shared" si="24"/>
        <v>364526</v>
      </c>
      <c r="IN32" s="17">
        <f t="shared" si="25"/>
        <v>407094</v>
      </c>
    </row>
    <row r="33" spans="1:248" outlineLevel="2" x14ac:dyDescent="0.3">
      <c r="A33" t="s">
        <v>90</v>
      </c>
      <c r="B33" t="s">
        <v>75</v>
      </c>
      <c r="C33" s="11">
        <v>520</v>
      </c>
      <c r="D33" s="11">
        <v>390</v>
      </c>
      <c r="E33" s="11">
        <v>558</v>
      </c>
      <c r="F33" s="11">
        <v>493</v>
      </c>
      <c r="G33" s="11">
        <v>395</v>
      </c>
      <c r="H33" s="11">
        <v>535</v>
      </c>
      <c r="I33" s="11">
        <v>722</v>
      </c>
      <c r="J33" s="11">
        <v>647</v>
      </c>
      <c r="K33" s="11">
        <v>350</v>
      </c>
      <c r="L33" s="11">
        <v>405</v>
      </c>
      <c r="M33" s="11">
        <v>449</v>
      </c>
      <c r="N33" s="11">
        <v>545</v>
      </c>
      <c r="O33" s="11">
        <v>540</v>
      </c>
      <c r="P33" s="11">
        <v>541</v>
      </c>
      <c r="Q33" s="11">
        <v>802</v>
      </c>
      <c r="R33" s="11">
        <v>549</v>
      </c>
      <c r="S33" s="11">
        <v>438</v>
      </c>
      <c r="T33" s="11">
        <v>591</v>
      </c>
      <c r="U33" s="11">
        <v>855</v>
      </c>
      <c r="V33" s="11">
        <v>624</v>
      </c>
      <c r="W33" s="11">
        <v>476</v>
      </c>
      <c r="X33" s="11">
        <v>398</v>
      </c>
      <c r="Y33" s="11">
        <v>472</v>
      </c>
      <c r="Z33" s="11">
        <v>509</v>
      </c>
      <c r="AA33" s="12">
        <v>552</v>
      </c>
      <c r="AB33" s="12">
        <v>601</v>
      </c>
      <c r="AC33" s="12">
        <v>845</v>
      </c>
      <c r="AD33" s="12">
        <v>654</v>
      </c>
      <c r="AE33" s="12">
        <v>517</v>
      </c>
      <c r="AF33" s="12">
        <v>824</v>
      </c>
      <c r="AG33" s="12">
        <v>853</v>
      </c>
      <c r="AH33" s="12">
        <v>417</v>
      </c>
      <c r="AI33" s="12">
        <v>346</v>
      </c>
      <c r="AJ33" s="12">
        <v>425</v>
      </c>
      <c r="AK33" s="12">
        <v>400</v>
      </c>
      <c r="AL33" s="13">
        <v>421</v>
      </c>
      <c r="AM33" s="12">
        <v>502</v>
      </c>
      <c r="AN33" s="12">
        <v>539</v>
      </c>
      <c r="AO33" s="12">
        <v>683</v>
      </c>
      <c r="AP33" s="12">
        <v>584</v>
      </c>
      <c r="AQ33" s="12">
        <v>379</v>
      </c>
      <c r="AR33" s="12">
        <v>533</v>
      </c>
      <c r="AS33" s="12">
        <v>654</v>
      </c>
      <c r="AT33" s="12">
        <v>481</v>
      </c>
      <c r="AU33" s="12">
        <v>330</v>
      </c>
      <c r="AV33" s="12">
        <v>289</v>
      </c>
      <c r="AW33" s="12">
        <v>325</v>
      </c>
      <c r="AX33" s="12">
        <v>402</v>
      </c>
      <c r="AY33" s="12">
        <v>424</v>
      </c>
      <c r="AZ33" s="12">
        <v>424</v>
      </c>
      <c r="BA33" s="12">
        <v>565</v>
      </c>
      <c r="BB33" s="12">
        <v>394</v>
      </c>
      <c r="BC33" s="12">
        <v>267</v>
      </c>
      <c r="BD33" s="12">
        <v>581</v>
      </c>
      <c r="BE33" s="12">
        <v>622</v>
      </c>
      <c r="BF33" s="12">
        <v>262</v>
      </c>
      <c r="BG33" s="12">
        <v>194</v>
      </c>
      <c r="BH33" s="12">
        <v>265</v>
      </c>
      <c r="BI33" s="12">
        <v>294</v>
      </c>
      <c r="BJ33" s="12">
        <v>369</v>
      </c>
      <c r="BK33" s="12">
        <v>385</v>
      </c>
      <c r="BL33" s="12">
        <v>385</v>
      </c>
      <c r="BM33" s="12">
        <v>361</v>
      </c>
      <c r="BN33" s="12">
        <v>379</v>
      </c>
      <c r="BO33" s="12">
        <v>326</v>
      </c>
      <c r="BP33" s="12">
        <v>792</v>
      </c>
      <c r="BQ33" s="12">
        <v>682</v>
      </c>
      <c r="BR33" s="12">
        <v>362</v>
      </c>
      <c r="BS33" s="12">
        <v>322</v>
      </c>
      <c r="BT33" s="12">
        <v>364</v>
      </c>
      <c r="BU33" s="12">
        <v>394</v>
      </c>
      <c r="BV33" s="12">
        <v>588</v>
      </c>
      <c r="BW33" s="12">
        <v>513</v>
      </c>
      <c r="BX33" s="12">
        <v>645</v>
      </c>
      <c r="BY33" s="12">
        <v>671</v>
      </c>
      <c r="BZ33" s="12">
        <v>461</v>
      </c>
      <c r="CA33" s="12">
        <v>457</v>
      </c>
      <c r="CB33" s="12">
        <v>808</v>
      </c>
      <c r="CC33" s="12">
        <v>837</v>
      </c>
      <c r="CD33" s="12">
        <v>659</v>
      </c>
      <c r="CE33" s="12">
        <v>386</v>
      </c>
      <c r="CF33" s="12">
        <v>397</v>
      </c>
      <c r="CG33" s="12">
        <v>369</v>
      </c>
      <c r="CH33" s="12">
        <v>596</v>
      </c>
      <c r="CI33" s="12">
        <v>407</v>
      </c>
      <c r="CJ33" s="12">
        <v>414</v>
      </c>
      <c r="CK33" s="12">
        <v>622</v>
      </c>
      <c r="CL33" s="12">
        <v>353</v>
      </c>
      <c r="CM33" s="12">
        <v>260</v>
      </c>
      <c r="CN33" s="12">
        <v>599</v>
      </c>
      <c r="CO33" s="12">
        <v>666</v>
      </c>
      <c r="CP33" s="12">
        <v>350</v>
      </c>
      <c r="CQ33" s="12">
        <v>328</v>
      </c>
      <c r="CR33" s="12">
        <v>199</v>
      </c>
      <c r="CS33" s="12">
        <v>307</v>
      </c>
      <c r="CT33" s="12">
        <v>88</v>
      </c>
      <c r="CU33" s="12">
        <v>81</v>
      </c>
      <c r="CV33" s="12">
        <v>302</v>
      </c>
      <c r="CW33" s="12">
        <v>632</v>
      </c>
      <c r="CX33" s="12">
        <v>302</v>
      </c>
      <c r="CY33" s="12">
        <v>295</v>
      </c>
      <c r="CZ33" s="12">
        <v>472</v>
      </c>
      <c r="DA33" s="12">
        <v>624</v>
      </c>
      <c r="DB33" s="12">
        <v>405</v>
      </c>
      <c r="DC33" s="12">
        <v>177</v>
      </c>
      <c r="DD33" s="12">
        <v>320</v>
      </c>
      <c r="DE33" s="12">
        <v>297</v>
      </c>
      <c r="DF33" s="12">
        <v>345</v>
      </c>
      <c r="DG33" s="12">
        <v>179</v>
      </c>
      <c r="DH33" s="12">
        <v>234</v>
      </c>
      <c r="DI33" s="14">
        <v>430</v>
      </c>
      <c r="DJ33" s="14">
        <v>273</v>
      </c>
      <c r="DK33" s="14">
        <v>223</v>
      </c>
      <c r="DL33" s="14">
        <v>380</v>
      </c>
      <c r="DM33" s="14">
        <v>469</v>
      </c>
      <c r="DN33" s="14">
        <v>293</v>
      </c>
      <c r="DO33" s="14">
        <v>179</v>
      </c>
      <c r="DP33" s="14">
        <v>216</v>
      </c>
      <c r="DQ33" s="14">
        <v>238</v>
      </c>
      <c r="DR33" s="14">
        <v>296</v>
      </c>
      <c r="DS33" s="14">
        <v>334</v>
      </c>
      <c r="DT33" s="14">
        <v>343</v>
      </c>
      <c r="DU33" s="14">
        <v>495</v>
      </c>
      <c r="DV33" s="14">
        <v>327</v>
      </c>
      <c r="DW33" s="14">
        <v>255</v>
      </c>
      <c r="DX33" s="14">
        <v>464</v>
      </c>
      <c r="DY33" s="14">
        <v>465</v>
      </c>
      <c r="DZ33" s="14">
        <v>273</v>
      </c>
      <c r="EA33" s="14">
        <v>182</v>
      </c>
      <c r="EB33" s="14">
        <v>182</v>
      </c>
      <c r="EC33" s="14">
        <v>167</v>
      </c>
      <c r="ED33" s="14">
        <v>313</v>
      </c>
      <c r="EE33" s="14">
        <v>308</v>
      </c>
      <c r="EF33" s="14">
        <v>314</v>
      </c>
      <c r="EG33" s="14">
        <v>372</v>
      </c>
      <c r="EH33" s="14">
        <v>327</v>
      </c>
      <c r="EI33" s="14">
        <v>264</v>
      </c>
      <c r="EJ33" s="14">
        <v>342</v>
      </c>
      <c r="EK33" s="14">
        <v>472</v>
      </c>
      <c r="EL33" s="14">
        <v>394</v>
      </c>
      <c r="EM33" s="14">
        <v>349</v>
      </c>
      <c r="EN33" s="14">
        <v>338</v>
      </c>
      <c r="EO33" s="14">
        <v>297</v>
      </c>
      <c r="EP33" s="14">
        <v>356</v>
      </c>
      <c r="EQ33" s="14">
        <v>357</v>
      </c>
      <c r="ER33" s="14">
        <v>419</v>
      </c>
      <c r="ES33" s="14">
        <v>478</v>
      </c>
      <c r="ET33" s="14">
        <v>321</v>
      </c>
      <c r="EU33" s="14">
        <v>258</v>
      </c>
      <c r="EV33" s="14">
        <v>396</v>
      </c>
      <c r="EW33" s="14">
        <v>657</v>
      </c>
      <c r="EX33" s="14">
        <v>344</v>
      </c>
      <c r="EY33" s="14">
        <v>201</v>
      </c>
      <c r="EZ33" s="14">
        <v>386</v>
      </c>
      <c r="FA33" s="14">
        <v>291</v>
      </c>
      <c r="FB33" s="14">
        <v>480</v>
      </c>
      <c r="FC33" s="14">
        <v>430</v>
      </c>
      <c r="FD33" s="14">
        <v>500</v>
      </c>
      <c r="FE33" s="14">
        <v>600</v>
      </c>
      <c r="FF33" s="14">
        <v>347</v>
      </c>
      <c r="FG33" s="14">
        <v>256</v>
      </c>
      <c r="FH33" s="14">
        <v>552</v>
      </c>
      <c r="FI33" s="14">
        <v>606</v>
      </c>
      <c r="FJ33" s="14">
        <v>268</v>
      </c>
      <c r="FK33" s="14">
        <v>111</v>
      </c>
      <c r="FL33" s="14"/>
      <c r="FM33" s="14"/>
      <c r="FN33" s="14"/>
      <c r="FR33" s="12">
        <f t="shared" si="26"/>
        <v>1468</v>
      </c>
      <c r="FS33" s="12">
        <f t="shared" si="27"/>
        <v>1423</v>
      </c>
      <c r="FT33" s="12">
        <f t="shared" si="28"/>
        <v>1719</v>
      </c>
      <c r="FU33" s="12">
        <f t="shared" si="29"/>
        <v>1399</v>
      </c>
      <c r="FV33" s="12">
        <f t="shared" si="30"/>
        <v>1883</v>
      </c>
      <c r="FW33" s="12">
        <f t="shared" si="31"/>
        <v>1578</v>
      </c>
      <c r="FX33" s="12">
        <f t="shared" si="32"/>
        <v>1955</v>
      </c>
      <c r="FY33" s="12">
        <f t="shared" si="33"/>
        <v>1379</v>
      </c>
      <c r="FZ33" s="12">
        <f t="shared" si="34"/>
        <v>1998</v>
      </c>
      <c r="GA33" s="12">
        <f t="shared" si="35"/>
        <v>1995</v>
      </c>
      <c r="GB33" s="12">
        <f t="shared" si="36"/>
        <v>1616</v>
      </c>
      <c r="GC33" s="12">
        <f t="shared" si="37"/>
        <v>1246</v>
      </c>
      <c r="GD33" s="12">
        <f t="shared" si="38"/>
        <v>1724</v>
      </c>
      <c r="GE33" s="12">
        <f t="shared" si="39"/>
        <v>1496</v>
      </c>
      <c r="GF33" s="12">
        <f t="shared" si="40"/>
        <v>1465</v>
      </c>
      <c r="GG33" s="12">
        <f t="shared" si="41"/>
        <v>1016</v>
      </c>
      <c r="GH33" s="12">
        <f t="shared" si="42"/>
        <v>1413</v>
      </c>
      <c r="GI33" s="12">
        <f t="shared" si="43"/>
        <v>1242</v>
      </c>
      <c r="GJ33" s="12">
        <f t="shared" si="44"/>
        <v>1078</v>
      </c>
      <c r="GK33" s="12">
        <f t="shared" si="45"/>
        <v>928</v>
      </c>
      <c r="GL33" s="12">
        <f t="shared" si="46"/>
        <v>1131</v>
      </c>
      <c r="GM33" s="12">
        <f t="shared" si="47"/>
        <v>1497</v>
      </c>
      <c r="GN33" s="12">
        <f t="shared" si="48"/>
        <v>1366</v>
      </c>
      <c r="GO33" s="12">
        <f t="shared" si="49"/>
        <v>1346</v>
      </c>
      <c r="GP33" s="12">
        <f t="shared" si="50"/>
        <v>1829</v>
      </c>
      <c r="GQ33" s="12">
        <f t="shared" si="51"/>
        <v>1726</v>
      </c>
      <c r="GR33" s="12">
        <f t="shared" si="52"/>
        <v>1882</v>
      </c>
      <c r="GS33" s="12">
        <f t="shared" si="53"/>
        <v>1362</v>
      </c>
      <c r="GT33" s="12">
        <f t="shared" si="54"/>
        <v>1443</v>
      </c>
      <c r="GU33" s="12">
        <f t="shared" si="55"/>
        <v>1212</v>
      </c>
      <c r="GV33" s="12">
        <f t="shared" si="56"/>
        <v>1344</v>
      </c>
      <c r="GW33" s="12">
        <f t="shared" si="57"/>
        <v>594</v>
      </c>
      <c r="GX33" s="12">
        <f t="shared" si="58"/>
        <v>1015</v>
      </c>
      <c r="GY33" s="12">
        <f t="shared" si="59"/>
        <v>1069</v>
      </c>
      <c r="GZ33" s="12">
        <f t="shared" si="2"/>
        <v>1206</v>
      </c>
      <c r="HA33" s="12">
        <f t="shared" si="3"/>
        <v>962</v>
      </c>
      <c r="HB33" s="12">
        <f t="shared" si="4"/>
        <v>413</v>
      </c>
      <c r="HC33" s="12">
        <f t="shared" si="5"/>
        <v>876</v>
      </c>
      <c r="HD33" s="12">
        <f t="shared" si="6"/>
        <v>941</v>
      </c>
      <c r="HE33" s="12">
        <f t="shared" si="7"/>
        <v>750</v>
      </c>
      <c r="HF33" s="12">
        <f t="shared" si="8"/>
        <v>1172</v>
      </c>
      <c r="HG33" s="12">
        <f t="shared" si="9"/>
        <v>1046</v>
      </c>
      <c r="HH33" s="12">
        <f t="shared" si="10"/>
        <v>920</v>
      </c>
      <c r="HI33" s="12">
        <f t="shared" si="11"/>
        <v>662</v>
      </c>
      <c r="HJ33" s="12">
        <f t="shared" si="12"/>
        <v>994</v>
      </c>
      <c r="HK33" s="12">
        <f t="shared" si="13"/>
        <v>933</v>
      </c>
      <c r="HL33" s="12">
        <f t="shared" si="14"/>
        <v>1215</v>
      </c>
      <c r="HM33" s="12">
        <f t="shared" si="15"/>
        <v>991</v>
      </c>
      <c r="HN33" s="12">
        <f t="shared" si="60"/>
        <v>994</v>
      </c>
      <c r="HO33" s="12">
        <f t="shared" si="61"/>
        <v>933</v>
      </c>
      <c r="HP33" s="12">
        <f t="shared" si="62"/>
        <v>1215</v>
      </c>
      <c r="HQ33" s="12">
        <f t="shared" si="63"/>
        <v>991</v>
      </c>
      <c r="HR33" s="12">
        <f t="shared" si="64"/>
        <v>1254</v>
      </c>
      <c r="HS33" s="12">
        <f t="shared" si="65"/>
        <v>975</v>
      </c>
      <c r="HT33" s="12">
        <f t="shared" si="16"/>
        <v>1202</v>
      </c>
      <c r="HU33" s="12">
        <f t="shared" si="17"/>
        <v>1157</v>
      </c>
      <c r="HV33" s="12">
        <f t="shared" si="18"/>
        <v>1530</v>
      </c>
      <c r="HW33" s="12">
        <f t="shared" si="19"/>
        <v>1155</v>
      </c>
      <c r="HX33" s="12">
        <f t="shared" si="20"/>
        <v>985</v>
      </c>
      <c r="IB33" s="12">
        <f t="shared" si="66"/>
        <v>6009</v>
      </c>
      <c r="IC33" s="12">
        <f t="shared" si="67"/>
        <v>6795</v>
      </c>
      <c r="ID33" s="12">
        <f t="shared" si="68"/>
        <v>6855</v>
      </c>
      <c r="IE33" s="12">
        <f t="shared" si="69"/>
        <v>5701</v>
      </c>
      <c r="IF33" s="12">
        <f t="shared" si="70"/>
        <v>4661</v>
      </c>
      <c r="IG33" s="12">
        <f t="shared" si="71"/>
        <v>5340</v>
      </c>
      <c r="IH33" s="12">
        <f t="shared" si="72"/>
        <v>6799</v>
      </c>
      <c r="II33" s="12">
        <f t="shared" si="73"/>
        <v>4593</v>
      </c>
      <c r="IJ33" s="12">
        <f t="shared" si="21"/>
        <v>4252</v>
      </c>
      <c r="IK33" s="12">
        <f t="shared" si="22"/>
        <v>3410</v>
      </c>
      <c r="IL33" s="12">
        <f t="shared" si="23"/>
        <v>3800</v>
      </c>
      <c r="IM33" s="12">
        <f t="shared" si="24"/>
        <v>4133</v>
      </c>
      <c r="IN33" s="12">
        <f t="shared" si="25"/>
        <v>4588</v>
      </c>
    </row>
    <row r="34" spans="1:248" outlineLevel="2" x14ac:dyDescent="0.3">
      <c r="B34" t="s">
        <v>76</v>
      </c>
      <c r="C34" s="11">
        <v>1875</v>
      </c>
      <c r="D34" s="11">
        <v>1704</v>
      </c>
      <c r="E34" s="11">
        <v>1616</v>
      </c>
      <c r="F34" s="11">
        <v>1013</v>
      </c>
      <c r="G34" s="11">
        <v>951</v>
      </c>
      <c r="H34" s="11">
        <v>1579</v>
      </c>
      <c r="I34" s="11">
        <v>1961</v>
      </c>
      <c r="J34" s="11">
        <v>1493</v>
      </c>
      <c r="K34" s="11">
        <v>871</v>
      </c>
      <c r="L34" s="11">
        <v>1182</v>
      </c>
      <c r="M34" s="11">
        <v>1317</v>
      </c>
      <c r="N34" s="11">
        <v>1761</v>
      </c>
      <c r="O34" s="11">
        <v>1833</v>
      </c>
      <c r="P34" s="11">
        <v>1795</v>
      </c>
      <c r="Q34" s="11">
        <v>1671</v>
      </c>
      <c r="R34" s="11">
        <v>1204</v>
      </c>
      <c r="S34" s="11">
        <v>1298</v>
      </c>
      <c r="T34" s="11">
        <v>2594</v>
      </c>
      <c r="U34" s="11">
        <v>2919</v>
      </c>
      <c r="V34" s="11">
        <v>2155</v>
      </c>
      <c r="W34" s="11">
        <v>1173</v>
      </c>
      <c r="X34" s="11">
        <v>1323</v>
      </c>
      <c r="Y34" s="11">
        <v>1559</v>
      </c>
      <c r="Z34" s="11">
        <v>1992</v>
      </c>
      <c r="AA34" s="12">
        <v>1903</v>
      </c>
      <c r="AB34" s="12">
        <v>1866</v>
      </c>
      <c r="AC34" s="12">
        <v>1717</v>
      </c>
      <c r="AD34" s="12">
        <v>1156</v>
      </c>
      <c r="AE34" s="12">
        <v>993</v>
      </c>
      <c r="AF34" s="12">
        <v>2350</v>
      </c>
      <c r="AG34" s="12">
        <v>2444</v>
      </c>
      <c r="AH34" s="12">
        <v>963</v>
      </c>
      <c r="AI34" s="12">
        <v>802</v>
      </c>
      <c r="AJ34" s="12">
        <v>891</v>
      </c>
      <c r="AK34" s="12">
        <v>862</v>
      </c>
      <c r="AL34" s="13">
        <v>1168</v>
      </c>
      <c r="AM34" s="12">
        <v>1198</v>
      </c>
      <c r="AN34" s="12">
        <v>1162</v>
      </c>
      <c r="AO34" s="12">
        <v>1244</v>
      </c>
      <c r="AP34" s="12">
        <v>821</v>
      </c>
      <c r="AQ34" s="12">
        <v>714</v>
      </c>
      <c r="AR34" s="12">
        <v>1397</v>
      </c>
      <c r="AS34" s="12">
        <v>1693</v>
      </c>
      <c r="AT34" s="12">
        <v>1185</v>
      </c>
      <c r="AU34" s="12">
        <v>817</v>
      </c>
      <c r="AV34" s="12">
        <v>783</v>
      </c>
      <c r="AW34" s="12">
        <v>840</v>
      </c>
      <c r="AX34" s="12">
        <v>1191</v>
      </c>
      <c r="AY34" s="12">
        <v>1180</v>
      </c>
      <c r="AZ34" s="12">
        <v>1156</v>
      </c>
      <c r="BA34" s="12">
        <v>1307</v>
      </c>
      <c r="BB34" s="12">
        <v>750</v>
      </c>
      <c r="BC34" s="12">
        <v>597</v>
      </c>
      <c r="BD34" s="12">
        <v>1782</v>
      </c>
      <c r="BE34" s="12">
        <v>1995</v>
      </c>
      <c r="BF34" s="12">
        <v>798</v>
      </c>
      <c r="BG34" s="12">
        <v>576</v>
      </c>
      <c r="BH34" s="12">
        <v>722</v>
      </c>
      <c r="BI34" s="12">
        <v>828</v>
      </c>
      <c r="BJ34" s="12">
        <v>1361</v>
      </c>
      <c r="BK34" s="12">
        <v>1118</v>
      </c>
      <c r="BL34" s="12">
        <v>1107</v>
      </c>
      <c r="BM34" s="12">
        <v>839</v>
      </c>
      <c r="BN34" s="12">
        <v>1063</v>
      </c>
      <c r="BO34" s="12">
        <v>819</v>
      </c>
      <c r="BP34" s="12">
        <v>2218</v>
      </c>
      <c r="BQ34" s="12">
        <v>2007</v>
      </c>
      <c r="BR34" s="12">
        <v>1137</v>
      </c>
      <c r="BS34" s="12">
        <v>1043</v>
      </c>
      <c r="BT34" s="12">
        <v>990</v>
      </c>
      <c r="BU34" s="12">
        <v>1055</v>
      </c>
      <c r="BV34" s="12">
        <v>1623</v>
      </c>
      <c r="BW34" s="12">
        <v>1461</v>
      </c>
      <c r="BX34" s="12">
        <v>1626</v>
      </c>
      <c r="BY34" s="12">
        <v>1658</v>
      </c>
      <c r="BZ34" s="12">
        <v>1049</v>
      </c>
      <c r="CA34" s="12">
        <v>1111</v>
      </c>
      <c r="CB34" s="12">
        <v>2615</v>
      </c>
      <c r="CC34" s="12">
        <v>2167</v>
      </c>
      <c r="CD34" s="12">
        <v>1646</v>
      </c>
      <c r="CE34" s="12">
        <v>970</v>
      </c>
      <c r="CF34" s="12">
        <v>1012</v>
      </c>
      <c r="CG34" s="12">
        <v>973</v>
      </c>
      <c r="CH34" s="12">
        <v>1842</v>
      </c>
      <c r="CI34" s="12">
        <v>1268</v>
      </c>
      <c r="CJ34" s="12">
        <v>1461</v>
      </c>
      <c r="CK34" s="12">
        <v>1565</v>
      </c>
      <c r="CL34" s="12">
        <v>933</v>
      </c>
      <c r="CM34" s="12">
        <v>1050</v>
      </c>
      <c r="CN34" s="12">
        <v>2139</v>
      </c>
      <c r="CO34" s="12">
        <v>2409</v>
      </c>
      <c r="CP34" s="12">
        <v>1698</v>
      </c>
      <c r="CQ34" s="12">
        <v>1738</v>
      </c>
      <c r="CR34" s="12">
        <v>974</v>
      </c>
      <c r="CS34" s="12">
        <v>1226</v>
      </c>
      <c r="CT34" s="12">
        <v>553</v>
      </c>
      <c r="CU34" s="12">
        <v>578</v>
      </c>
      <c r="CV34" s="12">
        <v>1705</v>
      </c>
      <c r="CW34" s="12">
        <v>2499</v>
      </c>
      <c r="CX34" s="12">
        <v>1527</v>
      </c>
      <c r="CY34" s="12">
        <v>1785</v>
      </c>
      <c r="CZ34" s="12">
        <v>2773</v>
      </c>
      <c r="DA34" s="12">
        <v>3197</v>
      </c>
      <c r="DB34" s="12">
        <v>1784</v>
      </c>
      <c r="DC34" s="12">
        <v>1187</v>
      </c>
      <c r="DD34" s="12">
        <v>2251</v>
      </c>
      <c r="DE34" s="12">
        <v>1814</v>
      </c>
      <c r="DF34" s="12">
        <v>2138</v>
      </c>
      <c r="DG34" s="12">
        <v>1463</v>
      </c>
      <c r="DH34" s="12">
        <v>1544</v>
      </c>
      <c r="DI34" s="14">
        <v>2224</v>
      </c>
      <c r="DJ34" s="14">
        <v>1591</v>
      </c>
      <c r="DK34" s="14">
        <v>1347</v>
      </c>
      <c r="DL34" s="14">
        <v>2443</v>
      </c>
      <c r="DM34" s="14">
        <v>2771</v>
      </c>
      <c r="DN34" s="14">
        <v>1823</v>
      </c>
      <c r="DO34" s="14">
        <v>1306</v>
      </c>
      <c r="DP34" s="14">
        <v>1488</v>
      </c>
      <c r="DQ34" s="14">
        <v>1546</v>
      </c>
      <c r="DR34" s="14">
        <v>2007</v>
      </c>
      <c r="DS34" s="14">
        <v>2310</v>
      </c>
      <c r="DT34" s="14">
        <v>2003</v>
      </c>
      <c r="DU34" s="14">
        <v>2181</v>
      </c>
      <c r="DV34" s="14">
        <v>1343</v>
      </c>
      <c r="DW34" s="14">
        <v>1225</v>
      </c>
      <c r="DX34" s="14">
        <v>2705</v>
      </c>
      <c r="DY34" s="14">
        <v>3039</v>
      </c>
      <c r="DZ34" s="14">
        <v>1453</v>
      </c>
      <c r="EA34" s="14">
        <v>1288</v>
      </c>
      <c r="EB34" s="14">
        <v>1379</v>
      </c>
      <c r="EC34" s="14">
        <v>1647</v>
      </c>
      <c r="ED34" s="14">
        <v>3055</v>
      </c>
      <c r="EE34" s="14">
        <v>2280</v>
      </c>
      <c r="EF34" s="14">
        <v>2442</v>
      </c>
      <c r="EG34" s="14">
        <v>2504</v>
      </c>
      <c r="EH34" s="14">
        <v>1571</v>
      </c>
      <c r="EI34" s="14">
        <v>1766</v>
      </c>
      <c r="EJ34" s="14">
        <v>3185</v>
      </c>
      <c r="EK34" s="14">
        <v>3837</v>
      </c>
      <c r="EL34" s="14">
        <v>2534</v>
      </c>
      <c r="EM34" s="14">
        <v>1605</v>
      </c>
      <c r="EN34" s="14">
        <v>1699</v>
      </c>
      <c r="EO34" s="14">
        <v>2152</v>
      </c>
      <c r="EP34" s="14">
        <v>2594</v>
      </c>
      <c r="EQ34" s="14">
        <v>2412</v>
      </c>
      <c r="ER34" s="14">
        <v>2888</v>
      </c>
      <c r="ES34" s="14">
        <v>2794</v>
      </c>
      <c r="ET34" s="14">
        <v>1727</v>
      </c>
      <c r="EU34" s="14">
        <v>1914</v>
      </c>
      <c r="EV34" s="14">
        <v>3853</v>
      </c>
      <c r="EW34" s="14">
        <v>4846</v>
      </c>
      <c r="EX34" s="14">
        <v>2550</v>
      </c>
      <c r="EY34" s="14">
        <v>1279</v>
      </c>
      <c r="EZ34" s="14">
        <v>2350</v>
      </c>
      <c r="FA34" s="14">
        <v>2287</v>
      </c>
      <c r="FB34" s="14">
        <v>3398</v>
      </c>
      <c r="FC34" s="14">
        <v>2917</v>
      </c>
      <c r="FD34" s="14">
        <v>3167</v>
      </c>
      <c r="FE34" s="14">
        <v>3423</v>
      </c>
      <c r="FF34" s="14">
        <v>2259</v>
      </c>
      <c r="FG34" s="14">
        <v>2895</v>
      </c>
      <c r="FH34" s="14">
        <v>5994</v>
      </c>
      <c r="FI34" s="14">
        <v>6236</v>
      </c>
      <c r="FJ34" s="14">
        <v>3275</v>
      </c>
      <c r="FK34" s="14">
        <v>1787</v>
      </c>
      <c r="FL34" s="14"/>
      <c r="FM34" s="14"/>
      <c r="FN34" s="14"/>
      <c r="FR34" s="12">
        <f t="shared" si="26"/>
        <v>5195</v>
      </c>
      <c r="FS34" s="12">
        <f t="shared" si="27"/>
        <v>3543</v>
      </c>
      <c r="FT34" s="12">
        <f t="shared" si="28"/>
        <v>4325</v>
      </c>
      <c r="FU34" s="12">
        <f t="shared" si="29"/>
        <v>4260</v>
      </c>
      <c r="FV34" s="12">
        <f t="shared" si="30"/>
        <v>5299</v>
      </c>
      <c r="FW34" s="12">
        <f t="shared" si="31"/>
        <v>5096</v>
      </c>
      <c r="FX34" s="12">
        <f t="shared" si="32"/>
        <v>6247</v>
      </c>
      <c r="FY34" s="12">
        <f t="shared" si="33"/>
        <v>4874</v>
      </c>
      <c r="FZ34" s="12">
        <f t="shared" si="34"/>
        <v>5486</v>
      </c>
      <c r="GA34" s="12">
        <f t="shared" si="35"/>
        <v>4499</v>
      </c>
      <c r="GB34" s="12">
        <f t="shared" si="36"/>
        <v>4209</v>
      </c>
      <c r="GC34" s="12">
        <f t="shared" si="37"/>
        <v>2921</v>
      </c>
      <c r="GD34" s="12">
        <f t="shared" si="38"/>
        <v>3604</v>
      </c>
      <c r="GE34" s="12">
        <f t="shared" si="39"/>
        <v>2932</v>
      </c>
      <c r="GF34" s="12">
        <f t="shared" si="40"/>
        <v>3695</v>
      </c>
      <c r="GG34" s="12">
        <f t="shared" si="41"/>
        <v>2814</v>
      </c>
      <c r="GH34" s="12">
        <f t="shared" si="42"/>
        <v>3643</v>
      </c>
      <c r="GI34" s="12">
        <f t="shared" si="43"/>
        <v>3129</v>
      </c>
      <c r="GJ34" s="12">
        <f t="shared" si="44"/>
        <v>3369</v>
      </c>
      <c r="GK34" s="12">
        <f t="shared" si="45"/>
        <v>2911</v>
      </c>
      <c r="GL34" s="12">
        <f t="shared" si="46"/>
        <v>3064</v>
      </c>
      <c r="GM34" s="12">
        <f t="shared" si="47"/>
        <v>4100</v>
      </c>
      <c r="GN34" s="12">
        <f t="shared" si="48"/>
        <v>4187</v>
      </c>
      <c r="GO34" s="12">
        <f t="shared" si="49"/>
        <v>3668</v>
      </c>
      <c r="GP34" s="12">
        <f t="shared" si="50"/>
        <v>4745</v>
      </c>
      <c r="GQ34" s="12">
        <f t="shared" si="51"/>
        <v>4775</v>
      </c>
      <c r="GR34" s="12">
        <f t="shared" si="52"/>
        <v>4783</v>
      </c>
      <c r="GS34" s="12">
        <f t="shared" si="53"/>
        <v>3827</v>
      </c>
      <c r="GT34" s="12">
        <f t="shared" si="54"/>
        <v>4294</v>
      </c>
      <c r="GU34" s="12">
        <f t="shared" si="55"/>
        <v>4122</v>
      </c>
      <c r="GV34" s="12">
        <f t="shared" si="56"/>
        <v>5845</v>
      </c>
      <c r="GW34" s="12">
        <f t="shared" si="57"/>
        <v>2753</v>
      </c>
      <c r="GX34" s="12">
        <f t="shared" si="58"/>
        <v>4782</v>
      </c>
      <c r="GY34" s="12">
        <f t="shared" si="59"/>
        <v>6085</v>
      </c>
      <c r="GZ34" s="12">
        <f t="shared" si="2"/>
        <v>6168</v>
      </c>
      <c r="HA34" s="12">
        <f t="shared" si="3"/>
        <v>6203</v>
      </c>
      <c r="HB34" s="12">
        <f t="shared" si="4"/>
        <v>3007</v>
      </c>
      <c r="HC34" s="12">
        <f t="shared" si="5"/>
        <v>5381</v>
      </c>
      <c r="HD34" s="12">
        <f t="shared" si="6"/>
        <v>5900</v>
      </c>
      <c r="HE34" s="12">
        <f t="shared" si="7"/>
        <v>5041</v>
      </c>
      <c r="HF34" s="12">
        <f t="shared" si="8"/>
        <v>6494</v>
      </c>
      <c r="HG34" s="12">
        <f t="shared" si="9"/>
        <v>5273</v>
      </c>
      <c r="HH34" s="12">
        <f t="shared" si="10"/>
        <v>5780</v>
      </c>
      <c r="HI34" s="12">
        <f t="shared" si="11"/>
        <v>6081</v>
      </c>
      <c r="HJ34" s="12">
        <f t="shared" si="12"/>
        <v>7226</v>
      </c>
      <c r="HK34" s="12">
        <f t="shared" si="13"/>
        <v>6522</v>
      </c>
      <c r="HL34" s="12">
        <f t="shared" si="14"/>
        <v>7976</v>
      </c>
      <c r="HM34" s="12">
        <f t="shared" si="15"/>
        <v>6445</v>
      </c>
      <c r="HN34" s="12">
        <f t="shared" si="60"/>
        <v>7226</v>
      </c>
      <c r="HO34" s="12">
        <f t="shared" si="61"/>
        <v>6522</v>
      </c>
      <c r="HP34" s="12">
        <f t="shared" si="62"/>
        <v>7976</v>
      </c>
      <c r="HQ34" s="12">
        <f t="shared" si="63"/>
        <v>6445</v>
      </c>
      <c r="HR34" s="12">
        <f t="shared" si="64"/>
        <v>8094</v>
      </c>
      <c r="HS34" s="12">
        <f t="shared" si="65"/>
        <v>7494</v>
      </c>
      <c r="HT34" s="12">
        <f t="shared" si="16"/>
        <v>8675</v>
      </c>
      <c r="HU34" s="12">
        <f t="shared" si="17"/>
        <v>8035</v>
      </c>
      <c r="HV34" s="12">
        <f t="shared" si="18"/>
        <v>9507</v>
      </c>
      <c r="HW34" s="12">
        <f t="shared" si="19"/>
        <v>11148</v>
      </c>
      <c r="HX34" s="12">
        <f t="shared" si="20"/>
        <v>11298</v>
      </c>
      <c r="IB34" s="12">
        <f t="shared" si="66"/>
        <v>17323</v>
      </c>
      <c r="IC34" s="12">
        <f t="shared" si="67"/>
        <v>21516</v>
      </c>
      <c r="ID34" s="12">
        <f t="shared" si="68"/>
        <v>17115</v>
      </c>
      <c r="IE34" s="12">
        <f t="shared" si="69"/>
        <v>13045</v>
      </c>
      <c r="IF34" s="12">
        <f t="shared" si="70"/>
        <v>13052</v>
      </c>
      <c r="IG34" s="12">
        <f t="shared" si="71"/>
        <v>15019</v>
      </c>
      <c r="IH34" s="12">
        <f t="shared" si="72"/>
        <v>18130</v>
      </c>
      <c r="II34" s="12">
        <f t="shared" si="73"/>
        <v>17014</v>
      </c>
      <c r="IJ34" s="12">
        <f t="shared" si="21"/>
        <v>23238</v>
      </c>
      <c r="IK34" s="12">
        <f t="shared" si="22"/>
        <v>21553</v>
      </c>
      <c r="IL34" s="12">
        <f t="shared" si="23"/>
        <v>23628</v>
      </c>
      <c r="IM34" s="12">
        <f t="shared" si="24"/>
        <v>28169</v>
      </c>
      <c r="IN34" s="12">
        <f t="shared" si="25"/>
        <v>32298</v>
      </c>
    </row>
    <row r="35" spans="1:248" outlineLevel="2" x14ac:dyDescent="0.3">
      <c r="B35" t="s">
        <v>77</v>
      </c>
      <c r="C35" s="11">
        <v>0</v>
      </c>
      <c r="D35" s="11">
        <v>0</v>
      </c>
      <c r="E35" s="11">
        <v>0</v>
      </c>
      <c r="F35" s="11">
        <v>327</v>
      </c>
      <c r="G35" s="11">
        <v>357</v>
      </c>
      <c r="H35" s="11">
        <v>525</v>
      </c>
      <c r="I35" s="11">
        <v>571</v>
      </c>
      <c r="J35" s="11">
        <v>367</v>
      </c>
      <c r="K35" s="11">
        <v>492</v>
      </c>
      <c r="L35" s="11">
        <v>325</v>
      </c>
      <c r="M35" s="11">
        <v>418</v>
      </c>
      <c r="N35" s="11">
        <v>423</v>
      </c>
      <c r="O35" s="11">
        <v>336</v>
      </c>
      <c r="P35" s="11">
        <v>344</v>
      </c>
      <c r="Q35" s="11">
        <v>230</v>
      </c>
      <c r="R35" s="11">
        <v>186</v>
      </c>
      <c r="S35" s="11">
        <v>205</v>
      </c>
      <c r="T35" s="11">
        <v>313</v>
      </c>
      <c r="U35" s="11">
        <v>586</v>
      </c>
      <c r="V35" s="11">
        <v>376</v>
      </c>
      <c r="W35" s="11">
        <v>344</v>
      </c>
      <c r="X35" s="11">
        <v>209</v>
      </c>
      <c r="Y35" s="11">
        <v>342</v>
      </c>
      <c r="Z35" s="11">
        <v>440</v>
      </c>
      <c r="AA35" s="12">
        <v>432</v>
      </c>
      <c r="AB35" s="12">
        <v>367</v>
      </c>
      <c r="AC35" s="12">
        <v>256</v>
      </c>
      <c r="AD35" s="12">
        <v>208</v>
      </c>
      <c r="AE35" s="12">
        <v>212</v>
      </c>
      <c r="AF35" s="12">
        <v>460</v>
      </c>
      <c r="AG35" s="12">
        <v>636</v>
      </c>
      <c r="AH35" s="12">
        <v>319</v>
      </c>
      <c r="AI35" s="12">
        <v>249</v>
      </c>
      <c r="AJ35" s="12">
        <v>310</v>
      </c>
      <c r="AK35" s="12">
        <v>283</v>
      </c>
      <c r="AL35" s="13">
        <v>352</v>
      </c>
      <c r="AM35" s="12">
        <v>310</v>
      </c>
      <c r="AN35" s="12">
        <v>262</v>
      </c>
      <c r="AO35" s="12">
        <v>240</v>
      </c>
      <c r="AP35" s="12">
        <v>164</v>
      </c>
      <c r="AQ35" s="12">
        <v>235</v>
      </c>
      <c r="AR35" s="12">
        <v>370</v>
      </c>
      <c r="AS35" s="12">
        <v>466</v>
      </c>
      <c r="AT35" s="12">
        <v>266</v>
      </c>
      <c r="AU35" s="12">
        <v>232</v>
      </c>
      <c r="AV35" s="12">
        <v>230</v>
      </c>
      <c r="AW35" s="12">
        <v>277</v>
      </c>
      <c r="AX35" s="12">
        <v>400</v>
      </c>
      <c r="AY35" s="12">
        <v>342</v>
      </c>
      <c r="AZ35" s="12">
        <v>372</v>
      </c>
      <c r="BA35" s="12">
        <v>326</v>
      </c>
      <c r="BB35" s="12">
        <v>147</v>
      </c>
      <c r="BC35" s="12">
        <v>217</v>
      </c>
      <c r="BD35" s="12">
        <v>490</v>
      </c>
      <c r="BE35" s="12">
        <v>657</v>
      </c>
      <c r="BF35" s="12">
        <v>346</v>
      </c>
      <c r="BG35" s="12">
        <v>189</v>
      </c>
      <c r="BH35" s="12">
        <v>341</v>
      </c>
      <c r="BI35" s="12">
        <v>392</v>
      </c>
      <c r="BJ35" s="12">
        <v>558</v>
      </c>
      <c r="BK35" s="12">
        <v>427</v>
      </c>
      <c r="BL35" s="12">
        <v>483</v>
      </c>
      <c r="BM35" s="12">
        <v>216</v>
      </c>
      <c r="BN35" s="12">
        <v>329</v>
      </c>
      <c r="BO35" s="12">
        <v>296</v>
      </c>
      <c r="BP35" s="12">
        <v>745</v>
      </c>
      <c r="BQ35" s="12">
        <v>759</v>
      </c>
      <c r="BR35" s="12">
        <v>402</v>
      </c>
      <c r="BS35" s="12">
        <v>311</v>
      </c>
      <c r="BT35" s="12">
        <v>385</v>
      </c>
      <c r="BU35" s="12">
        <v>538</v>
      </c>
      <c r="BV35" s="12">
        <v>827</v>
      </c>
      <c r="BW35" s="12">
        <v>624</v>
      </c>
      <c r="BX35" s="12">
        <v>618</v>
      </c>
      <c r="BY35" s="12">
        <v>452</v>
      </c>
      <c r="BZ35" s="12">
        <v>317</v>
      </c>
      <c r="CA35" s="12">
        <v>435</v>
      </c>
      <c r="CB35" s="12">
        <v>832</v>
      </c>
      <c r="CC35" s="12">
        <v>807</v>
      </c>
      <c r="CD35" s="12">
        <v>503</v>
      </c>
      <c r="CE35" s="12">
        <v>213</v>
      </c>
      <c r="CF35" s="12">
        <v>317</v>
      </c>
      <c r="CG35" s="12">
        <v>477</v>
      </c>
      <c r="CH35" s="12">
        <v>732</v>
      </c>
      <c r="CI35" s="12">
        <v>563</v>
      </c>
      <c r="CJ35" s="12">
        <v>679</v>
      </c>
      <c r="CK35" s="12">
        <v>381</v>
      </c>
      <c r="CL35" s="12">
        <v>211</v>
      </c>
      <c r="CM35" s="12">
        <v>282</v>
      </c>
      <c r="CN35" s="12">
        <v>601</v>
      </c>
      <c r="CO35" s="12">
        <v>668</v>
      </c>
      <c r="CP35" s="12">
        <v>388</v>
      </c>
      <c r="CQ35" s="12">
        <v>292</v>
      </c>
      <c r="CR35" s="12">
        <v>384</v>
      </c>
      <c r="CS35" s="12">
        <v>490</v>
      </c>
      <c r="CT35" s="12">
        <v>199</v>
      </c>
      <c r="CU35" s="12">
        <v>222</v>
      </c>
      <c r="CV35" s="12">
        <v>440</v>
      </c>
      <c r="CW35" s="12">
        <v>714</v>
      </c>
      <c r="CX35" s="12">
        <v>481</v>
      </c>
      <c r="CY35" s="12">
        <v>721</v>
      </c>
      <c r="CZ35" s="12">
        <v>1056</v>
      </c>
      <c r="DA35" s="12">
        <v>1165</v>
      </c>
      <c r="DB35" s="12">
        <v>632</v>
      </c>
      <c r="DC35" s="12">
        <v>542</v>
      </c>
      <c r="DD35" s="12">
        <v>678</v>
      </c>
      <c r="DE35" s="12">
        <v>825</v>
      </c>
      <c r="DF35" s="12">
        <v>862</v>
      </c>
      <c r="DG35" s="12">
        <v>667</v>
      </c>
      <c r="DH35" s="12">
        <v>411</v>
      </c>
      <c r="DI35" s="14">
        <v>661</v>
      </c>
      <c r="DJ35" s="14">
        <v>341</v>
      </c>
      <c r="DK35" s="14">
        <v>474</v>
      </c>
      <c r="DL35" s="14">
        <v>827</v>
      </c>
      <c r="DM35" s="14">
        <v>913</v>
      </c>
      <c r="DN35" s="14">
        <v>540</v>
      </c>
      <c r="DO35" s="14">
        <v>262</v>
      </c>
      <c r="DP35" s="14">
        <v>432</v>
      </c>
      <c r="DQ35" s="14">
        <v>600</v>
      </c>
      <c r="DR35" s="14">
        <v>962</v>
      </c>
      <c r="DS35" s="14">
        <v>580</v>
      </c>
      <c r="DT35" s="14">
        <v>510</v>
      </c>
      <c r="DU35" s="14">
        <v>399</v>
      </c>
      <c r="DV35" s="14">
        <v>352</v>
      </c>
      <c r="DW35" s="14">
        <v>519</v>
      </c>
      <c r="DX35" s="14">
        <v>1330</v>
      </c>
      <c r="DY35" s="14">
        <v>1011</v>
      </c>
      <c r="DZ35" s="14">
        <v>528</v>
      </c>
      <c r="EA35" s="14">
        <v>435</v>
      </c>
      <c r="EB35" s="14">
        <v>638</v>
      </c>
      <c r="EC35" s="14">
        <v>664</v>
      </c>
      <c r="ED35" s="14">
        <v>238</v>
      </c>
      <c r="EE35" s="14">
        <v>148</v>
      </c>
      <c r="EF35" s="14">
        <v>261</v>
      </c>
      <c r="EG35" s="14">
        <v>258</v>
      </c>
      <c r="EH35" s="14">
        <v>45</v>
      </c>
      <c r="EI35" s="14">
        <v>97</v>
      </c>
      <c r="EJ35" s="14">
        <v>184</v>
      </c>
      <c r="EK35" s="14">
        <v>196</v>
      </c>
      <c r="EL35" s="14">
        <v>83</v>
      </c>
      <c r="EM35" s="14">
        <v>47</v>
      </c>
      <c r="EN35" s="14">
        <v>45</v>
      </c>
      <c r="EO35" s="14">
        <v>95</v>
      </c>
      <c r="EP35" s="14">
        <v>93</v>
      </c>
      <c r="EQ35" s="14">
        <v>90</v>
      </c>
      <c r="ER35" s="14">
        <v>85</v>
      </c>
      <c r="ES35" s="14">
        <v>69</v>
      </c>
      <c r="ET35" s="14">
        <v>98</v>
      </c>
      <c r="EU35" s="14">
        <v>118</v>
      </c>
      <c r="EV35" s="14">
        <v>233</v>
      </c>
      <c r="EW35" s="14">
        <v>221</v>
      </c>
      <c r="EX35" s="14">
        <v>115</v>
      </c>
      <c r="EY35" s="14">
        <v>60</v>
      </c>
      <c r="EZ35" s="14">
        <v>134</v>
      </c>
      <c r="FA35" s="14">
        <v>106</v>
      </c>
      <c r="FB35" s="14">
        <v>153</v>
      </c>
      <c r="FC35" s="14">
        <v>93</v>
      </c>
      <c r="FD35" s="14">
        <v>81</v>
      </c>
      <c r="FE35" s="14">
        <v>149</v>
      </c>
      <c r="FF35" s="14">
        <v>165</v>
      </c>
      <c r="FG35" s="14">
        <v>141</v>
      </c>
      <c r="FH35" s="14">
        <v>214</v>
      </c>
      <c r="FI35" s="14">
        <v>179</v>
      </c>
      <c r="FJ35" s="14">
        <v>108</v>
      </c>
      <c r="FK35" s="14">
        <v>84</v>
      </c>
      <c r="FL35" s="14"/>
      <c r="FM35" s="14"/>
      <c r="FN35" s="14"/>
      <c r="FR35" s="12">
        <f t="shared" si="26"/>
        <v>0</v>
      </c>
      <c r="FS35" s="12">
        <f t="shared" si="27"/>
        <v>1209</v>
      </c>
      <c r="FT35" s="12">
        <f t="shared" si="28"/>
        <v>1430</v>
      </c>
      <c r="FU35" s="12">
        <f t="shared" si="29"/>
        <v>1166</v>
      </c>
      <c r="FV35" s="12">
        <f t="shared" si="30"/>
        <v>910</v>
      </c>
      <c r="FW35" s="12">
        <f t="shared" si="31"/>
        <v>704</v>
      </c>
      <c r="FX35" s="12">
        <f t="shared" si="32"/>
        <v>1306</v>
      </c>
      <c r="FY35" s="12">
        <f t="shared" si="33"/>
        <v>991</v>
      </c>
      <c r="FZ35" s="12">
        <f t="shared" si="34"/>
        <v>1055</v>
      </c>
      <c r="GA35" s="12">
        <f t="shared" si="35"/>
        <v>880</v>
      </c>
      <c r="GB35" s="12">
        <f t="shared" si="36"/>
        <v>1204</v>
      </c>
      <c r="GC35" s="12">
        <f t="shared" si="37"/>
        <v>945</v>
      </c>
      <c r="GD35" s="12">
        <f t="shared" si="38"/>
        <v>812</v>
      </c>
      <c r="GE35" s="12">
        <f t="shared" si="39"/>
        <v>769</v>
      </c>
      <c r="GF35" s="12">
        <f t="shared" si="40"/>
        <v>964</v>
      </c>
      <c r="GG35" s="12">
        <f t="shared" si="41"/>
        <v>907</v>
      </c>
      <c r="GH35" s="12">
        <f t="shared" si="42"/>
        <v>1040</v>
      </c>
      <c r="GI35" s="12">
        <f t="shared" si="43"/>
        <v>854</v>
      </c>
      <c r="GJ35" s="12">
        <f t="shared" si="44"/>
        <v>1192</v>
      </c>
      <c r="GK35" s="12">
        <f t="shared" si="45"/>
        <v>1291</v>
      </c>
      <c r="GL35" s="12">
        <f t="shared" si="46"/>
        <v>1126</v>
      </c>
      <c r="GM35" s="12">
        <f t="shared" si="47"/>
        <v>1370</v>
      </c>
      <c r="GN35" s="12">
        <f t="shared" si="48"/>
        <v>1472</v>
      </c>
      <c r="GO35" s="12">
        <f t="shared" si="49"/>
        <v>1750</v>
      </c>
      <c r="GP35" s="12">
        <f t="shared" si="50"/>
        <v>1694</v>
      </c>
      <c r="GQ35" s="12">
        <f t="shared" si="51"/>
        <v>1584</v>
      </c>
      <c r="GR35" s="12">
        <f t="shared" si="52"/>
        <v>1523</v>
      </c>
      <c r="GS35" s="12">
        <f t="shared" si="53"/>
        <v>1526</v>
      </c>
      <c r="GT35" s="12">
        <f t="shared" si="54"/>
        <v>1623</v>
      </c>
      <c r="GU35" s="12">
        <f t="shared" si="55"/>
        <v>1094</v>
      </c>
      <c r="GV35" s="12">
        <f t="shared" si="56"/>
        <v>1348</v>
      </c>
      <c r="GW35" s="12">
        <f t="shared" si="57"/>
        <v>1073</v>
      </c>
      <c r="GX35" s="12">
        <f t="shared" si="58"/>
        <v>1376</v>
      </c>
      <c r="GY35" s="12">
        <f t="shared" si="59"/>
        <v>2258</v>
      </c>
      <c r="GZ35" s="12">
        <f t="shared" si="2"/>
        <v>2339</v>
      </c>
      <c r="HA35" s="12">
        <f t="shared" si="3"/>
        <v>2365</v>
      </c>
      <c r="HB35" s="12">
        <f t="shared" si="4"/>
        <v>1078</v>
      </c>
      <c r="HC35" s="12">
        <f t="shared" si="5"/>
        <v>1642</v>
      </c>
      <c r="HD35" s="12">
        <f t="shared" si="6"/>
        <v>1715</v>
      </c>
      <c r="HE35" s="12">
        <f t="shared" si="7"/>
        <v>1994</v>
      </c>
      <c r="HF35" s="12">
        <f t="shared" si="8"/>
        <v>1489</v>
      </c>
      <c r="HG35" s="12">
        <f t="shared" si="9"/>
        <v>2201</v>
      </c>
      <c r="HH35" s="12">
        <f t="shared" si="10"/>
        <v>1974</v>
      </c>
      <c r="HI35" s="12">
        <f t="shared" si="11"/>
        <v>1540</v>
      </c>
      <c r="HJ35" s="12">
        <f t="shared" si="12"/>
        <v>667</v>
      </c>
      <c r="HK35" s="12">
        <f t="shared" si="13"/>
        <v>326</v>
      </c>
      <c r="HL35" s="12">
        <f t="shared" si="14"/>
        <v>326</v>
      </c>
      <c r="HM35" s="12">
        <f t="shared" si="15"/>
        <v>233</v>
      </c>
      <c r="HN35" s="12">
        <f t="shared" si="60"/>
        <v>667</v>
      </c>
      <c r="HO35" s="12">
        <f t="shared" si="61"/>
        <v>326</v>
      </c>
      <c r="HP35" s="12">
        <f t="shared" si="62"/>
        <v>326</v>
      </c>
      <c r="HQ35" s="12">
        <f t="shared" si="63"/>
        <v>233</v>
      </c>
      <c r="HR35" s="12">
        <f t="shared" si="64"/>
        <v>244</v>
      </c>
      <c r="HS35" s="12">
        <f t="shared" si="65"/>
        <v>449</v>
      </c>
      <c r="HT35" s="12">
        <f t="shared" si="16"/>
        <v>396</v>
      </c>
      <c r="HU35" s="12">
        <f t="shared" si="17"/>
        <v>393</v>
      </c>
      <c r="HV35" s="12">
        <f t="shared" si="18"/>
        <v>323</v>
      </c>
      <c r="HW35" s="12">
        <f t="shared" si="19"/>
        <v>520</v>
      </c>
      <c r="HX35" s="12">
        <f t="shared" si="20"/>
        <v>371</v>
      </c>
      <c r="IB35" s="12">
        <f t="shared" si="66"/>
        <v>3805</v>
      </c>
      <c r="IC35" s="12">
        <f t="shared" si="67"/>
        <v>3911</v>
      </c>
      <c r="ID35" s="12">
        <f t="shared" si="68"/>
        <v>4084</v>
      </c>
      <c r="IE35" s="12">
        <f t="shared" si="69"/>
        <v>3452</v>
      </c>
      <c r="IF35" s="12">
        <f t="shared" si="70"/>
        <v>4377</v>
      </c>
      <c r="IG35" s="12">
        <f t="shared" si="71"/>
        <v>5718</v>
      </c>
      <c r="IH35" s="12">
        <f t="shared" si="72"/>
        <v>6327</v>
      </c>
      <c r="II35" s="12">
        <f t="shared" si="73"/>
        <v>5138</v>
      </c>
      <c r="IJ35" s="12">
        <f t="shared" si="21"/>
        <v>8338</v>
      </c>
      <c r="IK35" s="12">
        <f t="shared" si="22"/>
        <v>7090</v>
      </c>
      <c r="IL35" s="12">
        <f t="shared" si="23"/>
        <v>7204</v>
      </c>
      <c r="IM35" s="12">
        <f t="shared" si="24"/>
        <v>1552</v>
      </c>
      <c r="IN35" s="12">
        <f t="shared" si="25"/>
        <v>1482</v>
      </c>
    </row>
    <row r="36" spans="1:248" outlineLevel="2" x14ac:dyDescent="0.3">
      <c r="B36" t="s">
        <v>78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3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>
        <v>29</v>
      </c>
      <c r="DW36" s="14">
        <v>64</v>
      </c>
      <c r="DX36" s="14">
        <v>103</v>
      </c>
      <c r="DY36" s="14">
        <v>137</v>
      </c>
      <c r="DZ36" s="14">
        <v>78</v>
      </c>
      <c r="EA36" s="14">
        <v>67</v>
      </c>
      <c r="EB36" s="14">
        <v>78</v>
      </c>
      <c r="EC36" s="14">
        <v>78</v>
      </c>
      <c r="ED36" s="14">
        <v>101</v>
      </c>
      <c r="EE36" s="14">
        <v>87</v>
      </c>
      <c r="EF36" s="14">
        <v>129</v>
      </c>
      <c r="EG36" s="14">
        <v>145</v>
      </c>
      <c r="EH36" s="14">
        <v>99</v>
      </c>
      <c r="EI36" s="14">
        <v>83</v>
      </c>
      <c r="EJ36" s="14">
        <v>52</v>
      </c>
      <c r="EK36" s="14">
        <v>63</v>
      </c>
      <c r="EL36" s="14">
        <v>65</v>
      </c>
      <c r="EM36" s="14">
        <v>63</v>
      </c>
      <c r="EN36" s="14">
        <v>23</v>
      </c>
      <c r="EO36" s="14">
        <v>15</v>
      </c>
      <c r="EP36" s="14">
        <v>19</v>
      </c>
      <c r="EQ36" s="14">
        <v>8</v>
      </c>
      <c r="ER36" s="14">
        <v>53</v>
      </c>
      <c r="ES36" s="14">
        <v>127</v>
      </c>
      <c r="ET36" s="14">
        <v>55</v>
      </c>
      <c r="EU36" s="14">
        <v>31</v>
      </c>
      <c r="EV36" s="14">
        <v>21</v>
      </c>
      <c r="EW36" s="14">
        <v>20</v>
      </c>
      <c r="EX36" s="14">
        <v>5</v>
      </c>
      <c r="EY36" s="14">
        <v>31</v>
      </c>
      <c r="EZ36" s="14">
        <v>35</v>
      </c>
      <c r="FA36" s="14">
        <v>48</v>
      </c>
      <c r="FB36" s="14">
        <v>62</v>
      </c>
      <c r="FC36" s="14">
        <v>44</v>
      </c>
      <c r="FD36" s="14">
        <v>72</v>
      </c>
      <c r="FE36" s="14">
        <v>78</v>
      </c>
      <c r="FF36" s="14">
        <v>43</v>
      </c>
      <c r="FG36" s="14">
        <v>38</v>
      </c>
      <c r="FH36" s="14">
        <v>65</v>
      </c>
      <c r="FI36" s="14">
        <v>84</v>
      </c>
      <c r="FJ36" s="14">
        <v>52</v>
      </c>
      <c r="FK36" s="14">
        <v>33</v>
      </c>
      <c r="FL36" s="14"/>
      <c r="FM36" s="14"/>
      <c r="FN36" s="14"/>
      <c r="FR36" s="12">
        <f t="shared" si="26"/>
        <v>0</v>
      </c>
      <c r="FS36" s="12">
        <f t="shared" si="27"/>
        <v>0</v>
      </c>
      <c r="FT36" s="12">
        <f t="shared" si="28"/>
        <v>0</v>
      </c>
      <c r="FU36" s="12">
        <f t="shared" si="29"/>
        <v>0</v>
      </c>
      <c r="FV36" s="12">
        <f t="shared" si="30"/>
        <v>0</v>
      </c>
      <c r="FW36" s="12">
        <f t="shared" si="31"/>
        <v>0</v>
      </c>
      <c r="FX36" s="12">
        <f t="shared" si="32"/>
        <v>0</v>
      </c>
      <c r="FY36" s="12">
        <f t="shared" si="33"/>
        <v>0</v>
      </c>
      <c r="FZ36" s="12">
        <f t="shared" si="34"/>
        <v>0</v>
      </c>
      <c r="GA36" s="12">
        <f t="shared" si="35"/>
        <v>0</v>
      </c>
      <c r="GB36" s="12">
        <f t="shared" si="36"/>
        <v>0</v>
      </c>
      <c r="GC36" s="12">
        <f t="shared" si="37"/>
        <v>0</v>
      </c>
      <c r="GD36" s="12">
        <f t="shared" si="38"/>
        <v>0</v>
      </c>
      <c r="GE36" s="12">
        <f t="shared" si="39"/>
        <v>0</v>
      </c>
      <c r="GF36" s="12">
        <f t="shared" si="40"/>
        <v>0</v>
      </c>
      <c r="GG36" s="12">
        <f t="shared" si="41"/>
        <v>0</v>
      </c>
      <c r="GH36" s="12">
        <f t="shared" si="42"/>
        <v>0</v>
      </c>
      <c r="GI36" s="12">
        <f t="shared" si="43"/>
        <v>0</v>
      </c>
      <c r="GJ36" s="12">
        <f t="shared" si="44"/>
        <v>0</v>
      </c>
      <c r="GK36" s="12">
        <f t="shared" si="45"/>
        <v>0</v>
      </c>
      <c r="GL36" s="12">
        <f t="shared" si="46"/>
        <v>0</v>
      </c>
      <c r="GM36" s="12">
        <f t="shared" si="47"/>
        <v>0</v>
      </c>
      <c r="GN36" s="12">
        <f t="shared" si="48"/>
        <v>0</v>
      </c>
      <c r="GO36" s="12">
        <f t="shared" si="49"/>
        <v>0</v>
      </c>
      <c r="GP36" s="12">
        <f t="shared" si="50"/>
        <v>0</v>
      </c>
      <c r="GQ36" s="12">
        <f t="shared" si="51"/>
        <v>0</v>
      </c>
      <c r="GR36" s="12">
        <f t="shared" si="52"/>
        <v>0</v>
      </c>
      <c r="GS36" s="12">
        <f t="shared" si="53"/>
        <v>0</v>
      </c>
      <c r="GT36" s="12">
        <f t="shared" si="54"/>
        <v>0</v>
      </c>
      <c r="GU36" s="12">
        <f t="shared" si="55"/>
        <v>0</v>
      </c>
      <c r="GV36" s="12">
        <f t="shared" si="56"/>
        <v>0</v>
      </c>
      <c r="GW36" s="12">
        <f t="shared" si="57"/>
        <v>0</v>
      </c>
      <c r="GX36" s="12">
        <f t="shared" si="58"/>
        <v>0</v>
      </c>
      <c r="GY36" s="12">
        <f t="shared" si="59"/>
        <v>0</v>
      </c>
      <c r="GZ36" s="12">
        <f t="shared" si="2"/>
        <v>0</v>
      </c>
      <c r="HA36" s="12">
        <f t="shared" si="3"/>
        <v>0</v>
      </c>
      <c r="HB36" s="12">
        <f t="shared" si="4"/>
        <v>0</v>
      </c>
      <c r="HC36" s="12">
        <f t="shared" si="5"/>
        <v>0</v>
      </c>
      <c r="HD36" s="12">
        <f t="shared" si="6"/>
        <v>0</v>
      </c>
      <c r="HE36" s="12">
        <f t="shared" si="7"/>
        <v>0</v>
      </c>
      <c r="HF36" s="12">
        <f t="shared" si="8"/>
        <v>0</v>
      </c>
      <c r="HG36" s="12">
        <f t="shared" si="9"/>
        <v>196</v>
      </c>
      <c r="HH36" s="12">
        <f t="shared" si="10"/>
        <v>282</v>
      </c>
      <c r="HI36" s="12">
        <f t="shared" si="11"/>
        <v>257</v>
      </c>
      <c r="HJ36" s="12">
        <f t="shared" si="12"/>
        <v>361</v>
      </c>
      <c r="HK36" s="12">
        <f t="shared" si="13"/>
        <v>234</v>
      </c>
      <c r="HL36" s="12">
        <f t="shared" si="14"/>
        <v>191</v>
      </c>
      <c r="HM36" s="12">
        <f t="shared" si="15"/>
        <v>57</v>
      </c>
      <c r="HN36" s="12">
        <f t="shared" si="60"/>
        <v>361</v>
      </c>
      <c r="HO36" s="12">
        <f t="shared" si="61"/>
        <v>234</v>
      </c>
      <c r="HP36" s="12">
        <f t="shared" si="62"/>
        <v>191</v>
      </c>
      <c r="HQ36" s="12">
        <f t="shared" si="63"/>
        <v>57</v>
      </c>
      <c r="HR36" s="12">
        <f t="shared" si="64"/>
        <v>188</v>
      </c>
      <c r="HS36" s="12">
        <f t="shared" si="65"/>
        <v>107</v>
      </c>
      <c r="HT36" s="12">
        <f t="shared" si="16"/>
        <v>56</v>
      </c>
      <c r="HU36" s="12">
        <f t="shared" si="17"/>
        <v>145</v>
      </c>
      <c r="HV36" s="12">
        <f t="shared" si="18"/>
        <v>194</v>
      </c>
      <c r="HW36" s="12">
        <f t="shared" si="19"/>
        <v>146</v>
      </c>
      <c r="HX36" s="12">
        <f t="shared" si="20"/>
        <v>169</v>
      </c>
      <c r="IB36" s="12">
        <f t="shared" si="66"/>
        <v>0</v>
      </c>
      <c r="IC36" s="12">
        <f t="shared" si="67"/>
        <v>0</v>
      </c>
      <c r="ID36" s="12">
        <f t="shared" si="68"/>
        <v>0</v>
      </c>
      <c r="IE36" s="12">
        <f t="shared" si="69"/>
        <v>0</v>
      </c>
      <c r="IF36" s="12">
        <f t="shared" si="70"/>
        <v>0</v>
      </c>
      <c r="IG36" s="12">
        <f t="shared" si="71"/>
        <v>0</v>
      </c>
      <c r="IH36" s="12">
        <f t="shared" si="72"/>
        <v>0</v>
      </c>
      <c r="II36" s="12">
        <f t="shared" si="73"/>
        <v>0</v>
      </c>
      <c r="IJ36" s="12">
        <f t="shared" si="21"/>
        <v>0</v>
      </c>
      <c r="IK36" s="12">
        <f t="shared" si="22"/>
        <v>0</v>
      </c>
      <c r="IL36" s="12">
        <f t="shared" si="23"/>
        <v>735</v>
      </c>
      <c r="IM36" s="12">
        <f t="shared" si="24"/>
        <v>843</v>
      </c>
      <c r="IN36" s="12">
        <f t="shared" si="25"/>
        <v>496</v>
      </c>
    </row>
    <row r="37" spans="1:248" outlineLevel="1" x14ac:dyDescent="0.3">
      <c r="A37" s="15" t="s">
        <v>91</v>
      </c>
      <c r="B37" s="15"/>
      <c r="C37" s="16">
        <f t="shared" ref="C37:BN37" si="84">+SUM(C33:C35)</f>
        <v>2395</v>
      </c>
      <c r="D37" s="16">
        <f t="shared" si="84"/>
        <v>2094</v>
      </c>
      <c r="E37" s="16">
        <f t="shared" si="84"/>
        <v>2174</v>
      </c>
      <c r="F37" s="16">
        <f t="shared" si="84"/>
        <v>1833</v>
      </c>
      <c r="G37" s="16">
        <f t="shared" si="84"/>
        <v>1703</v>
      </c>
      <c r="H37" s="16">
        <f t="shared" si="84"/>
        <v>2639</v>
      </c>
      <c r="I37" s="16">
        <f t="shared" si="84"/>
        <v>3254</v>
      </c>
      <c r="J37" s="16">
        <f t="shared" si="84"/>
        <v>2507</v>
      </c>
      <c r="K37" s="16">
        <f t="shared" si="84"/>
        <v>1713</v>
      </c>
      <c r="L37" s="16">
        <f t="shared" si="84"/>
        <v>1912</v>
      </c>
      <c r="M37" s="16">
        <f t="shared" si="84"/>
        <v>2184</v>
      </c>
      <c r="N37" s="16">
        <f t="shared" si="84"/>
        <v>2729</v>
      </c>
      <c r="O37" s="16">
        <f t="shared" si="84"/>
        <v>2709</v>
      </c>
      <c r="P37" s="16">
        <f t="shared" si="84"/>
        <v>2680</v>
      </c>
      <c r="Q37" s="16">
        <f t="shared" si="84"/>
        <v>2703</v>
      </c>
      <c r="R37" s="16">
        <f t="shared" si="84"/>
        <v>1939</v>
      </c>
      <c r="S37" s="16">
        <f t="shared" si="84"/>
        <v>1941</v>
      </c>
      <c r="T37" s="16">
        <f t="shared" si="84"/>
        <v>3498</v>
      </c>
      <c r="U37" s="16">
        <f t="shared" si="84"/>
        <v>4360</v>
      </c>
      <c r="V37" s="16">
        <f t="shared" si="84"/>
        <v>3155</v>
      </c>
      <c r="W37" s="16">
        <f t="shared" si="84"/>
        <v>1993</v>
      </c>
      <c r="X37" s="16">
        <f t="shared" si="84"/>
        <v>1930</v>
      </c>
      <c r="Y37" s="16">
        <f t="shared" si="84"/>
        <v>2373</v>
      </c>
      <c r="Z37" s="16">
        <f t="shared" si="84"/>
        <v>2941</v>
      </c>
      <c r="AA37" s="17">
        <f t="shared" si="84"/>
        <v>2887</v>
      </c>
      <c r="AB37" s="17">
        <f t="shared" si="84"/>
        <v>2834</v>
      </c>
      <c r="AC37" s="17">
        <f t="shared" si="84"/>
        <v>2818</v>
      </c>
      <c r="AD37" s="17">
        <f t="shared" si="84"/>
        <v>2018</v>
      </c>
      <c r="AE37" s="17">
        <f t="shared" si="84"/>
        <v>1722</v>
      </c>
      <c r="AF37" s="17">
        <f t="shared" si="84"/>
        <v>3634</v>
      </c>
      <c r="AG37" s="17">
        <f t="shared" si="84"/>
        <v>3933</v>
      </c>
      <c r="AH37" s="17">
        <f t="shared" si="84"/>
        <v>1699</v>
      </c>
      <c r="AI37" s="17">
        <f t="shared" si="84"/>
        <v>1397</v>
      </c>
      <c r="AJ37" s="17">
        <f t="shared" si="84"/>
        <v>1626</v>
      </c>
      <c r="AK37" s="17">
        <f t="shared" si="84"/>
        <v>1545</v>
      </c>
      <c r="AL37" s="18">
        <f t="shared" si="84"/>
        <v>1941</v>
      </c>
      <c r="AM37" s="17">
        <f t="shared" si="84"/>
        <v>2010</v>
      </c>
      <c r="AN37" s="17">
        <f t="shared" si="84"/>
        <v>1963</v>
      </c>
      <c r="AO37" s="17">
        <f t="shared" si="84"/>
        <v>2167</v>
      </c>
      <c r="AP37" s="17">
        <f t="shared" si="84"/>
        <v>1569</v>
      </c>
      <c r="AQ37" s="17">
        <f t="shared" si="84"/>
        <v>1328</v>
      </c>
      <c r="AR37" s="17">
        <f t="shared" si="84"/>
        <v>2300</v>
      </c>
      <c r="AS37" s="17">
        <f t="shared" si="84"/>
        <v>2813</v>
      </c>
      <c r="AT37" s="17">
        <f t="shared" si="84"/>
        <v>1932</v>
      </c>
      <c r="AU37" s="17">
        <f t="shared" si="84"/>
        <v>1379</v>
      </c>
      <c r="AV37" s="17">
        <f t="shared" si="84"/>
        <v>1302</v>
      </c>
      <c r="AW37" s="17">
        <f t="shared" si="84"/>
        <v>1442</v>
      </c>
      <c r="AX37" s="17">
        <f t="shared" si="84"/>
        <v>1993</v>
      </c>
      <c r="AY37" s="17">
        <f t="shared" si="84"/>
        <v>1946</v>
      </c>
      <c r="AZ37" s="17">
        <f t="shared" si="84"/>
        <v>1952</v>
      </c>
      <c r="BA37" s="17">
        <f t="shared" si="84"/>
        <v>2198</v>
      </c>
      <c r="BB37" s="17">
        <f t="shared" si="84"/>
        <v>1291</v>
      </c>
      <c r="BC37" s="17">
        <f t="shared" si="84"/>
        <v>1081</v>
      </c>
      <c r="BD37" s="17">
        <f t="shared" si="84"/>
        <v>2853</v>
      </c>
      <c r="BE37" s="17">
        <f t="shared" si="84"/>
        <v>3274</v>
      </c>
      <c r="BF37" s="17">
        <f t="shared" si="84"/>
        <v>1406</v>
      </c>
      <c r="BG37" s="17">
        <f t="shared" si="84"/>
        <v>959</v>
      </c>
      <c r="BH37" s="17">
        <f t="shared" si="84"/>
        <v>1328</v>
      </c>
      <c r="BI37" s="17">
        <f t="shared" si="84"/>
        <v>1514</v>
      </c>
      <c r="BJ37" s="17">
        <f t="shared" si="84"/>
        <v>2288</v>
      </c>
      <c r="BK37" s="17">
        <f t="shared" si="84"/>
        <v>1930</v>
      </c>
      <c r="BL37" s="17">
        <f t="shared" si="84"/>
        <v>1975</v>
      </c>
      <c r="BM37" s="17">
        <f t="shared" si="84"/>
        <v>1416</v>
      </c>
      <c r="BN37" s="17">
        <f t="shared" si="84"/>
        <v>1771</v>
      </c>
      <c r="BO37" s="17">
        <f t="shared" ref="BO37:DA37" si="85">+SUM(BO33:BO35)</f>
        <v>1441</v>
      </c>
      <c r="BP37" s="17">
        <f t="shared" si="85"/>
        <v>3755</v>
      </c>
      <c r="BQ37" s="17">
        <f t="shared" si="85"/>
        <v>3448</v>
      </c>
      <c r="BR37" s="17">
        <f t="shared" si="85"/>
        <v>1901</v>
      </c>
      <c r="BS37" s="17">
        <f t="shared" si="85"/>
        <v>1676</v>
      </c>
      <c r="BT37" s="17">
        <f t="shared" si="85"/>
        <v>1739</v>
      </c>
      <c r="BU37" s="17">
        <f t="shared" si="85"/>
        <v>1987</v>
      </c>
      <c r="BV37" s="17">
        <f t="shared" si="85"/>
        <v>3038</v>
      </c>
      <c r="BW37" s="17">
        <f t="shared" si="85"/>
        <v>2598</v>
      </c>
      <c r="BX37" s="17">
        <f t="shared" si="85"/>
        <v>2889</v>
      </c>
      <c r="BY37" s="17">
        <f t="shared" si="85"/>
        <v>2781</v>
      </c>
      <c r="BZ37" s="17">
        <f t="shared" si="85"/>
        <v>1827</v>
      </c>
      <c r="CA37" s="17">
        <f t="shared" si="85"/>
        <v>2003</v>
      </c>
      <c r="CB37" s="17">
        <f t="shared" si="85"/>
        <v>4255</v>
      </c>
      <c r="CC37" s="17">
        <f t="shared" si="85"/>
        <v>3811</v>
      </c>
      <c r="CD37" s="17">
        <f t="shared" si="85"/>
        <v>2808</v>
      </c>
      <c r="CE37" s="17">
        <f t="shared" si="85"/>
        <v>1569</v>
      </c>
      <c r="CF37" s="17">
        <f t="shared" si="85"/>
        <v>1726</v>
      </c>
      <c r="CG37" s="17">
        <f t="shared" si="85"/>
        <v>1819</v>
      </c>
      <c r="CH37" s="17">
        <f t="shared" si="85"/>
        <v>3170</v>
      </c>
      <c r="CI37" s="17">
        <f t="shared" si="85"/>
        <v>2238</v>
      </c>
      <c r="CJ37" s="17">
        <f t="shared" si="85"/>
        <v>2554</v>
      </c>
      <c r="CK37" s="17">
        <f t="shared" si="85"/>
        <v>2568</v>
      </c>
      <c r="CL37" s="17">
        <f t="shared" si="85"/>
        <v>1497</v>
      </c>
      <c r="CM37" s="17">
        <f t="shared" si="85"/>
        <v>1592</v>
      </c>
      <c r="CN37" s="17">
        <f t="shared" si="85"/>
        <v>3339</v>
      </c>
      <c r="CO37" s="17">
        <f t="shared" si="85"/>
        <v>3743</v>
      </c>
      <c r="CP37" s="17">
        <f t="shared" si="85"/>
        <v>2436</v>
      </c>
      <c r="CQ37" s="17">
        <f t="shared" si="85"/>
        <v>2358</v>
      </c>
      <c r="CR37" s="17">
        <f t="shared" si="85"/>
        <v>1557</v>
      </c>
      <c r="CS37" s="17">
        <f t="shared" si="85"/>
        <v>2023</v>
      </c>
      <c r="CT37" s="17">
        <f t="shared" si="85"/>
        <v>840</v>
      </c>
      <c r="CU37" s="17">
        <f t="shared" si="85"/>
        <v>881</v>
      </c>
      <c r="CV37" s="17">
        <f t="shared" si="85"/>
        <v>2447</v>
      </c>
      <c r="CW37" s="17">
        <f t="shared" si="85"/>
        <v>3845</v>
      </c>
      <c r="CX37" s="17">
        <f t="shared" si="85"/>
        <v>2310</v>
      </c>
      <c r="CY37" s="17">
        <f t="shared" si="85"/>
        <v>2801</v>
      </c>
      <c r="CZ37" s="17">
        <f t="shared" si="85"/>
        <v>4301</v>
      </c>
      <c r="DA37" s="17">
        <f t="shared" si="85"/>
        <v>4986</v>
      </c>
      <c r="DB37" s="17">
        <f>+SUM(DB33:DB35)</f>
        <v>2821</v>
      </c>
      <c r="DC37" s="17">
        <v>1906</v>
      </c>
      <c r="DD37" s="17">
        <v>3249</v>
      </c>
      <c r="DE37" s="17">
        <v>2936</v>
      </c>
      <c r="DF37" s="17">
        <v>3345</v>
      </c>
      <c r="DG37" s="17">
        <v>2309</v>
      </c>
      <c r="DH37" s="17">
        <v>2189</v>
      </c>
      <c r="DI37" s="19">
        <v>3315</v>
      </c>
      <c r="DJ37" s="19">
        <v>2205</v>
      </c>
      <c r="DK37" s="19">
        <v>2044</v>
      </c>
      <c r="DL37" s="19">
        <v>3650</v>
      </c>
      <c r="DM37" s="19">
        <v>4153</v>
      </c>
      <c r="DN37" s="19">
        <v>2656</v>
      </c>
      <c r="DO37" s="19">
        <v>1747</v>
      </c>
      <c r="DP37" s="19">
        <v>2136</v>
      </c>
      <c r="DQ37" s="19">
        <v>2384</v>
      </c>
      <c r="DR37" s="19">
        <v>3265</v>
      </c>
      <c r="DS37" s="19">
        <v>3224</v>
      </c>
      <c r="DT37" s="19">
        <v>2856</v>
      </c>
      <c r="DU37" s="19">
        <v>3075</v>
      </c>
      <c r="DV37" s="19">
        <v>2051</v>
      </c>
      <c r="DW37" s="19">
        <v>2063</v>
      </c>
      <c r="DX37" s="19">
        <v>4602</v>
      </c>
      <c r="DY37" s="19">
        <v>4652</v>
      </c>
      <c r="DZ37" s="19">
        <v>2332</v>
      </c>
      <c r="EA37" s="19">
        <v>1972</v>
      </c>
      <c r="EB37" s="19">
        <v>2277</v>
      </c>
      <c r="EC37" s="19">
        <v>2556</v>
      </c>
      <c r="ED37" s="19">
        <v>3707</v>
      </c>
      <c r="EE37" s="19">
        <v>2823</v>
      </c>
      <c r="EF37" s="19">
        <v>3146</v>
      </c>
      <c r="EG37" s="19">
        <v>3279</v>
      </c>
      <c r="EH37" s="19">
        <v>2042</v>
      </c>
      <c r="EI37" s="19">
        <v>2210</v>
      </c>
      <c r="EJ37" s="19">
        <v>3763</v>
      </c>
      <c r="EK37" s="19">
        <v>4568</v>
      </c>
      <c r="EL37" s="19">
        <v>3076</v>
      </c>
      <c r="EM37" s="19">
        <v>2064</v>
      </c>
      <c r="EN37" s="19">
        <v>2105</v>
      </c>
      <c r="EO37" s="19">
        <v>2559</v>
      </c>
      <c r="EP37" s="19">
        <v>3062</v>
      </c>
      <c r="EQ37" s="19">
        <v>2867</v>
      </c>
      <c r="ER37" s="19">
        <v>3445</v>
      </c>
      <c r="ES37" s="19">
        <v>3468</v>
      </c>
      <c r="ET37" s="19">
        <v>2201</v>
      </c>
      <c r="EU37" s="19">
        <v>2321</v>
      </c>
      <c r="EV37" s="19">
        <v>4503</v>
      </c>
      <c r="EW37" s="19">
        <v>5744</v>
      </c>
      <c r="EX37" s="19">
        <v>3014</v>
      </c>
      <c r="EY37" s="19">
        <v>1571</v>
      </c>
      <c r="EZ37" s="19">
        <v>2905</v>
      </c>
      <c r="FA37" s="19">
        <v>2732</v>
      </c>
      <c r="FB37" s="19">
        <v>4093</v>
      </c>
      <c r="FC37" s="19">
        <v>3484</v>
      </c>
      <c r="FD37" s="19">
        <v>3820</v>
      </c>
      <c r="FE37" s="19">
        <v>4250</v>
      </c>
      <c r="FF37" s="19">
        <v>2814</v>
      </c>
      <c r="FG37" s="19">
        <v>3330</v>
      </c>
      <c r="FH37" s="19">
        <v>6825</v>
      </c>
      <c r="FI37" s="19">
        <v>7105</v>
      </c>
      <c r="FJ37" s="19">
        <v>3703</v>
      </c>
      <c r="FK37" s="19">
        <v>2015</v>
      </c>
      <c r="FL37" s="20"/>
      <c r="FM37" s="20"/>
      <c r="FN37" s="20"/>
      <c r="FR37" s="17">
        <f t="shared" si="26"/>
        <v>6663</v>
      </c>
      <c r="FS37" s="17">
        <f t="shared" si="27"/>
        <v>6175</v>
      </c>
      <c r="FT37" s="17">
        <f t="shared" si="28"/>
        <v>7474</v>
      </c>
      <c r="FU37" s="17">
        <f t="shared" si="29"/>
        <v>6825</v>
      </c>
      <c r="FV37" s="17">
        <f t="shared" si="30"/>
        <v>8092</v>
      </c>
      <c r="FW37" s="17">
        <f t="shared" si="31"/>
        <v>7378</v>
      </c>
      <c r="FX37" s="17">
        <f t="shared" si="32"/>
        <v>9508</v>
      </c>
      <c r="FY37" s="17">
        <f t="shared" si="33"/>
        <v>7244</v>
      </c>
      <c r="FZ37" s="17">
        <f t="shared" si="34"/>
        <v>8539</v>
      </c>
      <c r="GA37" s="17">
        <f t="shared" si="35"/>
        <v>7374</v>
      </c>
      <c r="GB37" s="17">
        <f t="shared" si="36"/>
        <v>7029</v>
      </c>
      <c r="GC37" s="17">
        <f t="shared" si="37"/>
        <v>5112</v>
      </c>
      <c r="GD37" s="17">
        <f t="shared" si="38"/>
        <v>6140</v>
      </c>
      <c r="GE37" s="17">
        <f t="shared" si="39"/>
        <v>5197</v>
      </c>
      <c r="GF37" s="17">
        <f t="shared" si="40"/>
        <v>6124</v>
      </c>
      <c r="GG37" s="17">
        <f t="shared" si="41"/>
        <v>4737</v>
      </c>
      <c r="GH37" s="17">
        <f t="shared" si="42"/>
        <v>6096</v>
      </c>
      <c r="GI37" s="17">
        <f t="shared" si="43"/>
        <v>5225</v>
      </c>
      <c r="GJ37" s="17">
        <f t="shared" si="44"/>
        <v>5639</v>
      </c>
      <c r="GK37" s="17">
        <f t="shared" si="45"/>
        <v>5130</v>
      </c>
      <c r="GL37" s="17">
        <f t="shared" si="46"/>
        <v>5321</v>
      </c>
      <c r="GM37" s="17">
        <f t="shared" si="47"/>
        <v>6967</v>
      </c>
      <c r="GN37" s="17">
        <f t="shared" si="48"/>
        <v>7025</v>
      </c>
      <c r="GO37" s="17">
        <f t="shared" si="49"/>
        <v>6764</v>
      </c>
      <c r="GP37" s="17">
        <f t="shared" si="50"/>
        <v>8268</v>
      </c>
      <c r="GQ37" s="17">
        <f t="shared" si="51"/>
        <v>8085</v>
      </c>
      <c r="GR37" s="17">
        <f t="shared" si="52"/>
        <v>8188</v>
      </c>
      <c r="GS37" s="17">
        <f t="shared" si="53"/>
        <v>6715</v>
      </c>
      <c r="GT37" s="17">
        <f t="shared" si="54"/>
        <v>7360</v>
      </c>
      <c r="GU37" s="17">
        <f t="shared" si="55"/>
        <v>6428</v>
      </c>
      <c r="GV37" s="17">
        <f t="shared" si="56"/>
        <v>8537</v>
      </c>
      <c r="GW37" s="17">
        <f t="shared" si="57"/>
        <v>4420</v>
      </c>
      <c r="GX37" s="17">
        <f t="shared" si="58"/>
        <v>7173</v>
      </c>
      <c r="GY37" s="17">
        <f t="shared" si="59"/>
        <v>9412</v>
      </c>
      <c r="GZ37" s="17">
        <f t="shared" si="2"/>
        <v>9713</v>
      </c>
      <c r="HA37" s="17">
        <f t="shared" si="3"/>
        <v>9530</v>
      </c>
      <c r="HB37" s="17">
        <f t="shared" si="4"/>
        <v>4498</v>
      </c>
      <c r="HC37" s="17">
        <f t="shared" si="5"/>
        <v>7899</v>
      </c>
      <c r="HD37" s="17">
        <f t="shared" si="6"/>
        <v>8556</v>
      </c>
      <c r="HE37" s="17">
        <f t="shared" si="7"/>
        <v>7785</v>
      </c>
      <c r="HF37" s="17">
        <f t="shared" si="8"/>
        <v>9155</v>
      </c>
      <c r="HG37" s="17">
        <f t="shared" si="9"/>
        <v>8716</v>
      </c>
      <c r="HH37" s="17">
        <f t="shared" si="10"/>
        <v>8956</v>
      </c>
      <c r="HI37" s="17">
        <f t="shared" si="11"/>
        <v>8540</v>
      </c>
      <c r="HJ37" s="17">
        <f t="shared" si="12"/>
        <v>9248</v>
      </c>
      <c r="HK37" s="17">
        <f t="shared" si="13"/>
        <v>8015</v>
      </c>
      <c r="HL37" s="17">
        <f t="shared" si="14"/>
        <v>9708</v>
      </c>
      <c r="HM37" s="17">
        <f t="shared" si="15"/>
        <v>7726</v>
      </c>
      <c r="HN37" s="17">
        <f t="shared" si="60"/>
        <v>9248</v>
      </c>
      <c r="HO37" s="17">
        <f t="shared" si="61"/>
        <v>8015</v>
      </c>
      <c r="HP37" s="17">
        <f t="shared" si="62"/>
        <v>9708</v>
      </c>
      <c r="HQ37" s="17">
        <f t="shared" si="63"/>
        <v>7726</v>
      </c>
      <c r="HR37" s="17">
        <f t="shared" si="64"/>
        <v>9780</v>
      </c>
      <c r="HS37" s="17">
        <f t="shared" si="65"/>
        <v>9025</v>
      </c>
      <c r="HT37" s="17">
        <f t="shared" si="16"/>
        <v>10329</v>
      </c>
      <c r="HU37" s="17">
        <f t="shared" si="17"/>
        <v>9730</v>
      </c>
      <c r="HV37" s="17">
        <f t="shared" si="18"/>
        <v>11554</v>
      </c>
      <c r="HW37" s="17">
        <f t="shared" si="19"/>
        <v>12969</v>
      </c>
      <c r="HX37" s="17">
        <f t="shared" si="20"/>
        <v>12823</v>
      </c>
      <c r="IB37" s="17">
        <f t="shared" si="66"/>
        <v>27137</v>
      </c>
      <c r="IC37" s="17">
        <f t="shared" si="67"/>
        <v>32222</v>
      </c>
      <c r="ID37" s="17">
        <f t="shared" si="68"/>
        <v>28054</v>
      </c>
      <c r="IE37" s="17">
        <f t="shared" si="69"/>
        <v>22198</v>
      </c>
      <c r="IF37" s="17">
        <f t="shared" si="70"/>
        <v>22090</v>
      </c>
      <c r="IG37" s="17">
        <f t="shared" si="71"/>
        <v>26077</v>
      </c>
      <c r="IH37" s="17">
        <f t="shared" si="72"/>
        <v>31256</v>
      </c>
      <c r="II37" s="17">
        <f t="shared" si="73"/>
        <v>26745</v>
      </c>
      <c r="IJ37" s="17">
        <f t="shared" si="21"/>
        <v>35828</v>
      </c>
      <c r="IK37" s="17">
        <f t="shared" si="22"/>
        <v>32053</v>
      </c>
      <c r="IL37" s="17">
        <f t="shared" si="23"/>
        <v>35367</v>
      </c>
      <c r="IM37" s="17">
        <f t="shared" si="24"/>
        <v>34697</v>
      </c>
      <c r="IN37" s="17">
        <f t="shared" si="25"/>
        <v>38864</v>
      </c>
    </row>
    <row r="38" spans="1:248" outlineLevel="2" x14ac:dyDescent="0.3">
      <c r="A38" t="s">
        <v>92</v>
      </c>
      <c r="B38" t="s">
        <v>75</v>
      </c>
      <c r="C38" s="11">
        <v>6</v>
      </c>
      <c r="D38" s="11">
        <v>3</v>
      </c>
      <c r="E38" s="11">
        <v>0</v>
      </c>
      <c r="F38" s="11">
        <v>16</v>
      </c>
      <c r="G38" s="11">
        <v>10</v>
      </c>
      <c r="H38" s="11">
        <v>0</v>
      </c>
      <c r="I38" s="11">
        <v>7</v>
      </c>
      <c r="J38" s="11">
        <v>20</v>
      </c>
      <c r="K38" s="11">
        <v>1</v>
      </c>
      <c r="L38" s="11">
        <v>1</v>
      </c>
      <c r="M38" s="11">
        <v>1</v>
      </c>
      <c r="N38" s="11">
        <v>7</v>
      </c>
      <c r="O38" s="11">
        <v>7</v>
      </c>
      <c r="P38" s="11">
        <v>3</v>
      </c>
      <c r="Q38" s="11">
        <v>1</v>
      </c>
      <c r="R38" s="11">
        <v>3</v>
      </c>
      <c r="S38" s="11">
        <v>2</v>
      </c>
      <c r="T38" s="11">
        <v>2</v>
      </c>
      <c r="U38" s="11">
        <v>6</v>
      </c>
      <c r="V38" s="11">
        <v>1</v>
      </c>
      <c r="W38" s="11">
        <v>1</v>
      </c>
      <c r="X38" s="11">
        <v>1</v>
      </c>
      <c r="Y38" s="11">
        <v>0</v>
      </c>
      <c r="Z38" s="11">
        <v>4</v>
      </c>
      <c r="AA38" s="12">
        <v>1</v>
      </c>
      <c r="AB38" s="12">
        <v>4</v>
      </c>
      <c r="AC38" s="12">
        <v>1</v>
      </c>
      <c r="AD38" s="12">
        <v>0</v>
      </c>
      <c r="AE38" s="12">
        <v>1</v>
      </c>
      <c r="AF38" s="12">
        <v>0</v>
      </c>
      <c r="AG38" s="12">
        <v>0</v>
      </c>
      <c r="AH38" s="12">
        <v>0</v>
      </c>
      <c r="AI38" s="12">
        <v>0</v>
      </c>
      <c r="AJ38" s="12">
        <v>45</v>
      </c>
      <c r="AK38" s="12">
        <v>0</v>
      </c>
      <c r="AL38" s="13">
        <v>0</v>
      </c>
      <c r="AM38" s="12">
        <v>0</v>
      </c>
      <c r="AN38" s="12">
        <v>0</v>
      </c>
      <c r="AO38" s="12">
        <v>0</v>
      </c>
      <c r="AP38" s="12">
        <v>15</v>
      </c>
      <c r="AQ38" s="12">
        <v>14</v>
      </c>
      <c r="AR38" s="12">
        <v>21</v>
      </c>
      <c r="AS38" s="12">
        <v>12</v>
      </c>
      <c r="AT38" s="12">
        <v>11</v>
      </c>
      <c r="AU38" s="12">
        <v>0</v>
      </c>
      <c r="AV38" s="12">
        <v>0</v>
      </c>
      <c r="AW38" s="12">
        <v>7</v>
      </c>
      <c r="AX38" s="12">
        <v>0</v>
      </c>
      <c r="AY38" s="12">
        <v>5</v>
      </c>
      <c r="AZ38" s="12">
        <v>6</v>
      </c>
      <c r="BA38" s="12">
        <v>7</v>
      </c>
      <c r="BB38" s="12">
        <v>8</v>
      </c>
      <c r="BC38" s="12">
        <v>1</v>
      </c>
      <c r="BD38" s="12">
        <v>2</v>
      </c>
      <c r="BE38" s="12">
        <v>17</v>
      </c>
      <c r="BF38" s="12">
        <v>7</v>
      </c>
      <c r="BG38" s="12">
        <v>10</v>
      </c>
      <c r="BH38" s="12">
        <v>8</v>
      </c>
      <c r="BI38" s="12">
        <v>6</v>
      </c>
      <c r="BJ38" s="12">
        <v>5</v>
      </c>
      <c r="BK38" s="12">
        <v>5</v>
      </c>
      <c r="BL38" s="12">
        <v>10</v>
      </c>
      <c r="BM38" s="12">
        <v>23</v>
      </c>
      <c r="BN38" s="12">
        <v>14</v>
      </c>
      <c r="BO38" s="12">
        <v>11</v>
      </c>
      <c r="BP38" s="12">
        <v>32</v>
      </c>
      <c r="BQ38" s="12">
        <v>7</v>
      </c>
      <c r="BR38" s="12">
        <v>4</v>
      </c>
      <c r="BS38" s="12">
        <v>27</v>
      </c>
      <c r="BT38" s="12">
        <v>9</v>
      </c>
      <c r="BU38" s="12">
        <v>8</v>
      </c>
      <c r="BV38" s="12">
        <v>9</v>
      </c>
      <c r="BW38" s="12">
        <v>6</v>
      </c>
      <c r="BX38" s="12">
        <v>8</v>
      </c>
      <c r="BY38" s="12">
        <v>8</v>
      </c>
      <c r="BZ38" s="12">
        <v>12</v>
      </c>
      <c r="CA38" s="12">
        <v>4</v>
      </c>
      <c r="CB38" s="12">
        <v>4</v>
      </c>
      <c r="CC38" s="12">
        <v>6</v>
      </c>
      <c r="CD38" s="12">
        <v>7</v>
      </c>
      <c r="CE38" s="12">
        <v>108</v>
      </c>
      <c r="CF38" s="12">
        <v>123</v>
      </c>
      <c r="CG38" s="12">
        <v>18</v>
      </c>
      <c r="CH38" s="12">
        <v>3</v>
      </c>
      <c r="CI38" s="12">
        <v>9</v>
      </c>
      <c r="CJ38" s="12">
        <v>24</v>
      </c>
      <c r="CK38" s="12">
        <v>18</v>
      </c>
      <c r="CL38" s="12">
        <v>20</v>
      </c>
      <c r="CM38" s="12">
        <v>3</v>
      </c>
      <c r="CN38" s="12">
        <v>15</v>
      </c>
      <c r="CO38" s="12">
        <v>13</v>
      </c>
      <c r="CP38" s="12">
        <v>20</v>
      </c>
      <c r="CQ38" s="12">
        <v>11</v>
      </c>
      <c r="CR38" s="12">
        <v>4</v>
      </c>
      <c r="CS38" s="12">
        <v>10</v>
      </c>
      <c r="CT38" s="12">
        <v>9</v>
      </c>
      <c r="CU38" s="12">
        <v>0</v>
      </c>
      <c r="CV38" s="12">
        <v>0</v>
      </c>
      <c r="CW38" s="12">
        <v>3</v>
      </c>
      <c r="CX38" s="12">
        <v>2</v>
      </c>
      <c r="CY38" s="12">
        <v>1</v>
      </c>
      <c r="CZ38" s="12">
        <v>6</v>
      </c>
      <c r="DA38" s="12">
        <v>4</v>
      </c>
      <c r="DB38" s="12">
        <v>21</v>
      </c>
      <c r="DC38" s="12">
        <v>3</v>
      </c>
      <c r="DD38" s="12">
        <v>3</v>
      </c>
      <c r="DE38" s="12">
        <v>3</v>
      </c>
      <c r="DF38" s="12">
        <v>6</v>
      </c>
      <c r="DG38" s="12">
        <v>9</v>
      </c>
      <c r="DH38" s="12">
        <v>6</v>
      </c>
      <c r="DI38" s="14">
        <v>3</v>
      </c>
      <c r="DJ38" s="14">
        <v>2</v>
      </c>
      <c r="DK38" s="14">
        <v>3</v>
      </c>
      <c r="DL38" s="14">
        <v>7</v>
      </c>
      <c r="DM38" s="14">
        <v>5</v>
      </c>
      <c r="DN38" s="14">
        <v>5</v>
      </c>
      <c r="DO38" s="14">
        <v>2</v>
      </c>
      <c r="DP38" s="14">
        <v>1</v>
      </c>
      <c r="DQ38" s="14">
        <v>2</v>
      </c>
      <c r="DR38" s="14">
        <v>0</v>
      </c>
      <c r="DS38" s="14">
        <v>1</v>
      </c>
      <c r="DT38" s="14">
        <v>1</v>
      </c>
      <c r="DU38" s="14">
        <v>2</v>
      </c>
      <c r="DV38" s="14">
        <v>3</v>
      </c>
      <c r="DW38" s="14">
        <v>2</v>
      </c>
      <c r="DX38" s="14">
        <v>0</v>
      </c>
      <c r="DY38" s="14">
        <v>2</v>
      </c>
      <c r="DZ38" s="14">
        <v>5</v>
      </c>
      <c r="EA38" s="14">
        <v>3</v>
      </c>
      <c r="EB38" s="14">
        <v>3</v>
      </c>
      <c r="EC38" s="14">
        <v>4</v>
      </c>
      <c r="ED38" s="14">
        <v>4</v>
      </c>
      <c r="EE38" s="14">
        <v>3</v>
      </c>
      <c r="EF38" s="14">
        <v>0</v>
      </c>
      <c r="EG38" s="14">
        <v>3</v>
      </c>
      <c r="EH38" s="14">
        <v>3</v>
      </c>
      <c r="EI38" s="14">
        <v>0</v>
      </c>
      <c r="EJ38" s="14">
        <v>0</v>
      </c>
      <c r="EK38" s="14">
        <v>1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1</v>
      </c>
      <c r="ET38" s="14">
        <v>0</v>
      </c>
      <c r="EU38" s="14">
        <v>0</v>
      </c>
      <c r="EV38" s="14">
        <v>1</v>
      </c>
      <c r="EW38" s="14">
        <v>1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66</v>
      </c>
      <c r="FK38" s="14">
        <v>0</v>
      </c>
      <c r="FL38" s="14"/>
      <c r="FM38" s="14"/>
      <c r="FN38" s="14"/>
      <c r="FR38" s="12">
        <f t="shared" si="26"/>
        <v>9</v>
      </c>
      <c r="FS38" s="12">
        <f t="shared" si="27"/>
        <v>26</v>
      </c>
      <c r="FT38" s="12">
        <f t="shared" si="28"/>
        <v>28</v>
      </c>
      <c r="FU38" s="12">
        <f t="shared" si="29"/>
        <v>9</v>
      </c>
      <c r="FV38" s="12">
        <f t="shared" si="30"/>
        <v>11</v>
      </c>
      <c r="FW38" s="12">
        <f t="shared" si="31"/>
        <v>7</v>
      </c>
      <c r="FX38" s="12">
        <f t="shared" si="32"/>
        <v>8</v>
      </c>
      <c r="FY38" s="12">
        <f t="shared" si="33"/>
        <v>5</v>
      </c>
      <c r="FZ38" s="12">
        <f t="shared" si="34"/>
        <v>6</v>
      </c>
      <c r="GA38" s="12">
        <f t="shared" si="35"/>
        <v>1</v>
      </c>
      <c r="GB38" s="12">
        <f t="shared" si="36"/>
        <v>0</v>
      </c>
      <c r="GC38" s="12">
        <f t="shared" si="37"/>
        <v>45</v>
      </c>
      <c r="GD38" s="12">
        <f t="shared" si="38"/>
        <v>0</v>
      </c>
      <c r="GE38" s="12">
        <f t="shared" si="39"/>
        <v>50</v>
      </c>
      <c r="GF38" s="12">
        <f t="shared" si="40"/>
        <v>23</v>
      </c>
      <c r="GG38" s="12">
        <f t="shared" si="41"/>
        <v>7</v>
      </c>
      <c r="GH38" s="12">
        <f t="shared" si="42"/>
        <v>18</v>
      </c>
      <c r="GI38" s="12">
        <f t="shared" si="43"/>
        <v>11</v>
      </c>
      <c r="GJ38" s="12">
        <f t="shared" si="44"/>
        <v>34</v>
      </c>
      <c r="GK38" s="12">
        <f t="shared" si="45"/>
        <v>19</v>
      </c>
      <c r="GL38" s="12">
        <f t="shared" si="46"/>
        <v>38</v>
      </c>
      <c r="GM38" s="12">
        <f t="shared" si="47"/>
        <v>57</v>
      </c>
      <c r="GN38" s="12">
        <f t="shared" si="48"/>
        <v>38</v>
      </c>
      <c r="GO38" s="12">
        <f t="shared" si="49"/>
        <v>26</v>
      </c>
      <c r="GP38" s="12">
        <f t="shared" si="50"/>
        <v>22</v>
      </c>
      <c r="GQ38" s="12">
        <f t="shared" si="51"/>
        <v>20</v>
      </c>
      <c r="GR38" s="12">
        <f t="shared" si="52"/>
        <v>121</v>
      </c>
      <c r="GS38" s="12">
        <f t="shared" si="53"/>
        <v>144</v>
      </c>
      <c r="GT38" s="12">
        <f t="shared" si="54"/>
        <v>51</v>
      </c>
      <c r="GU38" s="12">
        <f t="shared" si="55"/>
        <v>38</v>
      </c>
      <c r="GV38" s="12">
        <f t="shared" si="56"/>
        <v>44</v>
      </c>
      <c r="GW38" s="12">
        <f t="shared" si="57"/>
        <v>23</v>
      </c>
      <c r="GX38" s="12">
        <f t="shared" si="58"/>
        <v>3</v>
      </c>
      <c r="GY38" s="12">
        <f t="shared" si="59"/>
        <v>9</v>
      </c>
      <c r="GZ38" s="12">
        <f t="shared" si="2"/>
        <v>28</v>
      </c>
      <c r="HA38" s="12">
        <f t="shared" si="3"/>
        <v>12</v>
      </c>
      <c r="HB38" s="12">
        <f t="shared" si="4"/>
        <v>15</v>
      </c>
      <c r="HC38" s="12">
        <f t="shared" si="5"/>
        <v>12</v>
      </c>
      <c r="HD38" s="12">
        <f t="shared" si="6"/>
        <v>12</v>
      </c>
      <c r="HE38" s="12">
        <f t="shared" si="7"/>
        <v>3</v>
      </c>
      <c r="HF38" s="12">
        <f t="shared" si="8"/>
        <v>4</v>
      </c>
      <c r="HG38" s="12">
        <f t="shared" si="9"/>
        <v>5</v>
      </c>
      <c r="HH38" s="12">
        <f t="shared" si="10"/>
        <v>10</v>
      </c>
      <c r="HI38" s="12">
        <f t="shared" si="11"/>
        <v>11</v>
      </c>
      <c r="HJ38" s="12">
        <f t="shared" si="12"/>
        <v>6</v>
      </c>
      <c r="HK38" s="12">
        <f t="shared" si="13"/>
        <v>3</v>
      </c>
      <c r="HL38" s="12">
        <f t="shared" si="14"/>
        <v>1</v>
      </c>
      <c r="HM38" s="12">
        <f t="shared" si="15"/>
        <v>0</v>
      </c>
      <c r="HN38" s="12">
        <f t="shared" si="60"/>
        <v>6</v>
      </c>
      <c r="HO38" s="12">
        <f t="shared" si="61"/>
        <v>3</v>
      </c>
      <c r="HP38" s="12">
        <f t="shared" si="62"/>
        <v>1</v>
      </c>
      <c r="HQ38" s="12">
        <f t="shared" si="63"/>
        <v>0</v>
      </c>
      <c r="HR38" s="12">
        <f t="shared" si="64"/>
        <v>1</v>
      </c>
      <c r="HS38" s="12">
        <f t="shared" si="65"/>
        <v>1</v>
      </c>
      <c r="HT38" s="12">
        <f t="shared" si="16"/>
        <v>1</v>
      </c>
      <c r="HU38" s="12">
        <f t="shared" si="17"/>
        <v>0</v>
      </c>
      <c r="HV38" s="12">
        <f t="shared" si="18"/>
        <v>0</v>
      </c>
      <c r="HW38" s="12">
        <f t="shared" si="19"/>
        <v>0</v>
      </c>
      <c r="HX38" s="12">
        <f t="shared" si="20"/>
        <v>66</v>
      </c>
      <c r="IB38" s="12">
        <f t="shared" si="66"/>
        <v>72</v>
      </c>
      <c r="IC38" s="12">
        <f t="shared" si="67"/>
        <v>31</v>
      </c>
      <c r="ID38" s="12">
        <f t="shared" si="68"/>
        <v>52</v>
      </c>
      <c r="IE38" s="12">
        <f t="shared" si="69"/>
        <v>80</v>
      </c>
      <c r="IF38" s="12">
        <f t="shared" si="70"/>
        <v>82</v>
      </c>
      <c r="IG38" s="12">
        <f t="shared" si="71"/>
        <v>159</v>
      </c>
      <c r="IH38" s="12">
        <f t="shared" si="72"/>
        <v>307</v>
      </c>
      <c r="II38" s="12">
        <f t="shared" si="73"/>
        <v>156</v>
      </c>
      <c r="IJ38" s="12">
        <f t="shared" si="21"/>
        <v>52</v>
      </c>
      <c r="IK38" s="12">
        <f t="shared" si="22"/>
        <v>45</v>
      </c>
      <c r="IL38" s="12">
        <f t="shared" si="23"/>
        <v>30</v>
      </c>
      <c r="IM38" s="12">
        <f t="shared" si="24"/>
        <v>10</v>
      </c>
      <c r="IN38" s="12">
        <f t="shared" si="25"/>
        <v>3</v>
      </c>
    </row>
    <row r="39" spans="1:248" outlineLevel="2" x14ac:dyDescent="0.3">
      <c r="B39" t="s">
        <v>76</v>
      </c>
      <c r="C39" s="11">
        <v>96</v>
      </c>
      <c r="D39" s="11">
        <v>73</v>
      </c>
      <c r="E39" s="11">
        <v>78</v>
      </c>
      <c r="F39" s="11">
        <v>54</v>
      </c>
      <c r="G39" s="11">
        <v>54</v>
      </c>
      <c r="H39" s="11">
        <v>96</v>
      </c>
      <c r="I39" s="11">
        <v>134</v>
      </c>
      <c r="J39" s="11">
        <v>126</v>
      </c>
      <c r="K39" s="11">
        <v>44</v>
      </c>
      <c r="L39" s="11">
        <v>53</v>
      </c>
      <c r="M39" s="11">
        <v>59</v>
      </c>
      <c r="N39" s="11">
        <v>37</v>
      </c>
      <c r="O39" s="11">
        <v>72</v>
      </c>
      <c r="P39" s="11">
        <v>86</v>
      </c>
      <c r="Q39" s="11">
        <v>94</v>
      </c>
      <c r="R39" s="11">
        <v>80</v>
      </c>
      <c r="S39" s="11">
        <v>102</v>
      </c>
      <c r="T39" s="11">
        <v>167</v>
      </c>
      <c r="U39" s="11">
        <v>195</v>
      </c>
      <c r="V39" s="11">
        <v>148</v>
      </c>
      <c r="W39" s="11">
        <v>191</v>
      </c>
      <c r="X39" s="11">
        <v>58</v>
      </c>
      <c r="Y39" s="11">
        <v>59</v>
      </c>
      <c r="Z39" s="11">
        <v>71</v>
      </c>
      <c r="AA39" s="12">
        <v>102</v>
      </c>
      <c r="AB39" s="12">
        <v>91</v>
      </c>
      <c r="AC39" s="12">
        <v>101</v>
      </c>
      <c r="AD39" s="12">
        <v>111</v>
      </c>
      <c r="AE39" s="12">
        <v>116</v>
      </c>
      <c r="AF39" s="12">
        <v>157</v>
      </c>
      <c r="AG39" s="12">
        <v>106</v>
      </c>
      <c r="AH39" s="12">
        <v>107</v>
      </c>
      <c r="AI39" s="12">
        <v>23</v>
      </c>
      <c r="AJ39" s="12">
        <v>25</v>
      </c>
      <c r="AK39" s="12">
        <v>48</v>
      </c>
      <c r="AL39" s="13">
        <v>0</v>
      </c>
      <c r="AM39" s="12">
        <v>57</v>
      </c>
      <c r="AN39" s="12">
        <v>31</v>
      </c>
      <c r="AO39" s="12">
        <v>60</v>
      </c>
      <c r="AP39" s="12">
        <v>19</v>
      </c>
      <c r="AQ39" s="12">
        <v>33</v>
      </c>
      <c r="AR39" s="12">
        <v>86</v>
      </c>
      <c r="AS39" s="12">
        <v>72</v>
      </c>
      <c r="AT39" s="12">
        <v>68</v>
      </c>
      <c r="AU39" s="12">
        <v>4</v>
      </c>
      <c r="AV39" s="12">
        <v>38</v>
      </c>
      <c r="AW39" s="12">
        <v>42</v>
      </c>
      <c r="AX39" s="12">
        <v>44</v>
      </c>
      <c r="AY39" s="12">
        <v>61</v>
      </c>
      <c r="AZ39" s="12">
        <v>67</v>
      </c>
      <c r="BA39" s="12">
        <v>60</v>
      </c>
      <c r="BB39" s="12">
        <v>87</v>
      </c>
      <c r="BC39" s="12">
        <v>87</v>
      </c>
      <c r="BD39" s="12">
        <v>215</v>
      </c>
      <c r="BE39" s="12">
        <v>157</v>
      </c>
      <c r="BF39" s="12">
        <v>101</v>
      </c>
      <c r="BG39" s="12">
        <v>47</v>
      </c>
      <c r="BH39" s="12">
        <v>199</v>
      </c>
      <c r="BI39" s="12">
        <v>86</v>
      </c>
      <c r="BJ39" s="12">
        <v>162</v>
      </c>
      <c r="BK39" s="12">
        <v>167</v>
      </c>
      <c r="BL39" s="12">
        <v>177</v>
      </c>
      <c r="BM39" s="12">
        <v>104</v>
      </c>
      <c r="BN39" s="12">
        <v>146</v>
      </c>
      <c r="BO39" s="12">
        <v>151</v>
      </c>
      <c r="BP39" s="12">
        <v>236</v>
      </c>
      <c r="BQ39" s="12">
        <v>200</v>
      </c>
      <c r="BR39" s="12">
        <v>153</v>
      </c>
      <c r="BS39" s="12">
        <v>55</v>
      </c>
      <c r="BT39" s="12">
        <v>384</v>
      </c>
      <c r="BU39" s="12">
        <v>169</v>
      </c>
      <c r="BV39" s="12">
        <v>237</v>
      </c>
      <c r="BW39" s="12">
        <v>204</v>
      </c>
      <c r="BX39" s="12">
        <v>198</v>
      </c>
      <c r="BY39" s="12">
        <v>203</v>
      </c>
      <c r="BZ39" s="12">
        <v>197</v>
      </c>
      <c r="CA39" s="12">
        <v>135</v>
      </c>
      <c r="CB39" s="12">
        <v>211</v>
      </c>
      <c r="CC39" s="12">
        <v>433</v>
      </c>
      <c r="CD39" s="12">
        <v>385</v>
      </c>
      <c r="CE39" s="12">
        <v>221</v>
      </c>
      <c r="CF39" s="12">
        <v>299</v>
      </c>
      <c r="CG39" s="12">
        <v>220</v>
      </c>
      <c r="CH39" s="12">
        <v>285</v>
      </c>
      <c r="CI39" s="12">
        <v>318</v>
      </c>
      <c r="CJ39" s="12">
        <v>314</v>
      </c>
      <c r="CK39" s="12">
        <v>282</v>
      </c>
      <c r="CL39" s="12">
        <v>291</v>
      </c>
      <c r="CM39" s="12">
        <v>261</v>
      </c>
      <c r="CN39" s="12">
        <v>368</v>
      </c>
      <c r="CO39" s="12">
        <v>319</v>
      </c>
      <c r="CP39" s="12">
        <v>350</v>
      </c>
      <c r="CQ39" s="12">
        <v>203</v>
      </c>
      <c r="CR39" s="12">
        <v>132</v>
      </c>
      <c r="CS39" s="12">
        <v>129</v>
      </c>
      <c r="CT39" s="12">
        <v>58</v>
      </c>
      <c r="CU39" s="12">
        <v>15</v>
      </c>
      <c r="CV39" s="12">
        <v>116</v>
      </c>
      <c r="CW39" s="12">
        <v>136</v>
      </c>
      <c r="CX39" s="12">
        <v>137</v>
      </c>
      <c r="CY39" s="12">
        <v>152</v>
      </c>
      <c r="CZ39" s="12">
        <v>192</v>
      </c>
      <c r="DA39" s="12">
        <v>239</v>
      </c>
      <c r="DB39" s="12">
        <v>164</v>
      </c>
      <c r="DC39" s="12">
        <v>109</v>
      </c>
      <c r="DD39" s="12">
        <v>151</v>
      </c>
      <c r="DE39" s="12">
        <v>109</v>
      </c>
      <c r="DF39" s="12">
        <v>141</v>
      </c>
      <c r="DG39" s="12">
        <v>113</v>
      </c>
      <c r="DH39" s="12">
        <v>66</v>
      </c>
      <c r="DI39" s="14">
        <v>91</v>
      </c>
      <c r="DJ39" s="14">
        <v>107</v>
      </c>
      <c r="DK39" s="14">
        <v>154</v>
      </c>
      <c r="DL39" s="14">
        <v>101</v>
      </c>
      <c r="DM39" s="14">
        <v>169</v>
      </c>
      <c r="DN39" s="14">
        <v>127</v>
      </c>
      <c r="DO39" s="14">
        <v>63</v>
      </c>
      <c r="DP39" s="14">
        <v>59</v>
      </c>
      <c r="DQ39" s="14">
        <v>71</v>
      </c>
      <c r="DR39" s="14">
        <v>95</v>
      </c>
      <c r="DS39" s="14">
        <v>104</v>
      </c>
      <c r="DT39" s="14">
        <v>70</v>
      </c>
      <c r="DU39" s="14">
        <v>66</v>
      </c>
      <c r="DV39" s="14">
        <v>52</v>
      </c>
      <c r="DW39" s="14">
        <v>53</v>
      </c>
      <c r="DX39" s="14">
        <v>86</v>
      </c>
      <c r="DY39" s="14">
        <v>90</v>
      </c>
      <c r="DZ39" s="14">
        <v>76</v>
      </c>
      <c r="EA39" s="14">
        <v>44</v>
      </c>
      <c r="EB39" s="14">
        <v>40</v>
      </c>
      <c r="EC39" s="14">
        <v>35</v>
      </c>
      <c r="ED39" s="14">
        <v>52</v>
      </c>
      <c r="EE39" s="14">
        <v>66</v>
      </c>
      <c r="EF39" s="14">
        <v>40</v>
      </c>
      <c r="EG39" s="14">
        <v>58</v>
      </c>
      <c r="EH39" s="14">
        <v>44</v>
      </c>
      <c r="EI39" s="14">
        <v>36</v>
      </c>
      <c r="EJ39" s="14">
        <v>51</v>
      </c>
      <c r="EK39" s="14">
        <v>74</v>
      </c>
      <c r="EL39" s="14">
        <v>48</v>
      </c>
      <c r="EM39" s="14">
        <v>25</v>
      </c>
      <c r="EN39" s="14">
        <v>26</v>
      </c>
      <c r="EO39" s="14">
        <v>38</v>
      </c>
      <c r="EP39" s="14">
        <v>51</v>
      </c>
      <c r="EQ39" s="14">
        <v>43</v>
      </c>
      <c r="ER39" s="14">
        <v>43</v>
      </c>
      <c r="ES39" s="14">
        <v>36</v>
      </c>
      <c r="ET39" s="14">
        <v>44</v>
      </c>
      <c r="EU39" s="14">
        <v>35</v>
      </c>
      <c r="EV39" s="14">
        <v>47</v>
      </c>
      <c r="EW39" s="14">
        <v>92</v>
      </c>
      <c r="EX39" s="14">
        <v>54</v>
      </c>
      <c r="EY39" s="14">
        <v>38</v>
      </c>
      <c r="EZ39" s="14">
        <v>58</v>
      </c>
      <c r="FA39" s="14">
        <v>46</v>
      </c>
      <c r="FB39" s="14">
        <v>53</v>
      </c>
      <c r="FC39" s="14">
        <v>40</v>
      </c>
      <c r="FD39" s="14">
        <v>51</v>
      </c>
      <c r="FE39" s="14">
        <v>53</v>
      </c>
      <c r="FF39" s="14">
        <v>0</v>
      </c>
      <c r="FG39" s="14">
        <v>88</v>
      </c>
      <c r="FH39" s="14">
        <v>75</v>
      </c>
      <c r="FI39" s="14">
        <v>101</v>
      </c>
      <c r="FJ39" s="14">
        <v>13</v>
      </c>
      <c r="FK39" s="14">
        <v>44</v>
      </c>
      <c r="FL39" s="14"/>
      <c r="FM39" s="14"/>
      <c r="FN39" s="14"/>
      <c r="FR39" s="12">
        <f t="shared" si="26"/>
        <v>247</v>
      </c>
      <c r="FS39" s="12">
        <f t="shared" si="27"/>
        <v>204</v>
      </c>
      <c r="FT39" s="12">
        <f t="shared" si="28"/>
        <v>304</v>
      </c>
      <c r="FU39" s="12">
        <f t="shared" si="29"/>
        <v>149</v>
      </c>
      <c r="FV39" s="12">
        <f t="shared" si="30"/>
        <v>252</v>
      </c>
      <c r="FW39" s="12">
        <f t="shared" si="31"/>
        <v>349</v>
      </c>
      <c r="FX39" s="12">
        <f t="shared" si="32"/>
        <v>534</v>
      </c>
      <c r="FY39" s="12">
        <f t="shared" si="33"/>
        <v>188</v>
      </c>
      <c r="FZ39" s="12">
        <f t="shared" si="34"/>
        <v>294</v>
      </c>
      <c r="GA39" s="12">
        <f t="shared" si="35"/>
        <v>384</v>
      </c>
      <c r="GB39" s="12">
        <f t="shared" si="36"/>
        <v>236</v>
      </c>
      <c r="GC39" s="12">
        <f t="shared" si="37"/>
        <v>73</v>
      </c>
      <c r="GD39" s="12">
        <f t="shared" si="38"/>
        <v>148</v>
      </c>
      <c r="GE39" s="12">
        <f t="shared" si="39"/>
        <v>138</v>
      </c>
      <c r="GF39" s="12">
        <f t="shared" si="40"/>
        <v>144</v>
      </c>
      <c r="GG39" s="12">
        <f t="shared" si="41"/>
        <v>124</v>
      </c>
      <c r="GH39" s="12">
        <f t="shared" si="42"/>
        <v>188</v>
      </c>
      <c r="GI39" s="12">
        <f t="shared" si="43"/>
        <v>389</v>
      </c>
      <c r="GJ39" s="12">
        <f t="shared" si="44"/>
        <v>305</v>
      </c>
      <c r="GK39" s="12">
        <f t="shared" si="45"/>
        <v>447</v>
      </c>
      <c r="GL39" s="12">
        <f t="shared" si="46"/>
        <v>448</v>
      </c>
      <c r="GM39" s="12">
        <f t="shared" si="47"/>
        <v>533</v>
      </c>
      <c r="GN39" s="12">
        <f t="shared" si="48"/>
        <v>408</v>
      </c>
      <c r="GO39" s="12">
        <f t="shared" si="49"/>
        <v>790</v>
      </c>
      <c r="GP39" s="12">
        <f t="shared" si="50"/>
        <v>605</v>
      </c>
      <c r="GQ39" s="12">
        <f t="shared" si="51"/>
        <v>543</v>
      </c>
      <c r="GR39" s="12">
        <f t="shared" si="52"/>
        <v>1039</v>
      </c>
      <c r="GS39" s="12">
        <f t="shared" si="53"/>
        <v>804</v>
      </c>
      <c r="GT39" s="12">
        <f t="shared" si="54"/>
        <v>914</v>
      </c>
      <c r="GU39" s="12">
        <f t="shared" si="55"/>
        <v>920</v>
      </c>
      <c r="GV39" s="12">
        <f t="shared" si="56"/>
        <v>872</v>
      </c>
      <c r="GW39" s="12">
        <f t="shared" si="57"/>
        <v>319</v>
      </c>
      <c r="GX39" s="12">
        <f t="shared" si="58"/>
        <v>267</v>
      </c>
      <c r="GY39" s="12">
        <f t="shared" si="59"/>
        <v>481</v>
      </c>
      <c r="GZ39" s="12">
        <f t="shared" si="2"/>
        <v>512</v>
      </c>
      <c r="HA39" s="12">
        <f t="shared" si="3"/>
        <v>401</v>
      </c>
      <c r="HB39" s="12">
        <f t="shared" si="4"/>
        <v>179</v>
      </c>
      <c r="HC39" s="12">
        <f t="shared" si="5"/>
        <v>362</v>
      </c>
      <c r="HD39" s="12">
        <f t="shared" si="6"/>
        <v>359</v>
      </c>
      <c r="HE39" s="12">
        <f t="shared" si="7"/>
        <v>225</v>
      </c>
      <c r="HF39" s="12">
        <f t="shared" si="8"/>
        <v>240</v>
      </c>
      <c r="HG39" s="12">
        <f t="shared" si="9"/>
        <v>191</v>
      </c>
      <c r="HH39" s="12">
        <f t="shared" si="10"/>
        <v>210</v>
      </c>
      <c r="HI39" s="12">
        <f t="shared" si="11"/>
        <v>127</v>
      </c>
      <c r="HJ39" s="12">
        <f t="shared" si="12"/>
        <v>164</v>
      </c>
      <c r="HK39" s="12">
        <f t="shared" si="13"/>
        <v>131</v>
      </c>
      <c r="HL39" s="12">
        <f t="shared" si="14"/>
        <v>147</v>
      </c>
      <c r="HM39" s="12">
        <f t="shared" si="15"/>
        <v>115</v>
      </c>
      <c r="HN39" s="12">
        <f t="shared" si="60"/>
        <v>164</v>
      </c>
      <c r="HO39" s="12">
        <f t="shared" si="61"/>
        <v>131</v>
      </c>
      <c r="HP39" s="12">
        <f t="shared" si="62"/>
        <v>147</v>
      </c>
      <c r="HQ39" s="12">
        <f t="shared" si="63"/>
        <v>115</v>
      </c>
      <c r="HR39" s="12">
        <f t="shared" si="64"/>
        <v>122</v>
      </c>
      <c r="HS39" s="12">
        <f t="shared" si="65"/>
        <v>126</v>
      </c>
      <c r="HT39" s="12">
        <f t="shared" si="16"/>
        <v>184</v>
      </c>
      <c r="HU39" s="12">
        <f t="shared" si="17"/>
        <v>157</v>
      </c>
      <c r="HV39" s="12">
        <f t="shared" si="18"/>
        <v>144</v>
      </c>
      <c r="HW39" s="12">
        <f t="shared" si="19"/>
        <v>163</v>
      </c>
      <c r="HX39" s="12">
        <f t="shared" si="20"/>
        <v>158</v>
      </c>
      <c r="IB39" s="12">
        <f t="shared" si="66"/>
        <v>904</v>
      </c>
      <c r="IC39" s="12">
        <f t="shared" si="67"/>
        <v>1323</v>
      </c>
      <c r="ID39" s="12">
        <f t="shared" si="68"/>
        <v>987</v>
      </c>
      <c r="IE39" s="12">
        <f t="shared" si="69"/>
        <v>554</v>
      </c>
      <c r="IF39" s="12">
        <f t="shared" si="70"/>
        <v>1329</v>
      </c>
      <c r="IG39" s="12">
        <f t="shared" si="71"/>
        <v>2179</v>
      </c>
      <c r="IH39" s="12">
        <f t="shared" si="72"/>
        <v>2991</v>
      </c>
      <c r="II39" s="12">
        <f t="shared" si="73"/>
        <v>3025</v>
      </c>
      <c r="IJ39" s="12">
        <f t="shared" si="21"/>
        <v>1661</v>
      </c>
      <c r="IK39" s="12">
        <f t="shared" si="22"/>
        <v>1216</v>
      </c>
      <c r="IL39" s="12">
        <f t="shared" si="23"/>
        <v>768</v>
      </c>
      <c r="IM39" s="12">
        <f t="shared" si="24"/>
        <v>557</v>
      </c>
      <c r="IN39" s="12">
        <f t="shared" si="25"/>
        <v>589</v>
      </c>
    </row>
    <row r="40" spans="1:248" outlineLevel="2" x14ac:dyDescent="0.3">
      <c r="B40" t="s">
        <v>77</v>
      </c>
      <c r="C40" s="11">
        <v>28</v>
      </c>
      <c r="D40" s="11">
        <v>54</v>
      </c>
      <c r="E40" s="11">
        <v>22</v>
      </c>
      <c r="F40" s="11">
        <v>30</v>
      </c>
      <c r="G40" s="11">
        <v>36</v>
      </c>
      <c r="H40" s="11">
        <v>68</v>
      </c>
      <c r="I40" s="11">
        <v>48</v>
      </c>
      <c r="J40" s="11">
        <v>34</v>
      </c>
      <c r="K40" s="11">
        <v>36</v>
      </c>
      <c r="L40" s="11">
        <v>21</v>
      </c>
      <c r="M40" s="11">
        <v>16</v>
      </c>
      <c r="N40" s="11">
        <v>45</v>
      </c>
      <c r="O40" s="11">
        <v>69</v>
      </c>
      <c r="P40" s="11">
        <v>57</v>
      </c>
      <c r="Q40" s="11">
        <v>29</v>
      </c>
      <c r="R40" s="11">
        <v>29</v>
      </c>
      <c r="S40" s="11">
        <v>28</v>
      </c>
      <c r="T40" s="11">
        <v>76</v>
      </c>
      <c r="U40" s="11">
        <v>57</v>
      </c>
      <c r="V40" s="11">
        <v>43</v>
      </c>
      <c r="W40" s="11">
        <v>57</v>
      </c>
      <c r="X40" s="11">
        <v>24</v>
      </c>
      <c r="Y40" s="11">
        <v>45</v>
      </c>
      <c r="Z40" s="11">
        <v>55</v>
      </c>
      <c r="AA40" s="12">
        <v>49</v>
      </c>
      <c r="AB40" s="12">
        <v>45</v>
      </c>
      <c r="AC40" s="12">
        <v>48</v>
      </c>
      <c r="AD40" s="12">
        <v>31</v>
      </c>
      <c r="AE40" s="12">
        <v>44</v>
      </c>
      <c r="AF40" s="12">
        <v>71</v>
      </c>
      <c r="AG40" s="12">
        <v>79</v>
      </c>
      <c r="AH40" s="12">
        <v>27</v>
      </c>
      <c r="AI40" s="12">
        <v>47</v>
      </c>
      <c r="AJ40" s="12">
        <v>0</v>
      </c>
      <c r="AK40" s="12">
        <v>42</v>
      </c>
      <c r="AL40" s="13">
        <v>0</v>
      </c>
      <c r="AM40" s="12">
        <v>23</v>
      </c>
      <c r="AN40" s="12">
        <v>39</v>
      </c>
      <c r="AO40" s="12">
        <v>30</v>
      </c>
      <c r="AP40" s="12">
        <v>36</v>
      </c>
      <c r="AQ40" s="12">
        <v>38</v>
      </c>
      <c r="AR40" s="12">
        <v>61</v>
      </c>
      <c r="AS40" s="12">
        <v>36</v>
      </c>
      <c r="AT40" s="12">
        <v>19</v>
      </c>
      <c r="AU40" s="12">
        <v>47</v>
      </c>
      <c r="AV40" s="12">
        <v>22</v>
      </c>
      <c r="AW40" s="12">
        <v>41</v>
      </c>
      <c r="AX40" s="12">
        <v>31</v>
      </c>
      <c r="AY40" s="12">
        <v>35</v>
      </c>
      <c r="AZ40" s="12">
        <v>47</v>
      </c>
      <c r="BA40" s="12">
        <v>38</v>
      </c>
      <c r="BB40" s="12">
        <v>35</v>
      </c>
      <c r="BC40" s="12">
        <v>53</v>
      </c>
      <c r="BD40" s="12">
        <v>83</v>
      </c>
      <c r="BE40" s="12">
        <v>79</v>
      </c>
      <c r="BF40" s="12">
        <v>42</v>
      </c>
      <c r="BG40" s="12">
        <v>19</v>
      </c>
      <c r="BH40" s="12">
        <v>69</v>
      </c>
      <c r="BI40" s="12">
        <v>60</v>
      </c>
      <c r="BJ40" s="12">
        <v>103</v>
      </c>
      <c r="BK40" s="12">
        <v>68</v>
      </c>
      <c r="BL40" s="12">
        <v>53</v>
      </c>
      <c r="BM40" s="12">
        <v>54</v>
      </c>
      <c r="BN40" s="12">
        <v>21</v>
      </c>
      <c r="BO40" s="12">
        <v>42</v>
      </c>
      <c r="BP40" s="12">
        <v>122</v>
      </c>
      <c r="BQ40" s="12">
        <v>80</v>
      </c>
      <c r="BR40" s="12">
        <v>87</v>
      </c>
      <c r="BS40" s="12">
        <v>62</v>
      </c>
      <c r="BT40" s="12">
        <v>112</v>
      </c>
      <c r="BU40" s="12">
        <v>112</v>
      </c>
      <c r="BV40" s="12">
        <v>104</v>
      </c>
      <c r="BW40" s="12">
        <v>90</v>
      </c>
      <c r="BX40" s="12">
        <v>66</v>
      </c>
      <c r="BY40" s="12">
        <v>50</v>
      </c>
      <c r="BZ40" s="12">
        <v>62</v>
      </c>
      <c r="CA40" s="12">
        <v>65</v>
      </c>
      <c r="CB40" s="12">
        <v>106</v>
      </c>
      <c r="CC40" s="12">
        <v>103</v>
      </c>
      <c r="CD40" s="12">
        <v>82</v>
      </c>
      <c r="CE40" s="12">
        <v>87</v>
      </c>
      <c r="CF40" s="12">
        <v>83</v>
      </c>
      <c r="CG40" s="12">
        <v>57</v>
      </c>
      <c r="CH40" s="12">
        <v>114</v>
      </c>
      <c r="CI40" s="12">
        <v>75</v>
      </c>
      <c r="CJ40" s="12">
        <v>84</v>
      </c>
      <c r="CK40" s="12">
        <v>75</v>
      </c>
      <c r="CL40" s="12">
        <v>64</v>
      </c>
      <c r="CM40" s="12">
        <v>39</v>
      </c>
      <c r="CN40" s="12">
        <v>118</v>
      </c>
      <c r="CO40" s="12">
        <v>154</v>
      </c>
      <c r="CP40" s="12">
        <v>82</v>
      </c>
      <c r="CQ40" s="12">
        <v>71</v>
      </c>
      <c r="CR40" s="12">
        <v>40</v>
      </c>
      <c r="CS40" s="12">
        <v>72</v>
      </c>
      <c r="CT40" s="12">
        <v>47</v>
      </c>
      <c r="CU40" s="12">
        <v>8</v>
      </c>
      <c r="CV40" s="12">
        <v>34</v>
      </c>
      <c r="CW40" s="12">
        <v>42</v>
      </c>
      <c r="CX40" s="12">
        <v>61</v>
      </c>
      <c r="CY40" s="12">
        <v>51</v>
      </c>
      <c r="CZ40" s="12">
        <v>92</v>
      </c>
      <c r="DA40" s="12">
        <v>112</v>
      </c>
      <c r="DB40" s="12">
        <v>70</v>
      </c>
      <c r="DC40" s="12">
        <v>29</v>
      </c>
      <c r="DD40" s="12">
        <v>46</v>
      </c>
      <c r="DE40" s="12">
        <v>88</v>
      </c>
      <c r="DF40" s="12">
        <v>72</v>
      </c>
      <c r="DG40" s="12">
        <v>58</v>
      </c>
      <c r="DH40" s="12">
        <v>19</v>
      </c>
      <c r="DI40" s="14">
        <v>20</v>
      </c>
      <c r="DJ40" s="14">
        <v>26</v>
      </c>
      <c r="DK40" s="14">
        <v>43</v>
      </c>
      <c r="DL40" s="14">
        <v>41</v>
      </c>
      <c r="DM40" s="14">
        <v>59</v>
      </c>
      <c r="DN40" s="14">
        <v>27</v>
      </c>
      <c r="DO40" s="14">
        <v>15</v>
      </c>
      <c r="DP40" s="14">
        <v>26</v>
      </c>
      <c r="DQ40" s="14">
        <v>32</v>
      </c>
      <c r="DR40" s="14">
        <v>40</v>
      </c>
      <c r="DS40" s="14">
        <v>21</v>
      </c>
      <c r="DT40" s="14">
        <v>14</v>
      </c>
      <c r="DU40" s="14">
        <v>4</v>
      </c>
      <c r="DV40" s="14">
        <v>13</v>
      </c>
      <c r="DW40" s="14">
        <v>12</v>
      </c>
      <c r="DX40" s="14">
        <v>29</v>
      </c>
      <c r="DY40" s="14">
        <v>23</v>
      </c>
      <c r="DZ40" s="14">
        <v>33</v>
      </c>
      <c r="EA40" s="14">
        <v>15</v>
      </c>
      <c r="EB40" s="14">
        <v>16</v>
      </c>
      <c r="EC40" s="14">
        <v>17</v>
      </c>
      <c r="ED40" s="14">
        <v>30</v>
      </c>
      <c r="EE40" s="14">
        <v>13</v>
      </c>
      <c r="EF40" s="14">
        <v>17</v>
      </c>
      <c r="EG40" s="14">
        <v>12</v>
      </c>
      <c r="EH40" s="14">
        <v>5</v>
      </c>
      <c r="EI40" s="14">
        <v>7</v>
      </c>
      <c r="EJ40" s="14">
        <v>16</v>
      </c>
      <c r="EK40" s="14">
        <v>10</v>
      </c>
      <c r="EL40" s="14">
        <v>7</v>
      </c>
      <c r="EM40" s="14">
        <v>16</v>
      </c>
      <c r="EN40" s="14">
        <v>7</v>
      </c>
      <c r="EO40" s="14">
        <v>12</v>
      </c>
      <c r="EP40" s="14">
        <v>9</v>
      </c>
      <c r="EQ40" s="14">
        <v>8</v>
      </c>
      <c r="ER40" s="14">
        <v>9</v>
      </c>
      <c r="ES40" s="14">
        <v>6</v>
      </c>
      <c r="ET40" s="14">
        <v>6</v>
      </c>
      <c r="EU40" s="14">
        <v>4</v>
      </c>
      <c r="EV40" s="14">
        <v>7</v>
      </c>
      <c r="EW40" s="14">
        <v>4</v>
      </c>
      <c r="EX40" s="14">
        <v>8</v>
      </c>
      <c r="EY40" s="14">
        <v>4</v>
      </c>
      <c r="EZ40" s="14">
        <v>9</v>
      </c>
      <c r="FA40" s="14">
        <v>5</v>
      </c>
      <c r="FB40" s="14">
        <v>9</v>
      </c>
      <c r="FC40" s="14">
        <v>2</v>
      </c>
      <c r="FD40" s="14">
        <v>8</v>
      </c>
      <c r="FE40" s="14">
        <v>7</v>
      </c>
      <c r="FF40" s="14">
        <v>15</v>
      </c>
      <c r="FG40" s="14">
        <v>9</v>
      </c>
      <c r="FH40" s="14">
        <v>11</v>
      </c>
      <c r="FI40" s="14">
        <v>9</v>
      </c>
      <c r="FJ40" s="14">
        <v>0</v>
      </c>
      <c r="FK40" s="14">
        <v>0</v>
      </c>
      <c r="FL40" s="14"/>
      <c r="FM40" s="14"/>
      <c r="FN40" s="14"/>
      <c r="FR40" s="12">
        <f t="shared" si="26"/>
        <v>104</v>
      </c>
      <c r="FS40" s="12">
        <f t="shared" si="27"/>
        <v>134</v>
      </c>
      <c r="FT40" s="12">
        <f t="shared" si="28"/>
        <v>118</v>
      </c>
      <c r="FU40" s="12">
        <f t="shared" si="29"/>
        <v>82</v>
      </c>
      <c r="FV40" s="12">
        <f t="shared" si="30"/>
        <v>155</v>
      </c>
      <c r="FW40" s="12">
        <f t="shared" si="31"/>
        <v>133</v>
      </c>
      <c r="FX40" s="12">
        <f t="shared" si="32"/>
        <v>157</v>
      </c>
      <c r="FY40" s="12">
        <f t="shared" si="33"/>
        <v>124</v>
      </c>
      <c r="FZ40" s="12">
        <f t="shared" si="34"/>
        <v>142</v>
      </c>
      <c r="GA40" s="12">
        <f t="shared" si="35"/>
        <v>146</v>
      </c>
      <c r="GB40" s="12">
        <f t="shared" si="36"/>
        <v>153</v>
      </c>
      <c r="GC40" s="12">
        <f t="shared" si="37"/>
        <v>42</v>
      </c>
      <c r="GD40" s="12">
        <f t="shared" si="38"/>
        <v>92</v>
      </c>
      <c r="GE40" s="12">
        <f t="shared" si="39"/>
        <v>135</v>
      </c>
      <c r="GF40" s="12">
        <f t="shared" si="40"/>
        <v>102</v>
      </c>
      <c r="GG40" s="12">
        <f t="shared" si="41"/>
        <v>94</v>
      </c>
      <c r="GH40" s="12">
        <f t="shared" si="42"/>
        <v>120</v>
      </c>
      <c r="GI40" s="12">
        <f t="shared" si="43"/>
        <v>171</v>
      </c>
      <c r="GJ40" s="12">
        <f t="shared" si="44"/>
        <v>140</v>
      </c>
      <c r="GK40" s="12">
        <f t="shared" si="45"/>
        <v>232</v>
      </c>
      <c r="GL40" s="12">
        <f t="shared" si="46"/>
        <v>175</v>
      </c>
      <c r="GM40" s="12">
        <f t="shared" si="47"/>
        <v>185</v>
      </c>
      <c r="GN40" s="12">
        <f t="shared" si="48"/>
        <v>229</v>
      </c>
      <c r="GO40" s="12">
        <f t="shared" si="49"/>
        <v>328</v>
      </c>
      <c r="GP40" s="12">
        <f t="shared" si="50"/>
        <v>206</v>
      </c>
      <c r="GQ40" s="12">
        <f t="shared" si="51"/>
        <v>233</v>
      </c>
      <c r="GR40" s="12">
        <f t="shared" si="52"/>
        <v>272</v>
      </c>
      <c r="GS40" s="12">
        <f t="shared" si="53"/>
        <v>254</v>
      </c>
      <c r="GT40" s="12">
        <f t="shared" si="54"/>
        <v>234</v>
      </c>
      <c r="GU40" s="12">
        <f t="shared" si="55"/>
        <v>221</v>
      </c>
      <c r="GV40" s="12">
        <f t="shared" si="56"/>
        <v>307</v>
      </c>
      <c r="GW40" s="12">
        <f t="shared" si="57"/>
        <v>159</v>
      </c>
      <c r="GX40" s="12">
        <f t="shared" si="58"/>
        <v>84</v>
      </c>
      <c r="GY40" s="12">
        <f t="shared" si="59"/>
        <v>204</v>
      </c>
      <c r="GZ40" s="12">
        <f t="shared" si="2"/>
        <v>211</v>
      </c>
      <c r="HA40" s="12">
        <f t="shared" si="3"/>
        <v>206</v>
      </c>
      <c r="HB40" s="12">
        <f t="shared" si="4"/>
        <v>77</v>
      </c>
      <c r="HC40" s="12">
        <f t="shared" si="5"/>
        <v>110</v>
      </c>
      <c r="HD40" s="12">
        <f t="shared" si="6"/>
        <v>101</v>
      </c>
      <c r="HE40" s="12">
        <f t="shared" si="7"/>
        <v>98</v>
      </c>
      <c r="HF40" s="12">
        <f t="shared" si="8"/>
        <v>39</v>
      </c>
      <c r="HG40" s="12">
        <f t="shared" si="9"/>
        <v>54</v>
      </c>
      <c r="HH40" s="12">
        <f t="shared" si="10"/>
        <v>71</v>
      </c>
      <c r="HI40" s="12">
        <f t="shared" si="11"/>
        <v>63</v>
      </c>
      <c r="HJ40" s="12">
        <f t="shared" si="12"/>
        <v>42</v>
      </c>
      <c r="HK40" s="12">
        <f t="shared" si="13"/>
        <v>28</v>
      </c>
      <c r="HL40" s="12">
        <f t="shared" si="14"/>
        <v>33</v>
      </c>
      <c r="HM40" s="12">
        <f t="shared" si="15"/>
        <v>28</v>
      </c>
      <c r="HN40" s="12">
        <f t="shared" si="60"/>
        <v>42</v>
      </c>
      <c r="HO40" s="12">
        <f t="shared" si="61"/>
        <v>28</v>
      </c>
      <c r="HP40" s="12">
        <f t="shared" si="62"/>
        <v>33</v>
      </c>
      <c r="HQ40" s="12">
        <f t="shared" si="63"/>
        <v>28</v>
      </c>
      <c r="HR40" s="12">
        <f t="shared" si="64"/>
        <v>23</v>
      </c>
      <c r="HS40" s="12">
        <f t="shared" si="65"/>
        <v>17</v>
      </c>
      <c r="HT40" s="12">
        <f t="shared" si="16"/>
        <v>16</v>
      </c>
      <c r="HU40" s="12">
        <f t="shared" si="17"/>
        <v>23</v>
      </c>
      <c r="HV40" s="12">
        <f t="shared" si="18"/>
        <v>17</v>
      </c>
      <c r="HW40" s="12">
        <f t="shared" si="19"/>
        <v>35</v>
      </c>
      <c r="HX40" s="12">
        <f t="shared" si="20"/>
        <v>9</v>
      </c>
      <c r="IB40" s="12">
        <f t="shared" si="66"/>
        <v>438</v>
      </c>
      <c r="IC40" s="12">
        <f t="shared" si="67"/>
        <v>569</v>
      </c>
      <c r="ID40" s="12">
        <f t="shared" si="68"/>
        <v>483</v>
      </c>
      <c r="IE40" s="12">
        <f t="shared" si="69"/>
        <v>423</v>
      </c>
      <c r="IF40" s="12">
        <f t="shared" si="70"/>
        <v>663</v>
      </c>
      <c r="IG40" s="12">
        <f t="shared" si="71"/>
        <v>917</v>
      </c>
      <c r="IH40" s="12">
        <f t="shared" si="72"/>
        <v>965</v>
      </c>
      <c r="II40" s="12">
        <f t="shared" si="73"/>
        <v>921</v>
      </c>
      <c r="IJ40" s="12">
        <f t="shared" si="21"/>
        <v>705</v>
      </c>
      <c r="IK40" s="12">
        <f t="shared" si="22"/>
        <v>406</v>
      </c>
      <c r="IL40" s="12">
        <f t="shared" si="23"/>
        <v>227</v>
      </c>
      <c r="IM40" s="12">
        <f t="shared" si="24"/>
        <v>131</v>
      </c>
      <c r="IN40" s="12">
        <f t="shared" si="25"/>
        <v>79</v>
      </c>
    </row>
    <row r="41" spans="1:248" outlineLevel="1" x14ac:dyDescent="0.3">
      <c r="A41" s="15" t="s">
        <v>93</v>
      </c>
      <c r="B41" s="15"/>
      <c r="C41" s="16">
        <f t="shared" ref="C41:BN41" si="86">+SUM(C38:C40)</f>
        <v>130</v>
      </c>
      <c r="D41" s="16">
        <f t="shared" si="86"/>
        <v>130</v>
      </c>
      <c r="E41" s="16">
        <f t="shared" si="86"/>
        <v>100</v>
      </c>
      <c r="F41" s="16">
        <f t="shared" si="86"/>
        <v>100</v>
      </c>
      <c r="G41" s="16">
        <f t="shared" si="86"/>
        <v>100</v>
      </c>
      <c r="H41" s="16">
        <f t="shared" si="86"/>
        <v>164</v>
      </c>
      <c r="I41" s="16">
        <f t="shared" si="86"/>
        <v>189</v>
      </c>
      <c r="J41" s="16">
        <f t="shared" si="86"/>
        <v>180</v>
      </c>
      <c r="K41" s="16">
        <f t="shared" si="86"/>
        <v>81</v>
      </c>
      <c r="L41" s="16">
        <f t="shared" si="86"/>
        <v>75</v>
      </c>
      <c r="M41" s="16">
        <f t="shared" si="86"/>
        <v>76</v>
      </c>
      <c r="N41" s="16">
        <f t="shared" si="86"/>
        <v>89</v>
      </c>
      <c r="O41" s="16">
        <f t="shared" si="86"/>
        <v>148</v>
      </c>
      <c r="P41" s="16">
        <f t="shared" si="86"/>
        <v>146</v>
      </c>
      <c r="Q41" s="16">
        <f t="shared" si="86"/>
        <v>124</v>
      </c>
      <c r="R41" s="16">
        <f t="shared" si="86"/>
        <v>112</v>
      </c>
      <c r="S41" s="16">
        <f t="shared" si="86"/>
        <v>132</v>
      </c>
      <c r="T41" s="16">
        <f t="shared" si="86"/>
        <v>245</v>
      </c>
      <c r="U41" s="16">
        <f t="shared" si="86"/>
        <v>258</v>
      </c>
      <c r="V41" s="16">
        <f t="shared" si="86"/>
        <v>192</v>
      </c>
      <c r="W41" s="16">
        <f t="shared" si="86"/>
        <v>249</v>
      </c>
      <c r="X41" s="16">
        <f t="shared" si="86"/>
        <v>83</v>
      </c>
      <c r="Y41" s="16">
        <f t="shared" si="86"/>
        <v>104</v>
      </c>
      <c r="Z41" s="16">
        <f t="shared" si="86"/>
        <v>130</v>
      </c>
      <c r="AA41" s="17">
        <f t="shared" si="86"/>
        <v>152</v>
      </c>
      <c r="AB41" s="17">
        <f t="shared" si="86"/>
        <v>140</v>
      </c>
      <c r="AC41" s="17">
        <f t="shared" si="86"/>
        <v>150</v>
      </c>
      <c r="AD41" s="17">
        <f t="shared" si="86"/>
        <v>142</v>
      </c>
      <c r="AE41" s="17">
        <f t="shared" si="86"/>
        <v>161</v>
      </c>
      <c r="AF41" s="17">
        <f t="shared" si="86"/>
        <v>228</v>
      </c>
      <c r="AG41" s="17">
        <f t="shared" si="86"/>
        <v>185</v>
      </c>
      <c r="AH41" s="17">
        <f t="shared" si="86"/>
        <v>134</v>
      </c>
      <c r="AI41" s="17">
        <f t="shared" si="86"/>
        <v>70</v>
      </c>
      <c r="AJ41" s="17">
        <f t="shared" si="86"/>
        <v>70</v>
      </c>
      <c r="AK41" s="17">
        <f t="shared" si="86"/>
        <v>90</v>
      </c>
      <c r="AL41" s="18">
        <f t="shared" si="86"/>
        <v>0</v>
      </c>
      <c r="AM41" s="17">
        <f t="shared" si="86"/>
        <v>80</v>
      </c>
      <c r="AN41" s="17">
        <f t="shared" si="86"/>
        <v>70</v>
      </c>
      <c r="AO41" s="17">
        <f t="shared" si="86"/>
        <v>90</v>
      </c>
      <c r="AP41" s="17">
        <f t="shared" si="86"/>
        <v>70</v>
      </c>
      <c r="AQ41" s="17">
        <f t="shared" si="86"/>
        <v>85</v>
      </c>
      <c r="AR41" s="17">
        <f t="shared" si="86"/>
        <v>168</v>
      </c>
      <c r="AS41" s="17">
        <f t="shared" si="86"/>
        <v>120</v>
      </c>
      <c r="AT41" s="17">
        <f t="shared" si="86"/>
        <v>98</v>
      </c>
      <c r="AU41" s="17">
        <f t="shared" si="86"/>
        <v>51</v>
      </c>
      <c r="AV41" s="17">
        <f t="shared" si="86"/>
        <v>60</v>
      </c>
      <c r="AW41" s="17">
        <f t="shared" si="86"/>
        <v>90</v>
      </c>
      <c r="AX41" s="17">
        <f t="shared" si="86"/>
        <v>75</v>
      </c>
      <c r="AY41" s="17">
        <f t="shared" si="86"/>
        <v>101</v>
      </c>
      <c r="AZ41" s="17">
        <f t="shared" si="86"/>
        <v>120</v>
      </c>
      <c r="BA41" s="17">
        <f t="shared" si="86"/>
        <v>105</v>
      </c>
      <c r="BB41" s="17">
        <f t="shared" si="86"/>
        <v>130</v>
      </c>
      <c r="BC41" s="17">
        <f t="shared" si="86"/>
        <v>141</v>
      </c>
      <c r="BD41" s="17">
        <f t="shared" si="86"/>
        <v>300</v>
      </c>
      <c r="BE41" s="17">
        <f t="shared" si="86"/>
        <v>253</v>
      </c>
      <c r="BF41" s="17">
        <f t="shared" si="86"/>
        <v>150</v>
      </c>
      <c r="BG41" s="17">
        <f t="shared" si="86"/>
        <v>76</v>
      </c>
      <c r="BH41" s="17">
        <f t="shared" si="86"/>
        <v>276</v>
      </c>
      <c r="BI41" s="17">
        <f t="shared" si="86"/>
        <v>152</v>
      </c>
      <c r="BJ41" s="17">
        <f t="shared" si="86"/>
        <v>270</v>
      </c>
      <c r="BK41" s="17">
        <f t="shared" si="86"/>
        <v>240</v>
      </c>
      <c r="BL41" s="17">
        <f t="shared" si="86"/>
        <v>240</v>
      </c>
      <c r="BM41" s="17">
        <f t="shared" si="86"/>
        <v>181</v>
      </c>
      <c r="BN41" s="17">
        <f t="shared" si="86"/>
        <v>181</v>
      </c>
      <c r="BO41" s="17">
        <f t="shared" ref="BO41:DA41" si="87">+SUM(BO38:BO40)</f>
        <v>204</v>
      </c>
      <c r="BP41" s="17">
        <f t="shared" si="87"/>
        <v>390</v>
      </c>
      <c r="BQ41" s="17">
        <f t="shared" si="87"/>
        <v>287</v>
      </c>
      <c r="BR41" s="17">
        <f t="shared" si="87"/>
        <v>244</v>
      </c>
      <c r="BS41" s="17">
        <f t="shared" si="87"/>
        <v>144</v>
      </c>
      <c r="BT41" s="17">
        <f t="shared" si="87"/>
        <v>505</v>
      </c>
      <c r="BU41" s="17">
        <f t="shared" si="87"/>
        <v>289</v>
      </c>
      <c r="BV41" s="17">
        <f t="shared" si="87"/>
        <v>350</v>
      </c>
      <c r="BW41" s="17">
        <f t="shared" si="87"/>
        <v>300</v>
      </c>
      <c r="BX41" s="17">
        <f t="shared" si="87"/>
        <v>272</v>
      </c>
      <c r="BY41" s="17">
        <f t="shared" si="87"/>
        <v>261</v>
      </c>
      <c r="BZ41" s="17">
        <f t="shared" si="87"/>
        <v>271</v>
      </c>
      <c r="CA41" s="17">
        <f t="shared" si="87"/>
        <v>204</v>
      </c>
      <c r="CB41" s="17">
        <f t="shared" si="87"/>
        <v>321</v>
      </c>
      <c r="CC41" s="17">
        <f t="shared" si="87"/>
        <v>542</v>
      </c>
      <c r="CD41" s="17">
        <f t="shared" si="87"/>
        <v>474</v>
      </c>
      <c r="CE41" s="17">
        <f t="shared" si="87"/>
        <v>416</v>
      </c>
      <c r="CF41" s="17">
        <f t="shared" si="87"/>
        <v>505</v>
      </c>
      <c r="CG41" s="17">
        <f t="shared" si="87"/>
        <v>295</v>
      </c>
      <c r="CH41" s="17">
        <f t="shared" si="87"/>
        <v>402</v>
      </c>
      <c r="CI41" s="17">
        <f t="shared" si="87"/>
        <v>402</v>
      </c>
      <c r="CJ41" s="17">
        <f t="shared" si="87"/>
        <v>422</v>
      </c>
      <c r="CK41" s="17">
        <f t="shared" si="87"/>
        <v>375</v>
      </c>
      <c r="CL41" s="17">
        <f t="shared" si="87"/>
        <v>375</v>
      </c>
      <c r="CM41" s="17">
        <f t="shared" si="87"/>
        <v>303</v>
      </c>
      <c r="CN41" s="17">
        <f t="shared" si="87"/>
        <v>501</v>
      </c>
      <c r="CO41" s="17">
        <f t="shared" si="87"/>
        <v>486</v>
      </c>
      <c r="CP41" s="17">
        <f t="shared" si="87"/>
        <v>452</v>
      </c>
      <c r="CQ41" s="17">
        <f t="shared" si="87"/>
        <v>285</v>
      </c>
      <c r="CR41" s="17">
        <f t="shared" si="87"/>
        <v>176</v>
      </c>
      <c r="CS41" s="17">
        <f t="shared" si="87"/>
        <v>211</v>
      </c>
      <c r="CT41" s="17">
        <f t="shared" si="87"/>
        <v>114</v>
      </c>
      <c r="CU41" s="17">
        <f t="shared" si="87"/>
        <v>23</v>
      </c>
      <c r="CV41" s="17">
        <f t="shared" si="87"/>
        <v>150</v>
      </c>
      <c r="CW41" s="17">
        <f t="shared" si="87"/>
        <v>181</v>
      </c>
      <c r="CX41" s="17">
        <f t="shared" si="87"/>
        <v>200</v>
      </c>
      <c r="CY41" s="17">
        <f t="shared" si="87"/>
        <v>204</v>
      </c>
      <c r="CZ41" s="17">
        <f t="shared" si="87"/>
        <v>290</v>
      </c>
      <c r="DA41" s="17">
        <f t="shared" si="87"/>
        <v>355</v>
      </c>
      <c r="DB41" s="17">
        <f>+SUM(DB38:DB40)</f>
        <v>255</v>
      </c>
      <c r="DC41" s="17">
        <v>141</v>
      </c>
      <c r="DD41" s="17">
        <v>200</v>
      </c>
      <c r="DE41" s="17">
        <v>200</v>
      </c>
      <c r="DF41" s="17">
        <v>219</v>
      </c>
      <c r="DG41" s="17">
        <v>180</v>
      </c>
      <c r="DH41" s="17">
        <v>91</v>
      </c>
      <c r="DI41" s="19">
        <v>114</v>
      </c>
      <c r="DJ41" s="19">
        <v>135</v>
      </c>
      <c r="DK41" s="19">
        <v>200</v>
      </c>
      <c r="DL41" s="19">
        <v>149</v>
      </c>
      <c r="DM41" s="19">
        <v>233</v>
      </c>
      <c r="DN41" s="19">
        <v>159</v>
      </c>
      <c r="DO41" s="19">
        <v>80</v>
      </c>
      <c r="DP41" s="19">
        <v>86</v>
      </c>
      <c r="DQ41" s="19">
        <v>105</v>
      </c>
      <c r="DR41" s="19">
        <v>135</v>
      </c>
      <c r="DS41" s="19">
        <v>126</v>
      </c>
      <c r="DT41" s="19">
        <v>85</v>
      </c>
      <c r="DU41" s="19">
        <v>72</v>
      </c>
      <c r="DV41" s="19">
        <v>68</v>
      </c>
      <c r="DW41" s="19">
        <v>67</v>
      </c>
      <c r="DX41" s="19">
        <v>115</v>
      </c>
      <c r="DY41" s="19">
        <v>115</v>
      </c>
      <c r="DZ41" s="19">
        <v>114</v>
      </c>
      <c r="EA41" s="19">
        <v>62</v>
      </c>
      <c r="EB41" s="19">
        <v>59</v>
      </c>
      <c r="EC41" s="19">
        <v>56</v>
      </c>
      <c r="ED41" s="19">
        <v>86</v>
      </c>
      <c r="EE41" s="19">
        <v>82</v>
      </c>
      <c r="EF41" s="19">
        <v>57</v>
      </c>
      <c r="EG41" s="19">
        <v>73</v>
      </c>
      <c r="EH41" s="19">
        <v>52</v>
      </c>
      <c r="EI41" s="19">
        <v>43</v>
      </c>
      <c r="EJ41" s="19">
        <v>67</v>
      </c>
      <c r="EK41" s="19">
        <v>85</v>
      </c>
      <c r="EL41" s="19">
        <v>55</v>
      </c>
      <c r="EM41" s="19">
        <v>41</v>
      </c>
      <c r="EN41" s="19">
        <v>33</v>
      </c>
      <c r="EO41" s="19">
        <v>50</v>
      </c>
      <c r="EP41" s="19">
        <v>60</v>
      </c>
      <c r="EQ41" s="19">
        <v>51</v>
      </c>
      <c r="ER41" s="19">
        <v>52</v>
      </c>
      <c r="ES41" s="19">
        <v>43</v>
      </c>
      <c r="ET41" s="19">
        <v>50</v>
      </c>
      <c r="EU41" s="19">
        <v>39</v>
      </c>
      <c r="EV41" s="19">
        <v>55</v>
      </c>
      <c r="EW41" s="19">
        <v>97</v>
      </c>
      <c r="EX41" s="19">
        <v>62</v>
      </c>
      <c r="EY41" s="19">
        <v>42</v>
      </c>
      <c r="EZ41" s="19">
        <v>67</v>
      </c>
      <c r="FA41" s="19">
        <v>51</v>
      </c>
      <c r="FB41" s="19">
        <v>62</v>
      </c>
      <c r="FC41" s="19">
        <v>42</v>
      </c>
      <c r="FD41" s="19">
        <v>59</v>
      </c>
      <c r="FE41" s="19">
        <v>60</v>
      </c>
      <c r="FF41" s="19">
        <v>62</v>
      </c>
      <c r="FG41" s="19">
        <v>97</v>
      </c>
      <c r="FH41" s="19">
        <v>86</v>
      </c>
      <c r="FI41" s="19">
        <v>110</v>
      </c>
      <c r="FJ41" s="19">
        <v>79</v>
      </c>
      <c r="FK41" s="19">
        <v>49</v>
      </c>
      <c r="FL41" s="20"/>
      <c r="FM41" s="20"/>
      <c r="FN41" s="20"/>
      <c r="FR41" s="17">
        <f t="shared" si="26"/>
        <v>360</v>
      </c>
      <c r="FS41" s="17">
        <f t="shared" si="27"/>
        <v>364</v>
      </c>
      <c r="FT41" s="17">
        <f t="shared" si="28"/>
        <v>450</v>
      </c>
      <c r="FU41" s="17">
        <f t="shared" si="29"/>
        <v>240</v>
      </c>
      <c r="FV41" s="17">
        <f t="shared" si="30"/>
        <v>418</v>
      </c>
      <c r="FW41" s="17">
        <f t="shared" si="31"/>
        <v>489</v>
      </c>
      <c r="FX41" s="17">
        <f t="shared" si="32"/>
        <v>699</v>
      </c>
      <c r="FY41" s="17">
        <f t="shared" si="33"/>
        <v>317</v>
      </c>
      <c r="FZ41" s="17">
        <f t="shared" si="34"/>
        <v>442</v>
      </c>
      <c r="GA41" s="17">
        <f t="shared" si="35"/>
        <v>531</v>
      </c>
      <c r="GB41" s="17">
        <f t="shared" si="36"/>
        <v>389</v>
      </c>
      <c r="GC41" s="17">
        <f t="shared" si="37"/>
        <v>160</v>
      </c>
      <c r="GD41" s="17">
        <f t="shared" si="38"/>
        <v>240</v>
      </c>
      <c r="GE41" s="17">
        <f t="shared" si="39"/>
        <v>323</v>
      </c>
      <c r="GF41" s="17">
        <f t="shared" si="40"/>
        <v>269</v>
      </c>
      <c r="GG41" s="17">
        <f t="shared" si="41"/>
        <v>225</v>
      </c>
      <c r="GH41" s="17">
        <f t="shared" si="42"/>
        <v>326</v>
      </c>
      <c r="GI41" s="17">
        <f t="shared" si="43"/>
        <v>571</v>
      </c>
      <c r="GJ41" s="17">
        <f t="shared" si="44"/>
        <v>479</v>
      </c>
      <c r="GK41" s="17">
        <f t="shared" si="45"/>
        <v>698</v>
      </c>
      <c r="GL41" s="17">
        <f t="shared" si="46"/>
        <v>661</v>
      </c>
      <c r="GM41" s="17">
        <f t="shared" si="47"/>
        <v>775</v>
      </c>
      <c r="GN41" s="17">
        <f t="shared" si="48"/>
        <v>675</v>
      </c>
      <c r="GO41" s="17">
        <f t="shared" si="49"/>
        <v>1144</v>
      </c>
      <c r="GP41" s="17">
        <f t="shared" si="50"/>
        <v>833</v>
      </c>
      <c r="GQ41" s="17">
        <f t="shared" si="51"/>
        <v>796</v>
      </c>
      <c r="GR41" s="17">
        <f t="shared" si="52"/>
        <v>1432</v>
      </c>
      <c r="GS41" s="17">
        <f t="shared" si="53"/>
        <v>1202</v>
      </c>
      <c r="GT41" s="17">
        <f t="shared" si="54"/>
        <v>1199</v>
      </c>
      <c r="GU41" s="17">
        <f t="shared" si="55"/>
        <v>1179</v>
      </c>
      <c r="GV41" s="17">
        <f t="shared" si="56"/>
        <v>1223</v>
      </c>
      <c r="GW41" s="17">
        <f t="shared" si="57"/>
        <v>501</v>
      </c>
      <c r="GX41" s="17">
        <f t="shared" si="58"/>
        <v>354</v>
      </c>
      <c r="GY41" s="17">
        <f t="shared" si="59"/>
        <v>694</v>
      </c>
      <c r="GZ41" s="17">
        <f t="shared" si="2"/>
        <v>751</v>
      </c>
      <c r="HA41" s="17">
        <f t="shared" si="3"/>
        <v>619</v>
      </c>
      <c r="HB41" s="17">
        <f t="shared" si="4"/>
        <v>271</v>
      </c>
      <c r="HC41" s="17">
        <f t="shared" si="5"/>
        <v>484</v>
      </c>
      <c r="HD41" s="17">
        <f t="shared" si="6"/>
        <v>472</v>
      </c>
      <c r="HE41" s="17">
        <f t="shared" si="7"/>
        <v>326</v>
      </c>
      <c r="HF41" s="17">
        <f t="shared" si="8"/>
        <v>283</v>
      </c>
      <c r="HG41" s="17">
        <f t="shared" si="9"/>
        <v>250</v>
      </c>
      <c r="HH41" s="17">
        <f t="shared" si="10"/>
        <v>291</v>
      </c>
      <c r="HI41" s="17">
        <f t="shared" si="11"/>
        <v>201</v>
      </c>
      <c r="HJ41" s="17">
        <f t="shared" si="12"/>
        <v>212</v>
      </c>
      <c r="HK41" s="17">
        <f t="shared" si="13"/>
        <v>162</v>
      </c>
      <c r="HL41" s="17">
        <f t="shared" si="14"/>
        <v>181</v>
      </c>
      <c r="HM41" s="17">
        <f t="shared" si="15"/>
        <v>143</v>
      </c>
      <c r="HN41" s="17">
        <f t="shared" si="60"/>
        <v>212</v>
      </c>
      <c r="HO41" s="17">
        <f t="shared" si="61"/>
        <v>162</v>
      </c>
      <c r="HP41" s="17">
        <f t="shared" si="62"/>
        <v>181</v>
      </c>
      <c r="HQ41" s="17">
        <f t="shared" si="63"/>
        <v>143</v>
      </c>
      <c r="HR41" s="17">
        <f t="shared" si="64"/>
        <v>146</v>
      </c>
      <c r="HS41" s="17">
        <f t="shared" si="65"/>
        <v>144</v>
      </c>
      <c r="HT41" s="17">
        <f t="shared" si="16"/>
        <v>201</v>
      </c>
      <c r="HU41" s="17">
        <f t="shared" si="17"/>
        <v>180</v>
      </c>
      <c r="HV41" s="17">
        <f t="shared" si="18"/>
        <v>161</v>
      </c>
      <c r="HW41" s="17">
        <f t="shared" si="19"/>
        <v>245</v>
      </c>
      <c r="HX41" s="17">
        <f t="shared" si="20"/>
        <v>238</v>
      </c>
      <c r="IB41" s="17">
        <f t="shared" si="66"/>
        <v>1414</v>
      </c>
      <c r="IC41" s="17">
        <f t="shared" si="67"/>
        <v>1923</v>
      </c>
      <c r="ID41" s="17">
        <f t="shared" si="68"/>
        <v>1522</v>
      </c>
      <c r="IE41" s="17">
        <f t="shared" si="69"/>
        <v>1057</v>
      </c>
      <c r="IF41" s="17">
        <f t="shared" si="70"/>
        <v>2074</v>
      </c>
      <c r="IG41" s="17">
        <f t="shared" si="71"/>
        <v>3255</v>
      </c>
      <c r="IH41" s="17">
        <f t="shared" si="72"/>
        <v>4263</v>
      </c>
      <c r="II41" s="17">
        <f t="shared" si="73"/>
        <v>4102</v>
      </c>
      <c r="IJ41" s="17">
        <f t="shared" si="21"/>
        <v>2418</v>
      </c>
      <c r="IK41" s="17">
        <f t="shared" si="22"/>
        <v>1667</v>
      </c>
      <c r="IL41" s="17">
        <f t="shared" si="23"/>
        <v>1025</v>
      </c>
      <c r="IM41" s="17">
        <f t="shared" si="24"/>
        <v>698</v>
      </c>
      <c r="IN41" s="17">
        <f t="shared" si="25"/>
        <v>671</v>
      </c>
    </row>
    <row r="42" spans="1:248" outlineLevel="2" x14ac:dyDescent="0.3">
      <c r="A42" t="s">
        <v>94</v>
      </c>
      <c r="B42" t="s">
        <v>75</v>
      </c>
      <c r="C42" s="11">
        <v>6499</v>
      </c>
      <c r="D42" s="11">
        <v>8245</v>
      </c>
      <c r="E42" s="11">
        <v>8892</v>
      </c>
      <c r="F42" s="11">
        <v>7238</v>
      </c>
      <c r="G42" s="11">
        <v>5799</v>
      </c>
      <c r="H42" s="11">
        <v>7989</v>
      </c>
      <c r="I42" s="11">
        <v>10995</v>
      </c>
      <c r="J42" s="11">
        <v>8900</v>
      </c>
      <c r="K42" s="11">
        <v>3839</v>
      </c>
      <c r="L42" s="11">
        <v>3973</v>
      </c>
      <c r="M42" s="11">
        <v>4556</v>
      </c>
      <c r="N42" s="11">
        <v>5434</v>
      </c>
      <c r="O42" s="11">
        <v>5357</v>
      </c>
      <c r="P42" s="11">
        <v>5884</v>
      </c>
      <c r="Q42" s="11">
        <v>6614</v>
      </c>
      <c r="R42" s="11">
        <v>5518</v>
      </c>
      <c r="S42" s="11">
        <v>4120</v>
      </c>
      <c r="T42" s="11">
        <v>7551</v>
      </c>
      <c r="U42" s="11">
        <v>9274</v>
      </c>
      <c r="V42" s="11">
        <v>5727</v>
      </c>
      <c r="W42" s="11">
        <v>3011</v>
      </c>
      <c r="X42" s="11">
        <v>4212</v>
      </c>
      <c r="Y42" s="11">
        <v>4802</v>
      </c>
      <c r="Z42" s="11">
        <v>4839</v>
      </c>
      <c r="AA42" s="12">
        <v>4092</v>
      </c>
      <c r="AB42" s="12">
        <v>5403</v>
      </c>
      <c r="AC42" s="12">
        <v>7846</v>
      </c>
      <c r="AD42" s="12">
        <v>4694</v>
      </c>
      <c r="AE42" s="12">
        <v>3807</v>
      </c>
      <c r="AF42" s="12">
        <v>8392</v>
      </c>
      <c r="AG42" s="12">
        <v>9202</v>
      </c>
      <c r="AH42" s="12">
        <v>4076</v>
      </c>
      <c r="AI42" s="12">
        <v>2499</v>
      </c>
      <c r="AJ42" s="12">
        <v>2967</v>
      </c>
      <c r="AK42" s="12">
        <v>3357</v>
      </c>
      <c r="AL42" s="13">
        <v>3802</v>
      </c>
      <c r="AM42" s="12">
        <v>3767</v>
      </c>
      <c r="AN42" s="12">
        <v>4991</v>
      </c>
      <c r="AO42" s="12">
        <v>6939</v>
      </c>
      <c r="AP42" s="12">
        <v>4532</v>
      </c>
      <c r="AQ42" s="12">
        <v>2951</v>
      </c>
      <c r="AR42" s="12">
        <v>5766</v>
      </c>
      <c r="AS42" s="12">
        <v>7526</v>
      </c>
      <c r="AT42" s="12">
        <v>5281</v>
      </c>
      <c r="AU42" s="12">
        <v>2235</v>
      </c>
      <c r="AV42" s="12">
        <v>3567</v>
      </c>
      <c r="AW42" s="12">
        <v>3134</v>
      </c>
      <c r="AX42" s="12">
        <v>3207</v>
      </c>
      <c r="AY42" s="12">
        <v>4058</v>
      </c>
      <c r="AZ42" s="12">
        <v>5529</v>
      </c>
      <c r="BA42" s="12">
        <v>7120</v>
      </c>
      <c r="BB42" s="12">
        <v>4277</v>
      </c>
      <c r="BC42" s="12">
        <v>2859</v>
      </c>
      <c r="BD42" s="12">
        <v>6922</v>
      </c>
      <c r="BE42" s="12">
        <v>7845</v>
      </c>
      <c r="BF42" s="12">
        <v>3775</v>
      </c>
      <c r="BG42" s="12">
        <v>1867</v>
      </c>
      <c r="BH42" s="12">
        <v>3208</v>
      </c>
      <c r="BI42" s="12">
        <v>2193</v>
      </c>
      <c r="BJ42" s="12">
        <v>4455</v>
      </c>
      <c r="BK42" s="12">
        <v>5806</v>
      </c>
      <c r="BL42" s="12">
        <v>7513</v>
      </c>
      <c r="BM42" s="12">
        <v>5764</v>
      </c>
      <c r="BN42" s="12">
        <v>5662</v>
      </c>
      <c r="BO42" s="12">
        <v>5557</v>
      </c>
      <c r="BP42" s="12">
        <v>12776</v>
      </c>
      <c r="BQ42" s="12">
        <v>9814</v>
      </c>
      <c r="BR42" s="12">
        <v>4549</v>
      </c>
      <c r="BS42" s="12">
        <v>3135</v>
      </c>
      <c r="BT42" s="12">
        <v>3534</v>
      </c>
      <c r="BU42" s="12">
        <v>3196</v>
      </c>
      <c r="BV42" s="12">
        <v>4663</v>
      </c>
      <c r="BW42" s="12">
        <v>5012</v>
      </c>
      <c r="BX42" s="12">
        <v>6496</v>
      </c>
      <c r="BY42" s="12">
        <v>7096</v>
      </c>
      <c r="BZ42" s="12">
        <v>4904</v>
      </c>
      <c r="CA42" s="12">
        <v>3918</v>
      </c>
      <c r="CB42" s="12">
        <v>6867</v>
      </c>
      <c r="CC42" s="12">
        <v>8357</v>
      </c>
      <c r="CD42" s="12">
        <v>5428</v>
      </c>
      <c r="CE42" s="12">
        <v>2708</v>
      </c>
      <c r="CF42" s="12">
        <v>3647</v>
      </c>
      <c r="CG42" s="12">
        <v>3203</v>
      </c>
      <c r="CH42" s="12">
        <v>4215</v>
      </c>
      <c r="CI42" s="12">
        <v>4355</v>
      </c>
      <c r="CJ42" s="12">
        <v>5325</v>
      </c>
      <c r="CK42" s="12">
        <v>6835</v>
      </c>
      <c r="CL42" s="12">
        <v>3896</v>
      </c>
      <c r="CM42" s="12">
        <v>2500</v>
      </c>
      <c r="CN42" s="12">
        <v>6550</v>
      </c>
      <c r="CO42" s="12">
        <v>7158</v>
      </c>
      <c r="CP42" s="12">
        <v>3767</v>
      </c>
      <c r="CQ42" s="12">
        <v>2691</v>
      </c>
      <c r="CR42" s="12">
        <v>2936</v>
      </c>
      <c r="CS42" s="12">
        <v>3004</v>
      </c>
      <c r="CT42" s="12">
        <v>1902</v>
      </c>
      <c r="CU42" s="12">
        <v>956</v>
      </c>
      <c r="CV42" s="12">
        <v>6267</v>
      </c>
      <c r="CW42" s="12">
        <v>7337</v>
      </c>
      <c r="CX42" s="12">
        <v>4195</v>
      </c>
      <c r="CY42" s="12">
        <v>4908</v>
      </c>
      <c r="CZ42" s="12">
        <v>7509</v>
      </c>
      <c r="DA42" s="12">
        <v>7276</v>
      </c>
      <c r="DB42" s="12">
        <v>5065</v>
      </c>
      <c r="DC42" s="12">
        <v>3497</v>
      </c>
      <c r="DD42" s="12">
        <v>3993</v>
      </c>
      <c r="DE42" s="12">
        <v>4539</v>
      </c>
      <c r="DF42" s="12">
        <v>5332</v>
      </c>
      <c r="DG42" s="12">
        <v>3838</v>
      </c>
      <c r="DH42" s="12">
        <v>3601</v>
      </c>
      <c r="DI42" s="14">
        <v>8185</v>
      </c>
      <c r="DJ42" s="14">
        <v>3867</v>
      </c>
      <c r="DK42" s="14">
        <v>3675</v>
      </c>
      <c r="DL42" s="14">
        <v>6571</v>
      </c>
      <c r="DM42" s="14">
        <v>8179</v>
      </c>
      <c r="DN42" s="14">
        <v>3937</v>
      </c>
      <c r="DO42" s="14">
        <v>2386</v>
      </c>
      <c r="DP42" s="14">
        <v>3130</v>
      </c>
      <c r="DQ42" s="14">
        <v>3116</v>
      </c>
      <c r="DR42" s="14">
        <v>3755</v>
      </c>
      <c r="DS42" s="14">
        <v>5917</v>
      </c>
      <c r="DT42" s="14">
        <v>5795</v>
      </c>
      <c r="DU42" s="14">
        <v>6869</v>
      </c>
      <c r="DV42" s="14">
        <v>4009</v>
      </c>
      <c r="DW42" s="14">
        <v>3452</v>
      </c>
      <c r="DX42" s="14">
        <v>7473</v>
      </c>
      <c r="DY42" s="14">
        <v>7292</v>
      </c>
      <c r="DZ42" s="14">
        <v>3770</v>
      </c>
      <c r="EA42" s="14">
        <v>3259</v>
      </c>
      <c r="EB42" s="14">
        <v>3651</v>
      </c>
      <c r="EC42" s="14">
        <v>3465</v>
      </c>
      <c r="ED42" s="14">
        <v>4489</v>
      </c>
      <c r="EE42" s="14">
        <v>5319</v>
      </c>
      <c r="EF42" s="14">
        <v>5795</v>
      </c>
      <c r="EG42" s="14">
        <v>6504</v>
      </c>
      <c r="EH42" s="14">
        <v>3415</v>
      </c>
      <c r="EI42" s="14">
        <v>3099</v>
      </c>
      <c r="EJ42" s="14">
        <v>6142</v>
      </c>
      <c r="EK42" s="14">
        <v>6795</v>
      </c>
      <c r="EL42" s="14">
        <v>4095</v>
      </c>
      <c r="EM42" s="14">
        <v>2050</v>
      </c>
      <c r="EN42" s="14">
        <v>2742</v>
      </c>
      <c r="EO42" s="14">
        <v>2220</v>
      </c>
      <c r="EP42" s="14">
        <v>3120</v>
      </c>
      <c r="EQ42" s="14">
        <v>3949</v>
      </c>
      <c r="ER42" s="14">
        <v>4876</v>
      </c>
      <c r="ES42" s="14">
        <v>6292</v>
      </c>
      <c r="ET42" s="14">
        <v>3081</v>
      </c>
      <c r="EU42" s="14">
        <v>2423</v>
      </c>
      <c r="EV42" s="14">
        <v>5517</v>
      </c>
      <c r="EW42" s="14">
        <v>7421</v>
      </c>
      <c r="EX42" s="14">
        <v>3652</v>
      </c>
      <c r="EY42" s="14">
        <v>2019</v>
      </c>
      <c r="EZ42" s="14">
        <v>2921</v>
      </c>
      <c r="FA42" s="14">
        <v>2679</v>
      </c>
      <c r="FB42" s="14">
        <v>3485</v>
      </c>
      <c r="FC42" s="14">
        <v>4216</v>
      </c>
      <c r="FD42" s="14">
        <v>4506</v>
      </c>
      <c r="FE42" s="14">
        <v>5596</v>
      </c>
      <c r="FF42" s="14">
        <v>2970</v>
      </c>
      <c r="FG42" s="14">
        <v>2843</v>
      </c>
      <c r="FH42" s="14">
        <v>7154</v>
      </c>
      <c r="FI42" s="14">
        <v>7426</v>
      </c>
      <c r="FJ42" s="14">
        <v>4104</v>
      </c>
      <c r="FK42" s="14">
        <v>2452</v>
      </c>
      <c r="FL42" s="14"/>
      <c r="FM42" s="14"/>
      <c r="FN42" s="14"/>
      <c r="FR42" s="12">
        <f t="shared" si="26"/>
        <v>23636</v>
      </c>
      <c r="FS42" s="12">
        <f t="shared" si="27"/>
        <v>21026</v>
      </c>
      <c r="FT42" s="12">
        <f t="shared" si="28"/>
        <v>23734</v>
      </c>
      <c r="FU42" s="12">
        <f t="shared" si="29"/>
        <v>13963</v>
      </c>
      <c r="FV42" s="12">
        <f t="shared" si="30"/>
        <v>17855</v>
      </c>
      <c r="FW42" s="12">
        <f t="shared" si="31"/>
        <v>17189</v>
      </c>
      <c r="FX42" s="12">
        <f t="shared" si="32"/>
        <v>18012</v>
      </c>
      <c r="FY42" s="12">
        <f t="shared" si="33"/>
        <v>13853</v>
      </c>
      <c r="FZ42" s="12">
        <f t="shared" si="34"/>
        <v>17341</v>
      </c>
      <c r="GA42" s="12">
        <f t="shared" si="35"/>
        <v>16893</v>
      </c>
      <c r="GB42" s="12">
        <f t="shared" si="36"/>
        <v>15777</v>
      </c>
      <c r="GC42" s="12">
        <f t="shared" si="37"/>
        <v>10126</v>
      </c>
      <c r="GD42" s="12">
        <f t="shared" si="38"/>
        <v>15697</v>
      </c>
      <c r="GE42" s="12">
        <f t="shared" si="39"/>
        <v>13249</v>
      </c>
      <c r="GF42" s="12">
        <f t="shared" si="40"/>
        <v>15042</v>
      </c>
      <c r="GG42" s="12">
        <f t="shared" si="41"/>
        <v>9908</v>
      </c>
      <c r="GH42" s="12">
        <f t="shared" si="42"/>
        <v>16707</v>
      </c>
      <c r="GI42" s="12">
        <f t="shared" si="43"/>
        <v>14058</v>
      </c>
      <c r="GJ42" s="12">
        <f t="shared" si="44"/>
        <v>13487</v>
      </c>
      <c r="GK42" s="12">
        <f t="shared" si="45"/>
        <v>9856</v>
      </c>
      <c r="GL42" s="12">
        <f t="shared" si="46"/>
        <v>19083</v>
      </c>
      <c r="GM42" s="12">
        <f t="shared" si="47"/>
        <v>23995</v>
      </c>
      <c r="GN42" s="12">
        <f t="shared" si="48"/>
        <v>17498</v>
      </c>
      <c r="GO42" s="12">
        <f t="shared" si="49"/>
        <v>11393</v>
      </c>
      <c r="GP42" s="12">
        <f t="shared" si="50"/>
        <v>18604</v>
      </c>
      <c r="GQ42" s="12">
        <f t="shared" si="51"/>
        <v>15689</v>
      </c>
      <c r="GR42" s="12">
        <f t="shared" si="52"/>
        <v>16493</v>
      </c>
      <c r="GS42" s="12">
        <f t="shared" si="53"/>
        <v>11065</v>
      </c>
      <c r="GT42" s="12">
        <f t="shared" si="54"/>
        <v>16515</v>
      </c>
      <c r="GU42" s="12">
        <f t="shared" si="55"/>
        <v>12946</v>
      </c>
      <c r="GV42" s="12">
        <f t="shared" si="56"/>
        <v>13616</v>
      </c>
      <c r="GW42" s="12">
        <f t="shared" si="57"/>
        <v>7842</v>
      </c>
      <c r="GX42" s="12">
        <f t="shared" si="58"/>
        <v>14560</v>
      </c>
      <c r="GY42" s="12">
        <f t="shared" si="59"/>
        <v>16612</v>
      </c>
      <c r="GZ42" s="12">
        <f t="shared" si="2"/>
        <v>15838</v>
      </c>
      <c r="HA42" s="12">
        <f t="shared" si="3"/>
        <v>13864</v>
      </c>
      <c r="HB42" s="12">
        <f t="shared" si="4"/>
        <v>7439</v>
      </c>
      <c r="HC42" s="12">
        <f t="shared" si="5"/>
        <v>14113</v>
      </c>
      <c r="HD42" s="12">
        <f t="shared" si="6"/>
        <v>14502</v>
      </c>
      <c r="HE42" s="12">
        <f t="shared" si="7"/>
        <v>10001</v>
      </c>
      <c r="HF42" s="12">
        <f t="shared" si="8"/>
        <v>18581</v>
      </c>
      <c r="HG42" s="12">
        <f t="shared" si="9"/>
        <v>14934</v>
      </c>
      <c r="HH42" s="12">
        <f t="shared" si="10"/>
        <v>14321</v>
      </c>
      <c r="HI42" s="12">
        <f t="shared" si="11"/>
        <v>11605</v>
      </c>
      <c r="HJ42" s="12">
        <f t="shared" si="12"/>
        <v>17618</v>
      </c>
      <c r="HK42" s="12">
        <f t="shared" si="13"/>
        <v>12656</v>
      </c>
      <c r="HL42" s="12">
        <f t="shared" si="14"/>
        <v>12940</v>
      </c>
      <c r="HM42" s="12">
        <f t="shared" si="15"/>
        <v>8082</v>
      </c>
      <c r="HN42" s="12">
        <f t="shared" si="60"/>
        <v>17618</v>
      </c>
      <c r="HO42" s="12">
        <f t="shared" si="61"/>
        <v>12656</v>
      </c>
      <c r="HP42" s="12">
        <f t="shared" si="62"/>
        <v>12940</v>
      </c>
      <c r="HQ42" s="12">
        <f t="shared" si="63"/>
        <v>8082</v>
      </c>
      <c r="HR42" s="12">
        <f t="shared" si="64"/>
        <v>15117</v>
      </c>
      <c r="HS42" s="12">
        <f t="shared" si="65"/>
        <v>11021</v>
      </c>
      <c r="HT42" s="12">
        <f t="shared" si="16"/>
        <v>13092</v>
      </c>
      <c r="HU42" s="12">
        <f t="shared" si="17"/>
        <v>9085</v>
      </c>
      <c r="HV42" s="12">
        <f t="shared" si="18"/>
        <v>14318</v>
      </c>
      <c r="HW42" s="12">
        <f t="shared" si="19"/>
        <v>12967</v>
      </c>
      <c r="HX42" s="12">
        <f t="shared" si="20"/>
        <v>13982</v>
      </c>
      <c r="IB42" s="12">
        <f t="shared" si="66"/>
        <v>82359</v>
      </c>
      <c r="IC42" s="12">
        <f t="shared" si="67"/>
        <v>66909</v>
      </c>
      <c r="ID42" s="12">
        <f t="shared" si="68"/>
        <v>60137</v>
      </c>
      <c r="IE42" s="12">
        <f t="shared" si="69"/>
        <v>53896</v>
      </c>
      <c r="IF42" s="12">
        <f t="shared" si="70"/>
        <v>54108</v>
      </c>
      <c r="IG42" s="12">
        <f t="shared" si="71"/>
        <v>71969</v>
      </c>
      <c r="IH42" s="12">
        <f t="shared" si="72"/>
        <v>61851</v>
      </c>
      <c r="II42" s="12">
        <f t="shared" si="73"/>
        <v>50919</v>
      </c>
      <c r="IJ42" s="12">
        <f t="shared" si="21"/>
        <v>60874</v>
      </c>
      <c r="IK42" s="12">
        <f t="shared" si="22"/>
        <v>54240</v>
      </c>
      <c r="IL42" s="12">
        <f t="shared" si="23"/>
        <v>59441</v>
      </c>
      <c r="IM42" s="12">
        <f t="shared" si="24"/>
        <v>51296</v>
      </c>
      <c r="IN42" s="12">
        <f t="shared" si="25"/>
        <v>48315</v>
      </c>
    </row>
    <row r="43" spans="1:248" outlineLevel="2" x14ac:dyDescent="0.3">
      <c r="B43" t="s">
        <v>76</v>
      </c>
      <c r="C43" s="11">
        <v>1177</v>
      </c>
      <c r="D43" s="11">
        <v>1236</v>
      </c>
      <c r="E43" s="11">
        <v>1521</v>
      </c>
      <c r="F43" s="11">
        <v>519</v>
      </c>
      <c r="G43" s="11">
        <v>634</v>
      </c>
      <c r="H43" s="11">
        <v>1300</v>
      </c>
      <c r="I43" s="11">
        <v>1567</v>
      </c>
      <c r="J43" s="11">
        <v>1105</v>
      </c>
      <c r="K43" s="11">
        <v>3598</v>
      </c>
      <c r="L43" s="11">
        <v>4591</v>
      </c>
      <c r="M43" s="11">
        <v>4549</v>
      </c>
      <c r="N43" s="11">
        <v>5406</v>
      </c>
      <c r="O43" s="11">
        <v>6026</v>
      </c>
      <c r="P43" s="11">
        <v>6360</v>
      </c>
      <c r="Q43" s="11">
        <v>7366</v>
      </c>
      <c r="R43" s="11">
        <v>4328</v>
      </c>
      <c r="S43" s="11">
        <v>3489</v>
      </c>
      <c r="T43" s="11">
        <v>7604</v>
      </c>
      <c r="U43" s="11">
        <v>8984</v>
      </c>
      <c r="V43" s="11">
        <v>6058</v>
      </c>
      <c r="W43" s="11">
        <v>4518</v>
      </c>
      <c r="X43" s="11">
        <v>5417</v>
      </c>
      <c r="Y43" s="11">
        <v>5275</v>
      </c>
      <c r="Z43" s="11">
        <v>5991</v>
      </c>
      <c r="AA43" s="12">
        <v>5249</v>
      </c>
      <c r="AB43" s="12">
        <v>6066</v>
      </c>
      <c r="AC43" s="12">
        <v>6609</v>
      </c>
      <c r="AD43" s="12">
        <v>3941</v>
      </c>
      <c r="AE43" s="12">
        <v>3262</v>
      </c>
      <c r="AF43" s="12">
        <v>8010</v>
      </c>
      <c r="AG43" s="12">
        <v>8970</v>
      </c>
      <c r="AH43" s="12">
        <v>3909</v>
      </c>
      <c r="AI43" s="12">
        <v>3004</v>
      </c>
      <c r="AJ43" s="12">
        <v>4036</v>
      </c>
      <c r="AK43" s="12">
        <v>3419</v>
      </c>
      <c r="AL43" s="13">
        <v>3711</v>
      </c>
      <c r="AM43" s="12">
        <v>4067</v>
      </c>
      <c r="AN43" s="12">
        <v>4838</v>
      </c>
      <c r="AO43" s="12">
        <v>5883</v>
      </c>
      <c r="AP43" s="12">
        <v>3100</v>
      </c>
      <c r="AQ43" s="12">
        <v>2465</v>
      </c>
      <c r="AR43" s="12">
        <v>4786</v>
      </c>
      <c r="AS43" s="12">
        <v>6875</v>
      </c>
      <c r="AT43" s="12">
        <v>4280</v>
      </c>
      <c r="AU43" s="12">
        <v>3170</v>
      </c>
      <c r="AV43" s="12">
        <v>3229</v>
      </c>
      <c r="AW43" s="12">
        <v>3161</v>
      </c>
      <c r="AX43" s="12">
        <v>3592</v>
      </c>
      <c r="AY43" s="12">
        <v>3930</v>
      </c>
      <c r="AZ43" s="12">
        <v>5513</v>
      </c>
      <c r="BA43" s="12">
        <v>7101</v>
      </c>
      <c r="BB43" s="12">
        <v>3574</v>
      </c>
      <c r="BC43" s="12">
        <v>2733</v>
      </c>
      <c r="BD43" s="12">
        <v>6675</v>
      </c>
      <c r="BE43" s="12">
        <v>8229</v>
      </c>
      <c r="BF43" s="12">
        <v>4082</v>
      </c>
      <c r="BG43" s="12">
        <v>3608</v>
      </c>
      <c r="BH43" s="12">
        <v>3979</v>
      </c>
      <c r="BI43" s="12">
        <v>3712</v>
      </c>
      <c r="BJ43" s="12">
        <v>2860</v>
      </c>
      <c r="BK43" s="12">
        <v>3480</v>
      </c>
      <c r="BL43" s="12">
        <v>3526</v>
      </c>
      <c r="BM43" s="12">
        <v>6047</v>
      </c>
      <c r="BN43" s="12">
        <v>2862</v>
      </c>
      <c r="BO43" s="12">
        <v>3497</v>
      </c>
      <c r="BP43" s="12">
        <v>6446</v>
      </c>
      <c r="BQ43" s="12">
        <v>5808</v>
      </c>
      <c r="BR43" s="12">
        <v>3869</v>
      </c>
      <c r="BS43" s="12">
        <v>3164</v>
      </c>
      <c r="BT43" s="12">
        <v>3894</v>
      </c>
      <c r="BU43" s="12">
        <v>3032</v>
      </c>
      <c r="BV43" s="12">
        <v>5617</v>
      </c>
      <c r="BW43" s="12">
        <v>6286</v>
      </c>
      <c r="BX43" s="12">
        <v>6327</v>
      </c>
      <c r="BY43" s="12">
        <v>7366</v>
      </c>
      <c r="BZ43" s="12">
        <v>4443</v>
      </c>
      <c r="CA43" s="12">
        <v>4131</v>
      </c>
      <c r="CB43" s="12">
        <v>7610</v>
      </c>
      <c r="CC43" s="12">
        <v>9418</v>
      </c>
      <c r="CD43" s="12">
        <v>5786</v>
      </c>
      <c r="CE43" s="12">
        <v>3699</v>
      </c>
      <c r="CF43" s="12">
        <v>4179</v>
      </c>
      <c r="CG43" s="12">
        <v>3936</v>
      </c>
      <c r="CH43" s="12">
        <v>4849</v>
      </c>
      <c r="CI43" s="12">
        <v>4361</v>
      </c>
      <c r="CJ43" s="12">
        <v>5117</v>
      </c>
      <c r="CK43" s="12">
        <v>6227</v>
      </c>
      <c r="CL43" s="12">
        <v>3934</v>
      </c>
      <c r="CM43" s="12">
        <v>3157</v>
      </c>
      <c r="CN43" s="12">
        <v>6727</v>
      </c>
      <c r="CO43" s="12">
        <v>8727</v>
      </c>
      <c r="CP43" s="12">
        <v>4710</v>
      </c>
      <c r="CQ43" s="12">
        <v>3399</v>
      </c>
      <c r="CR43" s="12">
        <v>4281</v>
      </c>
      <c r="CS43" s="12">
        <v>4285</v>
      </c>
      <c r="CT43" s="12">
        <v>2675</v>
      </c>
      <c r="CU43" s="12">
        <v>1830</v>
      </c>
      <c r="CV43" s="12">
        <v>6930</v>
      </c>
      <c r="CW43" s="12">
        <v>9900</v>
      </c>
      <c r="CX43" s="12">
        <v>6231</v>
      </c>
      <c r="CY43" s="12">
        <v>5920</v>
      </c>
      <c r="CZ43" s="12">
        <v>10714</v>
      </c>
      <c r="DA43" s="12">
        <v>9827</v>
      </c>
      <c r="DB43" s="12">
        <v>7977</v>
      </c>
      <c r="DC43" s="12">
        <v>6469</v>
      </c>
      <c r="DD43" s="12">
        <v>7072</v>
      </c>
      <c r="DE43" s="12">
        <v>7504</v>
      </c>
      <c r="DF43" s="12">
        <v>8522</v>
      </c>
      <c r="DG43" s="12">
        <v>6219</v>
      </c>
      <c r="DH43" s="12">
        <v>5062</v>
      </c>
      <c r="DI43" s="14">
        <v>11516</v>
      </c>
      <c r="DJ43" s="14">
        <v>5842</v>
      </c>
      <c r="DK43" s="14">
        <v>4868</v>
      </c>
      <c r="DL43" s="14">
        <v>9447</v>
      </c>
      <c r="DM43" s="14">
        <v>11708</v>
      </c>
      <c r="DN43" s="14">
        <v>5461</v>
      </c>
      <c r="DO43" s="14">
        <v>4831</v>
      </c>
      <c r="DP43" s="14">
        <v>5341</v>
      </c>
      <c r="DQ43" s="14">
        <v>4913</v>
      </c>
      <c r="DR43" s="14">
        <v>6220</v>
      </c>
      <c r="DS43" s="14">
        <v>9053</v>
      </c>
      <c r="DT43" s="14">
        <v>8704</v>
      </c>
      <c r="DU43" s="14">
        <v>9373</v>
      </c>
      <c r="DV43" s="14">
        <v>4836</v>
      </c>
      <c r="DW43" s="14">
        <v>4985</v>
      </c>
      <c r="DX43" s="14">
        <v>11608</v>
      </c>
      <c r="DY43" s="14">
        <v>11734</v>
      </c>
      <c r="DZ43" s="14">
        <v>6431</v>
      </c>
      <c r="EA43" s="14">
        <v>5823</v>
      </c>
      <c r="EB43" s="14">
        <v>6477</v>
      </c>
      <c r="EC43" s="14">
        <v>6563</v>
      </c>
      <c r="ED43" s="14">
        <v>7691</v>
      </c>
      <c r="EE43" s="14">
        <v>7941</v>
      </c>
      <c r="EF43" s="14">
        <v>9223</v>
      </c>
      <c r="EG43" s="14">
        <v>9985</v>
      </c>
      <c r="EH43" s="14">
        <v>5695</v>
      </c>
      <c r="EI43" s="14">
        <v>5599</v>
      </c>
      <c r="EJ43" s="14">
        <v>10835</v>
      </c>
      <c r="EK43" s="14">
        <v>13279</v>
      </c>
      <c r="EL43" s="14">
        <v>7169</v>
      </c>
      <c r="EM43" s="14">
        <v>4589</v>
      </c>
      <c r="EN43" s="14">
        <v>5858</v>
      </c>
      <c r="EO43" s="14">
        <v>5361</v>
      </c>
      <c r="EP43" s="14">
        <v>6781</v>
      </c>
      <c r="EQ43" s="14">
        <v>8097</v>
      </c>
      <c r="ER43" s="14">
        <v>8506</v>
      </c>
      <c r="ES43" s="14">
        <v>10074</v>
      </c>
      <c r="ET43" s="14">
        <v>6099</v>
      </c>
      <c r="EU43" s="14">
        <v>5102</v>
      </c>
      <c r="EV43" s="14">
        <v>11507</v>
      </c>
      <c r="EW43" s="14">
        <v>16149</v>
      </c>
      <c r="EX43" s="14">
        <v>7569</v>
      </c>
      <c r="EY43" s="14">
        <v>5661</v>
      </c>
      <c r="EZ43" s="14">
        <v>6965</v>
      </c>
      <c r="FA43" s="14">
        <v>6185</v>
      </c>
      <c r="FB43" s="14">
        <v>8426</v>
      </c>
      <c r="FC43" s="14">
        <v>9178</v>
      </c>
      <c r="FD43" s="14">
        <v>10373</v>
      </c>
      <c r="FE43" s="14">
        <v>12714</v>
      </c>
      <c r="FF43" s="14">
        <v>7413</v>
      </c>
      <c r="FG43" s="14">
        <v>7247</v>
      </c>
      <c r="FH43" s="14">
        <v>18897</v>
      </c>
      <c r="FI43" s="14">
        <v>19865</v>
      </c>
      <c r="FJ43" s="14">
        <v>9393</v>
      </c>
      <c r="FK43" s="14">
        <v>7657</v>
      </c>
      <c r="FL43" s="14"/>
      <c r="FM43" s="14"/>
      <c r="FN43" s="14"/>
      <c r="FR43" s="12">
        <f t="shared" si="26"/>
        <v>3934</v>
      </c>
      <c r="FS43" s="12">
        <f t="shared" si="27"/>
        <v>2453</v>
      </c>
      <c r="FT43" s="12">
        <f t="shared" si="28"/>
        <v>6270</v>
      </c>
      <c r="FU43" s="12">
        <f t="shared" si="29"/>
        <v>14546</v>
      </c>
      <c r="FV43" s="12">
        <f t="shared" si="30"/>
        <v>19752</v>
      </c>
      <c r="FW43" s="12">
        <f t="shared" si="31"/>
        <v>15421</v>
      </c>
      <c r="FX43" s="12">
        <f t="shared" si="32"/>
        <v>19560</v>
      </c>
      <c r="FY43" s="12">
        <f t="shared" si="33"/>
        <v>16683</v>
      </c>
      <c r="FZ43" s="12">
        <f t="shared" si="34"/>
        <v>17924</v>
      </c>
      <c r="GA43" s="12">
        <f t="shared" si="35"/>
        <v>15213</v>
      </c>
      <c r="GB43" s="12">
        <f t="shared" si="36"/>
        <v>15883</v>
      </c>
      <c r="GC43" s="12">
        <f t="shared" si="37"/>
        <v>11166</v>
      </c>
      <c r="GD43" s="12">
        <f t="shared" si="38"/>
        <v>14788</v>
      </c>
      <c r="GE43" s="12">
        <f t="shared" si="39"/>
        <v>10351</v>
      </c>
      <c r="GF43" s="12">
        <f t="shared" si="40"/>
        <v>14325</v>
      </c>
      <c r="GG43" s="12">
        <f t="shared" si="41"/>
        <v>9982</v>
      </c>
      <c r="GH43" s="12">
        <f t="shared" si="42"/>
        <v>16544</v>
      </c>
      <c r="GI43" s="12">
        <f t="shared" si="43"/>
        <v>12982</v>
      </c>
      <c r="GJ43" s="12">
        <f t="shared" si="44"/>
        <v>15919</v>
      </c>
      <c r="GK43" s="12">
        <f t="shared" si="45"/>
        <v>10551</v>
      </c>
      <c r="GL43" s="12">
        <f t="shared" si="46"/>
        <v>13053</v>
      </c>
      <c r="GM43" s="12">
        <f t="shared" si="47"/>
        <v>12805</v>
      </c>
      <c r="GN43" s="12">
        <f t="shared" si="48"/>
        <v>12841</v>
      </c>
      <c r="GO43" s="12">
        <f t="shared" si="49"/>
        <v>12543</v>
      </c>
      <c r="GP43" s="12">
        <f t="shared" si="50"/>
        <v>19979</v>
      </c>
      <c r="GQ43" s="12">
        <f t="shared" si="51"/>
        <v>16184</v>
      </c>
      <c r="GR43" s="12">
        <f t="shared" si="52"/>
        <v>18903</v>
      </c>
      <c r="GS43" s="12">
        <f t="shared" si="53"/>
        <v>12964</v>
      </c>
      <c r="GT43" s="12">
        <f t="shared" si="54"/>
        <v>15705</v>
      </c>
      <c r="GU43" s="12">
        <f t="shared" si="55"/>
        <v>13818</v>
      </c>
      <c r="GV43" s="12">
        <f t="shared" si="56"/>
        <v>16836</v>
      </c>
      <c r="GW43" s="12">
        <f t="shared" si="57"/>
        <v>11241</v>
      </c>
      <c r="GX43" s="12">
        <f t="shared" si="58"/>
        <v>18660</v>
      </c>
      <c r="GY43" s="12">
        <f t="shared" si="59"/>
        <v>22865</v>
      </c>
      <c r="GZ43" s="12">
        <f t="shared" si="2"/>
        <v>24273</v>
      </c>
      <c r="HA43" s="12">
        <f t="shared" si="3"/>
        <v>23098</v>
      </c>
      <c r="HB43" s="12">
        <f t="shared" si="4"/>
        <v>11281</v>
      </c>
      <c r="HC43" s="12">
        <f t="shared" si="5"/>
        <v>20157</v>
      </c>
      <c r="HD43" s="12">
        <f t="shared" si="6"/>
        <v>22000</v>
      </c>
      <c r="HE43" s="12">
        <f t="shared" si="7"/>
        <v>16474</v>
      </c>
      <c r="HF43" s="12">
        <f t="shared" si="8"/>
        <v>27130</v>
      </c>
      <c r="HG43" s="12">
        <f t="shared" si="9"/>
        <v>21429</v>
      </c>
      <c r="HH43" s="12">
        <f t="shared" si="10"/>
        <v>23988</v>
      </c>
      <c r="HI43" s="12">
        <f t="shared" si="11"/>
        <v>20731</v>
      </c>
      <c r="HJ43" s="12">
        <f t="shared" si="12"/>
        <v>27149</v>
      </c>
      <c r="HK43" s="12">
        <f t="shared" si="13"/>
        <v>22129</v>
      </c>
      <c r="HL43" s="12">
        <f t="shared" si="14"/>
        <v>25037</v>
      </c>
      <c r="HM43" s="12">
        <f t="shared" si="15"/>
        <v>18000</v>
      </c>
      <c r="HN43" s="12">
        <f t="shared" si="60"/>
        <v>27149</v>
      </c>
      <c r="HO43" s="12">
        <f t="shared" si="61"/>
        <v>22129</v>
      </c>
      <c r="HP43" s="12">
        <f t="shared" si="62"/>
        <v>25037</v>
      </c>
      <c r="HQ43" s="12">
        <f t="shared" si="63"/>
        <v>18000</v>
      </c>
      <c r="HR43" s="12">
        <f t="shared" si="64"/>
        <v>26677</v>
      </c>
      <c r="HS43" s="12">
        <f t="shared" si="65"/>
        <v>22708</v>
      </c>
      <c r="HT43" s="12">
        <f t="shared" si="16"/>
        <v>29379</v>
      </c>
      <c r="HU43" s="12">
        <f t="shared" si="17"/>
        <v>21576</v>
      </c>
      <c r="HV43" s="12">
        <f t="shared" si="18"/>
        <v>32265</v>
      </c>
      <c r="HW43" s="12">
        <f t="shared" si="19"/>
        <v>33557</v>
      </c>
      <c r="HX43" s="12">
        <f t="shared" si="20"/>
        <v>36915</v>
      </c>
      <c r="IB43" s="12">
        <f t="shared" si="66"/>
        <v>27203</v>
      </c>
      <c r="IC43" s="12">
        <f t="shared" si="67"/>
        <v>71416</v>
      </c>
      <c r="ID43" s="12">
        <f t="shared" si="68"/>
        <v>60186</v>
      </c>
      <c r="IE43" s="12">
        <f t="shared" si="69"/>
        <v>49446</v>
      </c>
      <c r="IF43" s="12">
        <f t="shared" si="70"/>
        <v>55996</v>
      </c>
      <c r="IG43" s="12">
        <f t="shared" si="71"/>
        <v>51242</v>
      </c>
      <c r="IH43" s="12">
        <f t="shared" si="72"/>
        <v>68030</v>
      </c>
      <c r="II43" s="12">
        <f t="shared" si="73"/>
        <v>57600</v>
      </c>
      <c r="IJ43" s="12">
        <f t="shared" si="21"/>
        <v>88896</v>
      </c>
      <c r="IK43" s="12">
        <f t="shared" si="22"/>
        <v>81428</v>
      </c>
      <c r="IL43" s="12">
        <f t="shared" si="23"/>
        <v>93278</v>
      </c>
      <c r="IM43" s="12">
        <f t="shared" si="24"/>
        <v>92315</v>
      </c>
      <c r="IN43" s="12">
        <f t="shared" si="25"/>
        <v>100340</v>
      </c>
    </row>
    <row r="44" spans="1:248" outlineLevel="2" x14ac:dyDescent="0.3">
      <c r="B44" t="s">
        <v>77</v>
      </c>
      <c r="C44" s="11">
        <v>30</v>
      </c>
      <c r="D44" s="11">
        <v>63</v>
      </c>
      <c r="E44" s="11">
        <v>49</v>
      </c>
      <c r="F44" s="11">
        <v>0</v>
      </c>
      <c r="G44" s="11">
        <v>12</v>
      </c>
      <c r="H44" s="11">
        <v>39</v>
      </c>
      <c r="I44" s="11">
        <v>16</v>
      </c>
      <c r="J44" s="11">
        <v>14</v>
      </c>
      <c r="K44" s="11">
        <v>65</v>
      </c>
      <c r="L44" s="11">
        <v>17</v>
      </c>
      <c r="M44" s="11">
        <v>0</v>
      </c>
      <c r="N44" s="11">
        <v>51</v>
      </c>
      <c r="O44" s="11">
        <v>28</v>
      </c>
      <c r="P44" s="11">
        <v>12</v>
      </c>
      <c r="Q44" s="11">
        <v>29</v>
      </c>
      <c r="R44" s="11">
        <v>29</v>
      </c>
      <c r="S44" s="11">
        <v>48</v>
      </c>
      <c r="T44" s="11">
        <v>74</v>
      </c>
      <c r="U44" s="11">
        <v>67</v>
      </c>
      <c r="V44" s="11">
        <v>26</v>
      </c>
      <c r="W44" s="11">
        <v>34</v>
      </c>
      <c r="X44" s="11">
        <v>45</v>
      </c>
      <c r="Y44" s="11">
        <v>53</v>
      </c>
      <c r="Z44" s="11">
        <v>75</v>
      </c>
      <c r="AA44" s="12">
        <v>38</v>
      </c>
      <c r="AB44" s="12">
        <v>75</v>
      </c>
      <c r="AC44" s="12">
        <v>67</v>
      </c>
      <c r="AD44" s="12">
        <v>33</v>
      </c>
      <c r="AE44" s="12">
        <v>28</v>
      </c>
      <c r="AF44" s="12">
        <v>105</v>
      </c>
      <c r="AG44" s="12">
        <v>122</v>
      </c>
      <c r="AH44" s="12">
        <v>42</v>
      </c>
      <c r="AI44" s="12">
        <v>87</v>
      </c>
      <c r="AJ44" s="12">
        <v>54</v>
      </c>
      <c r="AK44" s="12">
        <v>89</v>
      </c>
      <c r="AL44" s="13">
        <v>162</v>
      </c>
      <c r="AM44" s="12">
        <v>70</v>
      </c>
      <c r="AN44" s="12">
        <v>108</v>
      </c>
      <c r="AO44" s="12">
        <v>71</v>
      </c>
      <c r="AP44" s="12">
        <v>45</v>
      </c>
      <c r="AQ44" s="12">
        <v>39</v>
      </c>
      <c r="AR44" s="12">
        <v>88</v>
      </c>
      <c r="AS44" s="12">
        <v>147</v>
      </c>
      <c r="AT44" s="12">
        <v>118</v>
      </c>
      <c r="AU44" s="12">
        <v>99</v>
      </c>
      <c r="AV44" s="12">
        <v>173</v>
      </c>
      <c r="AW44" s="12">
        <v>73</v>
      </c>
      <c r="AX44" s="12">
        <v>157</v>
      </c>
      <c r="AY44" s="12">
        <v>146</v>
      </c>
      <c r="AZ44" s="12">
        <v>72</v>
      </c>
      <c r="BA44" s="12">
        <v>150</v>
      </c>
      <c r="BB44" s="12">
        <v>27</v>
      </c>
      <c r="BC44" s="12">
        <v>49</v>
      </c>
      <c r="BD44" s="12">
        <v>170</v>
      </c>
      <c r="BE44" s="12">
        <v>138</v>
      </c>
      <c r="BF44" s="12">
        <v>57</v>
      </c>
      <c r="BG44" s="12">
        <v>60</v>
      </c>
      <c r="BH44" s="12">
        <v>95</v>
      </c>
      <c r="BI44" s="12">
        <v>95</v>
      </c>
      <c r="BJ44" s="12">
        <v>87</v>
      </c>
      <c r="BK44" s="12">
        <v>137</v>
      </c>
      <c r="BL44" s="12">
        <v>138</v>
      </c>
      <c r="BM44" s="12">
        <v>111</v>
      </c>
      <c r="BN44" s="12">
        <v>55</v>
      </c>
      <c r="BO44" s="12">
        <v>96</v>
      </c>
      <c r="BP44" s="12">
        <v>209</v>
      </c>
      <c r="BQ44" s="12">
        <v>194</v>
      </c>
      <c r="BR44" s="12">
        <v>127</v>
      </c>
      <c r="BS44" s="12">
        <v>92</v>
      </c>
      <c r="BT44" s="12">
        <v>145</v>
      </c>
      <c r="BU44" s="12">
        <v>141</v>
      </c>
      <c r="BV44" s="12">
        <v>274</v>
      </c>
      <c r="BW44" s="12">
        <v>233</v>
      </c>
      <c r="BX44" s="12">
        <v>171</v>
      </c>
      <c r="BY44" s="12">
        <v>141</v>
      </c>
      <c r="BZ44" s="12">
        <v>91</v>
      </c>
      <c r="CA44" s="12">
        <v>135</v>
      </c>
      <c r="CB44" s="12">
        <v>217</v>
      </c>
      <c r="CC44" s="12">
        <v>304</v>
      </c>
      <c r="CD44" s="12">
        <v>145</v>
      </c>
      <c r="CE44" s="12">
        <v>86</v>
      </c>
      <c r="CF44" s="12">
        <v>139</v>
      </c>
      <c r="CG44" s="12">
        <v>114</v>
      </c>
      <c r="CH44" s="12">
        <v>173</v>
      </c>
      <c r="CI44" s="12">
        <v>136</v>
      </c>
      <c r="CJ44" s="12">
        <v>110</v>
      </c>
      <c r="CK44" s="12">
        <v>159</v>
      </c>
      <c r="CL44" s="12">
        <v>61</v>
      </c>
      <c r="CM44" s="12">
        <v>68</v>
      </c>
      <c r="CN44" s="12">
        <v>185</v>
      </c>
      <c r="CO44" s="12">
        <v>239</v>
      </c>
      <c r="CP44" s="12">
        <v>127</v>
      </c>
      <c r="CQ44" s="12">
        <v>90</v>
      </c>
      <c r="CR44" s="12">
        <v>133</v>
      </c>
      <c r="CS44" s="12">
        <v>193</v>
      </c>
      <c r="CT44" s="12">
        <v>119</v>
      </c>
      <c r="CU44" s="12">
        <v>46</v>
      </c>
      <c r="CV44" s="12">
        <v>205</v>
      </c>
      <c r="CW44" s="12">
        <v>237</v>
      </c>
      <c r="CX44" s="12">
        <v>162</v>
      </c>
      <c r="CY44" s="12">
        <v>183</v>
      </c>
      <c r="CZ44" s="12">
        <v>352</v>
      </c>
      <c r="DA44" s="12">
        <v>439</v>
      </c>
      <c r="DB44" s="12">
        <v>185</v>
      </c>
      <c r="DC44" s="12">
        <v>255</v>
      </c>
      <c r="DD44" s="12">
        <v>284</v>
      </c>
      <c r="DE44" s="12">
        <v>374</v>
      </c>
      <c r="DF44" s="12">
        <v>338</v>
      </c>
      <c r="DG44" s="12">
        <v>227</v>
      </c>
      <c r="DH44" s="12">
        <v>115</v>
      </c>
      <c r="DI44" s="14">
        <v>202</v>
      </c>
      <c r="DJ44" s="14">
        <v>154</v>
      </c>
      <c r="DK44" s="14">
        <v>150</v>
      </c>
      <c r="DL44" s="14">
        <v>293</v>
      </c>
      <c r="DM44" s="14">
        <v>429</v>
      </c>
      <c r="DN44" s="14">
        <v>171</v>
      </c>
      <c r="DO44" s="14">
        <v>112</v>
      </c>
      <c r="DP44" s="14">
        <v>162</v>
      </c>
      <c r="DQ44" s="14">
        <v>159</v>
      </c>
      <c r="DR44" s="14">
        <v>227</v>
      </c>
      <c r="DS44" s="14">
        <v>280</v>
      </c>
      <c r="DT44" s="14">
        <v>151</v>
      </c>
      <c r="DU44" s="14">
        <v>212</v>
      </c>
      <c r="DV44" s="14">
        <v>82</v>
      </c>
      <c r="DW44" s="14">
        <v>111</v>
      </c>
      <c r="DX44" s="14">
        <v>253</v>
      </c>
      <c r="DY44" s="14">
        <v>255</v>
      </c>
      <c r="DZ44" s="14">
        <v>114</v>
      </c>
      <c r="EA44" s="14">
        <v>93</v>
      </c>
      <c r="EB44" s="14">
        <v>103</v>
      </c>
      <c r="EC44" s="14">
        <v>115</v>
      </c>
      <c r="ED44" s="14">
        <v>95</v>
      </c>
      <c r="EE44" s="14">
        <v>56</v>
      </c>
      <c r="EF44" s="14">
        <v>21</v>
      </c>
      <c r="EG44" s="14">
        <v>52</v>
      </c>
      <c r="EH44" s="14">
        <v>43</v>
      </c>
      <c r="EI44" s="14">
        <v>37</v>
      </c>
      <c r="EJ44" s="14">
        <v>46</v>
      </c>
      <c r="EK44" s="14">
        <v>39</v>
      </c>
      <c r="EL44" s="14">
        <v>18</v>
      </c>
      <c r="EM44" s="14">
        <v>14</v>
      </c>
      <c r="EN44" s="14">
        <v>37</v>
      </c>
      <c r="EO44" s="14">
        <v>78</v>
      </c>
      <c r="EP44" s="14">
        <v>93</v>
      </c>
      <c r="EQ44" s="14">
        <v>26</v>
      </c>
      <c r="ER44" s="14">
        <v>20</v>
      </c>
      <c r="ES44" s="14">
        <v>24</v>
      </c>
      <c r="ET44" s="14">
        <v>27</v>
      </c>
      <c r="EU44" s="14">
        <v>26</v>
      </c>
      <c r="EV44" s="14">
        <v>36</v>
      </c>
      <c r="EW44" s="14">
        <v>51</v>
      </c>
      <c r="EX44" s="14">
        <v>31</v>
      </c>
      <c r="EY44" s="14">
        <v>20</v>
      </c>
      <c r="EZ44" s="14">
        <v>22</v>
      </c>
      <c r="FA44" s="14">
        <v>38</v>
      </c>
      <c r="FB44" s="14">
        <v>45</v>
      </c>
      <c r="FC44" s="14">
        <v>26</v>
      </c>
      <c r="FD44" s="14">
        <v>40</v>
      </c>
      <c r="FE44" s="14">
        <v>40</v>
      </c>
      <c r="FF44" s="14">
        <v>23</v>
      </c>
      <c r="FG44" s="14">
        <v>16</v>
      </c>
      <c r="FH44" s="14">
        <v>51</v>
      </c>
      <c r="FI44" s="14">
        <v>63</v>
      </c>
      <c r="FJ44" s="14">
        <v>53</v>
      </c>
      <c r="FK44" s="14">
        <v>36</v>
      </c>
      <c r="FL44" s="14"/>
      <c r="FM44" s="14"/>
      <c r="FN44" s="14"/>
      <c r="FR44" s="12">
        <f t="shared" si="26"/>
        <v>142</v>
      </c>
      <c r="FS44" s="12">
        <f t="shared" si="27"/>
        <v>51</v>
      </c>
      <c r="FT44" s="12">
        <f t="shared" si="28"/>
        <v>95</v>
      </c>
      <c r="FU44" s="12">
        <f t="shared" si="29"/>
        <v>68</v>
      </c>
      <c r="FV44" s="12">
        <f t="shared" si="30"/>
        <v>69</v>
      </c>
      <c r="FW44" s="12">
        <f t="shared" si="31"/>
        <v>151</v>
      </c>
      <c r="FX44" s="12">
        <f t="shared" si="32"/>
        <v>127</v>
      </c>
      <c r="FY44" s="12">
        <f t="shared" si="33"/>
        <v>173</v>
      </c>
      <c r="FZ44" s="12">
        <f t="shared" si="34"/>
        <v>180</v>
      </c>
      <c r="GA44" s="12">
        <f t="shared" si="35"/>
        <v>166</v>
      </c>
      <c r="GB44" s="12">
        <f t="shared" si="36"/>
        <v>251</v>
      </c>
      <c r="GC44" s="12">
        <f t="shared" si="37"/>
        <v>305</v>
      </c>
      <c r="GD44" s="12">
        <f t="shared" si="38"/>
        <v>249</v>
      </c>
      <c r="GE44" s="12">
        <f t="shared" si="39"/>
        <v>172</v>
      </c>
      <c r="GF44" s="12">
        <f t="shared" si="40"/>
        <v>364</v>
      </c>
      <c r="GG44" s="12">
        <f t="shared" si="41"/>
        <v>403</v>
      </c>
      <c r="GH44" s="12">
        <f t="shared" si="42"/>
        <v>368</v>
      </c>
      <c r="GI44" s="12">
        <f t="shared" si="43"/>
        <v>246</v>
      </c>
      <c r="GJ44" s="12">
        <f t="shared" si="44"/>
        <v>255</v>
      </c>
      <c r="GK44" s="12">
        <f t="shared" si="45"/>
        <v>277</v>
      </c>
      <c r="GL44" s="12">
        <f t="shared" si="46"/>
        <v>386</v>
      </c>
      <c r="GM44" s="12">
        <f t="shared" si="47"/>
        <v>360</v>
      </c>
      <c r="GN44" s="12">
        <f t="shared" si="48"/>
        <v>413</v>
      </c>
      <c r="GO44" s="12">
        <f t="shared" si="49"/>
        <v>560</v>
      </c>
      <c r="GP44" s="12">
        <f t="shared" si="50"/>
        <v>545</v>
      </c>
      <c r="GQ44" s="12">
        <f t="shared" si="51"/>
        <v>443</v>
      </c>
      <c r="GR44" s="12">
        <f t="shared" si="52"/>
        <v>535</v>
      </c>
      <c r="GS44" s="12">
        <f t="shared" si="53"/>
        <v>426</v>
      </c>
      <c r="GT44" s="12">
        <f t="shared" si="54"/>
        <v>405</v>
      </c>
      <c r="GU44" s="12">
        <f t="shared" si="55"/>
        <v>314</v>
      </c>
      <c r="GV44" s="12">
        <f t="shared" si="56"/>
        <v>456</v>
      </c>
      <c r="GW44" s="12">
        <f t="shared" si="57"/>
        <v>445</v>
      </c>
      <c r="GX44" s="12">
        <f t="shared" si="58"/>
        <v>488</v>
      </c>
      <c r="GY44" s="12">
        <f t="shared" si="59"/>
        <v>697</v>
      </c>
      <c r="GZ44" s="12">
        <f t="shared" si="2"/>
        <v>879</v>
      </c>
      <c r="HA44" s="12">
        <f t="shared" si="3"/>
        <v>996</v>
      </c>
      <c r="HB44" s="12">
        <f t="shared" si="4"/>
        <v>342</v>
      </c>
      <c r="HC44" s="12">
        <f t="shared" si="5"/>
        <v>597</v>
      </c>
      <c r="HD44" s="12">
        <f t="shared" si="6"/>
        <v>712</v>
      </c>
      <c r="HE44" s="12">
        <f t="shared" si="7"/>
        <v>548</v>
      </c>
      <c r="HF44" s="12">
        <f t="shared" si="8"/>
        <v>643</v>
      </c>
      <c r="HG44" s="12">
        <f t="shared" si="9"/>
        <v>446</v>
      </c>
      <c r="HH44" s="12">
        <f t="shared" si="10"/>
        <v>462</v>
      </c>
      <c r="HI44" s="12">
        <f t="shared" si="11"/>
        <v>313</v>
      </c>
      <c r="HJ44" s="12">
        <f t="shared" si="12"/>
        <v>129</v>
      </c>
      <c r="HK44" s="12">
        <f t="shared" si="13"/>
        <v>126</v>
      </c>
      <c r="HL44" s="12">
        <f t="shared" si="14"/>
        <v>71</v>
      </c>
      <c r="HM44" s="12">
        <f t="shared" si="15"/>
        <v>208</v>
      </c>
      <c r="HN44" s="12">
        <f t="shared" si="60"/>
        <v>129</v>
      </c>
      <c r="HO44" s="12">
        <f t="shared" si="61"/>
        <v>126</v>
      </c>
      <c r="HP44" s="12">
        <f t="shared" si="62"/>
        <v>71</v>
      </c>
      <c r="HQ44" s="12">
        <f t="shared" si="63"/>
        <v>208</v>
      </c>
      <c r="HR44" s="12">
        <f t="shared" si="64"/>
        <v>70</v>
      </c>
      <c r="HS44" s="12">
        <f t="shared" si="65"/>
        <v>89</v>
      </c>
      <c r="HT44" s="12">
        <f t="shared" si="16"/>
        <v>102</v>
      </c>
      <c r="HU44" s="12">
        <f t="shared" si="17"/>
        <v>105</v>
      </c>
      <c r="HV44" s="12">
        <f t="shared" si="18"/>
        <v>106</v>
      </c>
      <c r="HW44" s="12">
        <f t="shared" si="19"/>
        <v>90</v>
      </c>
      <c r="HX44" s="12">
        <f t="shared" si="20"/>
        <v>152</v>
      </c>
      <c r="IB44" s="12">
        <f t="shared" si="66"/>
        <v>356</v>
      </c>
      <c r="IC44" s="12">
        <f t="shared" si="67"/>
        <v>520</v>
      </c>
      <c r="ID44" s="12">
        <f t="shared" si="68"/>
        <v>902</v>
      </c>
      <c r="IE44" s="12">
        <f t="shared" si="69"/>
        <v>1188</v>
      </c>
      <c r="IF44" s="12">
        <f t="shared" si="70"/>
        <v>1146</v>
      </c>
      <c r="IG44" s="12">
        <f t="shared" si="71"/>
        <v>1719</v>
      </c>
      <c r="IH44" s="12">
        <f t="shared" si="72"/>
        <v>1949</v>
      </c>
      <c r="II44" s="12">
        <f t="shared" si="73"/>
        <v>1620</v>
      </c>
      <c r="IJ44" s="12">
        <f t="shared" si="21"/>
        <v>3060</v>
      </c>
      <c r="IK44" s="12">
        <f t="shared" si="22"/>
        <v>2401</v>
      </c>
      <c r="IL44" s="12">
        <f t="shared" si="23"/>
        <v>1864</v>
      </c>
      <c r="IM44" s="12">
        <f t="shared" si="24"/>
        <v>534</v>
      </c>
      <c r="IN44" s="12">
        <f t="shared" si="25"/>
        <v>366</v>
      </c>
    </row>
    <row r="45" spans="1:248" outlineLevel="2" x14ac:dyDescent="0.3">
      <c r="B45" t="s">
        <v>78</v>
      </c>
      <c r="C45" s="11">
        <v>1596</v>
      </c>
      <c r="D45" s="11">
        <v>1831</v>
      </c>
      <c r="E45" s="11">
        <v>1942</v>
      </c>
      <c r="F45" s="11">
        <v>1696</v>
      </c>
      <c r="G45" s="11">
        <v>1460</v>
      </c>
      <c r="H45" s="11">
        <v>2194</v>
      </c>
      <c r="I45" s="11">
        <v>2843</v>
      </c>
      <c r="J45" s="11">
        <v>2270</v>
      </c>
      <c r="K45" s="11">
        <v>1333</v>
      </c>
      <c r="L45" s="11">
        <v>1434</v>
      </c>
      <c r="M45" s="11">
        <v>1338</v>
      </c>
      <c r="N45" s="11">
        <v>1832</v>
      </c>
      <c r="O45" s="11">
        <v>1746</v>
      </c>
      <c r="P45" s="11">
        <v>1713</v>
      </c>
      <c r="Q45" s="11">
        <v>1712</v>
      </c>
      <c r="R45" s="11">
        <v>1122</v>
      </c>
      <c r="S45" s="11">
        <v>831</v>
      </c>
      <c r="T45" s="11">
        <v>1466</v>
      </c>
      <c r="U45" s="11">
        <v>2140</v>
      </c>
      <c r="V45" s="11">
        <v>1412</v>
      </c>
      <c r="W45" s="11">
        <v>1552</v>
      </c>
      <c r="X45" s="11">
        <v>1474</v>
      </c>
      <c r="Y45" s="11">
        <v>1363</v>
      </c>
      <c r="Z45" s="11">
        <v>1676</v>
      </c>
      <c r="AA45" s="12">
        <v>1175</v>
      </c>
      <c r="AB45" s="12">
        <v>1052</v>
      </c>
      <c r="AC45" s="12">
        <v>1195</v>
      </c>
      <c r="AD45" s="12">
        <v>953</v>
      </c>
      <c r="AE45" s="12">
        <v>922</v>
      </c>
      <c r="AF45" s="12">
        <v>1618</v>
      </c>
      <c r="AG45" s="12">
        <v>1759</v>
      </c>
      <c r="AH45" s="12">
        <v>1275</v>
      </c>
      <c r="AI45" s="12">
        <v>818</v>
      </c>
      <c r="AJ45" s="12">
        <v>901</v>
      </c>
      <c r="AK45" s="12">
        <v>788</v>
      </c>
      <c r="AL45" s="13">
        <v>890</v>
      </c>
      <c r="AM45" s="12">
        <v>696</v>
      </c>
      <c r="AN45" s="12">
        <v>794</v>
      </c>
      <c r="AO45" s="12">
        <v>970</v>
      </c>
      <c r="AP45" s="12">
        <v>554</v>
      </c>
      <c r="AQ45" s="12">
        <v>475</v>
      </c>
      <c r="AR45" s="12">
        <v>843</v>
      </c>
      <c r="AS45" s="12">
        <v>1136</v>
      </c>
      <c r="AT45" s="12">
        <v>958</v>
      </c>
      <c r="AU45" s="12">
        <v>509</v>
      </c>
      <c r="AV45" s="12">
        <v>837</v>
      </c>
      <c r="AW45" s="12">
        <v>901</v>
      </c>
      <c r="AX45" s="12">
        <v>981</v>
      </c>
      <c r="AY45" s="12">
        <v>895</v>
      </c>
      <c r="AZ45" s="12">
        <v>892</v>
      </c>
      <c r="BA45" s="12">
        <v>889</v>
      </c>
      <c r="BB45" s="12">
        <v>444</v>
      </c>
      <c r="BC45" s="12">
        <v>434</v>
      </c>
      <c r="BD45" s="12">
        <v>775</v>
      </c>
      <c r="BE45" s="12">
        <v>818</v>
      </c>
      <c r="BF45" s="12">
        <v>642</v>
      </c>
      <c r="BG45" s="12">
        <v>483</v>
      </c>
      <c r="BH45" s="12">
        <v>543</v>
      </c>
      <c r="BI45" s="12">
        <v>565</v>
      </c>
      <c r="BJ45" s="12">
        <v>848</v>
      </c>
      <c r="BK45" s="12">
        <v>734</v>
      </c>
      <c r="BL45" s="12">
        <v>659</v>
      </c>
      <c r="BM45" s="12">
        <v>543</v>
      </c>
      <c r="BN45" s="12">
        <v>657</v>
      </c>
      <c r="BO45" s="12">
        <v>854</v>
      </c>
      <c r="BP45" s="12">
        <v>1572</v>
      </c>
      <c r="BQ45" s="12">
        <v>1237</v>
      </c>
      <c r="BR45" s="12">
        <v>879</v>
      </c>
      <c r="BS45" s="12">
        <v>892</v>
      </c>
      <c r="BT45" s="12">
        <v>953</v>
      </c>
      <c r="BU45" s="12">
        <v>907</v>
      </c>
      <c r="BV45" s="12">
        <v>1451</v>
      </c>
      <c r="BW45" s="12">
        <v>1225</v>
      </c>
      <c r="BX45" s="12">
        <v>959</v>
      </c>
      <c r="BY45" s="12">
        <v>1039</v>
      </c>
      <c r="BZ45" s="12">
        <v>903</v>
      </c>
      <c r="CA45" s="12">
        <v>969</v>
      </c>
      <c r="CB45" s="12">
        <v>1226</v>
      </c>
      <c r="CC45" s="12">
        <v>1302</v>
      </c>
      <c r="CD45" s="12">
        <v>946</v>
      </c>
      <c r="CE45" s="12">
        <v>803</v>
      </c>
      <c r="CF45" s="12">
        <v>1081</v>
      </c>
      <c r="CG45" s="12">
        <v>1080</v>
      </c>
      <c r="CH45" s="12">
        <v>1330</v>
      </c>
      <c r="CI45" s="12">
        <v>702</v>
      </c>
      <c r="CJ45" s="12">
        <v>768</v>
      </c>
      <c r="CK45" s="12">
        <v>888</v>
      </c>
      <c r="CL45" s="12">
        <v>766</v>
      </c>
      <c r="CM45" s="12">
        <v>612</v>
      </c>
      <c r="CN45" s="12">
        <v>1011</v>
      </c>
      <c r="CO45" s="12">
        <v>1428</v>
      </c>
      <c r="CP45" s="12">
        <v>625</v>
      </c>
      <c r="CQ45" s="12">
        <v>772</v>
      </c>
      <c r="CR45" s="12">
        <v>834</v>
      </c>
      <c r="CS45" s="12">
        <v>937</v>
      </c>
      <c r="CT45" s="12">
        <v>669</v>
      </c>
      <c r="CU45" s="12">
        <v>150</v>
      </c>
      <c r="CV45" s="12">
        <v>668</v>
      </c>
      <c r="CW45" s="12">
        <v>1610</v>
      </c>
      <c r="CX45" s="12">
        <v>1140</v>
      </c>
      <c r="CY45" s="12">
        <v>830</v>
      </c>
      <c r="CZ45" s="12">
        <v>1397</v>
      </c>
      <c r="DA45" s="12">
        <v>1503</v>
      </c>
      <c r="DB45" s="12">
        <v>847</v>
      </c>
      <c r="DC45" s="12">
        <v>875</v>
      </c>
      <c r="DD45" s="12">
        <v>1018</v>
      </c>
      <c r="DE45" s="12">
        <v>1296</v>
      </c>
      <c r="DF45" s="12">
        <v>1631</v>
      </c>
      <c r="DG45" s="12">
        <v>892</v>
      </c>
      <c r="DH45" s="12">
        <v>727</v>
      </c>
      <c r="DI45" s="14">
        <v>1637</v>
      </c>
      <c r="DJ45" s="14">
        <v>1249</v>
      </c>
      <c r="DK45" s="14">
        <v>1053</v>
      </c>
      <c r="DL45" s="14">
        <v>1279</v>
      </c>
      <c r="DM45" s="14">
        <v>1498</v>
      </c>
      <c r="DN45" s="14">
        <v>1138</v>
      </c>
      <c r="DO45" s="14">
        <v>828</v>
      </c>
      <c r="DP45" s="14">
        <v>1014</v>
      </c>
      <c r="DQ45" s="14">
        <v>936</v>
      </c>
      <c r="DR45" s="14">
        <v>1161</v>
      </c>
      <c r="DS45" s="14">
        <v>1567</v>
      </c>
      <c r="DT45" s="14">
        <v>1276</v>
      </c>
      <c r="DU45" s="14">
        <v>1354</v>
      </c>
      <c r="DV45" s="14">
        <v>985</v>
      </c>
      <c r="DW45" s="14">
        <v>1033</v>
      </c>
      <c r="DX45" s="14">
        <v>1550</v>
      </c>
      <c r="DY45" s="14">
        <v>1742</v>
      </c>
      <c r="DZ45" s="14">
        <v>999</v>
      </c>
      <c r="EA45" s="14">
        <v>1128</v>
      </c>
      <c r="EB45" s="14">
        <v>1144</v>
      </c>
      <c r="EC45" s="14">
        <v>1090</v>
      </c>
      <c r="ED45" s="14">
        <v>1392</v>
      </c>
      <c r="EE45" s="14">
        <v>1170</v>
      </c>
      <c r="EF45" s="14">
        <v>1512</v>
      </c>
      <c r="EG45" s="14">
        <v>1656</v>
      </c>
      <c r="EH45" s="14">
        <v>1332</v>
      </c>
      <c r="EI45" s="14">
        <v>973</v>
      </c>
      <c r="EJ45" s="14">
        <v>1221</v>
      </c>
      <c r="EK45" s="14">
        <v>1468</v>
      </c>
      <c r="EL45" s="14">
        <v>838</v>
      </c>
      <c r="EM45" s="14">
        <v>692</v>
      </c>
      <c r="EN45" s="14">
        <v>816</v>
      </c>
      <c r="EO45" s="14">
        <v>796</v>
      </c>
      <c r="EP45" s="14">
        <v>884</v>
      </c>
      <c r="EQ45" s="14">
        <v>932</v>
      </c>
      <c r="ER45" s="14">
        <v>887</v>
      </c>
      <c r="ES45" s="14">
        <v>1333</v>
      </c>
      <c r="ET45" s="14">
        <v>1077</v>
      </c>
      <c r="EU45" s="14">
        <v>696</v>
      </c>
      <c r="EV45" s="14">
        <v>924</v>
      </c>
      <c r="EW45" s="14">
        <v>1393</v>
      </c>
      <c r="EX45" s="14">
        <v>666</v>
      </c>
      <c r="EY45" s="14">
        <v>552</v>
      </c>
      <c r="EZ45" s="14">
        <v>801</v>
      </c>
      <c r="FA45" s="14">
        <v>653</v>
      </c>
      <c r="FB45" s="14">
        <v>945</v>
      </c>
      <c r="FC45" s="14">
        <v>1042</v>
      </c>
      <c r="FD45" s="14">
        <v>1142</v>
      </c>
      <c r="FE45" s="14">
        <v>1602</v>
      </c>
      <c r="FF45" s="14">
        <v>1265</v>
      </c>
      <c r="FG45" s="14">
        <v>896</v>
      </c>
      <c r="FH45" s="14">
        <v>1428</v>
      </c>
      <c r="FI45" s="14">
        <v>1880</v>
      </c>
      <c r="FJ45" s="14">
        <v>1538</v>
      </c>
      <c r="FK45" s="14">
        <v>888</v>
      </c>
      <c r="FL45" s="14"/>
      <c r="FM45" s="14"/>
      <c r="FN45" s="14"/>
      <c r="FR45" s="12">
        <f t="shared" si="26"/>
        <v>5369</v>
      </c>
      <c r="FS45" s="12">
        <f t="shared" si="27"/>
        <v>5350</v>
      </c>
      <c r="FT45" s="12">
        <f t="shared" si="28"/>
        <v>6446</v>
      </c>
      <c r="FU45" s="12">
        <f t="shared" si="29"/>
        <v>4604</v>
      </c>
      <c r="FV45" s="12">
        <f t="shared" si="30"/>
        <v>5171</v>
      </c>
      <c r="FW45" s="12">
        <f t="shared" si="31"/>
        <v>3419</v>
      </c>
      <c r="FX45" s="12">
        <f t="shared" si="32"/>
        <v>5104</v>
      </c>
      <c r="FY45" s="12">
        <f t="shared" si="33"/>
        <v>4513</v>
      </c>
      <c r="FZ45" s="12">
        <f t="shared" si="34"/>
        <v>3422</v>
      </c>
      <c r="GA45" s="12">
        <f t="shared" si="35"/>
        <v>3493</v>
      </c>
      <c r="GB45" s="12">
        <f t="shared" si="36"/>
        <v>3852</v>
      </c>
      <c r="GC45" s="12">
        <f t="shared" si="37"/>
        <v>2579</v>
      </c>
      <c r="GD45" s="12">
        <f t="shared" si="38"/>
        <v>2460</v>
      </c>
      <c r="GE45" s="12">
        <f t="shared" si="39"/>
        <v>1872</v>
      </c>
      <c r="GF45" s="12">
        <f t="shared" si="40"/>
        <v>2603</v>
      </c>
      <c r="GG45" s="12">
        <f t="shared" si="41"/>
        <v>2719</v>
      </c>
      <c r="GH45" s="12">
        <f t="shared" si="42"/>
        <v>2676</v>
      </c>
      <c r="GI45" s="12">
        <f t="shared" si="43"/>
        <v>1653</v>
      </c>
      <c r="GJ45" s="12">
        <f t="shared" si="44"/>
        <v>1943</v>
      </c>
      <c r="GK45" s="12">
        <f t="shared" si="45"/>
        <v>1956</v>
      </c>
      <c r="GL45" s="12">
        <f t="shared" si="46"/>
        <v>1936</v>
      </c>
      <c r="GM45" s="12">
        <f t="shared" si="47"/>
        <v>3083</v>
      </c>
      <c r="GN45" s="12">
        <f t="shared" si="48"/>
        <v>3008</v>
      </c>
      <c r="GO45" s="12">
        <f t="shared" si="49"/>
        <v>3311</v>
      </c>
      <c r="GP45" s="12">
        <f t="shared" si="50"/>
        <v>3223</v>
      </c>
      <c r="GQ45" s="12">
        <f t="shared" si="51"/>
        <v>3098</v>
      </c>
      <c r="GR45" s="12">
        <f t="shared" si="52"/>
        <v>3051</v>
      </c>
      <c r="GS45" s="12">
        <f t="shared" si="53"/>
        <v>3491</v>
      </c>
      <c r="GT45" s="12">
        <f t="shared" si="54"/>
        <v>2358</v>
      </c>
      <c r="GU45" s="12">
        <f t="shared" si="55"/>
        <v>2389</v>
      </c>
      <c r="GV45" s="12">
        <f t="shared" si="56"/>
        <v>2825</v>
      </c>
      <c r="GW45" s="12">
        <f t="shared" si="57"/>
        <v>2440</v>
      </c>
      <c r="GX45" s="12">
        <f t="shared" si="58"/>
        <v>2428</v>
      </c>
      <c r="GY45" s="12">
        <f t="shared" si="59"/>
        <v>3367</v>
      </c>
      <c r="GZ45" s="12">
        <f t="shared" si="2"/>
        <v>3225</v>
      </c>
      <c r="HA45" s="12">
        <f t="shared" si="3"/>
        <v>3945</v>
      </c>
      <c r="HB45" s="12">
        <f t="shared" si="4"/>
        <v>1619</v>
      </c>
      <c r="HC45" s="12">
        <f t="shared" si="5"/>
        <v>3581</v>
      </c>
      <c r="HD45" s="12">
        <f t="shared" si="6"/>
        <v>3464</v>
      </c>
      <c r="HE45" s="12">
        <f t="shared" si="7"/>
        <v>3111</v>
      </c>
      <c r="HF45" s="12">
        <f t="shared" si="8"/>
        <v>4197</v>
      </c>
      <c r="HG45" s="12">
        <f t="shared" si="9"/>
        <v>3568</v>
      </c>
      <c r="HH45" s="12">
        <f t="shared" si="10"/>
        <v>3869</v>
      </c>
      <c r="HI45" s="12">
        <f t="shared" si="11"/>
        <v>3626</v>
      </c>
      <c r="HJ45" s="12">
        <f t="shared" si="12"/>
        <v>4338</v>
      </c>
      <c r="HK45" s="12">
        <f t="shared" si="13"/>
        <v>3526</v>
      </c>
      <c r="HL45" s="12">
        <f t="shared" si="14"/>
        <v>2998</v>
      </c>
      <c r="HM45" s="12">
        <f t="shared" si="15"/>
        <v>2496</v>
      </c>
      <c r="HN45" s="12">
        <f t="shared" si="60"/>
        <v>4338</v>
      </c>
      <c r="HO45" s="12">
        <f t="shared" si="61"/>
        <v>3526</v>
      </c>
      <c r="HP45" s="12">
        <f t="shared" si="62"/>
        <v>2998</v>
      </c>
      <c r="HQ45" s="12">
        <f t="shared" si="63"/>
        <v>2496</v>
      </c>
      <c r="HR45" s="12">
        <f t="shared" si="64"/>
        <v>3152</v>
      </c>
      <c r="HS45" s="12">
        <f t="shared" si="65"/>
        <v>2697</v>
      </c>
      <c r="HT45" s="12">
        <f t="shared" si="16"/>
        <v>2611</v>
      </c>
      <c r="HU45" s="12">
        <f t="shared" si="17"/>
        <v>2399</v>
      </c>
      <c r="HV45" s="12">
        <f t="shared" si="18"/>
        <v>3786</v>
      </c>
      <c r="HW45" s="12">
        <f t="shared" si="19"/>
        <v>3589</v>
      </c>
      <c r="HX45" s="12">
        <f t="shared" si="20"/>
        <v>4306</v>
      </c>
      <c r="IB45" s="12">
        <f t="shared" si="66"/>
        <v>21769</v>
      </c>
      <c r="IC45" s="12">
        <f t="shared" si="67"/>
        <v>18207</v>
      </c>
      <c r="ID45" s="12">
        <f t="shared" si="68"/>
        <v>13346</v>
      </c>
      <c r="IE45" s="12">
        <f t="shared" si="69"/>
        <v>9654</v>
      </c>
      <c r="IF45" s="12">
        <f t="shared" si="70"/>
        <v>8228</v>
      </c>
      <c r="IG45" s="12">
        <f t="shared" si="71"/>
        <v>11338</v>
      </c>
      <c r="IH45" s="12">
        <f t="shared" si="72"/>
        <v>12863</v>
      </c>
      <c r="II45" s="12">
        <f t="shared" si="73"/>
        <v>10012</v>
      </c>
      <c r="IJ45" s="12">
        <f t="shared" si="21"/>
        <v>12965</v>
      </c>
      <c r="IK45" s="12">
        <f t="shared" si="22"/>
        <v>13412</v>
      </c>
      <c r="IL45" s="12">
        <f t="shared" si="23"/>
        <v>15260</v>
      </c>
      <c r="IM45" s="12">
        <f t="shared" si="24"/>
        <v>13358</v>
      </c>
      <c r="IN45" s="12">
        <f t="shared" si="25"/>
        <v>10859</v>
      </c>
    </row>
    <row r="46" spans="1:248" outlineLevel="1" x14ac:dyDescent="0.3">
      <c r="A46" s="15" t="s">
        <v>95</v>
      </c>
      <c r="B46" s="15"/>
      <c r="C46" s="16">
        <f t="shared" ref="C46:BN46" si="88">+SUM(C42:C45)</f>
        <v>9302</v>
      </c>
      <c r="D46" s="16">
        <f t="shared" si="88"/>
        <v>11375</v>
      </c>
      <c r="E46" s="16">
        <f t="shared" si="88"/>
        <v>12404</v>
      </c>
      <c r="F46" s="16">
        <f t="shared" si="88"/>
        <v>9453</v>
      </c>
      <c r="G46" s="16">
        <f t="shared" si="88"/>
        <v>7905</v>
      </c>
      <c r="H46" s="16">
        <f t="shared" si="88"/>
        <v>11522</v>
      </c>
      <c r="I46" s="16">
        <f t="shared" si="88"/>
        <v>15421</v>
      </c>
      <c r="J46" s="16">
        <f t="shared" si="88"/>
        <v>12289</v>
      </c>
      <c r="K46" s="16">
        <f t="shared" si="88"/>
        <v>8835</v>
      </c>
      <c r="L46" s="16">
        <f t="shared" si="88"/>
        <v>10015</v>
      </c>
      <c r="M46" s="16">
        <f t="shared" si="88"/>
        <v>10443</v>
      </c>
      <c r="N46" s="16">
        <f t="shared" si="88"/>
        <v>12723</v>
      </c>
      <c r="O46" s="16">
        <f t="shared" si="88"/>
        <v>13157</v>
      </c>
      <c r="P46" s="16">
        <f t="shared" si="88"/>
        <v>13969</v>
      </c>
      <c r="Q46" s="16">
        <f t="shared" si="88"/>
        <v>15721</v>
      </c>
      <c r="R46" s="16">
        <f t="shared" si="88"/>
        <v>10997</v>
      </c>
      <c r="S46" s="16">
        <f t="shared" si="88"/>
        <v>8488</v>
      </c>
      <c r="T46" s="16">
        <f t="shared" si="88"/>
        <v>16695</v>
      </c>
      <c r="U46" s="16">
        <f t="shared" si="88"/>
        <v>20465</v>
      </c>
      <c r="V46" s="16">
        <f t="shared" si="88"/>
        <v>13223</v>
      </c>
      <c r="W46" s="16">
        <f t="shared" si="88"/>
        <v>9115</v>
      </c>
      <c r="X46" s="16">
        <f t="shared" si="88"/>
        <v>11148</v>
      </c>
      <c r="Y46" s="16">
        <f t="shared" si="88"/>
        <v>11493</v>
      </c>
      <c r="Z46" s="16">
        <f t="shared" si="88"/>
        <v>12581</v>
      </c>
      <c r="AA46" s="17">
        <f t="shared" si="88"/>
        <v>10554</v>
      </c>
      <c r="AB46" s="17">
        <f t="shared" si="88"/>
        <v>12596</v>
      </c>
      <c r="AC46" s="17">
        <f t="shared" si="88"/>
        <v>15717</v>
      </c>
      <c r="AD46" s="17">
        <f t="shared" si="88"/>
        <v>9621</v>
      </c>
      <c r="AE46" s="17">
        <f t="shared" si="88"/>
        <v>8019</v>
      </c>
      <c r="AF46" s="17">
        <f t="shared" si="88"/>
        <v>18125</v>
      </c>
      <c r="AG46" s="17">
        <f t="shared" si="88"/>
        <v>20053</v>
      </c>
      <c r="AH46" s="17">
        <f t="shared" si="88"/>
        <v>9302</v>
      </c>
      <c r="AI46" s="17">
        <f t="shared" si="88"/>
        <v>6408</v>
      </c>
      <c r="AJ46" s="17">
        <f t="shared" si="88"/>
        <v>7958</v>
      </c>
      <c r="AK46" s="17">
        <f t="shared" si="88"/>
        <v>7653</v>
      </c>
      <c r="AL46" s="18">
        <f t="shared" si="88"/>
        <v>8565</v>
      </c>
      <c r="AM46" s="17">
        <f t="shared" si="88"/>
        <v>8600</v>
      </c>
      <c r="AN46" s="17">
        <f t="shared" si="88"/>
        <v>10731</v>
      </c>
      <c r="AO46" s="17">
        <f t="shared" si="88"/>
        <v>13863</v>
      </c>
      <c r="AP46" s="17">
        <f t="shared" si="88"/>
        <v>8231</v>
      </c>
      <c r="AQ46" s="17">
        <f t="shared" si="88"/>
        <v>5930</v>
      </c>
      <c r="AR46" s="17">
        <f t="shared" si="88"/>
        <v>11483</v>
      </c>
      <c r="AS46" s="17">
        <f t="shared" si="88"/>
        <v>15684</v>
      </c>
      <c r="AT46" s="17">
        <f t="shared" si="88"/>
        <v>10637</v>
      </c>
      <c r="AU46" s="17">
        <f t="shared" si="88"/>
        <v>6013</v>
      </c>
      <c r="AV46" s="17">
        <f t="shared" si="88"/>
        <v>7806</v>
      </c>
      <c r="AW46" s="17">
        <f t="shared" si="88"/>
        <v>7269</v>
      </c>
      <c r="AX46" s="17">
        <f t="shared" si="88"/>
        <v>7937</v>
      </c>
      <c r="AY46" s="17">
        <f t="shared" si="88"/>
        <v>9029</v>
      </c>
      <c r="AZ46" s="17">
        <f t="shared" si="88"/>
        <v>12006</v>
      </c>
      <c r="BA46" s="17">
        <f t="shared" si="88"/>
        <v>15260</v>
      </c>
      <c r="BB46" s="17">
        <f t="shared" si="88"/>
        <v>8322</v>
      </c>
      <c r="BC46" s="17">
        <f t="shared" si="88"/>
        <v>6075</v>
      </c>
      <c r="BD46" s="17">
        <f t="shared" si="88"/>
        <v>14542</v>
      </c>
      <c r="BE46" s="17">
        <f t="shared" si="88"/>
        <v>17030</v>
      </c>
      <c r="BF46" s="17">
        <f t="shared" si="88"/>
        <v>8556</v>
      </c>
      <c r="BG46" s="17">
        <f t="shared" si="88"/>
        <v>6018</v>
      </c>
      <c r="BH46" s="17">
        <f t="shared" si="88"/>
        <v>7825</v>
      </c>
      <c r="BI46" s="17">
        <f t="shared" si="88"/>
        <v>6565</v>
      </c>
      <c r="BJ46" s="17">
        <f t="shared" si="88"/>
        <v>8250</v>
      </c>
      <c r="BK46" s="17">
        <f t="shared" si="88"/>
        <v>10157</v>
      </c>
      <c r="BL46" s="17">
        <f t="shared" si="88"/>
        <v>11836</v>
      </c>
      <c r="BM46" s="17">
        <f t="shared" si="88"/>
        <v>12465</v>
      </c>
      <c r="BN46" s="17">
        <f t="shared" si="88"/>
        <v>9236</v>
      </c>
      <c r="BO46" s="17">
        <f t="shared" ref="BO46:DA46" si="89">+SUM(BO42:BO45)</f>
        <v>10004</v>
      </c>
      <c r="BP46" s="17">
        <f t="shared" si="89"/>
        <v>21003</v>
      </c>
      <c r="BQ46" s="17">
        <f t="shared" si="89"/>
        <v>17053</v>
      </c>
      <c r="BR46" s="17">
        <f t="shared" si="89"/>
        <v>9424</v>
      </c>
      <c r="BS46" s="17">
        <f t="shared" si="89"/>
        <v>7283</v>
      </c>
      <c r="BT46" s="17">
        <f t="shared" si="89"/>
        <v>8526</v>
      </c>
      <c r="BU46" s="17">
        <f t="shared" si="89"/>
        <v>7276</v>
      </c>
      <c r="BV46" s="17">
        <f t="shared" si="89"/>
        <v>12005</v>
      </c>
      <c r="BW46" s="17">
        <f t="shared" si="89"/>
        <v>12756</v>
      </c>
      <c r="BX46" s="17">
        <f t="shared" si="89"/>
        <v>13953</v>
      </c>
      <c r="BY46" s="17">
        <f t="shared" si="89"/>
        <v>15642</v>
      </c>
      <c r="BZ46" s="17">
        <f t="shared" si="89"/>
        <v>10341</v>
      </c>
      <c r="CA46" s="17">
        <f t="shared" si="89"/>
        <v>9153</v>
      </c>
      <c r="CB46" s="17">
        <f t="shared" si="89"/>
        <v>15920</v>
      </c>
      <c r="CC46" s="17">
        <f t="shared" si="89"/>
        <v>19381</v>
      </c>
      <c r="CD46" s="17">
        <f t="shared" si="89"/>
        <v>12305</v>
      </c>
      <c r="CE46" s="17">
        <f t="shared" si="89"/>
        <v>7296</v>
      </c>
      <c r="CF46" s="17">
        <f t="shared" si="89"/>
        <v>9046</v>
      </c>
      <c r="CG46" s="17">
        <f t="shared" si="89"/>
        <v>8333</v>
      </c>
      <c r="CH46" s="17">
        <f t="shared" si="89"/>
        <v>10567</v>
      </c>
      <c r="CI46" s="17">
        <f t="shared" si="89"/>
        <v>9554</v>
      </c>
      <c r="CJ46" s="17">
        <f t="shared" si="89"/>
        <v>11320</v>
      </c>
      <c r="CK46" s="17">
        <f t="shared" si="89"/>
        <v>14109</v>
      </c>
      <c r="CL46" s="17">
        <f t="shared" si="89"/>
        <v>8657</v>
      </c>
      <c r="CM46" s="17">
        <f t="shared" si="89"/>
        <v>6337</v>
      </c>
      <c r="CN46" s="17">
        <f t="shared" si="89"/>
        <v>14473</v>
      </c>
      <c r="CO46" s="17">
        <f t="shared" si="89"/>
        <v>17552</v>
      </c>
      <c r="CP46" s="17">
        <f t="shared" si="89"/>
        <v>9229</v>
      </c>
      <c r="CQ46" s="17">
        <f t="shared" si="89"/>
        <v>6952</v>
      </c>
      <c r="CR46" s="17">
        <f t="shared" si="89"/>
        <v>8184</v>
      </c>
      <c r="CS46" s="17">
        <f t="shared" si="89"/>
        <v>8419</v>
      </c>
      <c r="CT46" s="17">
        <f t="shared" si="89"/>
        <v>5365</v>
      </c>
      <c r="CU46" s="17">
        <f t="shared" si="89"/>
        <v>2982</v>
      </c>
      <c r="CV46" s="17">
        <f t="shared" si="89"/>
        <v>14070</v>
      </c>
      <c r="CW46" s="17">
        <f t="shared" si="89"/>
        <v>19084</v>
      </c>
      <c r="CX46" s="17">
        <f t="shared" si="89"/>
        <v>11728</v>
      </c>
      <c r="CY46" s="17">
        <f t="shared" si="89"/>
        <v>11841</v>
      </c>
      <c r="CZ46" s="17">
        <f t="shared" si="89"/>
        <v>19972</v>
      </c>
      <c r="DA46" s="17">
        <f t="shared" si="89"/>
        <v>19045</v>
      </c>
      <c r="DB46" s="17">
        <f>+SUM(DB42:DB45)</f>
        <v>14074</v>
      </c>
      <c r="DC46" s="17">
        <f>+SUM(DC42:DC45)</f>
        <v>11096</v>
      </c>
      <c r="DD46" s="17">
        <f>+SUM(DD42:DD45)</f>
        <v>12367</v>
      </c>
      <c r="DE46" s="17">
        <v>13713</v>
      </c>
      <c r="DF46" s="17">
        <v>15823</v>
      </c>
      <c r="DG46" s="17">
        <v>11176</v>
      </c>
      <c r="DH46" s="17">
        <v>9505</v>
      </c>
      <c r="DI46" s="19">
        <v>21540</v>
      </c>
      <c r="DJ46" s="19">
        <v>11112</v>
      </c>
      <c r="DK46" s="19">
        <v>9746</v>
      </c>
      <c r="DL46" s="19">
        <v>17590</v>
      </c>
      <c r="DM46" s="19">
        <v>21814</v>
      </c>
      <c r="DN46" s="19">
        <v>10707</v>
      </c>
      <c r="DO46" s="19">
        <v>8157</v>
      </c>
      <c r="DP46" s="19">
        <v>9647</v>
      </c>
      <c r="DQ46" s="19">
        <v>9124</v>
      </c>
      <c r="DR46" s="19">
        <v>11363</v>
      </c>
      <c r="DS46" s="19">
        <v>16817</v>
      </c>
      <c r="DT46" s="19">
        <v>15926</v>
      </c>
      <c r="DU46" s="19">
        <v>17808</v>
      </c>
      <c r="DV46" s="19">
        <v>9912</v>
      </c>
      <c r="DW46" s="19">
        <v>9581</v>
      </c>
      <c r="DX46" s="19">
        <v>20884</v>
      </c>
      <c r="DY46" s="19">
        <v>21023</v>
      </c>
      <c r="DZ46" s="19">
        <v>11314</v>
      </c>
      <c r="EA46" s="19">
        <v>10303</v>
      </c>
      <c r="EB46" s="19">
        <v>11375</v>
      </c>
      <c r="EC46" s="19">
        <v>11233</v>
      </c>
      <c r="ED46" s="19">
        <v>13667</v>
      </c>
      <c r="EE46" s="19">
        <v>14486</v>
      </c>
      <c r="EF46" s="19">
        <v>16551</v>
      </c>
      <c r="EG46" s="19">
        <v>18197</v>
      </c>
      <c r="EH46" s="19">
        <v>10485</v>
      </c>
      <c r="EI46" s="19">
        <v>9708</v>
      </c>
      <c r="EJ46" s="19">
        <v>18244</v>
      </c>
      <c r="EK46" s="19">
        <v>21581</v>
      </c>
      <c r="EL46" s="19">
        <v>12120</v>
      </c>
      <c r="EM46" s="19">
        <v>7345</v>
      </c>
      <c r="EN46" s="19">
        <v>9453</v>
      </c>
      <c r="EO46" s="19">
        <v>8455</v>
      </c>
      <c r="EP46" s="19">
        <v>10878</v>
      </c>
      <c r="EQ46" s="19">
        <v>13004</v>
      </c>
      <c r="ER46" s="19">
        <v>14289</v>
      </c>
      <c r="ES46" s="19">
        <v>17723</v>
      </c>
      <c r="ET46" s="19">
        <v>10284</v>
      </c>
      <c r="EU46" s="19">
        <v>8247</v>
      </c>
      <c r="EV46" s="19">
        <v>17984</v>
      </c>
      <c r="EW46" s="19">
        <v>25014</v>
      </c>
      <c r="EX46" s="19">
        <v>11918</v>
      </c>
      <c r="EY46" s="19">
        <v>8252</v>
      </c>
      <c r="EZ46" s="19">
        <v>10709</v>
      </c>
      <c r="FA46" s="19">
        <v>9555</v>
      </c>
      <c r="FB46" s="19">
        <v>12901</v>
      </c>
      <c r="FC46" s="19">
        <v>14462</v>
      </c>
      <c r="FD46" s="19">
        <v>16061</v>
      </c>
      <c r="FE46" s="19">
        <v>19952</v>
      </c>
      <c r="FF46" s="19">
        <v>11671</v>
      </c>
      <c r="FG46" s="19">
        <v>11002</v>
      </c>
      <c r="FH46" s="19">
        <v>27530</v>
      </c>
      <c r="FI46" s="19">
        <v>29234</v>
      </c>
      <c r="FJ46" s="19">
        <v>15088</v>
      </c>
      <c r="FK46" s="19">
        <v>11033</v>
      </c>
      <c r="FL46" s="20"/>
      <c r="FM46" s="20"/>
      <c r="FN46" s="20"/>
      <c r="FR46" s="17">
        <f t="shared" si="26"/>
        <v>33081</v>
      </c>
      <c r="FS46" s="17">
        <f t="shared" si="27"/>
        <v>28880</v>
      </c>
      <c r="FT46" s="17">
        <f t="shared" si="28"/>
        <v>36545</v>
      </c>
      <c r="FU46" s="17">
        <f t="shared" si="29"/>
        <v>33181</v>
      </c>
      <c r="FV46" s="17">
        <f t="shared" si="30"/>
        <v>42847</v>
      </c>
      <c r="FW46" s="17">
        <f t="shared" si="31"/>
        <v>36180</v>
      </c>
      <c r="FX46" s="17">
        <f t="shared" si="32"/>
        <v>42803</v>
      </c>
      <c r="FY46" s="17">
        <f t="shared" si="33"/>
        <v>35222</v>
      </c>
      <c r="FZ46" s="17">
        <f t="shared" si="34"/>
        <v>38867</v>
      </c>
      <c r="GA46" s="17">
        <f t="shared" si="35"/>
        <v>35765</v>
      </c>
      <c r="GB46" s="17">
        <f t="shared" si="36"/>
        <v>35763</v>
      </c>
      <c r="GC46" s="17">
        <f t="shared" si="37"/>
        <v>24176</v>
      </c>
      <c r="GD46" s="17">
        <f t="shared" si="38"/>
        <v>33194</v>
      </c>
      <c r="GE46" s="17">
        <f t="shared" si="39"/>
        <v>25644</v>
      </c>
      <c r="GF46" s="17">
        <f t="shared" si="40"/>
        <v>32334</v>
      </c>
      <c r="GG46" s="17">
        <f t="shared" si="41"/>
        <v>23012</v>
      </c>
      <c r="GH46" s="17">
        <f t="shared" si="42"/>
        <v>36295</v>
      </c>
      <c r="GI46" s="17">
        <f t="shared" si="43"/>
        <v>28939</v>
      </c>
      <c r="GJ46" s="17">
        <f t="shared" si="44"/>
        <v>31604</v>
      </c>
      <c r="GK46" s="17">
        <f t="shared" si="45"/>
        <v>22640</v>
      </c>
      <c r="GL46" s="17">
        <f t="shared" si="46"/>
        <v>34458</v>
      </c>
      <c r="GM46" s="17">
        <f t="shared" si="47"/>
        <v>40243</v>
      </c>
      <c r="GN46" s="17">
        <f t="shared" si="48"/>
        <v>33760</v>
      </c>
      <c r="GO46" s="17">
        <f t="shared" si="49"/>
        <v>27807</v>
      </c>
      <c r="GP46" s="17">
        <f t="shared" si="50"/>
        <v>42351</v>
      </c>
      <c r="GQ46" s="17">
        <f t="shared" si="51"/>
        <v>35414</v>
      </c>
      <c r="GR46" s="17">
        <f t="shared" si="52"/>
        <v>38982</v>
      </c>
      <c r="GS46" s="17">
        <f t="shared" si="53"/>
        <v>27946</v>
      </c>
      <c r="GT46" s="17">
        <f t="shared" si="54"/>
        <v>34983</v>
      </c>
      <c r="GU46" s="17">
        <f t="shared" si="55"/>
        <v>29467</v>
      </c>
      <c r="GV46" s="17">
        <f t="shared" si="56"/>
        <v>33733</v>
      </c>
      <c r="GW46" s="17">
        <f t="shared" si="57"/>
        <v>21968</v>
      </c>
      <c r="GX46" s="17">
        <f t="shared" si="58"/>
        <v>36136</v>
      </c>
      <c r="GY46" s="17">
        <f t="shared" si="59"/>
        <v>43541</v>
      </c>
      <c r="GZ46" s="17">
        <f t="shared" si="2"/>
        <v>44215</v>
      </c>
      <c r="HA46" s="17">
        <f t="shared" si="3"/>
        <v>41903</v>
      </c>
      <c r="HB46" s="17">
        <f t="shared" si="4"/>
        <v>20681</v>
      </c>
      <c r="HC46" s="17">
        <f t="shared" si="5"/>
        <v>38448</v>
      </c>
      <c r="HD46" s="17">
        <f t="shared" si="6"/>
        <v>40678</v>
      </c>
      <c r="HE46" s="17">
        <f t="shared" si="7"/>
        <v>30134</v>
      </c>
      <c r="HF46" s="17">
        <f t="shared" si="8"/>
        <v>50551</v>
      </c>
      <c r="HG46" s="17">
        <f t="shared" si="9"/>
        <v>40377</v>
      </c>
      <c r="HH46" s="17">
        <f t="shared" si="10"/>
        <v>42640</v>
      </c>
      <c r="HI46" s="17">
        <f t="shared" si="11"/>
        <v>36275</v>
      </c>
      <c r="HJ46" s="17">
        <f t="shared" si="12"/>
        <v>49234</v>
      </c>
      <c r="HK46" s="17">
        <f t="shared" si="13"/>
        <v>38437</v>
      </c>
      <c r="HL46" s="17">
        <f t="shared" si="14"/>
        <v>41046</v>
      </c>
      <c r="HM46" s="17">
        <f t="shared" si="15"/>
        <v>28786</v>
      </c>
      <c r="HN46" s="17">
        <f t="shared" si="60"/>
        <v>49234</v>
      </c>
      <c r="HO46" s="17">
        <f t="shared" si="61"/>
        <v>38437</v>
      </c>
      <c r="HP46" s="17">
        <f t="shared" si="62"/>
        <v>41046</v>
      </c>
      <c r="HQ46" s="17">
        <f t="shared" si="63"/>
        <v>28786</v>
      </c>
      <c r="HR46" s="17">
        <f t="shared" si="64"/>
        <v>45016</v>
      </c>
      <c r="HS46" s="17">
        <f t="shared" si="65"/>
        <v>36515</v>
      </c>
      <c r="HT46" s="17">
        <f t="shared" si="16"/>
        <v>45184</v>
      </c>
      <c r="HU46" s="17">
        <f t="shared" si="17"/>
        <v>33165</v>
      </c>
      <c r="HV46" s="17">
        <f t="shared" si="18"/>
        <v>50475</v>
      </c>
      <c r="HW46" s="17">
        <f t="shared" si="19"/>
        <v>50203</v>
      </c>
      <c r="HX46" s="17">
        <f t="shared" si="20"/>
        <v>55355</v>
      </c>
      <c r="IB46" s="17">
        <f t="shared" si="66"/>
        <v>131687</v>
      </c>
      <c r="IC46" s="17">
        <f t="shared" si="67"/>
        <v>157052</v>
      </c>
      <c r="ID46" s="17">
        <f t="shared" si="68"/>
        <v>134571</v>
      </c>
      <c r="IE46" s="17">
        <f t="shared" si="69"/>
        <v>114184</v>
      </c>
      <c r="IF46" s="17">
        <f t="shared" si="70"/>
        <v>119478</v>
      </c>
      <c r="IG46" s="17">
        <f t="shared" si="71"/>
        <v>136268</v>
      </c>
      <c r="IH46" s="17">
        <f t="shared" si="72"/>
        <v>144693</v>
      </c>
      <c r="II46" s="17">
        <f t="shared" si="73"/>
        <v>120151</v>
      </c>
      <c r="IJ46" s="17">
        <f t="shared" si="21"/>
        <v>165795</v>
      </c>
      <c r="IK46" s="17">
        <f t="shared" si="22"/>
        <v>151481</v>
      </c>
      <c r="IL46" s="17">
        <f t="shared" si="23"/>
        <v>169843</v>
      </c>
      <c r="IM46" s="17">
        <f t="shared" si="24"/>
        <v>157503</v>
      </c>
      <c r="IN46" s="17">
        <f t="shared" si="25"/>
        <v>159880</v>
      </c>
    </row>
    <row r="47" spans="1:248" outlineLevel="2" x14ac:dyDescent="0.3">
      <c r="A47" t="s">
        <v>96</v>
      </c>
      <c r="B47" t="s">
        <v>75</v>
      </c>
      <c r="ET47" s="21">
        <v>9</v>
      </c>
      <c r="EU47" s="21">
        <v>11</v>
      </c>
      <c r="EV47" s="21">
        <v>7</v>
      </c>
      <c r="EW47" s="21">
        <v>24</v>
      </c>
      <c r="EX47" s="21">
        <v>10</v>
      </c>
      <c r="EY47" s="21">
        <v>17</v>
      </c>
      <c r="EZ47" s="21">
        <v>17</v>
      </c>
      <c r="FA47" s="21">
        <v>7</v>
      </c>
      <c r="FB47" s="21">
        <v>14</v>
      </c>
      <c r="FC47" s="21">
        <v>9</v>
      </c>
      <c r="FD47" s="21">
        <v>5</v>
      </c>
      <c r="FE47" s="21">
        <v>11</v>
      </c>
      <c r="FF47" s="21">
        <v>9</v>
      </c>
      <c r="FG47" s="21">
        <v>13</v>
      </c>
      <c r="FH47" s="21">
        <v>16</v>
      </c>
      <c r="FI47" s="21">
        <v>16</v>
      </c>
      <c r="FJ47" s="21">
        <v>1</v>
      </c>
      <c r="FK47" s="21">
        <v>12</v>
      </c>
      <c r="FL47" s="21"/>
      <c r="FM47" s="21"/>
      <c r="FN47" s="21"/>
      <c r="FR47" s="22">
        <f>+SUM(C48:E48)</f>
        <v>0</v>
      </c>
      <c r="FS47" s="22">
        <f>+SUM(F48:H48)</f>
        <v>0</v>
      </c>
      <c r="FT47" s="22">
        <f>+SUM(I48:K48)</f>
        <v>0</v>
      </c>
      <c r="FU47" s="22">
        <f>+SUM(L48:N48)</f>
        <v>0</v>
      </c>
      <c r="FV47" s="22">
        <f>+SUM(O48:Q48)</f>
        <v>0</v>
      </c>
      <c r="FW47" s="22">
        <f>+SUM(R48:T48)</f>
        <v>0</v>
      </c>
      <c r="FX47" s="22">
        <f>+SUM(U48:W48)</f>
        <v>0</v>
      </c>
      <c r="FY47" s="22">
        <f>+SUM(X48:Z48)</f>
        <v>0</v>
      </c>
      <c r="FZ47" s="22">
        <f>+SUM(AA48:AC48)</f>
        <v>0</v>
      </c>
      <c r="GA47" s="22">
        <f>+SUM(AD48:AF48)</f>
        <v>0</v>
      </c>
      <c r="GB47" s="22">
        <f>+SUM(AG48:AI48)</f>
        <v>0</v>
      </c>
      <c r="GC47" s="22">
        <f>+SUM(AJ48:AL48)</f>
        <v>0</v>
      </c>
      <c r="GD47" s="22">
        <f>+SUM(AM48:AO48)</f>
        <v>0</v>
      </c>
      <c r="GE47" s="22">
        <f>+SUM(AP48:AR48)</f>
        <v>0</v>
      </c>
      <c r="GF47" s="22">
        <f>+SUM(AS48:AU48)</f>
        <v>0</v>
      </c>
      <c r="GG47" s="22">
        <f>+SUM(AV48:AX48)</f>
        <v>0</v>
      </c>
      <c r="GH47" s="22">
        <f>+SUM(AY48:BA48)</f>
        <v>0</v>
      </c>
      <c r="GI47" s="22">
        <f>+SUM(BB48:BD48)</f>
        <v>0</v>
      </c>
      <c r="GJ47" s="22">
        <f>+SUM(BE48:BG48)</f>
        <v>0</v>
      </c>
      <c r="GK47" s="22">
        <f>+SUM(BH48:BJ48)</f>
        <v>0</v>
      </c>
      <c r="GL47" s="22">
        <f>+SUM(BK48:BM48)</f>
        <v>0</v>
      </c>
      <c r="GM47" s="22">
        <f>+SUM(BN48:BP48)</f>
        <v>0</v>
      </c>
      <c r="GN47" s="22">
        <f>+SUM(BQ48:BS48)</f>
        <v>0</v>
      </c>
      <c r="GO47" s="22">
        <f>+SUM(BT48:BV48)</f>
        <v>0</v>
      </c>
      <c r="GP47" s="22">
        <f>+SUM(BW48:BY48)</f>
        <v>0</v>
      </c>
      <c r="GQ47" s="22">
        <f>+SUM(BZ48:CB48)</f>
        <v>1</v>
      </c>
      <c r="GR47" s="22">
        <f>+SUM(CC48:CE48)</f>
        <v>47</v>
      </c>
      <c r="GS47" s="22">
        <f>+SUM(CF48:CH48)</f>
        <v>48</v>
      </c>
      <c r="GT47" s="22">
        <f>+SUM(CI48:CK48)</f>
        <v>58</v>
      </c>
      <c r="GU47" s="22">
        <f>+SUM(CL48:CN48)</f>
        <v>67</v>
      </c>
      <c r="GV47" s="22">
        <f>+SUM(CO48:CQ48)</f>
        <v>71</v>
      </c>
      <c r="GW47" s="22">
        <f>+SUM(CR48:CT48)</f>
        <v>92</v>
      </c>
      <c r="GX47" s="22">
        <f>+SUM(CU48:CW48)</f>
        <v>178</v>
      </c>
      <c r="GY47" s="22">
        <f>+SUM(CX48:CZ48)</f>
        <v>255</v>
      </c>
      <c r="GZ47" s="22">
        <f>+SUM(DA48:DC48)</f>
        <v>321</v>
      </c>
      <c r="HA47" s="22">
        <f>+SUM(DD48:DF48)</f>
        <v>207</v>
      </c>
      <c r="HB47" s="22">
        <f>+SUM(DG48:DH48)</f>
        <v>106</v>
      </c>
      <c r="HC47" s="22">
        <f>+SUM(DJ48:DL48)</f>
        <v>227</v>
      </c>
      <c r="HD47" s="22">
        <f>+SUM(DM48:DO48)</f>
        <v>286</v>
      </c>
      <c r="HE47" s="22">
        <f>+SUM(DP48:DR48)</f>
        <v>177</v>
      </c>
      <c r="HF47" s="22">
        <f>+SUM(DS48:DU48)</f>
        <v>173</v>
      </c>
      <c r="HG47" s="22">
        <f>+SUM(DV48:DX48)</f>
        <v>132</v>
      </c>
      <c r="HH47" s="22">
        <f>+SUM(DY48:EA48)</f>
        <v>112</v>
      </c>
      <c r="HI47" s="22">
        <f>+SUM(EB48:ED48)</f>
        <v>118</v>
      </c>
      <c r="HJ47" s="22">
        <f>+SUM(EE48:EG48)</f>
        <v>84</v>
      </c>
      <c r="HK47" s="22">
        <f>+SUM(EH48:EJ48)</f>
        <v>69</v>
      </c>
      <c r="HL47" s="22">
        <f>+SUM(EK48:EM48)</f>
        <v>115</v>
      </c>
      <c r="HM47" s="22">
        <f>+SUM(EN48:EP48)</f>
        <v>89</v>
      </c>
      <c r="HN47" s="22">
        <f>SUM(EE48:EG48)</f>
        <v>84</v>
      </c>
      <c r="HO47" s="22">
        <f>SUM(EH48:EJ48)</f>
        <v>69</v>
      </c>
      <c r="HP47" s="22">
        <f>SUM(EK48:EM48)</f>
        <v>115</v>
      </c>
      <c r="HQ47" s="22">
        <f>SUM(EN48:EP48)</f>
        <v>89</v>
      </c>
      <c r="HR47" s="22">
        <f>SUM(EQ48:ES48)</f>
        <v>95</v>
      </c>
      <c r="HS47" s="22">
        <f t="shared" si="65"/>
        <v>27</v>
      </c>
      <c r="HT47" s="22">
        <f t="shared" si="16"/>
        <v>51</v>
      </c>
      <c r="HU47" s="22">
        <f t="shared" si="17"/>
        <v>38</v>
      </c>
      <c r="HV47" s="22">
        <f t="shared" si="18"/>
        <v>25</v>
      </c>
      <c r="HW47" s="22">
        <f t="shared" si="19"/>
        <v>38</v>
      </c>
      <c r="HX47" s="22">
        <f t="shared" si="20"/>
        <v>29</v>
      </c>
      <c r="IB47" s="22">
        <f>+SUM(C48:N48)</f>
        <v>0</v>
      </c>
      <c r="IC47" s="22">
        <f>+SUM(O48:Z48)</f>
        <v>0</v>
      </c>
      <c r="ID47" s="22">
        <f>+SUM(AA48:AL48)</f>
        <v>0</v>
      </c>
      <c r="IE47" s="22">
        <f>+SUM(AM48:AX48)</f>
        <v>0</v>
      </c>
      <c r="IF47" s="22">
        <f>+SUM(AY48:BJ48)</f>
        <v>0</v>
      </c>
      <c r="IG47" s="22">
        <f>+SUM(BK48:BV48)</f>
        <v>0</v>
      </c>
      <c r="IH47" s="22">
        <f>+SUM(BW48:CH48)</f>
        <v>96</v>
      </c>
      <c r="II47" s="22">
        <f>SUM(CI48:CT48)</f>
        <v>288</v>
      </c>
      <c r="IJ47" s="22">
        <f>SUM(CU48:DF48)</f>
        <v>961</v>
      </c>
      <c r="IK47" s="22">
        <f>SUM(DG48:DR48)</f>
        <v>857</v>
      </c>
      <c r="IL47" s="22">
        <f>SUM(DS48:ED48)</f>
        <v>535</v>
      </c>
      <c r="IM47" s="22">
        <f>SUM(EE48:EP48)</f>
        <v>357</v>
      </c>
      <c r="IN47" s="22">
        <f>SUM(EQ48:FB48)</f>
        <v>490</v>
      </c>
    </row>
    <row r="48" spans="1:248" outlineLevel="2" x14ac:dyDescent="0.3">
      <c r="B48" s="23" t="s">
        <v>76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5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  <c r="BF48" s="22">
        <v>0</v>
      </c>
      <c r="BG48" s="22">
        <v>0</v>
      </c>
      <c r="BH48" s="22">
        <v>0</v>
      </c>
      <c r="BI48" s="22">
        <v>0</v>
      </c>
      <c r="BJ48" s="22">
        <v>0</v>
      </c>
      <c r="BK48" s="22">
        <v>0</v>
      </c>
      <c r="BL48" s="22">
        <v>0</v>
      </c>
      <c r="BM48" s="22">
        <v>0</v>
      </c>
      <c r="BN48" s="22">
        <v>0</v>
      </c>
      <c r="BO48" s="22">
        <v>0</v>
      </c>
      <c r="BP48" s="22">
        <v>0</v>
      </c>
      <c r="BQ48" s="22">
        <v>0</v>
      </c>
      <c r="BR48" s="22">
        <v>0</v>
      </c>
      <c r="BS48" s="22">
        <v>0</v>
      </c>
      <c r="BT48" s="22">
        <v>0</v>
      </c>
      <c r="BU48" s="22">
        <v>0</v>
      </c>
      <c r="BV48" s="22">
        <v>0</v>
      </c>
      <c r="BW48" s="22">
        <v>0</v>
      </c>
      <c r="BX48" s="22">
        <v>0</v>
      </c>
      <c r="BY48" s="22">
        <v>0</v>
      </c>
      <c r="BZ48" s="22">
        <v>0</v>
      </c>
      <c r="CA48" s="22">
        <v>1</v>
      </c>
      <c r="CB48" s="22">
        <v>0</v>
      </c>
      <c r="CC48" s="22">
        <v>27</v>
      </c>
      <c r="CD48" s="22">
        <v>12</v>
      </c>
      <c r="CE48" s="22">
        <v>8</v>
      </c>
      <c r="CF48" s="22">
        <v>26</v>
      </c>
      <c r="CG48" s="22">
        <v>12</v>
      </c>
      <c r="CH48" s="22">
        <v>10</v>
      </c>
      <c r="CI48" s="22">
        <v>18</v>
      </c>
      <c r="CJ48" s="22">
        <v>11</v>
      </c>
      <c r="CK48" s="22">
        <v>29</v>
      </c>
      <c r="CL48" s="22">
        <v>24</v>
      </c>
      <c r="CM48" s="22">
        <v>25</v>
      </c>
      <c r="CN48" s="22">
        <v>18</v>
      </c>
      <c r="CO48" s="22">
        <v>34</v>
      </c>
      <c r="CP48" s="22">
        <v>25</v>
      </c>
      <c r="CQ48" s="22">
        <v>12</v>
      </c>
      <c r="CR48" s="22">
        <v>55</v>
      </c>
      <c r="CS48" s="22">
        <v>31</v>
      </c>
      <c r="CT48" s="22">
        <v>6</v>
      </c>
      <c r="CU48" s="22">
        <v>43</v>
      </c>
      <c r="CV48" s="22">
        <v>54</v>
      </c>
      <c r="CW48" s="22">
        <v>81</v>
      </c>
      <c r="CX48" s="22">
        <v>68</v>
      </c>
      <c r="CY48" s="22">
        <v>73</v>
      </c>
      <c r="CZ48" s="22">
        <v>114</v>
      </c>
      <c r="DA48" s="22">
        <v>129</v>
      </c>
      <c r="DB48" s="22">
        <v>104</v>
      </c>
      <c r="DC48" s="22">
        <v>88</v>
      </c>
      <c r="DD48" s="22">
        <v>100</v>
      </c>
      <c r="DE48" s="22">
        <v>57</v>
      </c>
      <c r="DF48" s="22">
        <v>50</v>
      </c>
      <c r="DG48" s="22">
        <v>63</v>
      </c>
      <c r="DH48" s="22">
        <v>43</v>
      </c>
      <c r="DI48" s="21">
        <v>61</v>
      </c>
      <c r="DJ48" s="21">
        <v>58</v>
      </c>
      <c r="DK48" s="21">
        <v>77</v>
      </c>
      <c r="DL48" s="21">
        <v>92</v>
      </c>
      <c r="DM48" s="21">
        <v>154</v>
      </c>
      <c r="DN48" s="21">
        <v>67</v>
      </c>
      <c r="DO48" s="21">
        <v>65</v>
      </c>
      <c r="DP48" s="21">
        <v>68</v>
      </c>
      <c r="DQ48" s="21">
        <v>63</v>
      </c>
      <c r="DR48" s="21">
        <v>46</v>
      </c>
      <c r="DS48" s="21">
        <v>78</v>
      </c>
      <c r="DT48" s="21">
        <v>58</v>
      </c>
      <c r="DU48" s="21">
        <v>37</v>
      </c>
      <c r="DV48" s="21">
        <v>41</v>
      </c>
      <c r="DW48" s="21">
        <v>39</v>
      </c>
      <c r="DX48" s="21">
        <v>52</v>
      </c>
      <c r="DY48" s="21">
        <v>50</v>
      </c>
      <c r="DZ48" s="21">
        <v>31</v>
      </c>
      <c r="EA48" s="21">
        <v>31</v>
      </c>
      <c r="EB48" s="21">
        <v>39</v>
      </c>
      <c r="EC48" s="21">
        <v>25</v>
      </c>
      <c r="ED48" s="21">
        <v>54</v>
      </c>
      <c r="EE48" s="21">
        <v>30</v>
      </c>
      <c r="EF48" s="21">
        <v>24</v>
      </c>
      <c r="EG48" s="21">
        <v>30</v>
      </c>
      <c r="EH48" s="21">
        <v>16</v>
      </c>
      <c r="EI48" s="21">
        <v>24</v>
      </c>
      <c r="EJ48" s="21">
        <v>29</v>
      </c>
      <c r="EK48" s="21">
        <v>32</v>
      </c>
      <c r="EL48" s="21">
        <v>37</v>
      </c>
      <c r="EM48" s="21">
        <v>46</v>
      </c>
      <c r="EN48" s="21">
        <v>39</v>
      </c>
      <c r="EO48" s="21">
        <v>22</v>
      </c>
      <c r="EP48" s="21">
        <v>28</v>
      </c>
      <c r="EQ48" s="21">
        <v>25</v>
      </c>
      <c r="ER48" s="21">
        <v>31</v>
      </c>
      <c r="ES48" s="21">
        <v>39</v>
      </c>
      <c r="ET48" s="21">
        <v>40</v>
      </c>
      <c r="EU48" s="21">
        <v>33</v>
      </c>
      <c r="EV48" s="21">
        <v>49</v>
      </c>
      <c r="EW48" s="21">
        <v>77</v>
      </c>
      <c r="EX48" s="21">
        <v>29</v>
      </c>
      <c r="EY48" s="21">
        <v>40</v>
      </c>
      <c r="EZ48" s="21">
        <v>44</v>
      </c>
      <c r="FA48" s="21">
        <v>33</v>
      </c>
      <c r="FB48" s="21">
        <v>50</v>
      </c>
      <c r="FC48" s="21">
        <v>27</v>
      </c>
      <c r="FD48" s="21">
        <v>23</v>
      </c>
      <c r="FE48" s="21">
        <v>18</v>
      </c>
      <c r="FF48" s="21">
        <v>26</v>
      </c>
      <c r="FG48" s="21">
        <v>14</v>
      </c>
      <c r="FH48" s="21">
        <v>29</v>
      </c>
      <c r="FI48" s="21">
        <v>30</v>
      </c>
      <c r="FJ48" s="21">
        <v>28</v>
      </c>
      <c r="FK48" s="21">
        <v>35</v>
      </c>
      <c r="FL48" s="21"/>
      <c r="FM48" s="21"/>
      <c r="FN48" s="21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>
        <f t="shared" si="65"/>
        <v>122</v>
      </c>
      <c r="HT48" s="22">
        <f t="shared" si="16"/>
        <v>146</v>
      </c>
      <c r="HU48" s="22">
        <f t="shared" si="17"/>
        <v>127</v>
      </c>
      <c r="HV48" s="22">
        <f t="shared" si="18"/>
        <v>68</v>
      </c>
      <c r="HW48" s="22">
        <f t="shared" si="19"/>
        <v>69</v>
      </c>
      <c r="HX48" s="22">
        <f t="shared" si="20"/>
        <v>93</v>
      </c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</row>
    <row r="49" spans="1:248" outlineLevel="2" x14ac:dyDescent="0.3">
      <c r="B49" t="s">
        <v>78</v>
      </c>
      <c r="C49" s="11">
        <v>434</v>
      </c>
      <c r="D49" s="11">
        <v>530</v>
      </c>
      <c r="E49" s="11">
        <v>535</v>
      </c>
      <c r="F49" s="11">
        <v>397</v>
      </c>
      <c r="G49" s="11">
        <v>286</v>
      </c>
      <c r="H49" s="11">
        <v>459</v>
      </c>
      <c r="I49" s="11">
        <v>526</v>
      </c>
      <c r="J49" s="11">
        <v>403</v>
      </c>
      <c r="K49" s="11">
        <v>434</v>
      </c>
      <c r="L49" s="11">
        <v>434</v>
      </c>
      <c r="M49" s="11">
        <v>592</v>
      </c>
      <c r="N49" s="11">
        <v>865</v>
      </c>
      <c r="O49" s="11">
        <v>452</v>
      </c>
      <c r="P49" s="11">
        <v>594</v>
      </c>
      <c r="Q49" s="11">
        <v>622</v>
      </c>
      <c r="R49" s="11">
        <v>331</v>
      </c>
      <c r="S49" s="11">
        <v>639</v>
      </c>
      <c r="T49" s="11">
        <v>657</v>
      </c>
      <c r="U49" s="11">
        <v>840</v>
      </c>
      <c r="V49" s="11">
        <v>644</v>
      </c>
      <c r="W49" s="11">
        <v>632</v>
      </c>
      <c r="X49" s="11">
        <v>571</v>
      </c>
      <c r="Y49" s="11">
        <v>445</v>
      </c>
      <c r="Z49" s="11">
        <v>839</v>
      </c>
      <c r="AA49" s="12">
        <v>413</v>
      </c>
      <c r="AB49" s="12">
        <v>541</v>
      </c>
      <c r="AC49" s="12">
        <v>1001</v>
      </c>
      <c r="AD49" s="12">
        <v>489</v>
      </c>
      <c r="AE49" s="12">
        <v>564</v>
      </c>
      <c r="AF49" s="12">
        <v>722</v>
      </c>
      <c r="AG49" s="12">
        <v>712</v>
      </c>
      <c r="AH49" s="12">
        <v>229</v>
      </c>
      <c r="AI49" s="12">
        <v>298</v>
      </c>
      <c r="AJ49" s="12">
        <v>373</v>
      </c>
      <c r="AK49" s="12">
        <v>397</v>
      </c>
      <c r="AL49" s="13">
        <v>814</v>
      </c>
      <c r="AM49" s="12">
        <v>684</v>
      </c>
      <c r="AN49" s="12">
        <v>660</v>
      </c>
      <c r="AO49" s="12">
        <v>883</v>
      </c>
      <c r="AP49" s="12">
        <v>551</v>
      </c>
      <c r="AQ49" s="12">
        <v>407</v>
      </c>
      <c r="AR49" s="12">
        <v>680</v>
      </c>
      <c r="AS49" s="12">
        <v>925</v>
      </c>
      <c r="AT49" s="12">
        <v>505</v>
      </c>
      <c r="AU49" s="12">
        <v>378</v>
      </c>
      <c r="AV49" s="12">
        <v>381</v>
      </c>
      <c r="AW49" s="12">
        <v>486</v>
      </c>
      <c r="AX49" s="12">
        <v>990</v>
      </c>
      <c r="AY49" s="12">
        <v>438</v>
      </c>
      <c r="AZ49" s="12">
        <v>798</v>
      </c>
      <c r="BA49" s="12">
        <v>900</v>
      </c>
      <c r="BB49" s="12">
        <v>684</v>
      </c>
      <c r="BC49" s="12">
        <v>805</v>
      </c>
      <c r="BD49" s="12">
        <v>1008</v>
      </c>
      <c r="BE49" s="12">
        <v>1108</v>
      </c>
      <c r="BF49" s="12">
        <v>681</v>
      </c>
      <c r="BG49" s="12">
        <v>611</v>
      </c>
      <c r="BH49" s="12">
        <v>518</v>
      </c>
      <c r="BI49" s="12">
        <v>651</v>
      </c>
      <c r="BJ49" s="12">
        <v>1311</v>
      </c>
      <c r="BK49" s="12">
        <v>801</v>
      </c>
      <c r="BL49" s="12">
        <v>770</v>
      </c>
      <c r="BM49" s="12">
        <v>940</v>
      </c>
      <c r="BN49" s="12">
        <v>752</v>
      </c>
      <c r="BO49" s="12">
        <v>1000</v>
      </c>
      <c r="BP49" s="12">
        <v>1340</v>
      </c>
      <c r="BQ49" s="12">
        <v>956</v>
      </c>
      <c r="BR49" s="12">
        <v>514</v>
      </c>
      <c r="BS49" s="12">
        <v>610</v>
      </c>
      <c r="BT49" s="12">
        <v>813</v>
      </c>
      <c r="BU49" s="12">
        <v>940</v>
      </c>
      <c r="BV49" s="12">
        <v>1808</v>
      </c>
      <c r="BW49" s="12">
        <v>350</v>
      </c>
      <c r="BX49" s="12">
        <v>647</v>
      </c>
      <c r="BY49" s="12">
        <v>806</v>
      </c>
      <c r="BZ49" s="12">
        <v>705</v>
      </c>
      <c r="CA49" s="12">
        <v>475</v>
      </c>
      <c r="CB49" s="12">
        <v>771</v>
      </c>
      <c r="CC49" s="12">
        <v>742</v>
      </c>
      <c r="CD49" s="12">
        <v>581</v>
      </c>
      <c r="CE49" s="12">
        <v>450</v>
      </c>
      <c r="CF49" s="12">
        <v>511</v>
      </c>
      <c r="CG49" s="12">
        <v>521</v>
      </c>
      <c r="CH49" s="12">
        <v>915</v>
      </c>
      <c r="CI49" s="12">
        <v>398</v>
      </c>
      <c r="CJ49" s="12">
        <v>492</v>
      </c>
      <c r="CK49" s="12">
        <v>615</v>
      </c>
      <c r="CL49" s="12">
        <v>661</v>
      </c>
      <c r="CM49" s="12">
        <v>744</v>
      </c>
      <c r="CN49" s="12">
        <v>601</v>
      </c>
      <c r="CO49" s="12">
        <v>791</v>
      </c>
      <c r="CP49" s="12">
        <v>479</v>
      </c>
      <c r="CQ49" s="12">
        <v>338</v>
      </c>
      <c r="CR49" s="12">
        <v>461</v>
      </c>
      <c r="CS49" s="12">
        <v>469</v>
      </c>
      <c r="CT49" s="12">
        <v>366</v>
      </c>
      <c r="CU49" s="12">
        <v>271</v>
      </c>
      <c r="CV49" s="12">
        <v>547</v>
      </c>
      <c r="CW49" s="12">
        <v>708</v>
      </c>
      <c r="CX49" s="12">
        <v>738</v>
      </c>
      <c r="CY49" s="12">
        <v>788</v>
      </c>
      <c r="CZ49" s="12">
        <v>835</v>
      </c>
      <c r="DA49" s="12">
        <v>973</v>
      </c>
      <c r="DB49" s="12">
        <v>600</v>
      </c>
      <c r="DC49" s="12">
        <v>367</v>
      </c>
      <c r="DD49" s="12">
        <v>467</v>
      </c>
      <c r="DE49" s="12">
        <v>386</v>
      </c>
      <c r="DF49" s="12">
        <v>521</v>
      </c>
      <c r="DG49" s="12">
        <v>411</v>
      </c>
      <c r="DH49" s="12">
        <v>453</v>
      </c>
      <c r="DI49" s="14">
        <v>754</v>
      </c>
      <c r="DJ49" s="14">
        <v>636</v>
      </c>
      <c r="DK49" s="14">
        <v>566</v>
      </c>
      <c r="DL49" s="14">
        <v>567</v>
      </c>
      <c r="DM49" s="14">
        <v>692</v>
      </c>
      <c r="DN49" s="14">
        <v>365</v>
      </c>
      <c r="DO49" s="14">
        <v>344</v>
      </c>
      <c r="DP49" s="14">
        <v>300</v>
      </c>
      <c r="DQ49" s="14">
        <v>228</v>
      </c>
      <c r="DR49" s="14">
        <v>460</v>
      </c>
      <c r="DS49" s="14">
        <v>345</v>
      </c>
      <c r="DT49" s="14">
        <v>453</v>
      </c>
      <c r="DU49" s="14">
        <v>421</v>
      </c>
      <c r="DV49" s="14">
        <v>341</v>
      </c>
      <c r="DW49" s="14">
        <v>411</v>
      </c>
      <c r="DX49" s="14">
        <v>516</v>
      </c>
      <c r="DY49" s="14">
        <v>386</v>
      </c>
      <c r="DZ49" s="14">
        <v>408</v>
      </c>
      <c r="EA49" s="14">
        <v>383</v>
      </c>
      <c r="EB49" s="14">
        <v>397</v>
      </c>
      <c r="EC49" s="14">
        <v>306</v>
      </c>
      <c r="ED49" s="14">
        <v>520</v>
      </c>
      <c r="EE49" s="14">
        <v>270</v>
      </c>
      <c r="EF49" s="14">
        <v>301</v>
      </c>
      <c r="EG49" s="14">
        <v>430</v>
      </c>
      <c r="EH49" s="14">
        <v>339</v>
      </c>
      <c r="EI49" s="14">
        <v>286</v>
      </c>
      <c r="EJ49" s="14">
        <v>240</v>
      </c>
      <c r="EK49" s="14">
        <v>203</v>
      </c>
      <c r="EL49" s="14">
        <v>192</v>
      </c>
      <c r="EM49" s="14">
        <v>219</v>
      </c>
      <c r="EN49" s="14">
        <v>209</v>
      </c>
      <c r="EO49" s="14">
        <v>215</v>
      </c>
      <c r="EP49" s="14">
        <v>447</v>
      </c>
      <c r="EQ49" s="14">
        <v>183</v>
      </c>
      <c r="ER49" s="14">
        <v>305</v>
      </c>
      <c r="ES49" s="14">
        <v>313</v>
      </c>
      <c r="ET49" s="14">
        <v>291</v>
      </c>
      <c r="EU49" s="14">
        <v>271</v>
      </c>
      <c r="EV49" s="14">
        <v>212</v>
      </c>
      <c r="EW49" s="14">
        <v>401</v>
      </c>
      <c r="EX49" s="14">
        <v>245</v>
      </c>
      <c r="EY49" s="14">
        <v>178</v>
      </c>
      <c r="EZ49" s="14">
        <v>198</v>
      </c>
      <c r="FA49" s="14">
        <v>168</v>
      </c>
      <c r="FB49" s="14">
        <v>486</v>
      </c>
      <c r="FC49" s="14">
        <v>214</v>
      </c>
      <c r="FD49" s="14">
        <v>310</v>
      </c>
      <c r="FE49" s="14">
        <v>330</v>
      </c>
      <c r="FF49" s="14">
        <v>310</v>
      </c>
      <c r="FG49" s="14">
        <v>315</v>
      </c>
      <c r="FH49" s="14">
        <v>312</v>
      </c>
      <c r="FI49" s="14">
        <v>479</v>
      </c>
      <c r="FJ49" s="14">
        <v>421</v>
      </c>
      <c r="FK49" s="14">
        <v>327</v>
      </c>
      <c r="FL49" s="14"/>
      <c r="FM49" s="14"/>
      <c r="FN49" s="14"/>
      <c r="FR49" s="12">
        <f t="shared" si="26"/>
        <v>1499</v>
      </c>
      <c r="FS49" s="12">
        <f t="shared" si="27"/>
        <v>1142</v>
      </c>
      <c r="FT49" s="12">
        <f t="shared" si="28"/>
        <v>1363</v>
      </c>
      <c r="FU49" s="12">
        <f t="shared" si="29"/>
        <v>1891</v>
      </c>
      <c r="FV49" s="12">
        <f t="shared" si="30"/>
        <v>1668</v>
      </c>
      <c r="FW49" s="12">
        <f t="shared" si="31"/>
        <v>1627</v>
      </c>
      <c r="FX49" s="12">
        <f t="shared" si="32"/>
        <v>2116</v>
      </c>
      <c r="FY49" s="12">
        <f t="shared" si="33"/>
        <v>1855</v>
      </c>
      <c r="FZ49" s="12">
        <f t="shared" si="34"/>
        <v>1955</v>
      </c>
      <c r="GA49" s="12">
        <f t="shared" si="35"/>
        <v>1775</v>
      </c>
      <c r="GB49" s="12">
        <f t="shared" si="36"/>
        <v>1239</v>
      </c>
      <c r="GC49" s="12">
        <f t="shared" si="37"/>
        <v>1584</v>
      </c>
      <c r="GD49" s="12">
        <f t="shared" si="38"/>
        <v>2227</v>
      </c>
      <c r="GE49" s="12">
        <f t="shared" si="39"/>
        <v>1638</v>
      </c>
      <c r="GF49" s="12">
        <f t="shared" si="40"/>
        <v>1808</v>
      </c>
      <c r="GG49" s="12">
        <f t="shared" si="41"/>
        <v>1857</v>
      </c>
      <c r="GH49" s="12">
        <f t="shared" si="42"/>
        <v>2136</v>
      </c>
      <c r="GI49" s="12">
        <f t="shared" si="43"/>
        <v>2497</v>
      </c>
      <c r="GJ49" s="12">
        <f t="shared" si="44"/>
        <v>2400</v>
      </c>
      <c r="GK49" s="12">
        <f t="shared" si="45"/>
        <v>2480</v>
      </c>
      <c r="GL49" s="12">
        <f t="shared" si="46"/>
        <v>2511</v>
      </c>
      <c r="GM49" s="12">
        <f t="shared" si="47"/>
        <v>3092</v>
      </c>
      <c r="GN49" s="12">
        <f t="shared" si="48"/>
        <v>2080</v>
      </c>
      <c r="GO49" s="12">
        <f t="shared" si="49"/>
        <v>3561</v>
      </c>
      <c r="GP49" s="12">
        <f t="shared" si="50"/>
        <v>1803</v>
      </c>
      <c r="GQ49" s="12">
        <f t="shared" si="51"/>
        <v>1951</v>
      </c>
      <c r="GR49" s="12">
        <f t="shared" si="52"/>
        <v>1773</v>
      </c>
      <c r="GS49" s="12">
        <f t="shared" si="53"/>
        <v>1947</v>
      </c>
      <c r="GT49" s="12">
        <f t="shared" si="54"/>
        <v>1505</v>
      </c>
      <c r="GU49" s="12">
        <f t="shared" si="55"/>
        <v>2006</v>
      </c>
      <c r="GV49" s="12">
        <f t="shared" si="56"/>
        <v>1608</v>
      </c>
      <c r="GW49" s="12">
        <f t="shared" si="57"/>
        <v>1296</v>
      </c>
      <c r="GX49" s="12">
        <f t="shared" si="58"/>
        <v>1526</v>
      </c>
      <c r="GY49" s="12">
        <f t="shared" si="59"/>
        <v>2361</v>
      </c>
      <c r="GZ49" s="12">
        <f t="shared" si="2"/>
        <v>1940</v>
      </c>
      <c r="HA49" s="12">
        <f t="shared" si="3"/>
        <v>1374</v>
      </c>
      <c r="HB49" s="12">
        <f t="shared" si="4"/>
        <v>864</v>
      </c>
      <c r="HC49" s="12">
        <f t="shared" si="5"/>
        <v>1769</v>
      </c>
      <c r="HD49" s="12">
        <f t="shared" si="6"/>
        <v>1401</v>
      </c>
      <c r="HE49" s="12">
        <f t="shared" si="7"/>
        <v>988</v>
      </c>
      <c r="HF49" s="12">
        <f t="shared" si="8"/>
        <v>1219</v>
      </c>
      <c r="HG49" s="12">
        <f t="shared" si="9"/>
        <v>1268</v>
      </c>
      <c r="HH49" s="12">
        <f t="shared" si="10"/>
        <v>1177</v>
      </c>
      <c r="HI49" s="12">
        <f t="shared" si="11"/>
        <v>1223</v>
      </c>
      <c r="HJ49" s="12">
        <f t="shared" si="12"/>
        <v>1001</v>
      </c>
      <c r="HK49" s="12">
        <f t="shared" si="13"/>
        <v>865</v>
      </c>
      <c r="HL49" s="12">
        <f t="shared" si="14"/>
        <v>614</v>
      </c>
      <c r="HM49" s="12">
        <f t="shared" si="15"/>
        <v>871</v>
      </c>
      <c r="HN49" s="12">
        <f t="shared" si="60"/>
        <v>1001</v>
      </c>
      <c r="HO49" s="12">
        <f t="shared" si="61"/>
        <v>865</v>
      </c>
      <c r="HP49" s="12">
        <f t="shared" si="62"/>
        <v>614</v>
      </c>
      <c r="HQ49" s="12">
        <f t="shared" si="63"/>
        <v>871</v>
      </c>
      <c r="HR49" s="12">
        <f t="shared" si="64"/>
        <v>801</v>
      </c>
      <c r="HS49" s="12">
        <f t="shared" si="65"/>
        <v>774</v>
      </c>
      <c r="HT49" s="12">
        <f t="shared" si="16"/>
        <v>824</v>
      </c>
      <c r="HU49" s="12">
        <f t="shared" si="17"/>
        <v>852</v>
      </c>
      <c r="HV49" s="12">
        <f t="shared" si="18"/>
        <v>854</v>
      </c>
      <c r="HW49" s="12">
        <f t="shared" si="19"/>
        <v>937</v>
      </c>
      <c r="HX49" s="12">
        <f t="shared" si="20"/>
        <v>1227</v>
      </c>
      <c r="IB49" s="12">
        <f t="shared" si="66"/>
        <v>5895</v>
      </c>
      <c r="IC49" s="12">
        <f t="shared" si="67"/>
        <v>7266</v>
      </c>
      <c r="ID49" s="12">
        <f t="shared" si="68"/>
        <v>6553</v>
      </c>
      <c r="IE49" s="12">
        <f t="shared" si="69"/>
        <v>7530</v>
      </c>
      <c r="IF49" s="12">
        <f t="shared" si="70"/>
        <v>9513</v>
      </c>
      <c r="IG49" s="12">
        <f t="shared" si="71"/>
        <v>11244</v>
      </c>
      <c r="IH49" s="12">
        <f t="shared" si="72"/>
        <v>7474</v>
      </c>
      <c r="II49" s="12">
        <f t="shared" si="73"/>
        <v>6415</v>
      </c>
      <c r="IJ49" s="12">
        <f t="shared" si="21"/>
        <v>7201</v>
      </c>
      <c r="IK49" s="12">
        <f t="shared" si="22"/>
        <v>5776</v>
      </c>
      <c r="IL49" s="12">
        <f t="shared" si="23"/>
        <v>4887</v>
      </c>
      <c r="IM49" s="12">
        <f t="shared" si="24"/>
        <v>3351</v>
      </c>
      <c r="IN49" s="12">
        <f t="shared" ref="IN49:IN76" si="90">SUM(EQ49:FB49)</f>
        <v>3251</v>
      </c>
    </row>
    <row r="50" spans="1:248" outlineLevel="1" x14ac:dyDescent="0.3">
      <c r="A50" s="15" t="s">
        <v>97</v>
      </c>
      <c r="B50" s="15"/>
      <c r="C50" s="16">
        <f t="shared" ref="C50:BN50" si="91">+SUM(C48:C49)</f>
        <v>434</v>
      </c>
      <c r="D50" s="16">
        <f t="shared" si="91"/>
        <v>530</v>
      </c>
      <c r="E50" s="16">
        <f t="shared" si="91"/>
        <v>535</v>
      </c>
      <c r="F50" s="16">
        <f t="shared" si="91"/>
        <v>397</v>
      </c>
      <c r="G50" s="16">
        <f t="shared" si="91"/>
        <v>286</v>
      </c>
      <c r="H50" s="16">
        <f t="shared" si="91"/>
        <v>459</v>
      </c>
      <c r="I50" s="16">
        <f t="shared" si="91"/>
        <v>526</v>
      </c>
      <c r="J50" s="16">
        <f t="shared" si="91"/>
        <v>403</v>
      </c>
      <c r="K50" s="16">
        <f t="shared" si="91"/>
        <v>434</v>
      </c>
      <c r="L50" s="16">
        <f t="shared" si="91"/>
        <v>434</v>
      </c>
      <c r="M50" s="16">
        <f t="shared" si="91"/>
        <v>592</v>
      </c>
      <c r="N50" s="16">
        <f t="shared" si="91"/>
        <v>865</v>
      </c>
      <c r="O50" s="16">
        <f t="shared" si="91"/>
        <v>452</v>
      </c>
      <c r="P50" s="16">
        <f t="shared" si="91"/>
        <v>594</v>
      </c>
      <c r="Q50" s="16">
        <f t="shared" si="91"/>
        <v>622</v>
      </c>
      <c r="R50" s="16">
        <f t="shared" si="91"/>
        <v>331</v>
      </c>
      <c r="S50" s="16">
        <f t="shared" si="91"/>
        <v>639</v>
      </c>
      <c r="T50" s="16">
        <f t="shared" si="91"/>
        <v>657</v>
      </c>
      <c r="U50" s="16">
        <f t="shared" si="91"/>
        <v>840</v>
      </c>
      <c r="V50" s="16">
        <f t="shared" si="91"/>
        <v>644</v>
      </c>
      <c r="W50" s="16">
        <f t="shared" si="91"/>
        <v>632</v>
      </c>
      <c r="X50" s="16">
        <f t="shared" si="91"/>
        <v>571</v>
      </c>
      <c r="Y50" s="16">
        <f t="shared" si="91"/>
        <v>445</v>
      </c>
      <c r="Z50" s="16">
        <f t="shared" si="91"/>
        <v>839</v>
      </c>
      <c r="AA50" s="17">
        <f t="shared" si="91"/>
        <v>413</v>
      </c>
      <c r="AB50" s="17">
        <f t="shared" si="91"/>
        <v>541</v>
      </c>
      <c r="AC50" s="17">
        <f t="shared" si="91"/>
        <v>1001</v>
      </c>
      <c r="AD50" s="17">
        <f t="shared" si="91"/>
        <v>489</v>
      </c>
      <c r="AE50" s="17">
        <f t="shared" si="91"/>
        <v>564</v>
      </c>
      <c r="AF50" s="17">
        <f t="shared" si="91"/>
        <v>722</v>
      </c>
      <c r="AG50" s="17">
        <f t="shared" si="91"/>
        <v>712</v>
      </c>
      <c r="AH50" s="17">
        <f t="shared" si="91"/>
        <v>229</v>
      </c>
      <c r="AI50" s="17">
        <f t="shared" si="91"/>
        <v>298</v>
      </c>
      <c r="AJ50" s="17">
        <f t="shared" si="91"/>
        <v>373</v>
      </c>
      <c r="AK50" s="17">
        <f t="shared" si="91"/>
        <v>397</v>
      </c>
      <c r="AL50" s="18">
        <f t="shared" si="91"/>
        <v>814</v>
      </c>
      <c r="AM50" s="17">
        <f t="shared" si="91"/>
        <v>684</v>
      </c>
      <c r="AN50" s="17">
        <f t="shared" si="91"/>
        <v>660</v>
      </c>
      <c r="AO50" s="17">
        <f t="shared" si="91"/>
        <v>883</v>
      </c>
      <c r="AP50" s="17">
        <f t="shared" si="91"/>
        <v>551</v>
      </c>
      <c r="AQ50" s="17">
        <f t="shared" si="91"/>
        <v>407</v>
      </c>
      <c r="AR50" s="17">
        <f t="shared" si="91"/>
        <v>680</v>
      </c>
      <c r="AS50" s="17">
        <f t="shared" si="91"/>
        <v>925</v>
      </c>
      <c r="AT50" s="17">
        <f t="shared" si="91"/>
        <v>505</v>
      </c>
      <c r="AU50" s="17">
        <f t="shared" si="91"/>
        <v>378</v>
      </c>
      <c r="AV50" s="17">
        <f t="shared" si="91"/>
        <v>381</v>
      </c>
      <c r="AW50" s="17">
        <f t="shared" si="91"/>
        <v>486</v>
      </c>
      <c r="AX50" s="17">
        <f t="shared" si="91"/>
        <v>990</v>
      </c>
      <c r="AY50" s="17">
        <f t="shared" si="91"/>
        <v>438</v>
      </c>
      <c r="AZ50" s="17">
        <f t="shared" si="91"/>
        <v>798</v>
      </c>
      <c r="BA50" s="17">
        <f t="shared" si="91"/>
        <v>900</v>
      </c>
      <c r="BB50" s="17">
        <f t="shared" si="91"/>
        <v>684</v>
      </c>
      <c r="BC50" s="17">
        <f t="shared" si="91"/>
        <v>805</v>
      </c>
      <c r="BD50" s="17">
        <f t="shared" si="91"/>
        <v>1008</v>
      </c>
      <c r="BE50" s="17">
        <f t="shared" si="91"/>
        <v>1108</v>
      </c>
      <c r="BF50" s="17">
        <f t="shared" si="91"/>
        <v>681</v>
      </c>
      <c r="BG50" s="17">
        <f t="shared" si="91"/>
        <v>611</v>
      </c>
      <c r="BH50" s="17">
        <f t="shared" si="91"/>
        <v>518</v>
      </c>
      <c r="BI50" s="17">
        <f t="shared" si="91"/>
        <v>651</v>
      </c>
      <c r="BJ50" s="17">
        <f t="shared" si="91"/>
        <v>1311</v>
      </c>
      <c r="BK50" s="17">
        <f t="shared" si="91"/>
        <v>801</v>
      </c>
      <c r="BL50" s="17">
        <f t="shared" si="91"/>
        <v>770</v>
      </c>
      <c r="BM50" s="17">
        <f t="shared" si="91"/>
        <v>940</v>
      </c>
      <c r="BN50" s="17">
        <f t="shared" si="91"/>
        <v>752</v>
      </c>
      <c r="BO50" s="17">
        <f t="shared" ref="BO50:DD50" si="92">+SUM(BO48:BO49)</f>
        <v>1000</v>
      </c>
      <c r="BP50" s="17">
        <f t="shared" si="92"/>
        <v>1340</v>
      </c>
      <c r="BQ50" s="17">
        <f t="shared" si="92"/>
        <v>956</v>
      </c>
      <c r="BR50" s="17">
        <f t="shared" si="92"/>
        <v>514</v>
      </c>
      <c r="BS50" s="17">
        <f t="shared" si="92"/>
        <v>610</v>
      </c>
      <c r="BT50" s="17">
        <f t="shared" si="92"/>
        <v>813</v>
      </c>
      <c r="BU50" s="17">
        <f t="shared" si="92"/>
        <v>940</v>
      </c>
      <c r="BV50" s="17">
        <f t="shared" si="92"/>
        <v>1808</v>
      </c>
      <c r="BW50" s="17">
        <f t="shared" si="92"/>
        <v>350</v>
      </c>
      <c r="BX50" s="17">
        <f t="shared" si="92"/>
        <v>647</v>
      </c>
      <c r="BY50" s="17">
        <f t="shared" si="92"/>
        <v>806</v>
      </c>
      <c r="BZ50" s="17">
        <f t="shared" si="92"/>
        <v>705</v>
      </c>
      <c r="CA50" s="17">
        <f t="shared" si="92"/>
        <v>476</v>
      </c>
      <c r="CB50" s="17">
        <f t="shared" si="92"/>
        <v>771</v>
      </c>
      <c r="CC50" s="17">
        <f t="shared" si="92"/>
        <v>769</v>
      </c>
      <c r="CD50" s="17">
        <f t="shared" si="92"/>
        <v>593</v>
      </c>
      <c r="CE50" s="17">
        <f t="shared" si="92"/>
        <v>458</v>
      </c>
      <c r="CF50" s="17">
        <f t="shared" si="92"/>
        <v>537</v>
      </c>
      <c r="CG50" s="17">
        <f t="shared" si="92"/>
        <v>533</v>
      </c>
      <c r="CH50" s="17">
        <f t="shared" si="92"/>
        <v>925</v>
      </c>
      <c r="CI50" s="17">
        <f t="shared" si="92"/>
        <v>416</v>
      </c>
      <c r="CJ50" s="17">
        <f t="shared" si="92"/>
        <v>503</v>
      </c>
      <c r="CK50" s="17">
        <f t="shared" si="92"/>
        <v>644</v>
      </c>
      <c r="CL50" s="17">
        <f t="shared" si="92"/>
        <v>685</v>
      </c>
      <c r="CM50" s="17">
        <f t="shared" si="92"/>
        <v>769</v>
      </c>
      <c r="CN50" s="17">
        <f t="shared" si="92"/>
        <v>619</v>
      </c>
      <c r="CO50" s="17">
        <f t="shared" si="92"/>
        <v>825</v>
      </c>
      <c r="CP50" s="17">
        <f t="shared" si="92"/>
        <v>504</v>
      </c>
      <c r="CQ50" s="17">
        <f t="shared" si="92"/>
        <v>350</v>
      </c>
      <c r="CR50" s="17">
        <f t="shared" si="92"/>
        <v>516</v>
      </c>
      <c r="CS50" s="17">
        <f t="shared" si="92"/>
        <v>500</v>
      </c>
      <c r="CT50" s="17">
        <f t="shared" si="92"/>
        <v>372</v>
      </c>
      <c r="CU50" s="17">
        <f t="shared" si="92"/>
        <v>314</v>
      </c>
      <c r="CV50" s="17">
        <f t="shared" si="92"/>
        <v>601</v>
      </c>
      <c r="CW50" s="17">
        <f t="shared" si="92"/>
        <v>789</v>
      </c>
      <c r="CX50" s="17">
        <f t="shared" si="92"/>
        <v>806</v>
      </c>
      <c r="CY50" s="17">
        <f t="shared" si="92"/>
        <v>861</v>
      </c>
      <c r="CZ50" s="17">
        <f t="shared" si="92"/>
        <v>949</v>
      </c>
      <c r="DA50" s="17">
        <f t="shared" si="92"/>
        <v>1102</v>
      </c>
      <c r="DB50" s="17">
        <f t="shared" si="92"/>
        <v>704</v>
      </c>
      <c r="DC50" s="17">
        <f t="shared" si="92"/>
        <v>455</v>
      </c>
      <c r="DD50" s="17">
        <f t="shared" si="92"/>
        <v>567</v>
      </c>
      <c r="DE50" s="17">
        <v>443</v>
      </c>
      <c r="DF50" s="17">
        <v>571</v>
      </c>
      <c r="DG50" s="17">
        <v>474</v>
      </c>
      <c r="DH50" s="17">
        <v>496</v>
      </c>
      <c r="DI50" s="19">
        <v>815</v>
      </c>
      <c r="DJ50" s="19">
        <v>694</v>
      </c>
      <c r="DK50" s="19">
        <v>643</v>
      </c>
      <c r="DL50" s="19">
        <v>659</v>
      </c>
      <c r="DM50" s="19">
        <v>846</v>
      </c>
      <c r="DN50" s="19">
        <v>432</v>
      </c>
      <c r="DO50" s="19">
        <v>409</v>
      </c>
      <c r="DP50" s="19">
        <v>368</v>
      </c>
      <c r="DQ50" s="19">
        <v>291</v>
      </c>
      <c r="DR50" s="19">
        <v>506</v>
      </c>
      <c r="DS50" s="19">
        <v>423</v>
      </c>
      <c r="DT50" s="19">
        <v>511</v>
      </c>
      <c r="DU50" s="19">
        <v>458</v>
      </c>
      <c r="DV50" s="19">
        <v>382</v>
      </c>
      <c r="DW50" s="19">
        <v>450</v>
      </c>
      <c r="DX50" s="19">
        <v>568</v>
      </c>
      <c r="DY50" s="19">
        <v>436</v>
      </c>
      <c r="DZ50" s="19">
        <v>439</v>
      </c>
      <c r="EA50" s="19">
        <v>414</v>
      </c>
      <c r="EB50" s="19">
        <v>436</v>
      </c>
      <c r="EC50" s="19">
        <v>331</v>
      </c>
      <c r="ED50" s="19">
        <v>574</v>
      </c>
      <c r="EE50" s="19">
        <v>300</v>
      </c>
      <c r="EF50" s="19">
        <v>325</v>
      </c>
      <c r="EG50" s="19">
        <v>460</v>
      </c>
      <c r="EH50" s="19">
        <v>355</v>
      </c>
      <c r="EI50" s="19">
        <v>310</v>
      </c>
      <c r="EJ50" s="19">
        <v>269</v>
      </c>
      <c r="EK50" s="19">
        <v>235</v>
      </c>
      <c r="EL50" s="19">
        <v>229</v>
      </c>
      <c r="EM50" s="19">
        <v>265</v>
      </c>
      <c r="EN50" s="19">
        <v>248</v>
      </c>
      <c r="EO50" s="19">
        <v>237</v>
      </c>
      <c r="EP50" s="19">
        <v>475</v>
      </c>
      <c r="EQ50" s="19">
        <v>208</v>
      </c>
      <c r="ER50" s="19">
        <v>336</v>
      </c>
      <c r="ES50" s="19">
        <v>352</v>
      </c>
      <c r="ET50" s="19">
        <v>340</v>
      </c>
      <c r="EU50" s="19">
        <v>315</v>
      </c>
      <c r="EV50" s="19">
        <v>268</v>
      </c>
      <c r="EW50" s="19">
        <v>502</v>
      </c>
      <c r="EX50" s="19">
        <v>284</v>
      </c>
      <c r="EY50" s="19">
        <v>235</v>
      </c>
      <c r="EZ50" s="19">
        <v>259</v>
      </c>
      <c r="FA50" s="19">
        <v>208</v>
      </c>
      <c r="FB50" s="19">
        <v>550</v>
      </c>
      <c r="FC50" s="19">
        <v>250</v>
      </c>
      <c r="FD50" s="19">
        <v>338</v>
      </c>
      <c r="FE50" s="19">
        <v>359</v>
      </c>
      <c r="FF50" s="19">
        <v>345</v>
      </c>
      <c r="FG50" s="19">
        <v>342</v>
      </c>
      <c r="FH50" s="19">
        <v>357</v>
      </c>
      <c r="FI50" s="19">
        <v>525</v>
      </c>
      <c r="FJ50" s="19">
        <v>450</v>
      </c>
      <c r="FK50" s="19">
        <v>374</v>
      </c>
      <c r="FL50" s="20"/>
      <c r="FM50" s="20"/>
      <c r="FN50" s="20"/>
      <c r="FR50" s="17">
        <f t="shared" si="26"/>
        <v>1499</v>
      </c>
      <c r="FS50" s="17">
        <f t="shared" si="27"/>
        <v>1142</v>
      </c>
      <c r="FT50" s="17">
        <f t="shared" si="28"/>
        <v>1363</v>
      </c>
      <c r="FU50" s="17">
        <f t="shared" si="29"/>
        <v>1891</v>
      </c>
      <c r="FV50" s="17">
        <f t="shared" si="30"/>
        <v>1668</v>
      </c>
      <c r="FW50" s="17">
        <f t="shared" si="31"/>
        <v>1627</v>
      </c>
      <c r="FX50" s="17">
        <f t="shared" si="32"/>
        <v>2116</v>
      </c>
      <c r="FY50" s="17">
        <f t="shared" si="33"/>
        <v>1855</v>
      </c>
      <c r="FZ50" s="17">
        <f t="shared" si="34"/>
        <v>1955</v>
      </c>
      <c r="GA50" s="17">
        <f t="shared" si="35"/>
        <v>1775</v>
      </c>
      <c r="GB50" s="17">
        <f t="shared" si="36"/>
        <v>1239</v>
      </c>
      <c r="GC50" s="17">
        <f t="shared" si="37"/>
        <v>1584</v>
      </c>
      <c r="GD50" s="17">
        <f t="shared" si="38"/>
        <v>2227</v>
      </c>
      <c r="GE50" s="17">
        <f t="shared" si="39"/>
        <v>1638</v>
      </c>
      <c r="GF50" s="17">
        <f t="shared" si="40"/>
        <v>1808</v>
      </c>
      <c r="GG50" s="17">
        <f t="shared" si="41"/>
        <v>1857</v>
      </c>
      <c r="GH50" s="17">
        <f t="shared" si="42"/>
        <v>2136</v>
      </c>
      <c r="GI50" s="17">
        <f t="shared" si="43"/>
        <v>2497</v>
      </c>
      <c r="GJ50" s="17">
        <f t="shared" si="44"/>
        <v>2400</v>
      </c>
      <c r="GK50" s="17">
        <f t="shared" si="45"/>
        <v>2480</v>
      </c>
      <c r="GL50" s="17">
        <f t="shared" si="46"/>
        <v>2511</v>
      </c>
      <c r="GM50" s="17">
        <f t="shared" si="47"/>
        <v>3092</v>
      </c>
      <c r="GN50" s="17">
        <f t="shared" si="48"/>
        <v>2080</v>
      </c>
      <c r="GO50" s="17">
        <f t="shared" si="49"/>
        <v>3561</v>
      </c>
      <c r="GP50" s="17">
        <f t="shared" si="50"/>
        <v>1803</v>
      </c>
      <c r="GQ50" s="17">
        <f t="shared" si="51"/>
        <v>1952</v>
      </c>
      <c r="GR50" s="17">
        <f t="shared" si="52"/>
        <v>1820</v>
      </c>
      <c r="GS50" s="17">
        <f t="shared" si="53"/>
        <v>1995</v>
      </c>
      <c r="GT50" s="17">
        <f t="shared" si="54"/>
        <v>1563</v>
      </c>
      <c r="GU50" s="17">
        <f t="shared" si="55"/>
        <v>2073</v>
      </c>
      <c r="GV50" s="17">
        <f t="shared" si="56"/>
        <v>1679</v>
      </c>
      <c r="GW50" s="17">
        <f t="shared" si="57"/>
        <v>1388</v>
      </c>
      <c r="GX50" s="17">
        <f t="shared" si="58"/>
        <v>1704</v>
      </c>
      <c r="GY50" s="17">
        <f t="shared" si="59"/>
        <v>2616</v>
      </c>
      <c r="GZ50" s="17">
        <f t="shared" si="2"/>
        <v>2261</v>
      </c>
      <c r="HA50" s="17">
        <f t="shared" si="3"/>
        <v>1581</v>
      </c>
      <c r="HB50" s="17">
        <f t="shared" si="4"/>
        <v>970</v>
      </c>
      <c r="HC50" s="17">
        <f t="shared" si="5"/>
        <v>1996</v>
      </c>
      <c r="HD50" s="17">
        <f t="shared" si="6"/>
        <v>1687</v>
      </c>
      <c r="HE50" s="17">
        <f t="shared" si="7"/>
        <v>1165</v>
      </c>
      <c r="HF50" s="17">
        <f t="shared" si="8"/>
        <v>1392</v>
      </c>
      <c r="HG50" s="17">
        <f t="shared" si="9"/>
        <v>1400</v>
      </c>
      <c r="HH50" s="17">
        <f t="shared" si="10"/>
        <v>1289</v>
      </c>
      <c r="HI50" s="17">
        <f t="shared" si="11"/>
        <v>1341</v>
      </c>
      <c r="HJ50" s="17">
        <f t="shared" si="12"/>
        <v>1085</v>
      </c>
      <c r="HK50" s="17">
        <f t="shared" si="13"/>
        <v>934</v>
      </c>
      <c r="HL50" s="17">
        <f t="shared" si="14"/>
        <v>729</v>
      </c>
      <c r="HM50" s="17">
        <f t="shared" si="15"/>
        <v>960</v>
      </c>
      <c r="HN50" s="17">
        <f t="shared" si="60"/>
        <v>1085</v>
      </c>
      <c r="HO50" s="17">
        <f t="shared" si="61"/>
        <v>934</v>
      </c>
      <c r="HP50" s="17">
        <f t="shared" si="62"/>
        <v>729</v>
      </c>
      <c r="HQ50" s="17">
        <f t="shared" si="63"/>
        <v>960</v>
      </c>
      <c r="HR50" s="17">
        <f t="shared" si="64"/>
        <v>896</v>
      </c>
      <c r="HS50" s="17">
        <f t="shared" si="65"/>
        <v>923</v>
      </c>
      <c r="HT50" s="17">
        <f t="shared" si="16"/>
        <v>1021</v>
      </c>
      <c r="HU50" s="17">
        <f t="shared" si="17"/>
        <v>1017</v>
      </c>
      <c r="HV50" s="17">
        <f t="shared" si="18"/>
        <v>947</v>
      </c>
      <c r="HW50" s="17">
        <f t="shared" si="19"/>
        <v>1044</v>
      </c>
      <c r="HX50" s="17">
        <f t="shared" si="20"/>
        <v>1349</v>
      </c>
      <c r="IB50" s="17">
        <f t="shared" si="66"/>
        <v>5895</v>
      </c>
      <c r="IC50" s="17">
        <f t="shared" si="67"/>
        <v>7266</v>
      </c>
      <c r="ID50" s="17">
        <f t="shared" si="68"/>
        <v>6553</v>
      </c>
      <c r="IE50" s="17">
        <f t="shared" si="69"/>
        <v>7530</v>
      </c>
      <c r="IF50" s="17">
        <f t="shared" si="70"/>
        <v>9513</v>
      </c>
      <c r="IG50" s="17">
        <f t="shared" si="71"/>
        <v>11244</v>
      </c>
      <c r="IH50" s="17">
        <f t="shared" si="72"/>
        <v>7570</v>
      </c>
      <c r="II50" s="17">
        <f t="shared" si="73"/>
        <v>6703</v>
      </c>
      <c r="IJ50" s="17">
        <f t="shared" si="21"/>
        <v>8162</v>
      </c>
      <c r="IK50" s="17">
        <f t="shared" si="22"/>
        <v>6633</v>
      </c>
      <c r="IL50" s="17">
        <f t="shared" si="23"/>
        <v>5422</v>
      </c>
      <c r="IM50" s="17">
        <f t="shared" si="24"/>
        <v>3708</v>
      </c>
      <c r="IN50" s="17">
        <f t="shared" si="90"/>
        <v>3857</v>
      </c>
    </row>
    <row r="51" spans="1:248" outlineLevel="2" x14ac:dyDescent="0.3">
      <c r="A51" t="s">
        <v>98</v>
      </c>
      <c r="B51" t="s">
        <v>75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3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/>
      <c r="FM51" s="14"/>
      <c r="FN51" s="14"/>
      <c r="FR51" s="12">
        <f t="shared" si="26"/>
        <v>0</v>
      </c>
      <c r="FS51" s="12">
        <f t="shared" si="27"/>
        <v>0</v>
      </c>
      <c r="FT51" s="12">
        <f t="shared" si="28"/>
        <v>0</v>
      </c>
      <c r="FU51" s="12">
        <f t="shared" si="29"/>
        <v>0</v>
      </c>
      <c r="FV51" s="12">
        <f t="shared" si="30"/>
        <v>0</v>
      </c>
      <c r="FW51" s="12">
        <f t="shared" si="31"/>
        <v>0</v>
      </c>
      <c r="FX51" s="12">
        <f t="shared" si="32"/>
        <v>0</v>
      </c>
      <c r="FY51" s="12">
        <f t="shared" si="33"/>
        <v>0</v>
      </c>
      <c r="FZ51" s="12">
        <f t="shared" si="34"/>
        <v>0</v>
      </c>
      <c r="GA51" s="12">
        <f t="shared" si="35"/>
        <v>0</v>
      </c>
      <c r="GB51" s="12">
        <f t="shared" si="36"/>
        <v>0</v>
      </c>
      <c r="GC51" s="12">
        <f t="shared" si="37"/>
        <v>0</v>
      </c>
      <c r="GD51" s="12">
        <f t="shared" si="38"/>
        <v>0</v>
      </c>
      <c r="GE51" s="12">
        <f t="shared" si="39"/>
        <v>0</v>
      </c>
      <c r="GF51" s="12">
        <f t="shared" si="40"/>
        <v>0</v>
      </c>
      <c r="GG51" s="12">
        <f t="shared" si="41"/>
        <v>0</v>
      </c>
      <c r="GH51" s="12">
        <f t="shared" si="42"/>
        <v>0</v>
      </c>
      <c r="GI51" s="12">
        <f t="shared" si="43"/>
        <v>0</v>
      </c>
      <c r="GJ51" s="12">
        <f t="shared" si="44"/>
        <v>0</v>
      </c>
      <c r="GK51" s="12">
        <f t="shared" si="45"/>
        <v>0</v>
      </c>
      <c r="GL51" s="12">
        <f t="shared" si="46"/>
        <v>0</v>
      </c>
      <c r="GM51" s="12">
        <f t="shared" si="47"/>
        <v>0</v>
      </c>
      <c r="GN51" s="12">
        <f t="shared" si="48"/>
        <v>0</v>
      </c>
      <c r="GO51" s="12">
        <f t="shared" si="49"/>
        <v>0</v>
      </c>
      <c r="GP51" s="12">
        <f t="shared" si="50"/>
        <v>0</v>
      </c>
      <c r="GQ51" s="12">
        <f t="shared" si="51"/>
        <v>0</v>
      </c>
      <c r="GR51" s="12">
        <f t="shared" si="52"/>
        <v>0</v>
      </c>
      <c r="GS51" s="12">
        <f t="shared" si="53"/>
        <v>0</v>
      </c>
      <c r="GT51" s="12">
        <f t="shared" si="54"/>
        <v>0</v>
      </c>
      <c r="GU51" s="12">
        <f t="shared" si="55"/>
        <v>0</v>
      </c>
      <c r="GV51" s="12">
        <f t="shared" si="56"/>
        <v>0</v>
      </c>
      <c r="GW51" s="12">
        <f t="shared" si="57"/>
        <v>0</v>
      </c>
      <c r="GX51" s="12">
        <f t="shared" si="58"/>
        <v>0</v>
      </c>
      <c r="GY51" s="12">
        <f t="shared" si="59"/>
        <v>0</v>
      </c>
      <c r="GZ51" s="12">
        <f t="shared" si="2"/>
        <v>0</v>
      </c>
      <c r="HA51" s="12">
        <f t="shared" si="3"/>
        <v>0</v>
      </c>
      <c r="HB51" s="12">
        <f t="shared" si="4"/>
        <v>0</v>
      </c>
      <c r="HC51" s="12">
        <f t="shared" si="5"/>
        <v>0</v>
      </c>
      <c r="HD51" s="12">
        <f t="shared" si="6"/>
        <v>0</v>
      </c>
      <c r="HE51" s="12">
        <f t="shared" si="7"/>
        <v>0</v>
      </c>
      <c r="HF51" s="12">
        <f t="shared" si="8"/>
        <v>0</v>
      </c>
      <c r="HG51" s="12">
        <f t="shared" si="9"/>
        <v>0</v>
      </c>
      <c r="HH51" s="12">
        <f t="shared" si="10"/>
        <v>0</v>
      </c>
      <c r="HI51" s="12">
        <f t="shared" si="11"/>
        <v>0</v>
      </c>
      <c r="HJ51" s="12">
        <f t="shared" si="12"/>
        <v>0</v>
      </c>
      <c r="HK51" s="12">
        <f t="shared" si="13"/>
        <v>0</v>
      </c>
      <c r="HL51" s="12">
        <f t="shared" si="14"/>
        <v>0</v>
      </c>
      <c r="HM51" s="12">
        <f t="shared" si="15"/>
        <v>0</v>
      </c>
      <c r="HN51" s="12">
        <f t="shared" si="60"/>
        <v>0</v>
      </c>
      <c r="HO51" s="12">
        <f t="shared" si="61"/>
        <v>0</v>
      </c>
      <c r="HP51" s="12">
        <f t="shared" si="62"/>
        <v>0</v>
      </c>
      <c r="HQ51" s="12">
        <f t="shared" si="63"/>
        <v>0</v>
      </c>
      <c r="HR51" s="12">
        <f t="shared" si="64"/>
        <v>0</v>
      </c>
      <c r="HS51" s="12">
        <f t="shared" si="65"/>
        <v>0</v>
      </c>
      <c r="HT51" s="12">
        <f t="shared" si="16"/>
        <v>0</v>
      </c>
      <c r="HU51" s="12">
        <f t="shared" si="17"/>
        <v>0</v>
      </c>
      <c r="HV51" s="12">
        <f t="shared" si="18"/>
        <v>0</v>
      </c>
      <c r="HW51" s="12">
        <f t="shared" si="19"/>
        <v>0</v>
      </c>
      <c r="HX51" s="12">
        <f t="shared" si="20"/>
        <v>0</v>
      </c>
      <c r="IB51" s="12">
        <f t="shared" si="66"/>
        <v>0</v>
      </c>
      <c r="IC51" s="12">
        <f t="shared" si="67"/>
        <v>0</v>
      </c>
      <c r="ID51" s="12">
        <f t="shared" si="68"/>
        <v>0</v>
      </c>
      <c r="IE51" s="12">
        <f t="shared" si="69"/>
        <v>0</v>
      </c>
      <c r="IF51" s="12">
        <f t="shared" si="70"/>
        <v>0</v>
      </c>
      <c r="IG51" s="12">
        <f t="shared" si="71"/>
        <v>0</v>
      </c>
      <c r="IH51" s="12">
        <f t="shared" si="72"/>
        <v>0</v>
      </c>
      <c r="II51" s="12">
        <f t="shared" si="73"/>
        <v>0</v>
      </c>
      <c r="IJ51" s="12">
        <f t="shared" si="21"/>
        <v>0</v>
      </c>
      <c r="IK51" s="12">
        <f t="shared" si="22"/>
        <v>0</v>
      </c>
      <c r="IL51" s="12">
        <f t="shared" si="23"/>
        <v>0</v>
      </c>
      <c r="IM51" s="12">
        <f t="shared" si="24"/>
        <v>0</v>
      </c>
      <c r="IN51" s="12">
        <f t="shared" si="90"/>
        <v>0</v>
      </c>
    </row>
    <row r="52" spans="1:248" outlineLevel="2" x14ac:dyDescent="0.3">
      <c r="B52" t="s">
        <v>76</v>
      </c>
      <c r="C52" s="26">
        <v>0</v>
      </c>
      <c r="D52" s="26">
        <v>0</v>
      </c>
      <c r="E52" s="26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3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/>
      <c r="FM52" s="14"/>
      <c r="FN52" s="14"/>
      <c r="FR52" s="12">
        <f t="shared" si="26"/>
        <v>0</v>
      </c>
      <c r="FS52" s="12">
        <f t="shared" si="27"/>
        <v>0</v>
      </c>
      <c r="FT52" s="12">
        <f t="shared" si="28"/>
        <v>0</v>
      </c>
      <c r="FU52" s="12">
        <f t="shared" si="29"/>
        <v>0</v>
      </c>
      <c r="FV52" s="12">
        <f t="shared" si="30"/>
        <v>0</v>
      </c>
      <c r="FW52" s="12">
        <f t="shared" si="31"/>
        <v>0</v>
      </c>
      <c r="FX52" s="12">
        <f t="shared" si="32"/>
        <v>0</v>
      </c>
      <c r="FY52" s="12">
        <f t="shared" si="33"/>
        <v>0</v>
      </c>
      <c r="FZ52" s="12">
        <f t="shared" si="34"/>
        <v>0</v>
      </c>
      <c r="GA52" s="12">
        <f t="shared" si="35"/>
        <v>0</v>
      </c>
      <c r="GB52" s="12">
        <f t="shared" si="36"/>
        <v>0</v>
      </c>
      <c r="GC52" s="12">
        <f t="shared" si="37"/>
        <v>0</v>
      </c>
      <c r="GD52" s="12">
        <f t="shared" si="38"/>
        <v>0</v>
      </c>
      <c r="GE52" s="12">
        <f t="shared" si="39"/>
        <v>0</v>
      </c>
      <c r="GF52" s="12">
        <f t="shared" si="40"/>
        <v>0</v>
      </c>
      <c r="GG52" s="12">
        <f t="shared" si="41"/>
        <v>0</v>
      </c>
      <c r="GH52" s="12">
        <f t="shared" si="42"/>
        <v>0</v>
      </c>
      <c r="GI52" s="12">
        <f t="shared" si="43"/>
        <v>0</v>
      </c>
      <c r="GJ52" s="12">
        <f t="shared" si="44"/>
        <v>0</v>
      </c>
      <c r="GK52" s="12">
        <f t="shared" si="45"/>
        <v>0</v>
      </c>
      <c r="GL52" s="12">
        <f t="shared" si="46"/>
        <v>0</v>
      </c>
      <c r="GM52" s="12">
        <f t="shared" si="47"/>
        <v>0</v>
      </c>
      <c r="GN52" s="12">
        <f t="shared" si="48"/>
        <v>0</v>
      </c>
      <c r="GO52" s="12">
        <f t="shared" si="49"/>
        <v>0</v>
      </c>
      <c r="GP52" s="12">
        <f t="shared" si="50"/>
        <v>0</v>
      </c>
      <c r="GQ52" s="12">
        <f t="shared" si="51"/>
        <v>0</v>
      </c>
      <c r="GR52" s="12">
        <f t="shared" si="52"/>
        <v>0</v>
      </c>
      <c r="GS52" s="12">
        <f t="shared" si="53"/>
        <v>0</v>
      </c>
      <c r="GT52" s="12">
        <f t="shared" si="54"/>
        <v>0</v>
      </c>
      <c r="GU52" s="12">
        <f t="shared" si="55"/>
        <v>0</v>
      </c>
      <c r="GV52" s="12">
        <f t="shared" si="56"/>
        <v>0</v>
      </c>
      <c r="GW52" s="12">
        <f t="shared" si="57"/>
        <v>0</v>
      </c>
      <c r="GX52" s="12">
        <f t="shared" si="58"/>
        <v>0</v>
      </c>
      <c r="GY52" s="12">
        <f t="shared" si="59"/>
        <v>0</v>
      </c>
      <c r="GZ52" s="12">
        <f t="shared" si="2"/>
        <v>0</v>
      </c>
      <c r="HA52" s="12">
        <f t="shared" si="3"/>
        <v>0</v>
      </c>
      <c r="HB52" s="12">
        <f t="shared" si="4"/>
        <v>0</v>
      </c>
      <c r="HC52" s="12">
        <f t="shared" si="5"/>
        <v>0</v>
      </c>
      <c r="HD52" s="12">
        <f t="shared" si="6"/>
        <v>0</v>
      </c>
      <c r="HE52" s="12">
        <f t="shared" si="7"/>
        <v>0</v>
      </c>
      <c r="HF52" s="12">
        <f t="shared" si="8"/>
        <v>0</v>
      </c>
      <c r="HG52" s="12">
        <f t="shared" si="9"/>
        <v>0</v>
      </c>
      <c r="HH52" s="12">
        <f t="shared" si="10"/>
        <v>0</v>
      </c>
      <c r="HI52" s="12">
        <f t="shared" si="11"/>
        <v>0</v>
      </c>
      <c r="HJ52" s="12">
        <f t="shared" si="12"/>
        <v>0</v>
      </c>
      <c r="HK52" s="12">
        <f t="shared" si="13"/>
        <v>0</v>
      </c>
      <c r="HL52" s="12">
        <f t="shared" si="14"/>
        <v>0</v>
      </c>
      <c r="HM52" s="12">
        <f t="shared" si="15"/>
        <v>0</v>
      </c>
      <c r="HN52" s="12">
        <f t="shared" si="60"/>
        <v>0</v>
      </c>
      <c r="HO52" s="12">
        <f t="shared" si="61"/>
        <v>0</v>
      </c>
      <c r="HP52" s="12">
        <f t="shared" si="62"/>
        <v>0</v>
      </c>
      <c r="HQ52" s="12">
        <f t="shared" si="63"/>
        <v>0</v>
      </c>
      <c r="HR52" s="12">
        <f t="shared" si="64"/>
        <v>0</v>
      </c>
      <c r="HS52" s="12">
        <f t="shared" si="65"/>
        <v>0</v>
      </c>
      <c r="HT52" s="12">
        <f t="shared" si="16"/>
        <v>0</v>
      </c>
      <c r="HU52" s="12">
        <f t="shared" si="17"/>
        <v>0</v>
      </c>
      <c r="HV52" s="12">
        <f t="shared" si="18"/>
        <v>0</v>
      </c>
      <c r="HW52" s="12">
        <f t="shared" si="19"/>
        <v>0</v>
      </c>
      <c r="HX52" s="12">
        <f t="shared" si="20"/>
        <v>0</v>
      </c>
      <c r="IB52" s="12">
        <f t="shared" si="66"/>
        <v>0</v>
      </c>
      <c r="IC52" s="12">
        <f t="shared" si="67"/>
        <v>0</v>
      </c>
      <c r="ID52" s="12">
        <f t="shared" si="68"/>
        <v>0</v>
      </c>
      <c r="IE52" s="12">
        <f t="shared" si="69"/>
        <v>0</v>
      </c>
      <c r="IF52" s="12">
        <f t="shared" si="70"/>
        <v>0</v>
      </c>
      <c r="IG52" s="12">
        <f t="shared" si="71"/>
        <v>0</v>
      </c>
      <c r="IH52" s="12">
        <f t="shared" si="72"/>
        <v>0</v>
      </c>
      <c r="II52" s="12">
        <f t="shared" si="73"/>
        <v>0</v>
      </c>
      <c r="IJ52" s="12">
        <f t="shared" si="21"/>
        <v>0</v>
      </c>
      <c r="IK52" s="12">
        <f t="shared" si="22"/>
        <v>0</v>
      </c>
      <c r="IL52" s="12">
        <f t="shared" si="23"/>
        <v>0</v>
      </c>
      <c r="IM52" s="12">
        <f t="shared" si="24"/>
        <v>0</v>
      </c>
      <c r="IN52" s="12">
        <f t="shared" si="90"/>
        <v>0</v>
      </c>
    </row>
    <row r="53" spans="1:248" outlineLevel="2" x14ac:dyDescent="0.3">
      <c r="B53" t="s">
        <v>77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3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/>
      <c r="FM53" s="14"/>
      <c r="FN53" s="14"/>
      <c r="FR53" s="12">
        <f t="shared" si="26"/>
        <v>0</v>
      </c>
      <c r="FS53" s="12">
        <f t="shared" si="27"/>
        <v>0</v>
      </c>
      <c r="FT53" s="12">
        <f t="shared" si="28"/>
        <v>0</v>
      </c>
      <c r="FU53" s="12">
        <f t="shared" si="29"/>
        <v>0</v>
      </c>
      <c r="FV53" s="12">
        <f t="shared" si="30"/>
        <v>0</v>
      </c>
      <c r="FW53" s="12">
        <f t="shared" si="31"/>
        <v>0</v>
      </c>
      <c r="FX53" s="12">
        <f t="shared" si="32"/>
        <v>0</v>
      </c>
      <c r="FY53" s="12">
        <f t="shared" si="33"/>
        <v>0</v>
      </c>
      <c r="FZ53" s="12">
        <f t="shared" si="34"/>
        <v>0</v>
      </c>
      <c r="GA53" s="12">
        <f t="shared" si="35"/>
        <v>0</v>
      </c>
      <c r="GB53" s="12">
        <f t="shared" si="36"/>
        <v>0</v>
      </c>
      <c r="GC53" s="12">
        <f t="shared" si="37"/>
        <v>0</v>
      </c>
      <c r="GD53" s="12">
        <f t="shared" si="38"/>
        <v>0</v>
      </c>
      <c r="GE53" s="12">
        <f t="shared" si="39"/>
        <v>0</v>
      </c>
      <c r="GF53" s="12">
        <f t="shared" si="40"/>
        <v>0</v>
      </c>
      <c r="GG53" s="12">
        <f t="shared" si="41"/>
        <v>0</v>
      </c>
      <c r="GH53" s="12">
        <f t="shared" si="42"/>
        <v>0</v>
      </c>
      <c r="GI53" s="12">
        <f t="shared" si="43"/>
        <v>0</v>
      </c>
      <c r="GJ53" s="12">
        <f t="shared" si="44"/>
        <v>0</v>
      </c>
      <c r="GK53" s="12">
        <f t="shared" si="45"/>
        <v>0</v>
      </c>
      <c r="GL53" s="12">
        <f t="shared" si="46"/>
        <v>0</v>
      </c>
      <c r="GM53" s="12">
        <f t="shared" si="47"/>
        <v>0</v>
      </c>
      <c r="GN53" s="12">
        <f t="shared" si="48"/>
        <v>0</v>
      </c>
      <c r="GO53" s="12">
        <f t="shared" si="49"/>
        <v>0</v>
      </c>
      <c r="GP53" s="12">
        <f t="shared" si="50"/>
        <v>0</v>
      </c>
      <c r="GQ53" s="12">
        <f t="shared" si="51"/>
        <v>0</v>
      </c>
      <c r="GR53" s="12">
        <f t="shared" si="52"/>
        <v>0</v>
      </c>
      <c r="GS53" s="12">
        <f t="shared" si="53"/>
        <v>0</v>
      </c>
      <c r="GT53" s="12">
        <f t="shared" si="54"/>
        <v>0</v>
      </c>
      <c r="GU53" s="12">
        <f t="shared" si="55"/>
        <v>0</v>
      </c>
      <c r="GV53" s="12">
        <f t="shared" si="56"/>
        <v>0</v>
      </c>
      <c r="GW53" s="12">
        <f t="shared" si="57"/>
        <v>0</v>
      </c>
      <c r="GX53" s="12">
        <f t="shared" si="58"/>
        <v>0</v>
      </c>
      <c r="GY53" s="12">
        <f t="shared" si="59"/>
        <v>0</v>
      </c>
      <c r="GZ53" s="12">
        <f t="shared" si="2"/>
        <v>0</v>
      </c>
      <c r="HA53" s="12">
        <f t="shared" si="3"/>
        <v>0</v>
      </c>
      <c r="HB53" s="12">
        <f t="shared" si="4"/>
        <v>0</v>
      </c>
      <c r="HC53" s="12">
        <f t="shared" si="5"/>
        <v>0</v>
      </c>
      <c r="HD53" s="12">
        <f t="shared" si="6"/>
        <v>0</v>
      </c>
      <c r="HE53" s="12">
        <f t="shared" si="7"/>
        <v>0</v>
      </c>
      <c r="HF53" s="12">
        <f t="shared" si="8"/>
        <v>0</v>
      </c>
      <c r="HG53" s="12">
        <f t="shared" si="9"/>
        <v>0</v>
      </c>
      <c r="HH53" s="12">
        <f t="shared" si="10"/>
        <v>0</v>
      </c>
      <c r="HI53" s="12">
        <f t="shared" si="11"/>
        <v>0</v>
      </c>
      <c r="HJ53" s="12">
        <f t="shared" si="12"/>
        <v>0</v>
      </c>
      <c r="HK53" s="12">
        <f t="shared" si="13"/>
        <v>0</v>
      </c>
      <c r="HL53" s="12">
        <f t="shared" si="14"/>
        <v>0</v>
      </c>
      <c r="HM53" s="12">
        <f t="shared" si="15"/>
        <v>0</v>
      </c>
      <c r="HN53" s="12">
        <f t="shared" si="60"/>
        <v>0</v>
      </c>
      <c r="HO53" s="12">
        <f t="shared" si="61"/>
        <v>0</v>
      </c>
      <c r="HP53" s="12">
        <f t="shared" si="62"/>
        <v>0</v>
      </c>
      <c r="HQ53" s="12">
        <f t="shared" si="63"/>
        <v>0</v>
      </c>
      <c r="HR53" s="12">
        <f t="shared" si="64"/>
        <v>0</v>
      </c>
      <c r="HS53" s="12">
        <f t="shared" si="65"/>
        <v>0</v>
      </c>
      <c r="HT53" s="12">
        <f t="shared" si="16"/>
        <v>0</v>
      </c>
      <c r="HU53" s="12">
        <f t="shared" si="17"/>
        <v>0</v>
      </c>
      <c r="HV53" s="12">
        <f t="shared" si="18"/>
        <v>0</v>
      </c>
      <c r="HW53" s="12">
        <f t="shared" si="19"/>
        <v>0</v>
      </c>
      <c r="HX53" s="12">
        <f t="shared" si="20"/>
        <v>0</v>
      </c>
      <c r="IB53" s="12">
        <f t="shared" si="66"/>
        <v>0</v>
      </c>
      <c r="IC53" s="12">
        <f t="shared" si="67"/>
        <v>0</v>
      </c>
      <c r="ID53" s="12">
        <f t="shared" si="68"/>
        <v>0</v>
      </c>
      <c r="IE53" s="12">
        <f t="shared" si="69"/>
        <v>0</v>
      </c>
      <c r="IF53" s="12">
        <f t="shared" si="70"/>
        <v>0</v>
      </c>
      <c r="IG53" s="12">
        <f t="shared" si="71"/>
        <v>0</v>
      </c>
      <c r="IH53" s="12">
        <f t="shared" si="72"/>
        <v>0</v>
      </c>
      <c r="II53" s="12">
        <f t="shared" si="73"/>
        <v>0</v>
      </c>
      <c r="IJ53" s="12">
        <f t="shared" si="21"/>
        <v>0</v>
      </c>
      <c r="IK53" s="12">
        <f t="shared" si="22"/>
        <v>0</v>
      </c>
      <c r="IL53" s="12">
        <f t="shared" si="23"/>
        <v>0</v>
      </c>
      <c r="IM53" s="12">
        <f t="shared" si="24"/>
        <v>0</v>
      </c>
      <c r="IN53" s="12">
        <f t="shared" si="90"/>
        <v>0</v>
      </c>
    </row>
    <row r="54" spans="1:248" outlineLevel="2" x14ac:dyDescent="0.3">
      <c r="B54" t="s">
        <v>78</v>
      </c>
      <c r="C54" s="11">
        <v>0</v>
      </c>
      <c r="D54" s="11">
        <v>0</v>
      </c>
      <c r="E54" s="11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3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344</v>
      </c>
      <c r="BY54" s="12">
        <v>346</v>
      </c>
      <c r="BZ54" s="12">
        <v>312</v>
      </c>
      <c r="CA54" s="12">
        <v>258</v>
      </c>
      <c r="CB54" s="12">
        <v>212</v>
      </c>
      <c r="CC54" s="12">
        <v>192</v>
      </c>
      <c r="CD54" s="12">
        <v>185</v>
      </c>
      <c r="CE54" s="12">
        <v>193</v>
      </c>
      <c r="CF54" s="12">
        <v>204</v>
      </c>
      <c r="CG54" s="12">
        <v>191</v>
      </c>
      <c r="CH54" s="12">
        <v>247</v>
      </c>
      <c r="CI54" s="12">
        <v>155</v>
      </c>
      <c r="CJ54" s="12">
        <v>178</v>
      </c>
      <c r="CK54" s="12">
        <v>345</v>
      </c>
      <c r="CL54" s="12">
        <v>225</v>
      </c>
      <c r="CM54" s="12">
        <v>214</v>
      </c>
      <c r="CN54" s="12">
        <v>209</v>
      </c>
      <c r="CO54" s="12">
        <v>247</v>
      </c>
      <c r="CP54" s="12">
        <v>143</v>
      </c>
      <c r="CQ54" s="12">
        <v>271</v>
      </c>
      <c r="CR54" s="12">
        <v>499</v>
      </c>
      <c r="CS54" s="12">
        <v>409</v>
      </c>
      <c r="CT54" s="12">
        <v>228</v>
      </c>
      <c r="CU54" s="12">
        <v>77</v>
      </c>
      <c r="CV54" s="12">
        <v>256</v>
      </c>
      <c r="CW54" s="12">
        <v>518</v>
      </c>
      <c r="CX54" s="12">
        <v>452</v>
      </c>
      <c r="CY54" s="12">
        <v>423</v>
      </c>
      <c r="CZ54" s="12">
        <v>393</v>
      </c>
      <c r="DA54" s="12">
        <v>521</v>
      </c>
      <c r="DB54" s="12">
        <v>363</v>
      </c>
      <c r="DC54" s="12">
        <v>307</v>
      </c>
      <c r="DD54" s="12">
        <v>403</v>
      </c>
      <c r="DE54" s="12">
        <v>314</v>
      </c>
      <c r="DF54" s="12">
        <v>419</v>
      </c>
      <c r="DG54" s="12">
        <v>254</v>
      </c>
      <c r="DH54" s="12">
        <v>433</v>
      </c>
      <c r="DI54" s="14">
        <v>530</v>
      </c>
      <c r="DJ54" s="14">
        <v>439</v>
      </c>
      <c r="DK54" s="14">
        <v>303</v>
      </c>
      <c r="DL54" s="14">
        <v>223</v>
      </c>
      <c r="DM54" s="14">
        <v>285</v>
      </c>
      <c r="DN54" s="14">
        <v>217</v>
      </c>
      <c r="DO54" s="14">
        <v>208</v>
      </c>
      <c r="DP54" s="14">
        <v>225</v>
      </c>
      <c r="DQ54" s="14">
        <v>160</v>
      </c>
      <c r="DR54" s="14">
        <v>439</v>
      </c>
      <c r="DS54" s="14">
        <v>347</v>
      </c>
      <c r="DT54" s="14">
        <v>463</v>
      </c>
      <c r="DU54" s="14">
        <v>422</v>
      </c>
      <c r="DV54" s="14">
        <v>197</v>
      </c>
      <c r="DW54" s="14">
        <v>270</v>
      </c>
      <c r="DX54" s="14">
        <v>527</v>
      </c>
      <c r="DY54" s="14">
        <v>301</v>
      </c>
      <c r="DZ54" s="14">
        <v>404</v>
      </c>
      <c r="EA54" s="14">
        <v>272</v>
      </c>
      <c r="EB54" s="14">
        <v>260</v>
      </c>
      <c r="EC54" s="14">
        <v>290</v>
      </c>
      <c r="ED54" s="14">
        <v>501</v>
      </c>
      <c r="EE54" s="14">
        <v>327</v>
      </c>
      <c r="EF54" s="14">
        <v>477</v>
      </c>
      <c r="EG54" s="14">
        <v>580</v>
      </c>
      <c r="EH54" s="14">
        <v>606</v>
      </c>
      <c r="EI54" s="14">
        <v>550</v>
      </c>
      <c r="EJ54" s="14">
        <v>301</v>
      </c>
      <c r="EK54" s="14">
        <v>301</v>
      </c>
      <c r="EL54" s="14">
        <v>169</v>
      </c>
      <c r="EM54" s="14">
        <v>176</v>
      </c>
      <c r="EN54" s="14">
        <v>359</v>
      </c>
      <c r="EO54" s="14">
        <v>220</v>
      </c>
      <c r="EP54" s="14">
        <v>482</v>
      </c>
      <c r="EQ54" s="14">
        <v>200</v>
      </c>
      <c r="ER54" s="14">
        <v>449</v>
      </c>
      <c r="ES54" s="14">
        <v>441</v>
      </c>
      <c r="ET54" s="14">
        <v>482</v>
      </c>
      <c r="EU54" s="14">
        <v>301</v>
      </c>
      <c r="EV54" s="14">
        <v>138</v>
      </c>
      <c r="EW54" s="14">
        <v>267</v>
      </c>
      <c r="EX54" s="14">
        <v>234</v>
      </c>
      <c r="EY54" s="14">
        <v>192</v>
      </c>
      <c r="EZ54" s="14">
        <v>240</v>
      </c>
      <c r="FA54" s="14">
        <v>162</v>
      </c>
      <c r="FB54" s="14">
        <v>367</v>
      </c>
      <c r="FC54" s="14">
        <v>209</v>
      </c>
      <c r="FD54" s="14">
        <v>407</v>
      </c>
      <c r="FE54" s="14">
        <v>500</v>
      </c>
      <c r="FF54" s="14">
        <v>484</v>
      </c>
      <c r="FG54" s="14">
        <v>258</v>
      </c>
      <c r="FH54" s="14">
        <v>240</v>
      </c>
      <c r="FI54" s="14">
        <v>443</v>
      </c>
      <c r="FJ54" s="14">
        <v>317</v>
      </c>
      <c r="FK54" s="14">
        <v>282</v>
      </c>
      <c r="FL54" s="14"/>
      <c r="FM54" s="14"/>
      <c r="FN54" s="14"/>
      <c r="FR54" s="12">
        <f t="shared" si="26"/>
        <v>0</v>
      </c>
      <c r="FS54" s="12">
        <f t="shared" si="27"/>
        <v>0</v>
      </c>
      <c r="FT54" s="12">
        <f t="shared" si="28"/>
        <v>0</v>
      </c>
      <c r="FU54" s="12">
        <f t="shared" si="29"/>
        <v>0</v>
      </c>
      <c r="FV54" s="12">
        <f t="shared" si="30"/>
        <v>0</v>
      </c>
      <c r="FW54" s="12">
        <f t="shared" si="31"/>
        <v>0</v>
      </c>
      <c r="FX54" s="12">
        <f t="shared" si="32"/>
        <v>0</v>
      </c>
      <c r="FY54" s="12">
        <f t="shared" si="33"/>
        <v>0</v>
      </c>
      <c r="FZ54" s="12">
        <f t="shared" si="34"/>
        <v>0</v>
      </c>
      <c r="GA54" s="12">
        <f t="shared" si="35"/>
        <v>0</v>
      </c>
      <c r="GB54" s="12">
        <f t="shared" si="36"/>
        <v>0</v>
      </c>
      <c r="GC54" s="12">
        <f t="shared" si="37"/>
        <v>0</v>
      </c>
      <c r="GD54" s="12">
        <f t="shared" si="38"/>
        <v>0</v>
      </c>
      <c r="GE54" s="12">
        <f t="shared" si="39"/>
        <v>0</v>
      </c>
      <c r="GF54" s="12">
        <f t="shared" si="40"/>
        <v>0</v>
      </c>
      <c r="GG54" s="12">
        <f t="shared" si="41"/>
        <v>0</v>
      </c>
      <c r="GH54" s="12">
        <f t="shared" si="42"/>
        <v>0</v>
      </c>
      <c r="GI54" s="12">
        <f t="shared" si="43"/>
        <v>0</v>
      </c>
      <c r="GJ54" s="12">
        <f t="shared" si="44"/>
        <v>0</v>
      </c>
      <c r="GK54" s="12">
        <f t="shared" si="45"/>
        <v>0</v>
      </c>
      <c r="GL54" s="12">
        <f t="shared" si="46"/>
        <v>0</v>
      </c>
      <c r="GM54" s="12">
        <f t="shared" si="47"/>
        <v>0</v>
      </c>
      <c r="GN54" s="12">
        <f t="shared" si="48"/>
        <v>0</v>
      </c>
      <c r="GO54" s="12">
        <f t="shared" si="49"/>
        <v>0</v>
      </c>
      <c r="GP54" s="12">
        <f t="shared" si="50"/>
        <v>690</v>
      </c>
      <c r="GQ54" s="12">
        <f t="shared" si="51"/>
        <v>782</v>
      </c>
      <c r="GR54" s="12">
        <f t="shared" si="52"/>
        <v>570</v>
      </c>
      <c r="GS54" s="12">
        <f t="shared" si="53"/>
        <v>642</v>
      </c>
      <c r="GT54" s="12">
        <f t="shared" si="54"/>
        <v>678</v>
      </c>
      <c r="GU54" s="12">
        <f t="shared" si="55"/>
        <v>648</v>
      </c>
      <c r="GV54" s="12">
        <f t="shared" si="56"/>
        <v>661</v>
      </c>
      <c r="GW54" s="12">
        <f t="shared" si="57"/>
        <v>1136</v>
      </c>
      <c r="GX54" s="12">
        <f t="shared" si="58"/>
        <v>851</v>
      </c>
      <c r="GY54" s="12">
        <f t="shared" si="59"/>
        <v>1268</v>
      </c>
      <c r="GZ54" s="12">
        <f t="shared" si="2"/>
        <v>1191</v>
      </c>
      <c r="HA54" s="12">
        <f t="shared" si="3"/>
        <v>1136</v>
      </c>
      <c r="HB54" s="12">
        <f t="shared" si="4"/>
        <v>687</v>
      </c>
      <c r="HC54" s="12">
        <f t="shared" si="5"/>
        <v>965</v>
      </c>
      <c r="HD54" s="12">
        <f t="shared" si="6"/>
        <v>710</v>
      </c>
      <c r="HE54" s="12">
        <f t="shared" si="7"/>
        <v>824</v>
      </c>
      <c r="HF54" s="12">
        <f t="shared" si="8"/>
        <v>1232</v>
      </c>
      <c r="HG54" s="12">
        <f t="shared" si="9"/>
        <v>994</v>
      </c>
      <c r="HH54" s="12">
        <f t="shared" si="10"/>
        <v>977</v>
      </c>
      <c r="HI54" s="12">
        <f t="shared" si="11"/>
        <v>1051</v>
      </c>
      <c r="HJ54" s="12">
        <f t="shared" si="12"/>
        <v>1384</v>
      </c>
      <c r="HK54" s="12">
        <f t="shared" si="13"/>
        <v>1457</v>
      </c>
      <c r="HL54" s="12">
        <f t="shared" si="14"/>
        <v>646</v>
      </c>
      <c r="HM54" s="12">
        <f t="shared" si="15"/>
        <v>1061</v>
      </c>
      <c r="HN54" s="12">
        <f t="shared" si="60"/>
        <v>1384</v>
      </c>
      <c r="HO54" s="12">
        <f t="shared" si="61"/>
        <v>1457</v>
      </c>
      <c r="HP54" s="12">
        <f t="shared" si="62"/>
        <v>646</v>
      </c>
      <c r="HQ54" s="12">
        <f t="shared" si="63"/>
        <v>1061</v>
      </c>
      <c r="HR54" s="12">
        <f t="shared" si="64"/>
        <v>1090</v>
      </c>
      <c r="HS54" s="12">
        <f t="shared" si="65"/>
        <v>921</v>
      </c>
      <c r="HT54" s="12">
        <f t="shared" si="16"/>
        <v>693</v>
      </c>
      <c r="HU54" s="12">
        <f t="shared" si="17"/>
        <v>769</v>
      </c>
      <c r="HV54" s="12">
        <f t="shared" si="18"/>
        <v>1116</v>
      </c>
      <c r="HW54" s="12">
        <f t="shared" si="19"/>
        <v>982</v>
      </c>
      <c r="HX54" s="12">
        <f t="shared" si="20"/>
        <v>1042</v>
      </c>
      <c r="IB54" s="12">
        <f t="shared" si="66"/>
        <v>0</v>
      </c>
      <c r="IC54" s="12">
        <f t="shared" si="67"/>
        <v>0</v>
      </c>
      <c r="ID54" s="12">
        <f t="shared" si="68"/>
        <v>0</v>
      </c>
      <c r="IE54" s="12">
        <f t="shared" si="69"/>
        <v>0</v>
      </c>
      <c r="IF54" s="12">
        <f t="shared" si="70"/>
        <v>0</v>
      </c>
      <c r="IG54" s="12">
        <f t="shared" si="71"/>
        <v>0</v>
      </c>
      <c r="IH54" s="12">
        <f t="shared" si="72"/>
        <v>2684</v>
      </c>
      <c r="II54" s="12">
        <f t="shared" si="73"/>
        <v>3123</v>
      </c>
      <c r="IJ54" s="12">
        <f t="shared" si="21"/>
        <v>4446</v>
      </c>
      <c r="IK54" s="12">
        <f t="shared" si="22"/>
        <v>3716</v>
      </c>
      <c r="IL54" s="12">
        <f t="shared" si="23"/>
        <v>4254</v>
      </c>
      <c r="IM54" s="12">
        <f t="shared" si="24"/>
        <v>4548</v>
      </c>
      <c r="IN54" s="12">
        <f t="shared" si="90"/>
        <v>3473</v>
      </c>
    </row>
    <row r="55" spans="1:248" outlineLevel="1" x14ac:dyDescent="0.3">
      <c r="A55" s="15" t="s">
        <v>99</v>
      </c>
      <c r="B55" s="15"/>
      <c r="C55" s="16">
        <f t="shared" ref="C55:BN55" si="93">+SUM(C51:C54)</f>
        <v>0</v>
      </c>
      <c r="D55" s="16">
        <f t="shared" si="93"/>
        <v>0</v>
      </c>
      <c r="E55" s="16">
        <f t="shared" si="93"/>
        <v>0</v>
      </c>
      <c r="F55" s="16">
        <f t="shared" si="93"/>
        <v>0</v>
      </c>
      <c r="G55" s="16">
        <f t="shared" si="93"/>
        <v>0</v>
      </c>
      <c r="H55" s="16">
        <f t="shared" si="93"/>
        <v>0</v>
      </c>
      <c r="I55" s="16">
        <f t="shared" si="93"/>
        <v>0</v>
      </c>
      <c r="J55" s="16">
        <f t="shared" si="93"/>
        <v>0</v>
      </c>
      <c r="K55" s="16">
        <f t="shared" si="93"/>
        <v>0</v>
      </c>
      <c r="L55" s="16">
        <f t="shared" si="93"/>
        <v>0</v>
      </c>
      <c r="M55" s="16">
        <f t="shared" si="93"/>
        <v>0</v>
      </c>
      <c r="N55" s="16">
        <f t="shared" si="93"/>
        <v>0</v>
      </c>
      <c r="O55" s="16">
        <f t="shared" si="93"/>
        <v>0</v>
      </c>
      <c r="P55" s="16">
        <f t="shared" si="93"/>
        <v>0</v>
      </c>
      <c r="Q55" s="16">
        <f t="shared" si="93"/>
        <v>0</v>
      </c>
      <c r="R55" s="16">
        <f t="shared" si="93"/>
        <v>0</v>
      </c>
      <c r="S55" s="16">
        <f t="shared" si="93"/>
        <v>0</v>
      </c>
      <c r="T55" s="16">
        <f t="shared" si="93"/>
        <v>0</v>
      </c>
      <c r="U55" s="16">
        <f t="shared" si="93"/>
        <v>0</v>
      </c>
      <c r="V55" s="16">
        <f t="shared" si="93"/>
        <v>0</v>
      </c>
      <c r="W55" s="16">
        <f t="shared" si="93"/>
        <v>0</v>
      </c>
      <c r="X55" s="16">
        <f t="shared" si="93"/>
        <v>0</v>
      </c>
      <c r="Y55" s="16">
        <f t="shared" si="93"/>
        <v>0</v>
      </c>
      <c r="Z55" s="16">
        <f t="shared" si="93"/>
        <v>0</v>
      </c>
      <c r="AA55" s="17">
        <f t="shared" si="93"/>
        <v>0</v>
      </c>
      <c r="AB55" s="17">
        <f t="shared" si="93"/>
        <v>0</v>
      </c>
      <c r="AC55" s="17">
        <f t="shared" si="93"/>
        <v>0</v>
      </c>
      <c r="AD55" s="17">
        <f t="shared" si="93"/>
        <v>0</v>
      </c>
      <c r="AE55" s="17">
        <f t="shared" si="93"/>
        <v>0</v>
      </c>
      <c r="AF55" s="17">
        <f t="shared" si="93"/>
        <v>0</v>
      </c>
      <c r="AG55" s="17">
        <f t="shared" si="93"/>
        <v>0</v>
      </c>
      <c r="AH55" s="17">
        <f t="shared" si="93"/>
        <v>0</v>
      </c>
      <c r="AI55" s="17">
        <f t="shared" si="93"/>
        <v>0</v>
      </c>
      <c r="AJ55" s="17">
        <f t="shared" si="93"/>
        <v>0</v>
      </c>
      <c r="AK55" s="17">
        <f t="shared" si="93"/>
        <v>0</v>
      </c>
      <c r="AL55" s="18">
        <f t="shared" si="93"/>
        <v>0</v>
      </c>
      <c r="AM55" s="17">
        <f t="shared" si="93"/>
        <v>0</v>
      </c>
      <c r="AN55" s="17">
        <f t="shared" si="93"/>
        <v>0</v>
      </c>
      <c r="AO55" s="17">
        <f t="shared" si="93"/>
        <v>0</v>
      </c>
      <c r="AP55" s="17">
        <f t="shared" si="93"/>
        <v>0</v>
      </c>
      <c r="AQ55" s="17">
        <f t="shared" si="93"/>
        <v>0</v>
      </c>
      <c r="AR55" s="17">
        <f t="shared" si="93"/>
        <v>0</v>
      </c>
      <c r="AS55" s="17">
        <f t="shared" si="93"/>
        <v>0</v>
      </c>
      <c r="AT55" s="17">
        <f t="shared" si="93"/>
        <v>0</v>
      </c>
      <c r="AU55" s="17">
        <f t="shared" si="93"/>
        <v>0</v>
      </c>
      <c r="AV55" s="17">
        <f t="shared" si="93"/>
        <v>0</v>
      </c>
      <c r="AW55" s="17">
        <f t="shared" si="93"/>
        <v>0</v>
      </c>
      <c r="AX55" s="17">
        <f t="shared" si="93"/>
        <v>0</v>
      </c>
      <c r="AY55" s="17">
        <f t="shared" si="93"/>
        <v>0</v>
      </c>
      <c r="AZ55" s="17">
        <f t="shared" si="93"/>
        <v>0</v>
      </c>
      <c r="BA55" s="17">
        <f t="shared" si="93"/>
        <v>0</v>
      </c>
      <c r="BB55" s="17">
        <f t="shared" si="93"/>
        <v>0</v>
      </c>
      <c r="BC55" s="17">
        <f t="shared" si="93"/>
        <v>0</v>
      </c>
      <c r="BD55" s="17">
        <f t="shared" si="93"/>
        <v>0</v>
      </c>
      <c r="BE55" s="17">
        <f t="shared" si="93"/>
        <v>0</v>
      </c>
      <c r="BF55" s="17">
        <f t="shared" si="93"/>
        <v>0</v>
      </c>
      <c r="BG55" s="17">
        <f t="shared" si="93"/>
        <v>0</v>
      </c>
      <c r="BH55" s="17">
        <f t="shared" si="93"/>
        <v>0</v>
      </c>
      <c r="BI55" s="17">
        <f t="shared" si="93"/>
        <v>0</v>
      </c>
      <c r="BJ55" s="17">
        <f t="shared" si="93"/>
        <v>0</v>
      </c>
      <c r="BK55" s="17">
        <f t="shared" si="93"/>
        <v>0</v>
      </c>
      <c r="BL55" s="17">
        <f t="shared" si="93"/>
        <v>0</v>
      </c>
      <c r="BM55" s="17">
        <f t="shared" si="93"/>
        <v>0</v>
      </c>
      <c r="BN55" s="17">
        <f t="shared" si="93"/>
        <v>0</v>
      </c>
      <c r="BO55" s="17">
        <f t="shared" ref="BO55:DA55" si="94">+SUM(BO51:BO54)</f>
        <v>0</v>
      </c>
      <c r="BP55" s="17">
        <f t="shared" si="94"/>
        <v>0</v>
      </c>
      <c r="BQ55" s="17">
        <f t="shared" si="94"/>
        <v>0</v>
      </c>
      <c r="BR55" s="17">
        <f t="shared" si="94"/>
        <v>0</v>
      </c>
      <c r="BS55" s="17">
        <f t="shared" si="94"/>
        <v>0</v>
      </c>
      <c r="BT55" s="17">
        <f t="shared" si="94"/>
        <v>0</v>
      </c>
      <c r="BU55" s="17">
        <f t="shared" si="94"/>
        <v>0</v>
      </c>
      <c r="BV55" s="17">
        <f t="shared" si="94"/>
        <v>0</v>
      </c>
      <c r="BW55" s="17">
        <f t="shared" si="94"/>
        <v>0</v>
      </c>
      <c r="BX55" s="17">
        <f t="shared" si="94"/>
        <v>344</v>
      </c>
      <c r="BY55" s="17">
        <f t="shared" si="94"/>
        <v>346</v>
      </c>
      <c r="BZ55" s="17">
        <f t="shared" si="94"/>
        <v>312</v>
      </c>
      <c r="CA55" s="17">
        <f t="shared" si="94"/>
        <v>258</v>
      </c>
      <c r="CB55" s="17">
        <f t="shared" si="94"/>
        <v>212</v>
      </c>
      <c r="CC55" s="17">
        <f t="shared" si="94"/>
        <v>192</v>
      </c>
      <c r="CD55" s="17">
        <f t="shared" si="94"/>
        <v>185</v>
      </c>
      <c r="CE55" s="17">
        <f t="shared" si="94"/>
        <v>193</v>
      </c>
      <c r="CF55" s="17">
        <f t="shared" si="94"/>
        <v>204</v>
      </c>
      <c r="CG55" s="17">
        <f t="shared" si="94"/>
        <v>191</v>
      </c>
      <c r="CH55" s="17">
        <f t="shared" si="94"/>
        <v>247</v>
      </c>
      <c r="CI55" s="17">
        <f t="shared" si="94"/>
        <v>155</v>
      </c>
      <c r="CJ55" s="17">
        <f t="shared" si="94"/>
        <v>178</v>
      </c>
      <c r="CK55" s="17">
        <f t="shared" si="94"/>
        <v>345</v>
      </c>
      <c r="CL55" s="17">
        <f t="shared" si="94"/>
        <v>225</v>
      </c>
      <c r="CM55" s="17">
        <f t="shared" si="94"/>
        <v>214</v>
      </c>
      <c r="CN55" s="17">
        <f t="shared" si="94"/>
        <v>209</v>
      </c>
      <c r="CO55" s="17">
        <f t="shared" si="94"/>
        <v>247</v>
      </c>
      <c r="CP55" s="17">
        <f t="shared" si="94"/>
        <v>143</v>
      </c>
      <c r="CQ55" s="17">
        <f t="shared" si="94"/>
        <v>271</v>
      </c>
      <c r="CR55" s="17">
        <f t="shared" si="94"/>
        <v>499</v>
      </c>
      <c r="CS55" s="17">
        <f t="shared" si="94"/>
        <v>409</v>
      </c>
      <c r="CT55" s="17">
        <f t="shared" si="94"/>
        <v>228</v>
      </c>
      <c r="CU55" s="17">
        <f t="shared" si="94"/>
        <v>77</v>
      </c>
      <c r="CV55" s="17">
        <f t="shared" si="94"/>
        <v>256</v>
      </c>
      <c r="CW55" s="17">
        <f t="shared" si="94"/>
        <v>518</v>
      </c>
      <c r="CX55" s="17">
        <f t="shared" si="94"/>
        <v>452</v>
      </c>
      <c r="CY55" s="17">
        <f t="shared" si="94"/>
        <v>423</v>
      </c>
      <c r="CZ55" s="17">
        <f t="shared" si="94"/>
        <v>393</v>
      </c>
      <c r="DA55" s="17">
        <f t="shared" si="94"/>
        <v>521</v>
      </c>
      <c r="DB55" s="17">
        <f>+SUM(DB51:DB54)</f>
        <v>363</v>
      </c>
      <c r="DC55" s="17">
        <f>+SUM(DC51:DC54)</f>
        <v>307</v>
      </c>
      <c r="DD55" s="17">
        <f>+SUM(DD51:DD54)</f>
        <v>403</v>
      </c>
      <c r="DE55" s="17">
        <v>314</v>
      </c>
      <c r="DF55" s="17">
        <v>419</v>
      </c>
      <c r="DG55" s="17">
        <v>254</v>
      </c>
      <c r="DH55" s="17">
        <v>433</v>
      </c>
      <c r="DI55" s="19">
        <v>530</v>
      </c>
      <c r="DJ55" s="19">
        <v>439</v>
      </c>
      <c r="DK55" s="19">
        <v>303</v>
      </c>
      <c r="DL55" s="19">
        <v>223</v>
      </c>
      <c r="DM55" s="19">
        <v>285</v>
      </c>
      <c r="DN55" s="19">
        <v>217</v>
      </c>
      <c r="DO55" s="19">
        <v>208</v>
      </c>
      <c r="DP55" s="19">
        <v>225</v>
      </c>
      <c r="DQ55" s="19">
        <v>160</v>
      </c>
      <c r="DR55" s="19">
        <v>439</v>
      </c>
      <c r="DS55" s="19">
        <v>347</v>
      </c>
      <c r="DT55" s="19">
        <v>463</v>
      </c>
      <c r="DU55" s="19">
        <v>422</v>
      </c>
      <c r="DV55" s="19">
        <v>197</v>
      </c>
      <c r="DW55" s="19">
        <v>270</v>
      </c>
      <c r="DX55" s="19">
        <v>527</v>
      </c>
      <c r="DY55" s="19">
        <v>301</v>
      </c>
      <c r="DZ55" s="19">
        <v>404</v>
      </c>
      <c r="EA55" s="19">
        <v>272</v>
      </c>
      <c r="EB55" s="19">
        <v>260</v>
      </c>
      <c r="EC55" s="19">
        <v>290</v>
      </c>
      <c r="ED55" s="19">
        <v>501</v>
      </c>
      <c r="EE55" s="19">
        <v>327</v>
      </c>
      <c r="EF55" s="19">
        <v>477</v>
      </c>
      <c r="EG55" s="19">
        <v>580</v>
      </c>
      <c r="EH55" s="19">
        <v>606</v>
      </c>
      <c r="EI55" s="19">
        <v>550</v>
      </c>
      <c r="EJ55" s="19">
        <v>301</v>
      </c>
      <c r="EK55" s="19">
        <v>301</v>
      </c>
      <c r="EL55" s="19">
        <v>169</v>
      </c>
      <c r="EM55" s="19">
        <v>176</v>
      </c>
      <c r="EN55" s="19">
        <v>359</v>
      </c>
      <c r="EO55" s="19">
        <v>220</v>
      </c>
      <c r="EP55" s="19">
        <v>482</v>
      </c>
      <c r="EQ55" s="19">
        <v>200</v>
      </c>
      <c r="ER55" s="19">
        <v>449</v>
      </c>
      <c r="ES55" s="19">
        <v>441</v>
      </c>
      <c r="ET55" s="19">
        <v>482</v>
      </c>
      <c r="EU55" s="19">
        <v>301</v>
      </c>
      <c r="EV55" s="19">
        <v>138</v>
      </c>
      <c r="EW55" s="19">
        <v>267</v>
      </c>
      <c r="EX55" s="19">
        <v>234</v>
      </c>
      <c r="EY55" s="19">
        <v>192</v>
      </c>
      <c r="EZ55" s="19">
        <v>240</v>
      </c>
      <c r="FA55" s="19">
        <v>162</v>
      </c>
      <c r="FB55" s="19">
        <v>367</v>
      </c>
      <c r="FC55" s="19">
        <v>209</v>
      </c>
      <c r="FD55" s="19">
        <v>407</v>
      </c>
      <c r="FE55" s="19">
        <v>500</v>
      </c>
      <c r="FF55" s="19">
        <v>484</v>
      </c>
      <c r="FG55" s="19">
        <v>258</v>
      </c>
      <c r="FH55" s="19">
        <v>240</v>
      </c>
      <c r="FI55" s="19">
        <v>443</v>
      </c>
      <c r="FJ55" s="19">
        <v>317</v>
      </c>
      <c r="FK55" s="19">
        <v>282</v>
      </c>
      <c r="FL55" s="20"/>
      <c r="FM55" s="20"/>
      <c r="FN55" s="20"/>
      <c r="FR55" s="17">
        <f t="shared" si="26"/>
        <v>0</v>
      </c>
      <c r="FS55" s="17">
        <f t="shared" si="27"/>
        <v>0</v>
      </c>
      <c r="FT55" s="17">
        <f t="shared" si="28"/>
        <v>0</v>
      </c>
      <c r="FU55" s="17">
        <f t="shared" si="29"/>
        <v>0</v>
      </c>
      <c r="FV55" s="17">
        <f t="shared" si="30"/>
        <v>0</v>
      </c>
      <c r="FW55" s="17">
        <f t="shared" si="31"/>
        <v>0</v>
      </c>
      <c r="FX55" s="17">
        <f t="shared" si="32"/>
        <v>0</v>
      </c>
      <c r="FY55" s="17">
        <f t="shared" si="33"/>
        <v>0</v>
      </c>
      <c r="FZ55" s="17">
        <f t="shared" si="34"/>
        <v>0</v>
      </c>
      <c r="GA55" s="17">
        <f t="shared" si="35"/>
        <v>0</v>
      </c>
      <c r="GB55" s="17">
        <f t="shared" si="36"/>
        <v>0</v>
      </c>
      <c r="GC55" s="17">
        <f t="shared" si="37"/>
        <v>0</v>
      </c>
      <c r="GD55" s="17">
        <f t="shared" si="38"/>
        <v>0</v>
      </c>
      <c r="GE55" s="17">
        <f t="shared" si="39"/>
        <v>0</v>
      </c>
      <c r="GF55" s="17">
        <f t="shared" si="40"/>
        <v>0</v>
      </c>
      <c r="GG55" s="17">
        <f t="shared" si="41"/>
        <v>0</v>
      </c>
      <c r="GH55" s="17">
        <f t="shared" si="42"/>
        <v>0</v>
      </c>
      <c r="GI55" s="17">
        <f t="shared" si="43"/>
        <v>0</v>
      </c>
      <c r="GJ55" s="17">
        <f t="shared" si="44"/>
        <v>0</v>
      </c>
      <c r="GK55" s="17">
        <f t="shared" si="45"/>
        <v>0</v>
      </c>
      <c r="GL55" s="17">
        <f t="shared" si="46"/>
        <v>0</v>
      </c>
      <c r="GM55" s="17">
        <f t="shared" si="47"/>
        <v>0</v>
      </c>
      <c r="GN55" s="17">
        <f t="shared" si="48"/>
        <v>0</v>
      </c>
      <c r="GO55" s="17">
        <f t="shared" si="49"/>
        <v>0</v>
      </c>
      <c r="GP55" s="17">
        <f t="shared" si="50"/>
        <v>690</v>
      </c>
      <c r="GQ55" s="17">
        <f t="shared" si="51"/>
        <v>782</v>
      </c>
      <c r="GR55" s="17">
        <f t="shared" si="52"/>
        <v>570</v>
      </c>
      <c r="GS55" s="17">
        <f t="shared" si="53"/>
        <v>642</v>
      </c>
      <c r="GT55" s="17">
        <f t="shared" si="54"/>
        <v>678</v>
      </c>
      <c r="GU55" s="17">
        <f t="shared" si="55"/>
        <v>648</v>
      </c>
      <c r="GV55" s="17">
        <f t="shared" si="56"/>
        <v>661</v>
      </c>
      <c r="GW55" s="17">
        <f t="shared" si="57"/>
        <v>1136</v>
      </c>
      <c r="GX55" s="17">
        <f t="shared" si="58"/>
        <v>851</v>
      </c>
      <c r="GY55" s="17">
        <f t="shared" si="59"/>
        <v>1268</v>
      </c>
      <c r="GZ55" s="17">
        <f t="shared" si="2"/>
        <v>1191</v>
      </c>
      <c r="HA55" s="17">
        <f t="shared" si="3"/>
        <v>1136</v>
      </c>
      <c r="HB55" s="17">
        <f t="shared" si="4"/>
        <v>687</v>
      </c>
      <c r="HC55" s="17">
        <f t="shared" si="5"/>
        <v>965</v>
      </c>
      <c r="HD55" s="17">
        <f t="shared" si="6"/>
        <v>710</v>
      </c>
      <c r="HE55" s="17">
        <f t="shared" si="7"/>
        <v>824</v>
      </c>
      <c r="HF55" s="17">
        <f t="shared" si="8"/>
        <v>1232</v>
      </c>
      <c r="HG55" s="17">
        <f t="shared" si="9"/>
        <v>994</v>
      </c>
      <c r="HH55" s="17">
        <f t="shared" si="10"/>
        <v>977</v>
      </c>
      <c r="HI55" s="17">
        <f t="shared" si="11"/>
        <v>1051</v>
      </c>
      <c r="HJ55" s="17">
        <f t="shared" si="12"/>
        <v>1384</v>
      </c>
      <c r="HK55" s="17">
        <f t="shared" si="13"/>
        <v>1457</v>
      </c>
      <c r="HL55" s="17">
        <f t="shared" si="14"/>
        <v>646</v>
      </c>
      <c r="HM55" s="17">
        <f t="shared" si="15"/>
        <v>1061</v>
      </c>
      <c r="HN55" s="17">
        <f t="shared" si="60"/>
        <v>1384</v>
      </c>
      <c r="HO55" s="17">
        <f t="shared" si="61"/>
        <v>1457</v>
      </c>
      <c r="HP55" s="17">
        <f t="shared" si="62"/>
        <v>646</v>
      </c>
      <c r="HQ55" s="17">
        <f t="shared" si="63"/>
        <v>1061</v>
      </c>
      <c r="HR55" s="17">
        <f t="shared" si="64"/>
        <v>1090</v>
      </c>
      <c r="HS55" s="17">
        <f t="shared" si="65"/>
        <v>921</v>
      </c>
      <c r="HT55" s="17">
        <f t="shared" si="16"/>
        <v>693</v>
      </c>
      <c r="HU55" s="17">
        <f t="shared" si="17"/>
        <v>769</v>
      </c>
      <c r="HV55" s="17">
        <f t="shared" si="18"/>
        <v>1116</v>
      </c>
      <c r="HW55" s="17">
        <f t="shared" si="19"/>
        <v>982</v>
      </c>
      <c r="HX55" s="17">
        <f t="shared" si="20"/>
        <v>1042</v>
      </c>
      <c r="IB55" s="17">
        <f t="shared" si="66"/>
        <v>0</v>
      </c>
      <c r="IC55" s="17">
        <f t="shared" si="67"/>
        <v>0</v>
      </c>
      <c r="ID55" s="17">
        <f t="shared" si="68"/>
        <v>0</v>
      </c>
      <c r="IE55" s="17">
        <f t="shared" si="69"/>
        <v>0</v>
      </c>
      <c r="IF55" s="17">
        <f t="shared" si="70"/>
        <v>0</v>
      </c>
      <c r="IG55" s="17">
        <f t="shared" si="71"/>
        <v>0</v>
      </c>
      <c r="IH55" s="17">
        <f t="shared" si="72"/>
        <v>2684</v>
      </c>
      <c r="II55" s="17">
        <f t="shared" si="73"/>
        <v>3123</v>
      </c>
      <c r="IJ55" s="17">
        <f t="shared" si="21"/>
        <v>4446</v>
      </c>
      <c r="IK55" s="17">
        <f t="shared" si="22"/>
        <v>3716</v>
      </c>
      <c r="IL55" s="17">
        <f t="shared" si="23"/>
        <v>4254</v>
      </c>
      <c r="IM55" s="17">
        <f t="shared" si="24"/>
        <v>4548</v>
      </c>
      <c r="IN55" s="17">
        <f t="shared" si="90"/>
        <v>3473</v>
      </c>
    </row>
    <row r="56" spans="1:248" outlineLevel="2" x14ac:dyDescent="0.3">
      <c r="A56" t="s">
        <v>100</v>
      </c>
      <c r="B56" t="s">
        <v>75</v>
      </c>
      <c r="C56" s="11">
        <v>0</v>
      </c>
      <c r="D56" s="11">
        <v>0</v>
      </c>
      <c r="E56" s="11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3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104</v>
      </c>
      <c r="BY56" s="12">
        <v>144</v>
      </c>
      <c r="BZ56" s="12">
        <v>114</v>
      </c>
      <c r="CA56" s="12">
        <v>94</v>
      </c>
      <c r="CB56" s="12">
        <v>137</v>
      </c>
      <c r="CC56" s="12">
        <v>158</v>
      </c>
      <c r="CD56" s="12">
        <v>101</v>
      </c>
      <c r="CE56" s="12">
        <v>80</v>
      </c>
      <c r="CF56" s="12">
        <v>89</v>
      </c>
      <c r="CG56" s="12">
        <v>25</v>
      </c>
      <c r="CH56" s="12">
        <v>51</v>
      </c>
      <c r="CI56" s="12">
        <v>50</v>
      </c>
      <c r="CJ56" s="12">
        <v>60</v>
      </c>
      <c r="CK56" s="12">
        <v>63</v>
      </c>
      <c r="CL56" s="12">
        <v>67</v>
      </c>
      <c r="CM56" s="12">
        <v>51</v>
      </c>
      <c r="CN56" s="12">
        <v>63</v>
      </c>
      <c r="CO56" s="12">
        <v>75</v>
      </c>
      <c r="CP56" s="12">
        <v>52</v>
      </c>
      <c r="CQ56" s="12">
        <v>71</v>
      </c>
      <c r="CR56" s="12">
        <v>90</v>
      </c>
      <c r="CS56" s="12">
        <v>113</v>
      </c>
      <c r="CT56" s="12">
        <v>3</v>
      </c>
      <c r="CU56" s="12">
        <v>39</v>
      </c>
      <c r="CV56" s="12">
        <v>47</v>
      </c>
      <c r="CW56" s="12">
        <v>132</v>
      </c>
      <c r="CX56" s="12">
        <v>63</v>
      </c>
      <c r="CY56" s="12">
        <v>68</v>
      </c>
      <c r="CZ56" s="12">
        <v>55</v>
      </c>
      <c r="DA56" s="12">
        <v>51</v>
      </c>
      <c r="DB56" s="12">
        <v>74</v>
      </c>
      <c r="DC56" s="12">
        <v>41</v>
      </c>
      <c r="DD56" s="12">
        <v>66</v>
      </c>
      <c r="DE56" s="12">
        <v>96</v>
      </c>
      <c r="DF56" s="12">
        <v>95</v>
      </c>
      <c r="DG56" s="12">
        <v>41</v>
      </c>
      <c r="DH56" s="12">
        <v>66</v>
      </c>
      <c r="DI56" s="14">
        <v>119</v>
      </c>
      <c r="DJ56" s="14">
        <v>108</v>
      </c>
      <c r="DK56" s="14">
        <v>128</v>
      </c>
      <c r="DL56" s="14">
        <v>125</v>
      </c>
      <c r="DM56" s="14">
        <v>150</v>
      </c>
      <c r="DN56" s="14">
        <v>115</v>
      </c>
      <c r="DO56" s="14">
        <v>115</v>
      </c>
      <c r="DP56" s="14">
        <v>115</v>
      </c>
      <c r="DQ56" s="14">
        <v>86</v>
      </c>
      <c r="DR56" s="14">
        <v>52</v>
      </c>
      <c r="DS56" s="14">
        <v>97</v>
      </c>
      <c r="DT56" s="14">
        <v>64</v>
      </c>
      <c r="DU56" s="14">
        <v>102</v>
      </c>
      <c r="DV56" s="14">
        <v>59</v>
      </c>
      <c r="DW56" s="14">
        <v>66</v>
      </c>
      <c r="DX56" s="14">
        <v>82</v>
      </c>
      <c r="DY56" s="14">
        <v>68</v>
      </c>
      <c r="DZ56" s="14">
        <v>48</v>
      </c>
      <c r="EA56" s="14">
        <v>45</v>
      </c>
      <c r="EB56" s="14">
        <v>104</v>
      </c>
      <c r="EC56" s="14">
        <v>78</v>
      </c>
      <c r="ED56" s="14">
        <v>78</v>
      </c>
      <c r="EE56" s="14">
        <v>19</v>
      </c>
      <c r="EF56" s="14">
        <v>82</v>
      </c>
      <c r="EG56" s="14">
        <v>72</v>
      </c>
      <c r="EH56" s="14">
        <v>73</v>
      </c>
      <c r="EI56" s="14">
        <v>78</v>
      </c>
      <c r="EJ56" s="14">
        <v>56</v>
      </c>
      <c r="EK56" s="14">
        <v>48</v>
      </c>
      <c r="EL56" s="14">
        <v>51</v>
      </c>
      <c r="EM56" s="14">
        <v>41</v>
      </c>
      <c r="EN56" s="14">
        <v>41</v>
      </c>
      <c r="EO56" s="14">
        <v>40</v>
      </c>
      <c r="EP56" s="14">
        <v>32</v>
      </c>
      <c r="EQ56" s="14">
        <v>43</v>
      </c>
      <c r="ER56" s="14">
        <v>34</v>
      </c>
      <c r="ES56" s="14">
        <v>86</v>
      </c>
      <c r="ET56" s="14">
        <v>71</v>
      </c>
      <c r="EU56" s="14">
        <v>72</v>
      </c>
      <c r="EV56" s="14">
        <v>116</v>
      </c>
      <c r="EW56" s="14">
        <v>119</v>
      </c>
      <c r="EX56" s="14">
        <v>41</v>
      </c>
      <c r="EY56" s="14">
        <v>44</v>
      </c>
      <c r="EZ56" s="14">
        <v>41</v>
      </c>
      <c r="FA56" s="14">
        <v>29</v>
      </c>
      <c r="FB56" s="14">
        <v>23</v>
      </c>
      <c r="FC56" s="14">
        <v>23</v>
      </c>
      <c r="FD56" s="14">
        <v>45</v>
      </c>
      <c r="FE56" s="14">
        <v>45</v>
      </c>
      <c r="FF56" s="14">
        <v>21</v>
      </c>
      <c r="FG56" s="14">
        <v>21</v>
      </c>
      <c r="FH56" s="14">
        <v>39</v>
      </c>
      <c r="FI56" s="14">
        <v>39</v>
      </c>
      <c r="FJ56" s="14">
        <v>0</v>
      </c>
      <c r="FK56" s="14">
        <v>0</v>
      </c>
      <c r="FL56" s="14"/>
      <c r="FM56" s="14"/>
      <c r="FN56" s="14"/>
      <c r="FR56" s="12">
        <f t="shared" si="26"/>
        <v>0</v>
      </c>
      <c r="FS56" s="12">
        <f t="shared" si="27"/>
        <v>0</v>
      </c>
      <c r="FT56" s="12">
        <f t="shared" si="28"/>
        <v>0</v>
      </c>
      <c r="FU56" s="12">
        <f t="shared" si="29"/>
        <v>0</v>
      </c>
      <c r="FV56" s="12">
        <f t="shared" si="30"/>
        <v>0</v>
      </c>
      <c r="FW56" s="12">
        <f t="shared" si="31"/>
        <v>0</v>
      </c>
      <c r="FX56" s="12">
        <f t="shared" si="32"/>
        <v>0</v>
      </c>
      <c r="FY56" s="12">
        <f t="shared" si="33"/>
        <v>0</v>
      </c>
      <c r="FZ56" s="12">
        <f t="shared" si="34"/>
        <v>0</v>
      </c>
      <c r="GA56" s="12">
        <f t="shared" si="35"/>
        <v>0</v>
      </c>
      <c r="GB56" s="12">
        <f t="shared" si="36"/>
        <v>0</v>
      </c>
      <c r="GC56" s="12">
        <f t="shared" si="37"/>
        <v>0</v>
      </c>
      <c r="GD56" s="12">
        <f t="shared" si="38"/>
        <v>0</v>
      </c>
      <c r="GE56" s="12">
        <f t="shared" si="39"/>
        <v>0</v>
      </c>
      <c r="GF56" s="12">
        <f t="shared" si="40"/>
        <v>0</v>
      </c>
      <c r="GG56" s="12">
        <f t="shared" si="41"/>
        <v>0</v>
      </c>
      <c r="GH56" s="12">
        <f t="shared" si="42"/>
        <v>0</v>
      </c>
      <c r="GI56" s="12">
        <f t="shared" si="43"/>
        <v>0</v>
      </c>
      <c r="GJ56" s="12">
        <f t="shared" si="44"/>
        <v>0</v>
      </c>
      <c r="GK56" s="12">
        <f t="shared" si="45"/>
        <v>0</v>
      </c>
      <c r="GL56" s="12">
        <f t="shared" si="46"/>
        <v>0</v>
      </c>
      <c r="GM56" s="12">
        <f t="shared" si="47"/>
        <v>0</v>
      </c>
      <c r="GN56" s="12">
        <f t="shared" si="48"/>
        <v>0</v>
      </c>
      <c r="GO56" s="12">
        <f t="shared" si="49"/>
        <v>0</v>
      </c>
      <c r="GP56" s="12">
        <f t="shared" si="50"/>
        <v>248</v>
      </c>
      <c r="GQ56" s="12">
        <f t="shared" si="51"/>
        <v>345</v>
      </c>
      <c r="GR56" s="12">
        <f t="shared" si="52"/>
        <v>339</v>
      </c>
      <c r="GS56" s="12">
        <f t="shared" si="53"/>
        <v>165</v>
      </c>
      <c r="GT56" s="12">
        <f t="shared" si="54"/>
        <v>173</v>
      </c>
      <c r="GU56" s="12">
        <f t="shared" si="55"/>
        <v>181</v>
      </c>
      <c r="GV56" s="12">
        <f t="shared" si="56"/>
        <v>198</v>
      </c>
      <c r="GW56" s="12">
        <f t="shared" si="57"/>
        <v>206</v>
      </c>
      <c r="GX56" s="12">
        <f t="shared" si="58"/>
        <v>218</v>
      </c>
      <c r="GY56" s="12">
        <f t="shared" si="59"/>
        <v>186</v>
      </c>
      <c r="GZ56" s="12">
        <f t="shared" si="2"/>
        <v>166</v>
      </c>
      <c r="HA56" s="12">
        <f t="shared" si="3"/>
        <v>257</v>
      </c>
      <c r="HB56" s="12">
        <f t="shared" si="4"/>
        <v>107</v>
      </c>
      <c r="HC56" s="12">
        <f t="shared" si="5"/>
        <v>361</v>
      </c>
      <c r="HD56" s="12">
        <f t="shared" si="6"/>
        <v>380</v>
      </c>
      <c r="HE56" s="12">
        <f t="shared" si="7"/>
        <v>253</v>
      </c>
      <c r="HF56" s="12">
        <f t="shared" si="8"/>
        <v>263</v>
      </c>
      <c r="HG56" s="12">
        <f t="shared" si="9"/>
        <v>207</v>
      </c>
      <c r="HH56" s="12">
        <f t="shared" si="10"/>
        <v>161</v>
      </c>
      <c r="HI56" s="12">
        <f t="shared" si="11"/>
        <v>260</v>
      </c>
      <c r="HJ56" s="12">
        <f t="shared" si="12"/>
        <v>173</v>
      </c>
      <c r="HK56" s="12">
        <f t="shared" si="13"/>
        <v>207</v>
      </c>
      <c r="HL56" s="12">
        <f t="shared" si="14"/>
        <v>140</v>
      </c>
      <c r="HM56" s="12">
        <f t="shared" si="15"/>
        <v>113</v>
      </c>
      <c r="HN56" s="12">
        <f t="shared" si="60"/>
        <v>173</v>
      </c>
      <c r="HO56" s="12">
        <f t="shared" si="61"/>
        <v>207</v>
      </c>
      <c r="HP56" s="12">
        <f t="shared" si="62"/>
        <v>140</v>
      </c>
      <c r="HQ56" s="12">
        <f t="shared" si="63"/>
        <v>113</v>
      </c>
      <c r="HR56" s="12">
        <f t="shared" si="64"/>
        <v>163</v>
      </c>
      <c r="HS56" s="12">
        <f t="shared" si="65"/>
        <v>259</v>
      </c>
      <c r="HT56" s="12">
        <f t="shared" si="16"/>
        <v>204</v>
      </c>
      <c r="HU56" s="12">
        <f t="shared" si="17"/>
        <v>93</v>
      </c>
      <c r="HV56" s="12">
        <f t="shared" si="18"/>
        <v>113</v>
      </c>
      <c r="HW56" s="12">
        <f t="shared" si="19"/>
        <v>81</v>
      </c>
      <c r="HX56" s="12">
        <f t="shared" si="20"/>
        <v>39</v>
      </c>
      <c r="IB56" s="12">
        <f t="shared" si="66"/>
        <v>0</v>
      </c>
      <c r="IC56" s="12">
        <f t="shared" si="67"/>
        <v>0</v>
      </c>
      <c r="ID56" s="12">
        <f t="shared" si="68"/>
        <v>0</v>
      </c>
      <c r="IE56" s="12">
        <f t="shared" si="69"/>
        <v>0</v>
      </c>
      <c r="IF56" s="12">
        <f t="shared" si="70"/>
        <v>0</v>
      </c>
      <c r="IG56" s="12">
        <f t="shared" si="71"/>
        <v>0</v>
      </c>
      <c r="IH56" s="12">
        <f t="shared" si="72"/>
        <v>1097</v>
      </c>
      <c r="II56" s="12">
        <f t="shared" si="73"/>
        <v>758</v>
      </c>
      <c r="IJ56" s="12">
        <f t="shared" si="21"/>
        <v>827</v>
      </c>
      <c r="IK56" s="12">
        <f t="shared" si="22"/>
        <v>1220</v>
      </c>
      <c r="IL56" s="12">
        <f t="shared" si="23"/>
        <v>891</v>
      </c>
      <c r="IM56" s="12">
        <f t="shared" si="24"/>
        <v>633</v>
      </c>
      <c r="IN56" s="12">
        <f t="shared" si="90"/>
        <v>719</v>
      </c>
    </row>
    <row r="57" spans="1:248" outlineLevel="2" x14ac:dyDescent="0.3">
      <c r="B57" t="s">
        <v>76</v>
      </c>
      <c r="C57" s="11">
        <v>0</v>
      </c>
      <c r="D57" s="11">
        <v>0</v>
      </c>
      <c r="E57" s="11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3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230</v>
      </c>
      <c r="BY57" s="12">
        <v>194</v>
      </c>
      <c r="BZ57" s="12">
        <v>141</v>
      </c>
      <c r="CA57" s="12">
        <v>229</v>
      </c>
      <c r="CB57" s="12">
        <v>252</v>
      </c>
      <c r="CC57" s="12">
        <v>187</v>
      </c>
      <c r="CD57" s="12">
        <v>167</v>
      </c>
      <c r="CE57" s="12">
        <v>329</v>
      </c>
      <c r="CF57" s="12">
        <v>149</v>
      </c>
      <c r="CG57" s="12">
        <v>44</v>
      </c>
      <c r="CH57" s="12">
        <v>118</v>
      </c>
      <c r="CI57" s="12">
        <v>102</v>
      </c>
      <c r="CJ57" s="12">
        <v>107</v>
      </c>
      <c r="CK57" s="12">
        <v>120</v>
      </c>
      <c r="CL57" s="12">
        <v>132</v>
      </c>
      <c r="CM57" s="12">
        <v>86</v>
      </c>
      <c r="CN57" s="12">
        <v>123</v>
      </c>
      <c r="CO57" s="12">
        <v>159</v>
      </c>
      <c r="CP57" s="12">
        <v>126</v>
      </c>
      <c r="CQ57" s="12">
        <v>68</v>
      </c>
      <c r="CR57" s="12">
        <v>61</v>
      </c>
      <c r="CS57" s="12">
        <v>70</v>
      </c>
      <c r="CT57" s="12">
        <v>4</v>
      </c>
      <c r="CU57" s="12">
        <v>45</v>
      </c>
      <c r="CV57" s="12">
        <v>118</v>
      </c>
      <c r="CW57" s="12">
        <v>110</v>
      </c>
      <c r="CX57" s="12">
        <v>140</v>
      </c>
      <c r="CY57" s="12">
        <v>87</v>
      </c>
      <c r="CZ57" s="12">
        <v>196</v>
      </c>
      <c r="DA57" s="12">
        <v>195</v>
      </c>
      <c r="DB57" s="12">
        <v>141</v>
      </c>
      <c r="DC57" s="12">
        <v>164</v>
      </c>
      <c r="DD57" s="12">
        <v>114</v>
      </c>
      <c r="DE57" s="12">
        <v>80</v>
      </c>
      <c r="DF57" s="12">
        <v>60</v>
      </c>
      <c r="DG57" s="12">
        <v>27</v>
      </c>
      <c r="DH57" s="12">
        <v>41</v>
      </c>
      <c r="DI57" s="14">
        <v>53</v>
      </c>
      <c r="DJ57" s="14">
        <v>66</v>
      </c>
      <c r="DK57" s="14">
        <v>54</v>
      </c>
      <c r="DL57" s="14">
        <v>47</v>
      </c>
      <c r="DM57" s="14">
        <v>60</v>
      </c>
      <c r="DN57" s="14">
        <v>35</v>
      </c>
      <c r="DO57" s="14">
        <v>39</v>
      </c>
      <c r="DP57" s="14">
        <v>39</v>
      </c>
      <c r="DQ57" s="14">
        <v>70</v>
      </c>
      <c r="DR57" s="14">
        <v>57</v>
      </c>
      <c r="DS57" s="14">
        <v>77</v>
      </c>
      <c r="DT57" s="14">
        <v>78</v>
      </c>
      <c r="DU57" s="14">
        <v>113</v>
      </c>
      <c r="DV57" s="14">
        <v>59</v>
      </c>
      <c r="DW57" s="14">
        <v>76</v>
      </c>
      <c r="DX57" s="14">
        <v>94</v>
      </c>
      <c r="DY57" s="14">
        <v>84</v>
      </c>
      <c r="DZ57" s="14">
        <v>76</v>
      </c>
      <c r="EA57" s="14">
        <v>70</v>
      </c>
      <c r="EB57" s="14">
        <v>84</v>
      </c>
      <c r="EC57" s="14">
        <v>75</v>
      </c>
      <c r="ED57" s="14">
        <v>108</v>
      </c>
      <c r="EE57" s="14">
        <v>55</v>
      </c>
      <c r="EF57" s="14">
        <v>101</v>
      </c>
      <c r="EG57" s="14">
        <v>67</v>
      </c>
      <c r="EH57" s="14">
        <v>67</v>
      </c>
      <c r="EI57" s="14">
        <v>98</v>
      </c>
      <c r="EJ57" s="14">
        <v>87</v>
      </c>
      <c r="EK57" s="14">
        <v>116</v>
      </c>
      <c r="EL57" s="14">
        <v>120</v>
      </c>
      <c r="EM57" s="14">
        <v>91</v>
      </c>
      <c r="EN57" s="14">
        <v>114</v>
      </c>
      <c r="EO57" s="14">
        <v>87</v>
      </c>
      <c r="EP57" s="14">
        <v>36</v>
      </c>
      <c r="EQ57" s="14">
        <v>75</v>
      </c>
      <c r="ER57" s="14">
        <v>86</v>
      </c>
      <c r="ES57" s="14">
        <v>106</v>
      </c>
      <c r="ET57" s="14">
        <v>107</v>
      </c>
      <c r="EU57" s="14">
        <v>123</v>
      </c>
      <c r="EV57" s="14">
        <v>198</v>
      </c>
      <c r="EW57" s="14">
        <v>222</v>
      </c>
      <c r="EX57" s="14">
        <v>193</v>
      </c>
      <c r="EY57" s="14">
        <v>106</v>
      </c>
      <c r="EZ57" s="14">
        <v>83</v>
      </c>
      <c r="FA57" s="14">
        <v>117</v>
      </c>
      <c r="FB57" s="14">
        <v>120</v>
      </c>
      <c r="FC57" s="14">
        <v>122</v>
      </c>
      <c r="FD57" s="14">
        <v>228</v>
      </c>
      <c r="FE57" s="14">
        <v>138</v>
      </c>
      <c r="FF57" s="14">
        <v>125</v>
      </c>
      <c r="FG57" s="14">
        <v>172</v>
      </c>
      <c r="FH57" s="14">
        <v>185</v>
      </c>
      <c r="FI57" s="14">
        <v>209</v>
      </c>
      <c r="FJ57" s="14">
        <v>166</v>
      </c>
      <c r="FK57" s="14">
        <v>126</v>
      </c>
      <c r="FL57" s="14"/>
      <c r="FM57" s="14"/>
      <c r="FN57" s="14"/>
      <c r="FR57" s="12">
        <f t="shared" si="26"/>
        <v>0</v>
      </c>
      <c r="FS57" s="12">
        <f t="shared" si="27"/>
        <v>0</v>
      </c>
      <c r="FT57" s="12">
        <f t="shared" si="28"/>
        <v>0</v>
      </c>
      <c r="FU57" s="12">
        <f t="shared" si="29"/>
        <v>0</v>
      </c>
      <c r="FV57" s="12">
        <f t="shared" si="30"/>
        <v>0</v>
      </c>
      <c r="FW57" s="12">
        <f t="shared" si="31"/>
        <v>0</v>
      </c>
      <c r="FX57" s="12">
        <f t="shared" si="32"/>
        <v>0</v>
      </c>
      <c r="FY57" s="12">
        <f t="shared" si="33"/>
        <v>0</v>
      </c>
      <c r="FZ57" s="12">
        <f t="shared" si="34"/>
        <v>0</v>
      </c>
      <c r="GA57" s="12">
        <f t="shared" si="35"/>
        <v>0</v>
      </c>
      <c r="GB57" s="12">
        <f t="shared" si="36"/>
        <v>0</v>
      </c>
      <c r="GC57" s="12">
        <f t="shared" si="37"/>
        <v>0</v>
      </c>
      <c r="GD57" s="12">
        <f t="shared" si="38"/>
        <v>0</v>
      </c>
      <c r="GE57" s="12">
        <f t="shared" si="39"/>
        <v>0</v>
      </c>
      <c r="GF57" s="12">
        <f t="shared" si="40"/>
        <v>0</v>
      </c>
      <c r="GG57" s="12">
        <f t="shared" si="41"/>
        <v>0</v>
      </c>
      <c r="GH57" s="12">
        <f t="shared" si="42"/>
        <v>0</v>
      </c>
      <c r="GI57" s="12">
        <f t="shared" si="43"/>
        <v>0</v>
      </c>
      <c r="GJ57" s="12">
        <f t="shared" si="44"/>
        <v>0</v>
      </c>
      <c r="GK57" s="12">
        <f t="shared" si="45"/>
        <v>0</v>
      </c>
      <c r="GL57" s="12">
        <f t="shared" si="46"/>
        <v>0</v>
      </c>
      <c r="GM57" s="12">
        <f t="shared" si="47"/>
        <v>0</v>
      </c>
      <c r="GN57" s="12">
        <f t="shared" si="48"/>
        <v>0</v>
      </c>
      <c r="GO57" s="12">
        <f t="shared" si="49"/>
        <v>0</v>
      </c>
      <c r="GP57" s="12">
        <f t="shared" si="50"/>
        <v>424</v>
      </c>
      <c r="GQ57" s="12">
        <f t="shared" si="51"/>
        <v>622</v>
      </c>
      <c r="GR57" s="12">
        <f t="shared" si="52"/>
        <v>683</v>
      </c>
      <c r="GS57" s="12">
        <f t="shared" si="53"/>
        <v>311</v>
      </c>
      <c r="GT57" s="12">
        <f t="shared" si="54"/>
        <v>329</v>
      </c>
      <c r="GU57" s="12">
        <f t="shared" si="55"/>
        <v>341</v>
      </c>
      <c r="GV57" s="12">
        <f t="shared" si="56"/>
        <v>353</v>
      </c>
      <c r="GW57" s="12">
        <f t="shared" si="57"/>
        <v>135</v>
      </c>
      <c r="GX57" s="12">
        <f t="shared" si="58"/>
        <v>273</v>
      </c>
      <c r="GY57" s="12">
        <f t="shared" si="59"/>
        <v>423</v>
      </c>
      <c r="GZ57" s="12">
        <f t="shared" si="2"/>
        <v>500</v>
      </c>
      <c r="HA57" s="12">
        <f t="shared" si="3"/>
        <v>254</v>
      </c>
      <c r="HB57" s="12">
        <f t="shared" si="4"/>
        <v>68</v>
      </c>
      <c r="HC57" s="12">
        <f t="shared" si="5"/>
        <v>167</v>
      </c>
      <c r="HD57" s="12">
        <f t="shared" si="6"/>
        <v>134</v>
      </c>
      <c r="HE57" s="12">
        <f t="shared" si="7"/>
        <v>166</v>
      </c>
      <c r="HF57" s="12">
        <f t="shared" si="8"/>
        <v>268</v>
      </c>
      <c r="HG57" s="12">
        <f t="shared" si="9"/>
        <v>229</v>
      </c>
      <c r="HH57" s="12">
        <f t="shared" si="10"/>
        <v>230</v>
      </c>
      <c r="HI57" s="12">
        <f t="shared" si="11"/>
        <v>267</v>
      </c>
      <c r="HJ57" s="12">
        <f t="shared" si="12"/>
        <v>223</v>
      </c>
      <c r="HK57" s="12">
        <f t="shared" si="13"/>
        <v>252</v>
      </c>
      <c r="HL57" s="12">
        <f t="shared" si="14"/>
        <v>327</v>
      </c>
      <c r="HM57" s="12">
        <f t="shared" si="15"/>
        <v>237</v>
      </c>
      <c r="HN57" s="12">
        <f t="shared" si="60"/>
        <v>223</v>
      </c>
      <c r="HO57" s="12">
        <f t="shared" si="61"/>
        <v>252</v>
      </c>
      <c r="HP57" s="12">
        <f t="shared" si="62"/>
        <v>327</v>
      </c>
      <c r="HQ57" s="12">
        <f t="shared" si="63"/>
        <v>237</v>
      </c>
      <c r="HR57" s="12">
        <f t="shared" si="64"/>
        <v>267</v>
      </c>
      <c r="HS57" s="12">
        <f t="shared" si="65"/>
        <v>428</v>
      </c>
      <c r="HT57" s="12">
        <f t="shared" si="16"/>
        <v>521</v>
      </c>
      <c r="HU57" s="12">
        <f t="shared" si="17"/>
        <v>320</v>
      </c>
      <c r="HV57" s="12">
        <f t="shared" si="18"/>
        <v>488</v>
      </c>
      <c r="HW57" s="12">
        <f t="shared" si="19"/>
        <v>482</v>
      </c>
      <c r="HX57" s="12">
        <f t="shared" si="20"/>
        <v>501</v>
      </c>
      <c r="IB57" s="12">
        <f t="shared" si="66"/>
        <v>0</v>
      </c>
      <c r="IC57" s="12">
        <f t="shared" si="67"/>
        <v>0</v>
      </c>
      <c r="ID57" s="12">
        <f t="shared" si="68"/>
        <v>0</v>
      </c>
      <c r="IE57" s="12">
        <f t="shared" si="69"/>
        <v>0</v>
      </c>
      <c r="IF57" s="12">
        <f t="shared" si="70"/>
        <v>0</v>
      </c>
      <c r="IG57" s="12">
        <f t="shared" si="71"/>
        <v>0</v>
      </c>
      <c r="IH57" s="12">
        <f t="shared" si="72"/>
        <v>2040</v>
      </c>
      <c r="II57" s="12">
        <f t="shared" si="73"/>
        <v>1158</v>
      </c>
      <c r="IJ57" s="12">
        <f t="shared" si="21"/>
        <v>1450</v>
      </c>
      <c r="IK57" s="12">
        <f t="shared" si="22"/>
        <v>588</v>
      </c>
      <c r="IL57" s="12">
        <f t="shared" si="23"/>
        <v>994</v>
      </c>
      <c r="IM57" s="12">
        <f t="shared" si="24"/>
        <v>1039</v>
      </c>
      <c r="IN57" s="12">
        <f t="shared" si="90"/>
        <v>1536</v>
      </c>
    </row>
    <row r="58" spans="1:248" outlineLevel="2" x14ac:dyDescent="0.3">
      <c r="B58" t="s">
        <v>77</v>
      </c>
      <c r="C58" s="11">
        <v>0</v>
      </c>
      <c r="D58" s="11">
        <v>0</v>
      </c>
      <c r="E58" s="11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3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5</v>
      </c>
      <c r="BY58" s="12">
        <v>26</v>
      </c>
      <c r="BZ58" s="12">
        <v>16</v>
      </c>
      <c r="CA58" s="12">
        <v>11</v>
      </c>
      <c r="CB58" s="12">
        <v>16</v>
      </c>
      <c r="CC58" s="12">
        <v>26</v>
      </c>
      <c r="CD58" s="12">
        <v>14</v>
      </c>
      <c r="CE58" s="12">
        <v>18</v>
      </c>
      <c r="CF58" s="12">
        <v>31</v>
      </c>
      <c r="CG58" s="12">
        <v>15</v>
      </c>
      <c r="CH58" s="12">
        <v>20</v>
      </c>
      <c r="CI58" s="12">
        <v>9</v>
      </c>
      <c r="CJ58" s="12">
        <v>15</v>
      </c>
      <c r="CK58" s="12">
        <v>13</v>
      </c>
      <c r="CL58" s="12">
        <v>6</v>
      </c>
      <c r="CM58" s="12">
        <v>10</v>
      </c>
      <c r="CN58" s="12">
        <v>12</v>
      </c>
      <c r="CO58" s="12">
        <v>16</v>
      </c>
      <c r="CP58" s="12">
        <v>19</v>
      </c>
      <c r="CQ58" s="12">
        <v>7</v>
      </c>
      <c r="CR58" s="12">
        <v>19</v>
      </c>
      <c r="CS58" s="12">
        <v>10</v>
      </c>
      <c r="CT58" s="12">
        <v>3</v>
      </c>
      <c r="CU58" s="12">
        <v>5</v>
      </c>
      <c r="CV58" s="12">
        <v>22</v>
      </c>
      <c r="CW58" s="12">
        <v>14</v>
      </c>
      <c r="CX58" s="12">
        <v>11</v>
      </c>
      <c r="CY58" s="12">
        <v>15</v>
      </c>
      <c r="CZ58" s="12">
        <v>20</v>
      </c>
      <c r="DA58" s="12">
        <v>37</v>
      </c>
      <c r="DB58" s="12">
        <v>20</v>
      </c>
      <c r="DC58" s="12">
        <v>12</v>
      </c>
      <c r="DD58" s="12">
        <v>22</v>
      </c>
      <c r="DE58" s="12">
        <v>17</v>
      </c>
      <c r="DF58" s="12">
        <v>27</v>
      </c>
      <c r="DG58" s="12">
        <v>6</v>
      </c>
      <c r="DH58" s="12">
        <v>7</v>
      </c>
      <c r="DI58" s="14">
        <v>10</v>
      </c>
      <c r="DJ58" s="14">
        <v>6</v>
      </c>
      <c r="DK58" s="14">
        <v>7</v>
      </c>
      <c r="DL58" s="14">
        <v>12</v>
      </c>
      <c r="DM58" s="14">
        <v>60</v>
      </c>
      <c r="DN58" s="14">
        <v>48</v>
      </c>
      <c r="DO58" s="14">
        <v>54</v>
      </c>
      <c r="DP58" s="14">
        <v>61</v>
      </c>
      <c r="DQ58" s="14">
        <v>63</v>
      </c>
      <c r="DR58" s="14">
        <v>59</v>
      </c>
      <c r="DS58" s="14">
        <v>67</v>
      </c>
      <c r="DT58" s="14">
        <v>67</v>
      </c>
      <c r="DU58" s="14">
        <v>107</v>
      </c>
      <c r="DV58" s="14">
        <v>36</v>
      </c>
      <c r="DW58" s="14">
        <v>63</v>
      </c>
      <c r="DX58" s="14">
        <v>85</v>
      </c>
      <c r="DY58" s="14">
        <v>133</v>
      </c>
      <c r="DZ58" s="14">
        <v>120</v>
      </c>
      <c r="EA58" s="14">
        <v>77</v>
      </c>
      <c r="EB58" s="14">
        <v>77</v>
      </c>
      <c r="EC58" s="14">
        <v>57</v>
      </c>
      <c r="ED58" s="14">
        <v>82</v>
      </c>
      <c r="EE58" s="14">
        <v>53</v>
      </c>
      <c r="EF58" s="14">
        <v>43</v>
      </c>
      <c r="EG58" s="14">
        <v>67</v>
      </c>
      <c r="EH58" s="14">
        <v>67</v>
      </c>
      <c r="EI58" s="14">
        <v>58</v>
      </c>
      <c r="EJ58" s="14">
        <v>56</v>
      </c>
      <c r="EK58" s="14">
        <v>82</v>
      </c>
      <c r="EL58" s="14">
        <v>86</v>
      </c>
      <c r="EM58" s="14">
        <v>56</v>
      </c>
      <c r="EN58" s="14">
        <v>56</v>
      </c>
      <c r="EO58" s="14">
        <v>40</v>
      </c>
      <c r="EP58" s="14">
        <v>14</v>
      </c>
      <c r="EQ58" s="14">
        <v>9</v>
      </c>
      <c r="ER58" s="14">
        <v>11</v>
      </c>
      <c r="ES58" s="14">
        <v>5</v>
      </c>
      <c r="ET58" s="14">
        <v>5</v>
      </c>
      <c r="EU58" s="14">
        <v>16</v>
      </c>
      <c r="EV58" s="14">
        <v>2</v>
      </c>
      <c r="EW58" s="14">
        <v>21</v>
      </c>
      <c r="EX58" s="14">
        <v>15</v>
      </c>
      <c r="EY58" s="14">
        <v>65</v>
      </c>
      <c r="EZ58" s="14">
        <v>74</v>
      </c>
      <c r="FA58" s="14">
        <v>28</v>
      </c>
      <c r="FB58" s="14">
        <v>25</v>
      </c>
      <c r="FC58" s="14">
        <v>25</v>
      </c>
      <c r="FD58" s="14">
        <v>64</v>
      </c>
      <c r="FE58" s="14">
        <v>19</v>
      </c>
      <c r="FF58" s="14">
        <v>11</v>
      </c>
      <c r="FG58" s="14">
        <v>73</v>
      </c>
      <c r="FH58" s="14">
        <v>73</v>
      </c>
      <c r="FI58" s="14">
        <v>77</v>
      </c>
      <c r="FJ58" s="14">
        <v>65</v>
      </c>
      <c r="FK58" s="14">
        <v>55</v>
      </c>
      <c r="FL58" s="14"/>
      <c r="FM58" s="14"/>
      <c r="FN58" s="14"/>
      <c r="FR58" s="12">
        <f t="shared" si="26"/>
        <v>0</v>
      </c>
      <c r="FS58" s="12">
        <f t="shared" si="27"/>
        <v>0</v>
      </c>
      <c r="FT58" s="12">
        <f t="shared" si="28"/>
        <v>0</v>
      </c>
      <c r="FU58" s="12">
        <f t="shared" si="29"/>
        <v>0</v>
      </c>
      <c r="FV58" s="12">
        <f t="shared" si="30"/>
        <v>0</v>
      </c>
      <c r="FW58" s="12">
        <f t="shared" si="31"/>
        <v>0</v>
      </c>
      <c r="FX58" s="12">
        <f t="shared" si="32"/>
        <v>0</v>
      </c>
      <c r="FY58" s="12">
        <f t="shared" si="33"/>
        <v>0</v>
      </c>
      <c r="FZ58" s="12">
        <f t="shared" si="34"/>
        <v>0</v>
      </c>
      <c r="GA58" s="12">
        <f t="shared" si="35"/>
        <v>0</v>
      </c>
      <c r="GB58" s="12">
        <f t="shared" si="36"/>
        <v>0</v>
      </c>
      <c r="GC58" s="12">
        <f t="shared" si="37"/>
        <v>0</v>
      </c>
      <c r="GD58" s="12">
        <f t="shared" si="38"/>
        <v>0</v>
      </c>
      <c r="GE58" s="12">
        <f t="shared" si="39"/>
        <v>0</v>
      </c>
      <c r="GF58" s="12">
        <f t="shared" si="40"/>
        <v>0</v>
      </c>
      <c r="GG58" s="12">
        <f t="shared" si="41"/>
        <v>0</v>
      </c>
      <c r="GH58" s="12">
        <f t="shared" si="42"/>
        <v>0</v>
      </c>
      <c r="GI58" s="12">
        <f t="shared" si="43"/>
        <v>0</v>
      </c>
      <c r="GJ58" s="12">
        <f t="shared" si="44"/>
        <v>0</v>
      </c>
      <c r="GK58" s="12">
        <f t="shared" si="45"/>
        <v>0</v>
      </c>
      <c r="GL58" s="12">
        <f t="shared" si="46"/>
        <v>0</v>
      </c>
      <c r="GM58" s="12">
        <f t="shared" si="47"/>
        <v>0</v>
      </c>
      <c r="GN58" s="12">
        <f t="shared" si="48"/>
        <v>0</v>
      </c>
      <c r="GO58" s="12">
        <f t="shared" si="49"/>
        <v>0</v>
      </c>
      <c r="GP58" s="12">
        <f t="shared" si="50"/>
        <v>31</v>
      </c>
      <c r="GQ58" s="12">
        <f t="shared" si="51"/>
        <v>43</v>
      </c>
      <c r="GR58" s="12">
        <f t="shared" si="52"/>
        <v>58</v>
      </c>
      <c r="GS58" s="12">
        <f t="shared" si="53"/>
        <v>66</v>
      </c>
      <c r="GT58" s="12">
        <f t="shared" si="54"/>
        <v>37</v>
      </c>
      <c r="GU58" s="12">
        <f t="shared" si="55"/>
        <v>28</v>
      </c>
      <c r="GV58" s="12">
        <f t="shared" si="56"/>
        <v>42</v>
      </c>
      <c r="GW58" s="12">
        <f t="shared" si="57"/>
        <v>32</v>
      </c>
      <c r="GX58" s="12">
        <f t="shared" si="58"/>
        <v>41</v>
      </c>
      <c r="GY58" s="12">
        <f t="shared" si="59"/>
        <v>46</v>
      </c>
      <c r="GZ58" s="12">
        <f t="shared" si="2"/>
        <v>69</v>
      </c>
      <c r="HA58" s="12">
        <f t="shared" si="3"/>
        <v>66</v>
      </c>
      <c r="HB58" s="12">
        <f t="shared" si="4"/>
        <v>13</v>
      </c>
      <c r="HC58" s="12">
        <f t="shared" si="5"/>
        <v>25</v>
      </c>
      <c r="HD58" s="12">
        <f t="shared" si="6"/>
        <v>162</v>
      </c>
      <c r="HE58" s="12">
        <f t="shared" si="7"/>
        <v>183</v>
      </c>
      <c r="HF58" s="12">
        <f t="shared" si="8"/>
        <v>241</v>
      </c>
      <c r="HG58" s="12">
        <f t="shared" si="9"/>
        <v>184</v>
      </c>
      <c r="HH58" s="12">
        <f t="shared" si="10"/>
        <v>330</v>
      </c>
      <c r="HI58" s="12">
        <f t="shared" si="11"/>
        <v>216</v>
      </c>
      <c r="HJ58" s="12">
        <f t="shared" si="12"/>
        <v>163</v>
      </c>
      <c r="HK58" s="12">
        <f t="shared" si="13"/>
        <v>181</v>
      </c>
      <c r="HL58" s="12">
        <f t="shared" si="14"/>
        <v>224</v>
      </c>
      <c r="HM58" s="12">
        <f t="shared" si="15"/>
        <v>110</v>
      </c>
      <c r="HN58" s="12">
        <f t="shared" si="60"/>
        <v>163</v>
      </c>
      <c r="HO58" s="12">
        <f t="shared" si="61"/>
        <v>181</v>
      </c>
      <c r="HP58" s="12">
        <f t="shared" si="62"/>
        <v>224</v>
      </c>
      <c r="HQ58" s="12">
        <f t="shared" si="63"/>
        <v>110</v>
      </c>
      <c r="HR58" s="12">
        <f t="shared" si="64"/>
        <v>25</v>
      </c>
      <c r="HS58" s="12">
        <f t="shared" si="65"/>
        <v>23</v>
      </c>
      <c r="HT58" s="12">
        <f t="shared" si="16"/>
        <v>101</v>
      </c>
      <c r="HU58" s="12">
        <f t="shared" si="17"/>
        <v>127</v>
      </c>
      <c r="HV58" s="12">
        <f t="shared" si="18"/>
        <v>108</v>
      </c>
      <c r="HW58" s="12">
        <f t="shared" si="19"/>
        <v>157</v>
      </c>
      <c r="HX58" s="12">
        <f t="shared" si="20"/>
        <v>197</v>
      </c>
      <c r="IB58" s="12">
        <f t="shared" si="66"/>
        <v>0</v>
      </c>
      <c r="IC58" s="12">
        <f t="shared" si="67"/>
        <v>0</v>
      </c>
      <c r="ID58" s="12">
        <f t="shared" si="68"/>
        <v>0</v>
      </c>
      <c r="IE58" s="12">
        <f t="shared" si="69"/>
        <v>0</v>
      </c>
      <c r="IF58" s="12">
        <f t="shared" si="70"/>
        <v>0</v>
      </c>
      <c r="IG58" s="12">
        <f t="shared" si="71"/>
        <v>0</v>
      </c>
      <c r="IH58" s="12">
        <f t="shared" si="72"/>
        <v>198</v>
      </c>
      <c r="II58" s="12">
        <f t="shared" si="73"/>
        <v>139</v>
      </c>
      <c r="IJ58" s="12">
        <f t="shared" si="21"/>
        <v>222</v>
      </c>
      <c r="IK58" s="12">
        <f t="shared" si="22"/>
        <v>393</v>
      </c>
      <c r="IL58" s="12">
        <f t="shared" si="23"/>
        <v>971</v>
      </c>
      <c r="IM58" s="12">
        <f t="shared" si="24"/>
        <v>678</v>
      </c>
      <c r="IN58" s="12">
        <f t="shared" si="90"/>
        <v>276</v>
      </c>
    </row>
    <row r="59" spans="1:248" outlineLevel="2" x14ac:dyDescent="0.3">
      <c r="B59" t="s">
        <v>78</v>
      </c>
      <c r="C59" s="11">
        <v>0</v>
      </c>
      <c r="D59" s="11">
        <v>0</v>
      </c>
      <c r="E59" s="11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3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11</v>
      </c>
      <c r="DA59" s="12">
        <v>10</v>
      </c>
      <c r="DB59" s="12">
        <v>3</v>
      </c>
      <c r="DC59" s="12">
        <v>0</v>
      </c>
      <c r="DD59" s="12">
        <v>-1</v>
      </c>
      <c r="DE59" s="12">
        <v>7</v>
      </c>
      <c r="DF59" s="12">
        <v>11</v>
      </c>
      <c r="DG59" s="12">
        <v>0</v>
      </c>
      <c r="DH59" s="12">
        <v>2</v>
      </c>
      <c r="DI59" s="14">
        <v>8</v>
      </c>
      <c r="DJ59" s="14">
        <v>10</v>
      </c>
      <c r="DK59" s="14">
        <v>16</v>
      </c>
      <c r="DL59" s="14">
        <v>41</v>
      </c>
      <c r="DM59" s="14">
        <v>46</v>
      </c>
      <c r="DN59" s="14">
        <v>3</v>
      </c>
      <c r="DO59" s="14">
        <v>3</v>
      </c>
      <c r="DP59" s="14">
        <v>0</v>
      </c>
      <c r="DQ59" s="14">
        <v>14</v>
      </c>
      <c r="DR59" s="14">
        <v>82</v>
      </c>
      <c r="DS59" s="14">
        <v>6</v>
      </c>
      <c r="DT59" s="14">
        <v>12</v>
      </c>
      <c r="DU59" s="14">
        <v>13</v>
      </c>
      <c r="DV59" s="14">
        <v>16</v>
      </c>
      <c r="DW59" s="14">
        <v>8</v>
      </c>
      <c r="DX59" s="14">
        <v>17</v>
      </c>
      <c r="DY59" s="14">
        <v>33</v>
      </c>
      <c r="DZ59" s="14">
        <v>36</v>
      </c>
      <c r="EA59" s="14">
        <v>36</v>
      </c>
      <c r="EB59" s="14">
        <v>20</v>
      </c>
      <c r="EC59" s="14">
        <v>15</v>
      </c>
      <c r="ED59" s="14">
        <v>6</v>
      </c>
      <c r="EE59" s="14">
        <v>14</v>
      </c>
      <c r="EF59" s="14">
        <v>8</v>
      </c>
      <c r="EG59" s="14">
        <v>1</v>
      </c>
      <c r="EH59" s="14">
        <v>1</v>
      </c>
      <c r="EI59" s="14">
        <v>15</v>
      </c>
      <c r="EJ59" s="14">
        <v>11</v>
      </c>
      <c r="EK59" s="14">
        <v>15</v>
      </c>
      <c r="EL59" s="14">
        <v>15</v>
      </c>
      <c r="EM59" s="14">
        <v>15</v>
      </c>
      <c r="EN59" s="14">
        <v>20</v>
      </c>
      <c r="EO59" s="14">
        <v>4</v>
      </c>
      <c r="EP59" s="14">
        <v>6</v>
      </c>
      <c r="EQ59" s="14">
        <v>6</v>
      </c>
      <c r="ER59" s="14">
        <v>0</v>
      </c>
      <c r="ES59" s="14">
        <v>3</v>
      </c>
      <c r="ET59" s="14">
        <v>5</v>
      </c>
      <c r="EU59" s="14">
        <v>5</v>
      </c>
      <c r="EV59" s="14">
        <v>2</v>
      </c>
      <c r="EW59" s="14">
        <v>8</v>
      </c>
      <c r="EX59" s="14">
        <v>8</v>
      </c>
      <c r="EY59" s="14">
        <v>15</v>
      </c>
      <c r="EZ59" s="14">
        <v>9</v>
      </c>
      <c r="FA59" s="14">
        <v>9</v>
      </c>
      <c r="FB59" s="14">
        <v>9</v>
      </c>
      <c r="FC59" s="14">
        <v>9</v>
      </c>
      <c r="FD59" s="14">
        <v>0</v>
      </c>
      <c r="FE59" s="14">
        <v>0</v>
      </c>
      <c r="FF59" s="14">
        <v>0</v>
      </c>
      <c r="FG59" s="14">
        <v>8</v>
      </c>
      <c r="FH59" s="14">
        <v>8</v>
      </c>
      <c r="FI59" s="14">
        <v>7</v>
      </c>
      <c r="FJ59" s="14">
        <v>7</v>
      </c>
      <c r="FK59" s="14">
        <v>7</v>
      </c>
      <c r="FL59" s="14"/>
      <c r="FM59" s="14"/>
      <c r="FN59" s="14"/>
      <c r="FR59" s="12">
        <f t="shared" si="26"/>
        <v>0</v>
      </c>
      <c r="FS59" s="12">
        <f t="shared" si="27"/>
        <v>0</v>
      </c>
      <c r="FT59" s="12">
        <f t="shared" si="28"/>
        <v>0</v>
      </c>
      <c r="FU59" s="12">
        <f t="shared" si="29"/>
        <v>0</v>
      </c>
      <c r="FV59" s="12">
        <f t="shared" si="30"/>
        <v>0</v>
      </c>
      <c r="FW59" s="12">
        <f t="shared" si="31"/>
        <v>0</v>
      </c>
      <c r="FX59" s="12">
        <f t="shared" si="32"/>
        <v>0</v>
      </c>
      <c r="FY59" s="12">
        <f t="shared" si="33"/>
        <v>0</v>
      </c>
      <c r="FZ59" s="12">
        <f t="shared" si="34"/>
        <v>0</v>
      </c>
      <c r="GA59" s="12">
        <f t="shared" si="35"/>
        <v>0</v>
      </c>
      <c r="GB59" s="12">
        <f t="shared" si="36"/>
        <v>0</v>
      </c>
      <c r="GC59" s="12">
        <f t="shared" si="37"/>
        <v>0</v>
      </c>
      <c r="GD59" s="12">
        <f t="shared" si="38"/>
        <v>0</v>
      </c>
      <c r="GE59" s="12">
        <f t="shared" si="39"/>
        <v>0</v>
      </c>
      <c r="GF59" s="12">
        <f t="shared" si="40"/>
        <v>0</v>
      </c>
      <c r="GG59" s="12">
        <f t="shared" si="41"/>
        <v>0</v>
      </c>
      <c r="GH59" s="12">
        <f t="shared" si="42"/>
        <v>0</v>
      </c>
      <c r="GI59" s="12">
        <f t="shared" si="43"/>
        <v>0</v>
      </c>
      <c r="GJ59" s="12">
        <f t="shared" si="44"/>
        <v>0</v>
      </c>
      <c r="GK59" s="12">
        <f t="shared" si="45"/>
        <v>0</v>
      </c>
      <c r="GL59" s="12">
        <f t="shared" si="46"/>
        <v>0</v>
      </c>
      <c r="GM59" s="12">
        <f t="shared" si="47"/>
        <v>0</v>
      </c>
      <c r="GN59" s="12">
        <f t="shared" si="48"/>
        <v>0</v>
      </c>
      <c r="GO59" s="12">
        <f t="shared" si="49"/>
        <v>0</v>
      </c>
      <c r="GP59" s="12">
        <f t="shared" si="50"/>
        <v>0</v>
      </c>
      <c r="GQ59" s="12">
        <f t="shared" si="51"/>
        <v>0</v>
      </c>
      <c r="GR59" s="12">
        <f t="shared" si="52"/>
        <v>0</v>
      </c>
      <c r="GS59" s="12">
        <f t="shared" si="53"/>
        <v>0</v>
      </c>
      <c r="GT59" s="12">
        <f t="shared" si="54"/>
        <v>0</v>
      </c>
      <c r="GU59" s="12">
        <f t="shared" si="55"/>
        <v>0</v>
      </c>
      <c r="GV59" s="12">
        <f t="shared" si="56"/>
        <v>0</v>
      </c>
      <c r="GW59" s="12">
        <f t="shared" si="57"/>
        <v>0</v>
      </c>
      <c r="GX59" s="12">
        <f t="shared" si="58"/>
        <v>0</v>
      </c>
      <c r="GY59" s="12">
        <f t="shared" si="59"/>
        <v>11</v>
      </c>
      <c r="GZ59" s="12">
        <f t="shared" si="2"/>
        <v>13</v>
      </c>
      <c r="HA59" s="12">
        <f t="shared" si="3"/>
        <v>17</v>
      </c>
      <c r="HB59" s="12">
        <f t="shared" si="4"/>
        <v>2</v>
      </c>
      <c r="HC59" s="12">
        <f t="shared" si="5"/>
        <v>67</v>
      </c>
      <c r="HD59" s="12">
        <f t="shared" si="6"/>
        <v>52</v>
      </c>
      <c r="HE59" s="12">
        <f t="shared" si="7"/>
        <v>96</v>
      </c>
      <c r="HF59" s="12">
        <f t="shared" si="8"/>
        <v>31</v>
      </c>
      <c r="HG59" s="12">
        <f t="shared" si="9"/>
        <v>41</v>
      </c>
      <c r="HH59" s="12">
        <f t="shared" si="10"/>
        <v>105</v>
      </c>
      <c r="HI59" s="12">
        <f t="shared" si="11"/>
        <v>41</v>
      </c>
      <c r="HJ59" s="12">
        <f t="shared" si="12"/>
        <v>23</v>
      </c>
      <c r="HK59" s="12">
        <f t="shared" si="13"/>
        <v>27</v>
      </c>
      <c r="HL59" s="12">
        <f t="shared" si="14"/>
        <v>45</v>
      </c>
      <c r="HM59" s="12">
        <f t="shared" si="15"/>
        <v>30</v>
      </c>
      <c r="HN59" s="12">
        <f t="shared" si="60"/>
        <v>23</v>
      </c>
      <c r="HO59" s="12">
        <f t="shared" si="61"/>
        <v>27</v>
      </c>
      <c r="HP59" s="12">
        <f t="shared" si="62"/>
        <v>45</v>
      </c>
      <c r="HQ59" s="12">
        <f t="shared" si="63"/>
        <v>30</v>
      </c>
      <c r="HR59" s="12">
        <f t="shared" si="64"/>
        <v>9</v>
      </c>
      <c r="HS59" s="12">
        <f t="shared" si="65"/>
        <v>12</v>
      </c>
      <c r="HT59" s="12">
        <f t="shared" si="16"/>
        <v>31</v>
      </c>
      <c r="HU59" s="12">
        <f t="shared" si="17"/>
        <v>27</v>
      </c>
      <c r="HV59" s="12">
        <f t="shared" si="18"/>
        <v>9</v>
      </c>
      <c r="HW59" s="12">
        <f t="shared" si="19"/>
        <v>16</v>
      </c>
      <c r="HX59" s="12">
        <f t="shared" si="20"/>
        <v>21</v>
      </c>
      <c r="IB59" s="12">
        <f t="shared" si="66"/>
        <v>0</v>
      </c>
      <c r="IC59" s="12">
        <f t="shared" si="67"/>
        <v>0</v>
      </c>
      <c r="ID59" s="12">
        <f t="shared" si="68"/>
        <v>0</v>
      </c>
      <c r="IE59" s="12">
        <f t="shared" si="69"/>
        <v>0</v>
      </c>
      <c r="IF59" s="12">
        <f t="shared" si="70"/>
        <v>0</v>
      </c>
      <c r="IG59" s="12">
        <f t="shared" si="71"/>
        <v>0</v>
      </c>
      <c r="IH59" s="12">
        <f t="shared" si="72"/>
        <v>0</v>
      </c>
      <c r="II59" s="12">
        <f t="shared" si="73"/>
        <v>0</v>
      </c>
      <c r="IJ59" s="12">
        <f t="shared" si="21"/>
        <v>41</v>
      </c>
      <c r="IK59" s="12">
        <f t="shared" si="22"/>
        <v>225</v>
      </c>
      <c r="IL59" s="12">
        <f t="shared" si="23"/>
        <v>218</v>
      </c>
      <c r="IM59" s="12">
        <f t="shared" si="24"/>
        <v>125</v>
      </c>
      <c r="IN59" s="12">
        <f t="shared" si="90"/>
        <v>79</v>
      </c>
    </row>
    <row r="60" spans="1:248" outlineLevel="1" x14ac:dyDescent="0.3">
      <c r="A60" s="15" t="s">
        <v>101</v>
      </c>
      <c r="B60" s="15"/>
      <c r="C60" s="16">
        <f t="shared" ref="C60:BN60" si="95">+SUM(C56:C59)</f>
        <v>0</v>
      </c>
      <c r="D60" s="16">
        <f t="shared" si="95"/>
        <v>0</v>
      </c>
      <c r="E60" s="16">
        <f t="shared" si="95"/>
        <v>0</v>
      </c>
      <c r="F60" s="16">
        <f t="shared" si="95"/>
        <v>0</v>
      </c>
      <c r="G60" s="16">
        <f t="shared" si="95"/>
        <v>0</v>
      </c>
      <c r="H60" s="16">
        <f t="shared" si="95"/>
        <v>0</v>
      </c>
      <c r="I60" s="16">
        <f t="shared" si="95"/>
        <v>0</v>
      </c>
      <c r="J60" s="16">
        <f t="shared" si="95"/>
        <v>0</v>
      </c>
      <c r="K60" s="16">
        <f t="shared" si="95"/>
        <v>0</v>
      </c>
      <c r="L60" s="16">
        <f t="shared" si="95"/>
        <v>0</v>
      </c>
      <c r="M60" s="16">
        <f t="shared" si="95"/>
        <v>0</v>
      </c>
      <c r="N60" s="16">
        <f t="shared" si="95"/>
        <v>0</v>
      </c>
      <c r="O60" s="16">
        <f t="shared" si="95"/>
        <v>0</v>
      </c>
      <c r="P60" s="16">
        <f t="shared" si="95"/>
        <v>0</v>
      </c>
      <c r="Q60" s="16">
        <f t="shared" si="95"/>
        <v>0</v>
      </c>
      <c r="R60" s="16">
        <f t="shared" si="95"/>
        <v>0</v>
      </c>
      <c r="S60" s="16">
        <f t="shared" si="95"/>
        <v>0</v>
      </c>
      <c r="T60" s="16">
        <f t="shared" si="95"/>
        <v>0</v>
      </c>
      <c r="U60" s="16">
        <f t="shared" si="95"/>
        <v>0</v>
      </c>
      <c r="V60" s="16">
        <f t="shared" si="95"/>
        <v>0</v>
      </c>
      <c r="W60" s="16">
        <f t="shared" si="95"/>
        <v>0</v>
      </c>
      <c r="X60" s="16">
        <f t="shared" si="95"/>
        <v>0</v>
      </c>
      <c r="Y60" s="16">
        <f t="shared" si="95"/>
        <v>0</v>
      </c>
      <c r="Z60" s="16">
        <f t="shared" si="95"/>
        <v>0</v>
      </c>
      <c r="AA60" s="17">
        <f t="shared" si="95"/>
        <v>0</v>
      </c>
      <c r="AB60" s="17">
        <f t="shared" si="95"/>
        <v>0</v>
      </c>
      <c r="AC60" s="17">
        <f t="shared" si="95"/>
        <v>0</v>
      </c>
      <c r="AD60" s="17">
        <f t="shared" si="95"/>
        <v>0</v>
      </c>
      <c r="AE60" s="17">
        <f t="shared" si="95"/>
        <v>0</v>
      </c>
      <c r="AF60" s="17">
        <f t="shared" si="95"/>
        <v>0</v>
      </c>
      <c r="AG60" s="17">
        <f t="shared" si="95"/>
        <v>0</v>
      </c>
      <c r="AH60" s="17">
        <f t="shared" si="95"/>
        <v>0</v>
      </c>
      <c r="AI60" s="17">
        <f t="shared" si="95"/>
        <v>0</v>
      </c>
      <c r="AJ60" s="17">
        <f t="shared" si="95"/>
        <v>0</v>
      </c>
      <c r="AK60" s="17">
        <f t="shared" si="95"/>
        <v>0</v>
      </c>
      <c r="AL60" s="18">
        <f t="shared" si="95"/>
        <v>0</v>
      </c>
      <c r="AM60" s="17">
        <f t="shared" si="95"/>
        <v>0</v>
      </c>
      <c r="AN60" s="17">
        <f t="shared" si="95"/>
        <v>0</v>
      </c>
      <c r="AO60" s="17">
        <f t="shared" si="95"/>
        <v>0</v>
      </c>
      <c r="AP60" s="17">
        <f t="shared" si="95"/>
        <v>0</v>
      </c>
      <c r="AQ60" s="17">
        <f t="shared" si="95"/>
        <v>0</v>
      </c>
      <c r="AR60" s="17">
        <f t="shared" si="95"/>
        <v>0</v>
      </c>
      <c r="AS60" s="17">
        <f t="shared" si="95"/>
        <v>0</v>
      </c>
      <c r="AT60" s="17">
        <f t="shared" si="95"/>
        <v>0</v>
      </c>
      <c r="AU60" s="17">
        <f t="shared" si="95"/>
        <v>0</v>
      </c>
      <c r="AV60" s="17">
        <f t="shared" si="95"/>
        <v>0</v>
      </c>
      <c r="AW60" s="17">
        <f t="shared" si="95"/>
        <v>0</v>
      </c>
      <c r="AX60" s="17">
        <f t="shared" si="95"/>
        <v>0</v>
      </c>
      <c r="AY60" s="17">
        <f t="shared" si="95"/>
        <v>0</v>
      </c>
      <c r="AZ60" s="17">
        <f t="shared" si="95"/>
        <v>0</v>
      </c>
      <c r="BA60" s="17">
        <f t="shared" si="95"/>
        <v>0</v>
      </c>
      <c r="BB60" s="17">
        <f t="shared" si="95"/>
        <v>0</v>
      </c>
      <c r="BC60" s="17">
        <f t="shared" si="95"/>
        <v>0</v>
      </c>
      <c r="BD60" s="17">
        <f t="shared" si="95"/>
        <v>0</v>
      </c>
      <c r="BE60" s="17">
        <f t="shared" si="95"/>
        <v>0</v>
      </c>
      <c r="BF60" s="17">
        <f t="shared" si="95"/>
        <v>0</v>
      </c>
      <c r="BG60" s="17">
        <f t="shared" si="95"/>
        <v>0</v>
      </c>
      <c r="BH60" s="17">
        <f t="shared" si="95"/>
        <v>0</v>
      </c>
      <c r="BI60" s="17">
        <f t="shared" si="95"/>
        <v>0</v>
      </c>
      <c r="BJ60" s="17">
        <f t="shared" si="95"/>
        <v>0</v>
      </c>
      <c r="BK60" s="17">
        <f t="shared" si="95"/>
        <v>0</v>
      </c>
      <c r="BL60" s="17">
        <f t="shared" si="95"/>
        <v>0</v>
      </c>
      <c r="BM60" s="17">
        <f t="shared" si="95"/>
        <v>0</v>
      </c>
      <c r="BN60" s="17">
        <f t="shared" si="95"/>
        <v>0</v>
      </c>
      <c r="BO60" s="17">
        <f t="shared" ref="BO60:DA60" si="96">+SUM(BO56:BO59)</f>
        <v>0</v>
      </c>
      <c r="BP60" s="17">
        <f t="shared" si="96"/>
        <v>0</v>
      </c>
      <c r="BQ60" s="17">
        <f t="shared" si="96"/>
        <v>0</v>
      </c>
      <c r="BR60" s="17">
        <f t="shared" si="96"/>
        <v>0</v>
      </c>
      <c r="BS60" s="17">
        <f t="shared" si="96"/>
        <v>0</v>
      </c>
      <c r="BT60" s="17">
        <f t="shared" si="96"/>
        <v>0</v>
      </c>
      <c r="BU60" s="17">
        <f t="shared" si="96"/>
        <v>0</v>
      </c>
      <c r="BV60" s="17">
        <f t="shared" si="96"/>
        <v>0</v>
      </c>
      <c r="BW60" s="17">
        <f t="shared" si="96"/>
        <v>0</v>
      </c>
      <c r="BX60" s="17">
        <f t="shared" si="96"/>
        <v>339</v>
      </c>
      <c r="BY60" s="17">
        <f t="shared" si="96"/>
        <v>364</v>
      </c>
      <c r="BZ60" s="17">
        <f t="shared" si="96"/>
        <v>271</v>
      </c>
      <c r="CA60" s="17">
        <f t="shared" si="96"/>
        <v>334</v>
      </c>
      <c r="CB60" s="17">
        <f t="shared" si="96"/>
        <v>405</v>
      </c>
      <c r="CC60" s="17">
        <f t="shared" si="96"/>
        <v>371</v>
      </c>
      <c r="CD60" s="17">
        <f t="shared" si="96"/>
        <v>282</v>
      </c>
      <c r="CE60" s="17">
        <f t="shared" si="96"/>
        <v>427</v>
      </c>
      <c r="CF60" s="17">
        <f t="shared" si="96"/>
        <v>269</v>
      </c>
      <c r="CG60" s="17">
        <f t="shared" si="96"/>
        <v>84</v>
      </c>
      <c r="CH60" s="17">
        <f t="shared" si="96"/>
        <v>189</v>
      </c>
      <c r="CI60" s="17">
        <f t="shared" si="96"/>
        <v>161</v>
      </c>
      <c r="CJ60" s="17">
        <f t="shared" si="96"/>
        <v>182</v>
      </c>
      <c r="CK60" s="17">
        <f t="shared" si="96"/>
        <v>196</v>
      </c>
      <c r="CL60" s="17">
        <f t="shared" si="96"/>
        <v>205</v>
      </c>
      <c r="CM60" s="17">
        <f t="shared" si="96"/>
        <v>147</v>
      </c>
      <c r="CN60" s="17">
        <f t="shared" si="96"/>
        <v>198</v>
      </c>
      <c r="CO60" s="17">
        <f t="shared" si="96"/>
        <v>250</v>
      </c>
      <c r="CP60" s="17">
        <f t="shared" si="96"/>
        <v>197</v>
      </c>
      <c r="CQ60" s="17">
        <f t="shared" si="96"/>
        <v>146</v>
      </c>
      <c r="CR60" s="17">
        <f t="shared" si="96"/>
        <v>170</v>
      </c>
      <c r="CS60" s="17">
        <f t="shared" si="96"/>
        <v>193</v>
      </c>
      <c r="CT60" s="17">
        <f t="shared" si="96"/>
        <v>10</v>
      </c>
      <c r="CU60" s="17">
        <f t="shared" si="96"/>
        <v>89</v>
      </c>
      <c r="CV60" s="17">
        <f t="shared" si="96"/>
        <v>187</v>
      </c>
      <c r="CW60" s="17">
        <f t="shared" si="96"/>
        <v>256</v>
      </c>
      <c r="CX60" s="17">
        <f t="shared" si="96"/>
        <v>214</v>
      </c>
      <c r="CY60" s="17">
        <f t="shared" si="96"/>
        <v>170</v>
      </c>
      <c r="CZ60" s="17">
        <f t="shared" si="96"/>
        <v>282</v>
      </c>
      <c r="DA60" s="17">
        <f t="shared" si="96"/>
        <v>293</v>
      </c>
      <c r="DB60" s="17">
        <f>+SUM(DB56:DB59)</f>
        <v>238</v>
      </c>
      <c r="DC60" s="17">
        <f>+SUM(DC56:DC59)</f>
        <v>217</v>
      </c>
      <c r="DD60" s="17">
        <f>+SUM(DD56:DD59)</f>
        <v>201</v>
      </c>
      <c r="DE60" s="17">
        <v>200</v>
      </c>
      <c r="DF60" s="17">
        <v>193</v>
      </c>
      <c r="DG60" s="17">
        <v>74</v>
      </c>
      <c r="DH60" s="17">
        <v>116</v>
      </c>
      <c r="DI60" s="19">
        <v>190</v>
      </c>
      <c r="DJ60" s="19">
        <v>190</v>
      </c>
      <c r="DK60" s="19">
        <v>205</v>
      </c>
      <c r="DL60" s="19">
        <v>225</v>
      </c>
      <c r="DM60" s="19">
        <v>316</v>
      </c>
      <c r="DN60" s="19">
        <v>201</v>
      </c>
      <c r="DO60" s="19">
        <v>211</v>
      </c>
      <c r="DP60" s="19">
        <v>215</v>
      </c>
      <c r="DQ60" s="19">
        <v>233</v>
      </c>
      <c r="DR60" s="19">
        <v>250</v>
      </c>
      <c r="DS60" s="19">
        <v>247</v>
      </c>
      <c r="DT60" s="19">
        <v>221</v>
      </c>
      <c r="DU60" s="19">
        <v>335</v>
      </c>
      <c r="DV60" s="19">
        <v>170</v>
      </c>
      <c r="DW60" s="19">
        <v>213</v>
      </c>
      <c r="DX60" s="19">
        <v>278</v>
      </c>
      <c r="DY60" s="19">
        <v>318</v>
      </c>
      <c r="DZ60" s="19">
        <v>280</v>
      </c>
      <c r="EA60" s="19">
        <v>228</v>
      </c>
      <c r="EB60" s="19">
        <v>285</v>
      </c>
      <c r="EC60" s="19">
        <v>225</v>
      </c>
      <c r="ED60" s="19">
        <v>274</v>
      </c>
      <c r="EE60" s="19">
        <v>141</v>
      </c>
      <c r="EF60" s="19">
        <v>234</v>
      </c>
      <c r="EG60" s="19">
        <v>207</v>
      </c>
      <c r="EH60" s="19">
        <v>208</v>
      </c>
      <c r="EI60" s="19">
        <v>249</v>
      </c>
      <c r="EJ60" s="19">
        <v>210</v>
      </c>
      <c r="EK60" s="19">
        <v>261</v>
      </c>
      <c r="EL60" s="19">
        <v>272</v>
      </c>
      <c r="EM60" s="19">
        <v>203</v>
      </c>
      <c r="EN60" s="19">
        <v>231</v>
      </c>
      <c r="EO60" s="19">
        <v>171</v>
      </c>
      <c r="EP60" s="19">
        <v>88</v>
      </c>
      <c r="EQ60" s="19">
        <v>133</v>
      </c>
      <c r="ER60" s="19">
        <v>131</v>
      </c>
      <c r="ES60" s="19">
        <v>200</v>
      </c>
      <c r="ET60" s="19">
        <v>188</v>
      </c>
      <c r="EU60" s="19">
        <v>216</v>
      </c>
      <c r="EV60" s="19">
        <v>318</v>
      </c>
      <c r="EW60" s="19">
        <v>370</v>
      </c>
      <c r="EX60" s="19">
        <v>257</v>
      </c>
      <c r="EY60" s="19">
        <v>230</v>
      </c>
      <c r="EZ60" s="19">
        <v>207</v>
      </c>
      <c r="FA60" s="19">
        <v>183</v>
      </c>
      <c r="FB60" s="19">
        <v>177</v>
      </c>
      <c r="FC60" s="19">
        <v>179</v>
      </c>
      <c r="FD60" s="19">
        <v>337</v>
      </c>
      <c r="FE60" s="19">
        <v>202</v>
      </c>
      <c r="FF60" s="19">
        <v>157</v>
      </c>
      <c r="FG60" s="19">
        <v>274</v>
      </c>
      <c r="FH60" s="19">
        <v>305</v>
      </c>
      <c r="FI60" s="19">
        <v>332</v>
      </c>
      <c r="FJ60" s="19">
        <v>238</v>
      </c>
      <c r="FK60" s="19">
        <v>188</v>
      </c>
      <c r="FL60" s="20"/>
      <c r="FM60" s="20"/>
      <c r="FN60" s="20"/>
      <c r="FR60" s="17">
        <f t="shared" si="26"/>
        <v>0</v>
      </c>
      <c r="FS60" s="17">
        <f t="shared" si="27"/>
        <v>0</v>
      </c>
      <c r="FT60" s="17">
        <f t="shared" si="28"/>
        <v>0</v>
      </c>
      <c r="FU60" s="17">
        <f t="shared" si="29"/>
        <v>0</v>
      </c>
      <c r="FV60" s="17">
        <f t="shared" si="30"/>
        <v>0</v>
      </c>
      <c r="FW60" s="17">
        <f t="shared" si="31"/>
        <v>0</v>
      </c>
      <c r="FX60" s="17">
        <f t="shared" si="32"/>
        <v>0</v>
      </c>
      <c r="FY60" s="17">
        <f t="shared" si="33"/>
        <v>0</v>
      </c>
      <c r="FZ60" s="17">
        <f t="shared" si="34"/>
        <v>0</v>
      </c>
      <c r="GA60" s="17">
        <f t="shared" si="35"/>
        <v>0</v>
      </c>
      <c r="GB60" s="17">
        <f t="shared" si="36"/>
        <v>0</v>
      </c>
      <c r="GC60" s="17">
        <f t="shared" si="37"/>
        <v>0</v>
      </c>
      <c r="GD60" s="17">
        <f t="shared" si="38"/>
        <v>0</v>
      </c>
      <c r="GE60" s="17">
        <f t="shared" si="39"/>
        <v>0</v>
      </c>
      <c r="GF60" s="17">
        <f t="shared" si="40"/>
        <v>0</v>
      </c>
      <c r="GG60" s="17">
        <f t="shared" si="41"/>
        <v>0</v>
      </c>
      <c r="GH60" s="17">
        <f t="shared" si="42"/>
        <v>0</v>
      </c>
      <c r="GI60" s="17">
        <f t="shared" si="43"/>
        <v>0</v>
      </c>
      <c r="GJ60" s="17">
        <f t="shared" si="44"/>
        <v>0</v>
      </c>
      <c r="GK60" s="17">
        <f t="shared" si="45"/>
        <v>0</v>
      </c>
      <c r="GL60" s="17">
        <f t="shared" si="46"/>
        <v>0</v>
      </c>
      <c r="GM60" s="17">
        <f t="shared" si="47"/>
        <v>0</v>
      </c>
      <c r="GN60" s="17">
        <f t="shared" si="48"/>
        <v>0</v>
      </c>
      <c r="GO60" s="17">
        <f t="shared" si="49"/>
        <v>0</v>
      </c>
      <c r="GP60" s="17">
        <f t="shared" si="50"/>
        <v>703</v>
      </c>
      <c r="GQ60" s="17">
        <f t="shared" si="51"/>
        <v>1010</v>
      </c>
      <c r="GR60" s="17">
        <f t="shared" si="52"/>
        <v>1080</v>
      </c>
      <c r="GS60" s="17">
        <f t="shared" si="53"/>
        <v>542</v>
      </c>
      <c r="GT60" s="17">
        <f t="shared" si="54"/>
        <v>539</v>
      </c>
      <c r="GU60" s="17">
        <f t="shared" si="55"/>
        <v>550</v>
      </c>
      <c r="GV60" s="17">
        <f t="shared" si="56"/>
        <v>593</v>
      </c>
      <c r="GW60" s="17">
        <f t="shared" si="57"/>
        <v>373</v>
      </c>
      <c r="GX60" s="17">
        <f t="shared" si="58"/>
        <v>532</v>
      </c>
      <c r="GY60" s="17">
        <f t="shared" si="59"/>
        <v>666</v>
      </c>
      <c r="GZ60" s="17">
        <f t="shared" si="2"/>
        <v>748</v>
      </c>
      <c r="HA60" s="17">
        <f t="shared" si="3"/>
        <v>594</v>
      </c>
      <c r="HB60" s="17">
        <f t="shared" si="4"/>
        <v>190</v>
      </c>
      <c r="HC60" s="17">
        <f t="shared" si="5"/>
        <v>620</v>
      </c>
      <c r="HD60" s="17">
        <f t="shared" si="6"/>
        <v>728</v>
      </c>
      <c r="HE60" s="17">
        <f t="shared" si="7"/>
        <v>698</v>
      </c>
      <c r="HF60" s="17">
        <f t="shared" si="8"/>
        <v>803</v>
      </c>
      <c r="HG60" s="17">
        <f t="shared" si="9"/>
        <v>661</v>
      </c>
      <c r="HH60" s="17">
        <f t="shared" si="10"/>
        <v>826</v>
      </c>
      <c r="HI60" s="17">
        <f t="shared" si="11"/>
        <v>784</v>
      </c>
      <c r="HJ60" s="17">
        <f t="shared" si="12"/>
        <v>582</v>
      </c>
      <c r="HK60" s="17">
        <f t="shared" si="13"/>
        <v>667</v>
      </c>
      <c r="HL60" s="17">
        <f t="shared" si="14"/>
        <v>736</v>
      </c>
      <c r="HM60" s="17">
        <f t="shared" si="15"/>
        <v>490</v>
      </c>
      <c r="HN60" s="17">
        <f t="shared" si="60"/>
        <v>582</v>
      </c>
      <c r="HO60" s="17">
        <f t="shared" si="61"/>
        <v>667</v>
      </c>
      <c r="HP60" s="17">
        <f t="shared" si="62"/>
        <v>736</v>
      </c>
      <c r="HQ60" s="17">
        <f t="shared" si="63"/>
        <v>490</v>
      </c>
      <c r="HR60" s="17">
        <f t="shared" si="64"/>
        <v>464</v>
      </c>
      <c r="HS60" s="17">
        <f t="shared" si="65"/>
        <v>722</v>
      </c>
      <c r="HT60" s="17">
        <f t="shared" si="16"/>
        <v>857</v>
      </c>
      <c r="HU60" s="17">
        <f t="shared" si="17"/>
        <v>567</v>
      </c>
      <c r="HV60" s="17">
        <f t="shared" si="18"/>
        <v>718</v>
      </c>
      <c r="HW60" s="17">
        <f t="shared" si="19"/>
        <v>736</v>
      </c>
      <c r="HX60" s="17">
        <f t="shared" si="20"/>
        <v>758</v>
      </c>
      <c r="IB60" s="17">
        <f t="shared" si="66"/>
        <v>0</v>
      </c>
      <c r="IC60" s="17">
        <f t="shared" si="67"/>
        <v>0</v>
      </c>
      <c r="ID60" s="17">
        <f t="shared" si="68"/>
        <v>0</v>
      </c>
      <c r="IE60" s="17">
        <f t="shared" si="69"/>
        <v>0</v>
      </c>
      <c r="IF60" s="17">
        <f t="shared" si="70"/>
        <v>0</v>
      </c>
      <c r="IG60" s="17">
        <f t="shared" si="71"/>
        <v>0</v>
      </c>
      <c r="IH60" s="17">
        <f t="shared" si="72"/>
        <v>3335</v>
      </c>
      <c r="II60" s="17">
        <f t="shared" si="73"/>
        <v>2055</v>
      </c>
      <c r="IJ60" s="17">
        <f t="shared" si="21"/>
        <v>2540</v>
      </c>
      <c r="IK60" s="17">
        <f t="shared" si="22"/>
        <v>2426</v>
      </c>
      <c r="IL60" s="17">
        <f t="shared" si="23"/>
        <v>3074</v>
      </c>
      <c r="IM60" s="17">
        <f t="shared" si="24"/>
        <v>2475</v>
      </c>
      <c r="IN60" s="17">
        <f t="shared" si="90"/>
        <v>2610</v>
      </c>
    </row>
    <row r="61" spans="1:248" outlineLevel="2" x14ac:dyDescent="0.3">
      <c r="A61" t="s">
        <v>102</v>
      </c>
      <c r="B61" t="s">
        <v>75</v>
      </c>
      <c r="C61" s="11">
        <v>0</v>
      </c>
      <c r="D61" s="11">
        <v>0</v>
      </c>
      <c r="E61" s="11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3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26</v>
      </c>
      <c r="BY61" s="12">
        <v>0</v>
      </c>
      <c r="BZ61" s="12">
        <v>55</v>
      </c>
      <c r="CA61" s="12">
        <v>28</v>
      </c>
      <c r="CB61" s="12">
        <v>41</v>
      </c>
      <c r="CC61" s="12">
        <v>53</v>
      </c>
      <c r="CD61" s="12">
        <v>12</v>
      </c>
      <c r="CE61" s="12">
        <v>40</v>
      </c>
      <c r="CF61" s="12">
        <v>61</v>
      </c>
      <c r="CG61" s="12">
        <v>28</v>
      </c>
      <c r="CH61" s="12">
        <v>15</v>
      </c>
      <c r="CI61" s="12">
        <v>25</v>
      </c>
      <c r="CJ61" s="12">
        <v>34</v>
      </c>
      <c r="CK61" s="12">
        <v>29</v>
      </c>
      <c r="CL61" s="12">
        <v>28</v>
      </c>
      <c r="CM61" s="12">
        <v>30</v>
      </c>
      <c r="CN61" s="12">
        <v>38</v>
      </c>
      <c r="CO61" s="12">
        <v>56</v>
      </c>
      <c r="CP61" s="12">
        <v>22</v>
      </c>
      <c r="CQ61" s="12">
        <v>17</v>
      </c>
      <c r="CR61" s="12">
        <v>39</v>
      </c>
      <c r="CS61" s="12">
        <v>38</v>
      </c>
      <c r="CT61" s="12">
        <v>16</v>
      </c>
      <c r="CU61" s="12">
        <v>12</v>
      </c>
      <c r="CV61" s="12">
        <v>30</v>
      </c>
      <c r="CW61" s="12">
        <v>54</v>
      </c>
      <c r="CX61" s="12">
        <v>45</v>
      </c>
      <c r="CY61" s="12">
        <v>63</v>
      </c>
      <c r="CZ61" s="12">
        <v>68</v>
      </c>
      <c r="DA61" s="12">
        <v>77</v>
      </c>
      <c r="DB61" s="12">
        <v>77</v>
      </c>
      <c r="DC61" s="12">
        <v>76</v>
      </c>
      <c r="DD61" s="12">
        <v>59</v>
      </c>
      <c r="DE61" s="12">
        <v>65</v>
      </c>
      <c r="DF61" s="12">
        <v>21</v>
      </c>
      <c r="DG61" s="12">
        <v>18</v>
      </c>
      <c r="DH61" s="12">
        <v>38</v>
      </c>
      <c r="DI61" s="14">
        <v>54</v>
      </c>
      <c r="DJ61" s="14">
        <v>34</v>
      </c>
      <c r="DK61" s="14">
        <v>80</v>
      </c>
      <c r="DL61" s="14">
        <v>88</v>
      </c>
      <c r="DM61" s="14">
        <v>94</v>
      </c>
      <c r="DN61" s="14">
        <v>66</v>
      </c>
      <c r="DO61" s="14">
        <v>62</v>
      </c>
      <c r="DP61" s="14">
        <v>66</v>
      </c>
      <c r="DQ61" s="14">
        <v>96</v>
      </c>
      <c r="DR61" s="14">
        <v>114</v>
      </c>
      <c r="DS61" s="14">
        <v>62</v>
      </c>
      <c r="DT61" s="14">
        <v>64</v>
      </c>
      <c r="DU61" s="14">
        <v>56</v>
      </c>
      <c r="DV61" s="14">
        <v>42</v>
      </c>
      <c r="DW61" s="14">
        <v>44</v>
      </c>
      <c r="DX61" s="14">
        <v>79</v>
      </c>
      <c r="DY61" s="14">
        <v>77</v>
      </c>
      <c r="DZ61" s="14">
        <v>61</v>
      </c>
      <c r="EA61" s="14">
        <v>63</v>
      </c>
      <c r="EB61" s="14">
        <v>81</v>
      </c>
      <c r="EC61" s="14">
        <v>117</v>
      </c>
      <c r="ED61" s="14">
        <v>167</v>
      </c>
      <c r="EE61" s="14">
        <v>85</v>
      </c>
      <c r="EF61" s="14">
        <v>140</v>
      </c>
      <c r="EG61" s="14">
        <v>133</v>
      </c>
      <c r="EH61" s="14">
        <v>83</v>
      </c>
      <c r="EI61" s="14">
        <v>93</v>
      </c>
      <c r="EJ61" s="14">
        <v>69</v>
      </c>
      <c r="EK61" s="14">
        <v>60</v>
      </c>
      <c r="EL61" s="14">
        <v>48</v>
      </c>
      <c r="EM61" s="14">
        <v>43</v>
      </c>
      <c r="EN61" s="14">
        <v>38</v>
      </c>
      <c r="EO61" s="14">
        <v>34</v>
      </c>
      <c r="EP61" s="14">
        <v>61</v>
      </c>
      <c r="EQ61" s="14">
        <v>51</v>
      </c>
      <c r="ER61" s="14">
        <v>62</v>
      </c>
      <c r="ES61" s="14">
        <v>57</v>
      </c>
      <c r="ET61" s="14">
        <v>51</v>
      </c>
      <c r="EU61" s="14">
        <v>32</v>
      </c>
      <c r="EV61" s="14">
        <v>39</v>
      </c>
      <c r="EW61" s="14">
        <v>52</v>
      </c>
      <c r="EX61" s="14">
        <v>29</v>
      </c>
      <c r="EY61" s="14">
        <v>18</v>
      </c>
      <c r="EZ61" s="14">
        <v>25</v>
      </c>
      <c r="FA61" s="14">
        <v>22</v>
      </c>
      <c r="FB61" s="14">
        <v>39</v>
      </c>
      <c r="FC61" s="14">
        <v>28</v>
      </c>
      <c r="FD61" s="14">
        <v>52</v>
      </c>
      <c r="FE61" s="14">
        <v>55</v>
      </c>
      <c r="FF61" s="14">
        <v>40</v>
      </c>
      <c r="FG61" s="14">
        <v>23</v>
      </c>
      <c r="FH61" s="14">
        <v>47</v>
      </c>
      <c r="FI61" s="14">
        <v>76</v>
      </c>
      <c r="FJ61" s="14">
        <v>41</v>
      </c>
      <c r="FK61" s="14">
        <v>35</v>
      </c>
      <c r="FL61" s="14"/>
      <c r="FM61" s="14"/>
      <c r="FN61" s="14"/>
      <c r="FR61" s="12">
        <f t="shared" si="26"/>
        <v>0</v>
      </c>
      <c r="FS61" s="12">
        <f t="shared" si="27"/>
        <v>0</v>
      </c>
      <c r="FT61" s="12">
        <f t="shared" si="28"/>
        <v>0</v>
      </c>
      <c r="FU61" s="12">
        <f t="shared" si="29"/>
        <v>0</v>
      </c>
      <c r="FV61" s="12">
        <f t="shared" si="30"/>
        <v>0</v>
      </c>
      <c r="FW61" s="12">
        <f t="shared" si="31"/>
        <v>0</v>
      </c>
      <c r="FX61" s="12">
        <f t="shared" si="32"/>
        <v>0</v>
      </c>
      <c r="FY61" s="12">
        <f t="shared" si="33"/>
        <v>0</v>
      </c>
      <c r="FZ61" s="12">
        <f t="shared" si="34"/>
        <v>0</v>
      </c>
      <c r="GA61" s="12">
        <f t="shared" si="35"/>
        <v>0</v>
      </c>
      <c r="GB61" s="12">
        <f t="shared" si="36"/>
        <v>0</v>
      </c>
      <c r="GC61" s="12">
        <f t="shared" si="37"/>
        <v>0</v>
      </c>
      <c r="GD61" s="12">
        <f t="shared" si="38"/>
        <v>0</v>
      </c>
      <c r="GE61" s="12">
        <f t="shared" si="39"/>
        <v>0</v>
      </c>
      <c r="GF61" s="12">
        <f t="shared" si="40"/>
        <v>0</v>
      </c>
      <c r="GG61" s="12">
        <f t="shared" si="41"/>
        <v>0</v>
      </c>
      <c r="GH61" s="12">
        <f t="shared" si="42"/>
        <v>0</v>
      </c>
      <c r="GI61" s="12">
        <f t="shared" si="43"/>
        <v>0</v>
      </c>
      <c r="GJ61" s="12">
        <f t="shared" si="44"/>
        <v>0</v>
      </c>
      <c r="GK61" s="12">
        <f t="shared" si="45"/>
        <v>0</v>
      </c>
      <c r="GL61" s="12">
        <f t="shared" si="46"/>
        <v>0</v>
      </c>
      <c r="GM61" s="12">
        <f t="shared" si="47"/>
        <v>0</v>
      </c>
      <c r="GN61" s="12">
        <f t="shared" si="48"/>
        <v>0</v>
      </c>
      <c r="GO61" s="12">
        <f t="shared" si="49"/>
        <v>0</v>
      </c>
      <c r="GP61" s="12">
        <f t="shared" si="50"/>
        <v>26</v>
      </c>
      <c r="GQ61" s="12">
        <f t="shared" si="51"/>
        <v>124</v>
      </c>
      <c r="GR61" s="12">
        <f t="shared" si="52"/>
        <v>105</v>
      </c>
      <c r="GS61" s="12">
        <f t="shared" si="53"/>
        <v>104</v>
      </c>
      <c r="GT61" s="12">
        <f t="shared" si="54"/>
        <v>88</v>
      </c>
      <c r="GU61" s="12">
        <f t="shared" si="55"/>
        <v>96</v>
      </c>
      <c r="GV61" s="12">
        <f t="shared" si="56"/>
        <v>95</v>
      </c>
      <c r="GW61" s="12">
        <f t="shared" si="57"/>
        <v>93</v>
      </c>
      <c r="GX61" s="12">
        <f t="shared" si="58"/>
        <v>96</v>
      </c>
      <c r="GY61" s="12">
        <f t="shared" si="59"/>
        <v>176</v>
      </c>
      <c r="GZ61" s="12">
        <f t="shared" si="2"/>
        <v>230</v>
      </c>
      <c r="HA61" s="12">
        <f t="shared" si="3"/>
        <v>145</v>
      </c>
      <c r="HB61" s="12">
        <f t="shared" si="4"/>
        <v>56</v>
      </c>
      <c r="HC61" s="12">
        <f t="shared" si="5"/>
        <v>202</v>
      </c>
      <c r="HD61" s="12">
        <f t="shared" si="6"/>
        <v>222</v>
      </c>
      <c r="HE61" s="12">
        <f t="shared" si="7"/>
        <v>276</v>
      </c>
      <c r="HF61" s="12">
        <f t="shared" si="8"/>
        <v>182</v>
      </c>
      <c r="HG61" s="12">
        <f t="shared" si="9"/>
        <v>165</v>
      </c>
      <c r="HH61" s="12">
        <f t="shared" si="10"/>
        <v>201</v>
      </c>
      <c r="HI61" s="12">
        <f t="shared" si="11"/>
        <v>365</v>
      </c>
      <c r="HJ61" s="12">
        <f t="shared" si="12"/>
        <v>358</v>
      </c>
      <c r="HK61" s="12">
        <f t="shared" si="13"/>
        <v>245</v>
      </c>
      <c r="HL61" s="12">
        <f t="shared" si="14"/>
        <v>151</v>
      </c>
      <c r="HM61" s="12">
        <f t="shared" si="15"/>
        <v>133</v>
      </c>
      <c r="HN61" s="12">
        <f t="shared" si="60"/>
        <v>358</v>
      </c>
      <c r="HO61" s="12">
        <f t="shared" si="61"/>
        <v>245</v>
      </c>
      <c r="HP61" s="12">
        <f t="shared" si="62"/>
        <v>151</v>
      </c>
      <c r="HQ61" s="12">
        <f t="shared" si="63"/>
        <v>133</v>
      </c>
      <c r="HR61" s="12">
        <f t="shared" si="64"/>
        <v>170</v>
      </c>
      <c r="HS61" s="12">
        <f t="shared" si="65"/>
        <v>122</v>
      </c>
      <c r="HT61" s="12">
        <f t="shared" si="16"/>
        <v>99</v>
      </c>
      <c r="HU61" s="12">
        <f t="shared" si="17"/>
        <v>86</v>
      </c>
      <c r="HV61" s="12">
        <f t="shared" si="18"/>
        <v>135</v>
      </c>
      <c r="HW61" s="12">
        <f t="shared" si="19"/>
        <v>110</v>
      </c>
      <c r="HX61" s="12">
        <f t="shared" si="20"/>
        <v>152</v>
      </c>
      <c r="IB61" s="12">
        <f t="shared" si="66"/>
        <v>0</v>
      </c>
      <c r="IC61" s="12">
        <f t="shared" si="67"/>
        <v>0</v>
      </c>
      <c r="ID61" s="12">
        <f t="shared" si="68"/>
        <v>0</v>
      </c>
      <c r="IE61" s="12">
        <f t="shared" si="69"/>
        <v>0</v>
      </c>
      <c r="IF61" s="12">
        <f t="shared" si="70"/>
        <v>0</v>
      </c>
      <c r="IG61" s="12">
        <f t="shared" si="71"/>
        <v>0</v>
      </c>
      <c r="IH61" s="12">
        <f t="shared" si="72"/>
        <v>359</v>
      </c>
      <c r="II61" s="12">
        <f t="shared" si="73"/>
        <v>372</v>
      </c>
      <c r="IJ61" s="12">
        <f t="shared" si="21"/>
        <v>647</v>
      </c>
      <c r="IK61" s="12">
        <f t="shared" si="22"/>
        <v>810</v>
      </c>
      <c r="IL61" s="12">
        <f t="shared" si="23"/>
        <v>913</v>
      </c>
      <c r="IM61" s="12">
        <f t="shared" si="24"/>
        <v>887</v>
      </c>
      <c r="IN61" s="12">
        <f t="shared" si="90"/>
        <v>477</v>
      </c>
    </row>
    <row r="62" spans="1:248" outlineLevel="2" x14ac:dyDescent="0.3">
      <c r="B62" t="s">
        <v>76</v>
      </c>
      <c r="C62" s="11">
        <v>0</v>
      </c>
      <c r="D62" s="11">
        <v>0</v>
      </c>
      <c r="E62" s="11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3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136</v>
      </c>
      <c r="BY62" s="12">
        <v>0</v>
      </c>
      <c r="BZ62" s="12">
        <v>96</v>
      </c>
      <c r="CA62" s="12">
        <v>106</v>
      </c>
      <c r="CB62" s="12">
        <v>107</v>
      </c>
      <c r="CC62" s="12">
        <v>245</v>
      </c>
      <c r="CD62" s="12">
        <v>121</v>
      </c>
      <c r="CE62" s="12">
        <v>113</v>
      </c>
      <c r="CF62" s="12">
        <v>90</v>
      </c>
      <c r="CG62" s="12">
        <v>73</v>
      </c>
      <c r="CH62" s="12">
        <v>76</v>
      </c>
      <c r="CI62" s="12">
        <v>70</v>
      </c>
      <c r="CJ62" s="12">
        <v>45</v>
      </c>
      <c r="CK62" s="12">
        <v>87</v>
      </c>
      <c r="CL62" s="12">
        <v>65</v>
      </c>
      <c r="CM62" s="12">
        <v>75</v>
      </c>
      <c r="CN62" s="12">
        <v>89</v>
      </c>
      <c r="CO62" s="12">
        <v>129</v>
      </c>
      <c r="CP62" s="12">
        <v>148</v>
      </c>
      <c r="CQ62" s="12">
        <v>83</v>
      </c>
      <c r="CR62" s="12">
        <v>81</v>
      </c>
      <c r="CS62" s="12">
        <v>74</v>
      </c>
      <c r="CT62" s="12">
        <v>27</v>
      </c>
      <c r="CU62" s="12">
        <v>27</v>
      </c>
      <c r="CV62" s="12">
        <v>73</v>
      </c>
      <c r="CW62" s="12">
        <v>82</v>
      </c>
      <c r="CX62" s="12">
        <v>74</v>
      </c>
      <c r="CY62" s="12">
        <v>162</v>
      </c>
      <c r="CZ62" s="12">
        <v>172</v>
      </c>
      <c r="DA62" s="12">
        <v>178</v>
      </c>
      <c r="DB62" s="12">
        <v>138</v>
      </c>
      <c r="DC62" s="12">
        <v>133</v>
      </c>
      <c r="DD62" s="12">
        <v>112</v>
      </c>
      <c r="DE62" s="12">
        <v>126</v>
      </c>
      <c r="DF62" s="12">
        <v>135</v>
      </c>
      <c r="DG62" s="12">
        <v>58</v>
      </c>
      <c r="DH62" s="12">
        <v>98</v>
      </c>
      <c r="DI62" s="14">
        <v>203</v>
      </c>
      <c r="DJ62" s="14">
        <v>119</v>
      </c>
      <c r="DK62" s="14">
        <v>195</v>
      </c>
      <c r="DL62" s="14">
        <v>211</v>
      </c>
      <c r="DM62" s="14">
        <v>328</v>
      </c>
      <c r="DN62" s="14">
        <v>203</v>
      </c>
      <c r="DO62" s="14">
        <v>137</v>
      </c>
      <c r="DP62" s="14">
        <v>162</v>
      </c>
      <c r="DQ62" s="14">
        <v>195</v>
      </c>
      <c r="DR62" s="14">
        <v>282</v>
      </c>
      <c r="DS62" s="14">
        <v>201</v>
      </c>
      <c r="DT62" s="14">
        <v>198</v>
      </c>
      <c r="DU62" s="14">
        <v>178</v>
      </c>
      <c r="DV62" s="14">
        <v>143</v>
      </c>
      <c r="DW62" s="14">
        <v>179</v>
      </c>
      <c r="DX62" s="14">
        <v>221</v>
      </c>
      <c r="DY62" s="14">
        <v>229</v>
      </c>
      <c r="DZ62" s="14">
        <v>174</v>
      </c>
      <c r="EA62" s="14">
        <v>183</v>
      </c>
      <c r="EB62" s="14">
        <v>183</v>
      </c>
      <c r="EC62" s="14">
        <v>239</v>
      </c>
      <c r="ED62" s="14">
        <v>268</v>
      </c>
      <c r="EE62" s="14">
        <v>198</v>
      </c>
      <c r="EF62" s="14">
        <v>387</v>
      </c>
      <c r="EG62" s="14">
        <v>402</v>
      </c>
      <c r="EH62" s="14">
        <v>313</v>
      </c>
      <c r="EI62" s="14">
        <v>324</v>
      </c>
      <c r="EJ62" s="14">
        <v>351</v>
      </c>
      <c r="EK62" s="14">
        <v>443</v>
      </c>
      <c r="EL62" s="14">
        <v>407</v>
      </c>
      <c r="EM62" s="14">
        <v>375</v>
      </c>
      <c r="EN62" s="14">
        <v>362</v>
      </c>
      <c r="EO62" s="14">
        <v>345</v>
      </c>
      <c r="EP62" s="14">
        <v>401</v>
      </c>
      <c r="EQ62" s="14">
        <v>353</v>
      </c>
      <c r="ER62" s="14">
        <v>328</v>
      </c>
      <c r="ES62" s="14">
        <v>341</v>
      </c>
      <c r="ET62" s="14">
        <v>348</v>
      </c>
      <c r="EU62" s="14">
        <v>317</v>
      </c>
      <c r="EV62" s="14">
        <v>397</v>
      </c>
      <c r="EW62" s="14">
        <v>494</v>
      </c>
      <c r="EX62" s="14">
        <v>344</v>
      </c>
      <c r="EY62" s="14">
        <v>298</v>
      </c>
      <c r="EZ62" s="14">
        <v>317</v>
      </c>
      <c r="FA62" s="14">
        <v>297</v>
      </c>
      <c r="FB62" s="14">
        <v>446</v>
      </c>
      <c r="FC62" s="14">
        <v>344</v>
      </c>
      <c r="FD62" s="14">
        <v>324</v>
      </c>
      <c r="FE62" s="14">
        <v>286</v>
      </c>
      <c r="FF62" s="14">
        <v>304</v>
      </c>
      <c r="FG62" s="14">
        <v>316</v>
      </c>
      <c r="FH62" s="14">
        <v>428</v>
      </c>
      <c r="FI62" s="14">
        <v>604</v>
      </c>
      <c r="FJ62" s="14">
        <v>371</v>
      </c>
      <c r="FK62" s="14">
        <v>373</v>
      </c>
      <c r="FL62" s="14"/>
      <c r="FM62" s="14"/>
      <c r="FN62" s="14"/>
      <c r="FR62" s="12">
        <f t="shared" si="26"/>
        <v>0</v>
      </c>
      <c r="FS62" s="12">
        <f t="shared" si="27"/>
        <v>0</v>
      </c>
      <c r="FT62" s="12">
        <f t="shared" si="28"/>
        <v>0</v>
      </c>
      <c r="FU62" s="12">
        <f t="shared" si="29"/>
        <v>0</v>
      </c>
      <c r="FV62" s="12">
        <f t="shared" si="30"/>
        <v>0</v>
      </c>
      <c r="FW62" s="12">
        <f t="shared" si="31"/>
        <v>0</v>
      </c>
      <c r="FX62" s="12">
        <f t="shared" si="32"/>
        <v>0</v>
      </c>
      <c r="FY62" s="12">
        <f t="shared" si="33"/>
        <v>0</v>
      </c>
      <c r="FZ62" s="12">
        <f t="shared" si="34"/>
        <v>0</v>
      </c>
      <c r="GA62" s="12">
        <f t="shared" si="35"/>
        <v>0</v>
      </c>
      <c r="GB62" s="12">
        <f t="shared" si="36"/>
        <v>0</v>
      </c>
      <c r="GC62" s="12">
        <f t="shared" si="37"/>
        <v>0</v>
      </c>
      <c r="GD62" s="12">
        <f t="shared" si="38"/>
        <v>0</v>
      </c>
      <c r="GE62" s="12">
        <f t="shared" si="39"/>
        <v>0</v>
      </c>
      <c r="GF62" s="12">
        <f t="shared" si="40"/>
        <v>0</v>
      </c>
      <c r="GG62" s="12">
        <f t="shared" si="41"/>
        <v>0</v>
      </c>
      <c r="GH62" s="12">
        <f t="shared" si="42"/>
        <v>0</v>
      </c>
      <c r="GI62" s="12">
        <f t="shared" si="43"/>
        <v>0</v>
      </c>
      <c r="GJ62" s="12">
        <f t="shared" si="44"/>
        <v>0</v>
      </c>
      <c r="GK62" s="12">
        <f t="shared" si="45"/>
        <v>0</v>
      </c>
      <c r="GL62" s="12">
        <f t="shared" si="46"/>
        <v>0</v>
      </c>
      <c r="GM62" s="12">
        <f t="shared" si="47"/>
        <v>0</v>
      </c>
      <c r="GN62" s="12">
        <f t="shared" si="48"/>
        <v>0</v>
      </c>
      <c r="GO62" s="12">
        <f t="shared" si="49"/>
        <v>0</v>
      </c>
      <c r="GP62" s="12">
        <f t="shared" si="50"/>
        <v>136</v>
      </c>
      <c r="GQ62" s="12">
        <f t="shared" si="51"/>
        <v>309</v>
      </c>
      <c r="GR62" s="12">
        <f t="shared" si="52"/>
        <v>479</v>
      </c>
      <c r="GS62" s="12">
        <f t="shared" si="53"/>
        <v>239</v>
      </c>
      <c r="GT62" s="12">
        <f t="shared" si="54"/>
        <v>202</v>
      </c>
      <c r="GU62" s="12">
        <f t="shared" si="55"/>
        <v>229</v>
      </c>
      <c r="GV62" s="12">
        <f t="shared" si="56"/>
        <v>360</v>
      </c>
      <c r="GW62" s="12">
        <f t="shared" si="57"/>
        <v>182</v>
      </c>
      <c r="GX62" s="12">
        <f t="shared" si="58"/>
        <v>182</v>
      </c>
      <c r="GY62" s="12">
        <f t="shared" si="59"/>
        <v>408</v>
      </c>
      <c r="GZ62" s="12">
        <f t="shared" si="2"/>
        <v>449</v>
      </c>
      <c r="HA62" s="12">
        <f t="shared" si="3"/>
        <v>373</v>
      </c>
      <c r="HB62" s="12">
        <f t="shared" si="4"/>
        <v>156</v>
      </c>
      <c r="HC62" s="12">
        <f t="shared" si="5"/>
        <v>525</v>
      </c>
      <c r="HD62" s="12">
        <f t="shared" si="6"/>
        <v>668</v>
      </c>
      <c r="HE62" s="12">
        <f t="shared" si="7"/>
        <v>639</v>
      </c>
      <c r="HF62" s="12">
        <f t="shared" si="8"/>
        <v>577</v>
      </c>
      <c r="HG62" s="12">
        <f t="shared" si="9"/>
        <v>543</v>
      </c>
      <c r="HH62" s="12">
        <f t="shared" si="10"/>
        <v>586</v>
      </c>
      <c r="HI62" s="12">
        <f t="shared" si="11"/>
        <v>690</v>
      </c>
      <c r="HJ62" s="12">
        <f t="shared" si="12"/>
        <v>987</v>
      </c>
      <c r="HK62" s="12">
        <f t="shared" si="13"/>
        <v>988</v>
      </c>
      <c r="HL62" s="12">
        <f t="shared" si="14"/>
        <v>1225</v>
      </c>
      <c r="HM62" s="12">
        <f t="shared" si="15"/>
        <v>1108</v>
      </c>
      <c r="HN62" s="12">
        <f t="shared" si="60"/>
        <v>987</v>
      </c>
      <c r="HO62" s="12">
        <f t="shared" si="61"/>
        <v>988</v>
      </c>
      <c r="HP62" s="12">
        <f t="shared" si="62"/>
        <v>1225</v>
      </c>
      <c r="HQ62" s="12">
        <f t="shared" si="63"/>
        <v>1108</v>
      </c>
      <c r="HR62" s="12">
        <f t="shared" si="64"/>
        <v>1022</v>
      </c>
      <c r="HS62" s="12">
        <f t="shared" si="65"/>
        <v>1062</v>
      </c>
      <c r="HT62" s="12">
        <f t="shared" si="16"/>
        <v>1136</v>
      </c>
      <c r="HU62" s="12">
        <f t="shared" si="17"/>
        <v>1060</v>
      </c>
      <c r="HV62" s="12">
        <f t="shared" si="18"/>
        <v>954</v>
      </c>
      <c r="HW62" s="12">
        <f t="shared" si="19"/>
        <v>1048</v>
      </c>
      <c r="HX62" s="12">
        <f t="shared" si="20"/>
        <v>1348</v>
      </c>
      <c r="IB62" s="12">
        <f t="shared" si="66"/>
        <v>0</v>
      </c>
      <c r="IC62" s="12">
        <f t="shared" si="67"/>
        <v>0</v>
      </c>
      <c r="ID62" s="12">
        <f t="shared" si="68"/>
        <v>0</v>
      </c>
      <c r="IE62" s="12">
        <f t="shared" si="69"/>
        <v>0</v>
      </c>
      <c r="IF62" s="12">
        <f t="shared" si="70"/>
        <v>0</v>
      </c>
      <c r="IG62" s="12">
        <f t="shared" si="71"/>
        <v>0</v>
      </c>
      <c r="IH62" s="12">
        <f t="shared" si="72"/>
        <v>1163</v>
      </c>
      <c r="II62" s="12">
        <f t="shared" si="73"/>
        <v>973</v>
      </c>
      <c r="IJ62" s="12">
        <f t="shared" si="21"/>
        <v>1412</v>
      </c>
      <c r="IK62" s="12">
        <f t="shared" si="22"/>
        <v>2191</v>
      </c>
      <c r="IL62" s="12">
        <f t="shared" si="23"/>
        <v>2396</v>
      </c>
      <c r="IM62" s="12">
        <f t="shared" si="24"/>
        <v>4308</v>
      </c>
      <c r="IN62" s="12">
        <f t="shared" si="90"/>
        <v>4280</v>
      </c>
    </row>
    <row r="63" spans="1:248" outlineLevel="2" x14ac:dyDescent="0.3">
      <c r="B63" t="s">
        <v>77</v>
      </c>
      <c r="C63" s="11">
        <v>0</v>
      </c>
      <c r="D63" s="11">
        <v>0</v>
      </c>
      <c r="E63" s="11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3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22</v>
      </c>
      <c r="BY63" s="12">
        <v>0</v>
      </c>
      <c r="BZ63" s="12">
        <v>16</v>
      </c>
      <c r="CA63" s="12">
        <v>17</v>
      </c>
      <c r="CB63" s="12">
        <v>11</v>
      </c>
      <c r="CC63" s="12">
        <v>23</v>
      </c>
      <c r="CD63" s="12">
        <v>8</v>
      </c>
      <c r="CE63" s="12">
        <v>14</v>
      </c>
      <c r="CF63" s="12">
        <v>51</v>
      </c>
      <c r="CG63" s="12">
        <v>13</v>
      </c>
      <c r="CH63" s="12">
        <v>8</v>
      </c>
      <c r="CI63" s="12">
        <v>6</v>
      </c>
      <c r="CJ63" s="12">
        <v>18</v>
      </c>
      <c r="CK63" s="12">
        <v>21</v>
      </c>
      <c r="CL63" s="12">
        <v>12</v>
      </c>
      <c r="CM63" s="12">
        <v>15</v>
      </c>
      <c r="CN63" s="12">
        <v>22</v>
      </c>
      <c r="CO63" s="12">
        <v>30</v>
      </c>
      <c r="CP63" s="12">
        <v>31</v>
      </c>
      <c r="CQ63" s="12">
        <v>20</v>
      </c>
      <c r="CR63" s="12">
        <v>23</v>
      </c>
      <c r="CS63" s="12">
        <v>26</v>
      </c>
      <c r="CT63" s="12">
        <v>13</v>
      </c>
      <c r="CU63" s="12">
        <v>11</v>
      </c>
      <c r="CV63" s="12">
        <v>33</v>
      </c>
      <c r="CW63" s="12">
        <v>42</v>
      </c>
      <c r="CX63" s="12">
        <v>66</v>
      </c>
      <c r="CY63" s="12">
        <v>253</v>
      </c>
      <c r="CZ63" s="12">
        <v>393</v>
      </c>
      <c r="DA63" s="12">
        <v>516</v>
      </c>
      <c r="DB63" s="12">
        <v>264</v>
      </c>
      <c r="DC63" s="12">
        <v>247</v>
      </c>
      <c r="DD63" s="12">
        <v>685</v>
      </c>
      <c r="DE63" s="12">
        <v>583</v>
      </c>
      <c r="DF63" s="12">
        <v>683</v>
      </c>
      <c r="DG63" s="12">
        <v>440</v>
      </c>
      <c r="DH63" s="12">
        <v>384</v>
      </c>
      <c r="DI63" s="14">
        <v>449</v>
      </c>
      <c r="DJ63" s="14">
        <v>317</v>
      </c>
      <c r="DK63" s="14">
        <v>309</v>
      </c>
      <c r="DL63" s="14">
        <v>341</v>
      </c>
      <c r="DM63" s="14">
        <v>383</v>
      </c>
      <c r="DN63" s="14">
        <v>244</v>
      </c>
      <c r="DO63" s="14">
        <v>201</v>
      </c>
      <c r="DP63" s="14">
        <v>224</v>
      </c>
      <c r="DQ63" s="14">
        <v>227</v>
      </c>
      <c r="DR63" s="14">
        <v>324</v>
      </c>
      <c r="DS63" s="14">
        <v>248</v>
      </c>
      <c r="DT63" s="14">
        <v>279</v>
      </c>
      <c r="DU63" s="14">
        <v>298</v>
      </c>
      <c r="DV63" s="14">
        <v>212</v>
      </c>
      <c r="DW63" s="14">
        <v>245</v>
      </c>
      <c r="DX63" s="14">
        <v>383</v>
      </c>
      <c r="DY63" s="14">
        <v>317</v>
      </c>
      <c r="DZ63" s="14">
        <v>200</v>
      </c>
      <c r="EA63" s="14">
        <v>189</v>
      </c>
      <c r="EB63" s="14">
        <v>163</v>
      </c>
      <c r="EC63" s="14">
        <v>180</v>
      </c>
      <c r="ED63" s="14">
        <v>241</v>
      </c>
      <c r="EE63" s="14">
        <v>173</v>
      </c>
      <c r="EF63" s="14">
        <v>51</v>
      </c>
      <c r="EG63" s="14">
        <v>12</v>
      </c>
      <c r="EH63" s="14">
        <v>7</v>
      </c>
      <c r="EI63" s="14">
        <v>0</v>
      </c>
      <c r="EJ63" s="14">
        <v>0</v>
      </c>
      <c r="EK63" s="14">
        <v>5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1</v>
      </c>
      <c r="ER63" s="14">
        <v>1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25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/>
      <c r="FM63" s="14"/>
      <c r="FN63" s="14"/>
      <c r="FR63" s="12">
        <f t="shared" si="26"/>
        <v>0</v>
      </c>
      <c r="FS63" s="12">
        <f t="shared" si="27"/>
        <v>0</v>
      </c>
      <c r="FT63" s="12">
        <f t="shared" si="28"/>
        <v>0</v>
      </c>
      <c r="FU63" s="12">
        <f t="shared" si="29"/>
        <v>0</v>
      </c>
      <c r="FV63" s="12">
        <f t="shared" si="30"/>
        <v>0</v>
      </c>
      <c r="FW63" s="12">
        <f t="shared" si="31"/>
        <v>0</v>
      </c>
      <c r="FX63" s="12">
        <f t="shared" si="32"/>
        <v>0</v>
      </c>
      <c r="FY63" s="12">
        <f t="shared" si="33"/>
        <v>0</v>
      </c>
      <c r="FZ63" s="12">
        <f t="shared" si="34"/>
        <v>0</v>
      </c>
      <c r="GA63" s="12">
        <f t="shared" si="35"/>
        <v>0</v>
      </c>
      <c r="GB63" s="12">
        <f t="shared" si="36"/>
        <v>0</v>
      </c>
      <c r="GC63" s="12">
        <f t="shared" si="37"/>
        <v>0</v>
      </c>
      <c r="GD63" s="12">
        <f t="shared" si="38"/>
        <v>0</v>
      </c>
      <c r="GE63" s="12">
        <f t="shared" si="39"/>
        <v>0</v>
      </c>
      <c r="GF63" s="12">
        <f t="shared" si="40"/>
        <v>0</v>
      </c>
      <c r="GG63" s="12">
        <f t="shared" si="41"/>
        <v>0</v>
      </c>
      <c r="GH63" s="12">
        <f t="shared" si="42"/>
        <v>0</v>
      </c>
      <c r="GI63" s="12">
        <f t="shared" si="43"/>
        <v>0</v>
      </c>
      <c r="GJ63" s="12">
        <f t="shared" si="44"/>
        <v>0</v>
      </c>
      <c r="GK63" s="12">
        <f t="shared" si="45"/>
        <v>0</v>
      </c>
      <c r="GL63" s="12">
        <f t="shared" si="46"/>
        <v>0</v>
      </c>
      <c r="GM63" s="12">
        <f t="shared" si="47"/>
        <v>0</v>
      </c>
      <c r="GN63" s="12">
        <f t="shared" si="48"/>
        <v>0</v>
      </c>
      <c r="GO63" s="12">
        <f t="shared" si="49"/>
        <v>0</v>
      </c>
      <c r="GP63" s="12">
        <f t="shared" si="50"/>
        <v>22</v>
      </c>
      <c r="GQ63" s="12">
        <f t="shared" si="51"/>
        <v>44</v>
      </c>
      <c r="GR63" s="12">
        <f t="shared" si="52"/>
        <v>45</v>
      </c>
      <c r="GS63" s="12">
        <f t="shared" si="53"/>
        <v>72</v>
      </c>
      <c r="GT63" s="12">
        <f t="shared" si="54"/>
        <v>45</v>
      </c>
      <c r="GU63" s="12">
        <f t="shared" si="55"/>
        <v>49</v>
      </c>
      <c r="GV63" s="12">
        <f t="shared" si="56"/>
        <v>81</v>
      </c>
      <c r="GW63" s="12">
        <f t="shared" si="57"/>
        <v>62</v>
      </c>
      <c r="GX63" s="12">
        <f t="shared" si="58"/>
        <v>86</v>
      </c>
      <c r="GY63" s="12">
        <f t="shared" si="59"/>
        <v>712</v>
      </c>
      <c r="GZ63" s="12">
        <f t="shared" si="2"/>
        <v>1027</v>
      </c>
      <c r="HA63" s="12">
        <f t="shared" si="3"/>
        <v>1951</v>
      </c>
      <c r="HB63" s="12">
        <f t="shared" si="4"/>
        <v>824</v>
      </c>
      <c r="HC63" s="12">
        <f t="shared" si="5"/>
        <v>967</v>
      </c>
      <c r="HD63" s="12">
        <f t="shared" si="6"/>
        <v>828</v>
      </c>
      <c r="HE63" s="12">
        <f t="shared" si="7"/>
        <v>775</v>
      </c>
      <c r="HF63" s="12">
        <f t="shared" si="8"/>
        <v>825</v>
      </c>
      <c r="HG63" s="12">
        <f t="shared" si="9"/>
        <v>840</v>
      </c>
      <c r="HH63" s="12">
        <f t="shared" si="10"/>
        <v>706</v>
      </c>
      <c r="HI63" s="12">
        <f t="shared" si="11"/>
        <v>584</v>
      </c>
      <c r="HJ63" s="12">
        <f t="shared" si="12"/>
        <v>236</v>
      </c>
      <c r="HK63" s="12">
        <f t="shared" si="13"/>
        <v>7</v>
      </c>
      <c r="HL63" s="12">
        <f t="shared" si="14"/>
        <v>5</v>
      </c>
      <c r="HM63" s="12">
        <f t="shared" si="15"/>
        <v>0</v>
      </c>
      <c r="HN63" s="12">
        <f t="shared" si="60"/>
        <v>236</v>
      </c>
      <c r="HO63" s="12">
        <f t="shared" si="61"/>
        <v>7</v>
      </c>
      <c r="HP63" s="12">
        <f t="shared" si="62"/>
        <v>5</v>
      </c>
      <c r="HQ63" s="12">
        <f t="shared" si="63"/>
        <v>0</v>
      </c>
      <c r="HR63" s="12">
        <f t="shared" si="64"/>
        <v>2</v>
      </c>
      <c r="HS63" s="12">
        <f t="shared" si="65"/>
        <v>0</v>
      </c>
      <c r="HT63" s="12">
        <f t="shared" si="16"/>
        <v>0</v>
      </c>
      <c r="HU63" s="12">
        <f t="shared" si="17"/>
        <v>0</v>
      </c>
      <c r="HV63" s="12">
        <f t="shared" si="18"/>
        <v>25</v>
      </c>
      <c r="HW63" s="12">
        <f t="shared" si="19"/>
        <v>0</v>
      </c>
      <c r="HX63" s="12">
        <f t="shared" si="20"/>
        <v>0</v>
      </c>
      <c r="IB63" s="12">
        <f t="shared" si="66"/>
        <v>0</v>
      </c>
      <c r="IC63" s="12">
        <f t="shared" si="67"/>
        <v>0</v>
      </c>
      <c r="ID63" s="12">
        <f t="shared" si="68"/>
        <v>0</v>
      </c>
      <c r="IE63" s="12">
        <f t="shared" si="69"/>
        <v>0</v>
      </c>
      <c r="IF63" s="12">
        <f t="shared" si="70"/>
        <v>0</v>
      </c>
      <c r="IG63" s="12">
        <f t="shared" si="71"/>
        <v>0</v>
      </c>
      <c r="IH63" s="12">
        <f t="shared" si="72"/>
        <v>183</v>
      </c>
      <c r="II63" s="12">
        <f t="shared" si="73"/>
        <v>237</v>
      </c>
      <c r="IJ63" s="12">
        <f t="shared" si="21"/>
        <v>3776</v>
      </c>
      <c r="IK63" s="12">
        <f t="shared" si="22"/>
        <v>3843</v>
      </c>
      <c r="IL63" s="12">
        <f t="shared" si="23"/>
        <v>2955</v>
      </c>
      <c r="IM63" s="12">
        <f t="shared" si="24"/>
        <v>248</v>
      </c>
      <c r="IN63" s="12">
        <f t="shared" si="90"/>
        <v>2</v>
      </c>
    </row>
    <row r="64" spans="1:248" outlineLevel="2" x14ac:dyDescent="0.3">
      <c r="B64" t="s">
        <v>78</v>
      </c>
      <c r="C64" s="11">
        <v>0</v>
      </c>
      <c r="D64" s="11">
        <v>0</v>
      </c>
      <c r="E64" s="11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3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17</v>
      </c>
      <c r="BY64" s="12">
        <v>0</v>
      </c>
      <c r="BZ64" s="12">
        <v>28</v>
      </c>
      <c r="CA64" s="12">
        <v>11</v>
      </c>
      <c r="CB64" s="12">
        <v>12</v>
      </c>
      <c r="CC64" s="12">
        <v>2</v>
      </c>
      <c r="CD64" s="12">
        <v>2</v>
      </c>
      <c r="CE64" s="12">
        <v>5</v>
      </c>
      <c r="CF64" s="12">
        <v>9</v>
      </c>
      <c r="CG64" s="12">
        <v>16</v>
      </c>
      <c r="CH64" s="12">
        <v>11</v>
      </c>
      <c r="CI64" s="12">
        <v>2</v>
      </c>
      <c r="CJ64" s="12">
        <v>4</v>
      </c>
      <c r="CK64" s="12">
        <v>4</v>
      </c>
      <c r="CL64" s="12">
        <v>1</v>
      </c>
      <c r="CM64" s="12">
        <v>1</v>
      </c>
      <c r="CN64" s="12">
        <v>0</v>
      </c>
      <c r="CO64" s="12">
        <v>5</v>
      </c>
      <c r="CP64" s="12">
        <v>9</v>
      </c>
      <c r="CQ64" s="12">
        <v>6</v>
      </c>
      <c r="CR64" s="12">
        <v>13</v>
      </c>
      <c r="CS64" s="12">
        <v>12</v>
      </c>
      <c r="CT64" s="12">
        <v>4</v>
      </c>
      <c r="CU64" s="12">
        <v>2</v>
      </c>
      <c r="CV64" s="12">
        <v>12</v>
      </c>
      <c r="CW64" s="12">
        <v>24</v>
      </c>
      <c r="CX64" s="12">
        <v>16</v>
      </c>
      <c r="CY64" s="12">
        <v>29</v>
      </c>
      <c r="CZ64" s="12">
        <v>23</v>
      </c>
      <c r="DA64" s="12">
        <v>26</v>
      </c>
      <c r="DB64" s="12">
        <v>6</v>
      </c>
      <c r="DC64" s="12">
        <v>16</v>
      </c>
      <c r="DD64" s="12">
        <v>7</v>
      </c>
      <c r="DE64" s="12">
        <v>8</v>
      </c>
      <c r="DF64" s="12">
        <v>10</v>
      </c>
      <c r="DG64" s="12">
        <v>4</v>
      </c>
      <c r="DH64" s="12">
        <v>5</v>
      </c>
      <c r="DI64" s="14">
        <v>4</v>
      </c>
      <c r="DJ64" s="14">
        <v>33</v>
      </c>
      <c r="DK64" s="14">
        <v>25</v>
      </c>
      <c r="DL64" s="14">
        <v>32</v>
      </c>
      <c r="DM64" s="14">
        <v>47</v>
      </c>
      <c r="DN64" s="14">
        <v>12</v>
      </c>
      <c r="DO64" s="14">
        <v>30</v>
      </c>
      <c r="DP64" s="14">
        <v>23</v>
      </c>
      <c r="DQ64" s="14">
        <v>38</v>
      </c>
      <c r="DR64" s="14">
        <v>55</v>
      </c>
      <c r="DS64" s="14">
        <v>20</v>
      </c>
      <c r="DT64" s="14">
        <v>18</v>
      </c>
      <c r="DU64" s="14">
        <v>14</v>
      </c>
      <c r="DV64" s="14">
        <v>12</v>
      </c>
      <c r="DW64" s="14">
        <v>12</v>
      </c>
      <c r="DX64" s="14">
        <v>11</v>
      </c>
      <c r="DY64" s="14">
        <v>14</v>
      </c>
      <c r="DZ64" s="14">
        <v>0</v>
      </c>
      <c r="EA64" s="14">
        <v>0</v>
      </c>
      <c r="EB64" s="14">
        <v>0</v>
      </c>
      <c r="EC64" s="14">
        <v>4</v>
      </c>
      <c r="ED64" s="14">
        <v>21</v>
      </c>
      <c r="EE64" s="14">
        <v>11</v>
      </c>
      <c r="EF64" s="14">
        <v>0</v>
      </c>
      <c r="EG64" s="14">
        <v>2</v>
      </c>
      <c r="EH64" s="14">
        <v>2</v>
      </c>
      <c r="EI64" s="14">
        <v>8</v>
      </c>
      <c r="EJ64" s="14">
        <v>7</v>
      </c>
      <c r="EK64" s="14">
        <v>10</v>
      </c>
      <c r="EL64" s="14">
        <v>0</v>
      </c>
      <c r="EM64" s="14">
        <v>3</v>
      </c>
      <c r="EN64" s="14">
        <v>2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2</v>
      </c>
      <c r="EZ64" s="14">
        <v>4</v>
      </c>
      <c r="FA64" s="14">
        <v>0</v>
      </c>
      <c r="FB64" s="14">
        <v>0</v>
      </c>
      <c r="FC64" s="14">
        <v>0</v>
      </c>
      <c r="FD64" s="14">
        <v>29</v>
      </c>
      <c r="FE64" s="14">
        <v>17</v>
      </c>
      <c r="FF64" s="14">
        <v>1</v>
      </c>
      <c r="FG64" s="14">
        <v>0</v>
      </c>
      <c r="FH64" s="14">
        <v>0</v>
      </c>
      <c r="FI64" s="14">
        <v>0</v>
      </c>
      <c r="FJ64" s="14">
        <v>0</v>
      </c>
      <c r="FK64" s="14">
        <v>3</v>
      </c>
      <c r="FL64" s="14"/>
      <c r="FM64" s="14"/>
      <c r="FN64" s="14"/>
      <c r="FR64" s="12">
        <f t="shared" si="26"/>
        <v>0</v>
      </c>
      <c r="FS64" s="12">
        <f t="shared" si="27"/>
        <v>0</v>
      </c>
      <c r="FT64" s="12">
        <f t="shared" si="28"/>
        <v>0</v>
      </c>
      <c r="FU64" s="12">
        <f t="shared" si="29"/>
        <v>0</v>
      </c>
      <c r="FV64" s="12">
        <f t="shared" si="30"/>
        <v>0</v>
      </c>
      <c r="FW64" s="12">
        <f t="shared" si="31"/>
        <v>0</v>
      </c>
      <c r="FX64" s="12">
        <f t="shared" si="32"/>
        <v>0</v>
      </c>
      <c r="FY64" s="12">
        <f t="shared" si="33"/>
        <v>0</v>
      </c>
      <c r="FZ64" s="12">
        <f t="shared" si="34"/>
        <v>0</v>
      </c>
      <c r="GA64" s="12">
        <f t="shared" si="35"/>
        <v>0</v>
      </c>
      <c r="GB64" s="12">
        <f t="shared" si="36"/>
        <v>0</v>
      </c>
      <c r="GC64" s="12">
        <f t="shared" si="37"/>
        <v>0</v>
      </c>
      <c r="GD64" s="12">
        <f t="shared" si="38"/>
        <v>0</v>
      </c>
      <c r="GE64" s="12">
        <f t="shared" si="39"/>
        <v>0</v>
      </c>
      <c r="GF64" s="12">
        <f t="shared" si="40"/>
        <v>0</v>
      </c>
      <c r="GG64" s="12">
        <f t="shared" si="41"/>
        <v>0</v>
      </c>
      <c r="GH64" s="12">
        <f t="shared" si="42"/>
        <v>0</v>
      </c>
      <c r="GI64" s="12">
        <f t="shared" si="43"/>
        <v>0</v>
      </c>
      <c r="GJ64" s="12">
        <f t="shared" si="44"/>
        <v>0</v>
      </c>
      <c r="GK64" s="12">
        <f t="shared" si="45"/>
        <v>0</v>
      </c>
      <c r="GL64" s="12">
        <f t="shared" si="46"/>
        <v>0</v>
      </c>
      <c r="GM64" s="12">
        <f t="shared" si="47"/>
        <v>0</v>
      </c>
      <c r="GN64" s="12">
        <f t="shared" si="48"/>
        <v>0</v>
      </c>
      <c r="GO64" s="12">
        <f t="shared" si="49"/>
        <v>0</v>
      </c>
      <c r="GP64" s="12">
        <f t="shared" si="50"/>
        <v>17</v>
      </c>
      <c r="GQ64" s="12">
        <f t="shared" si="51"/>
        <v>51</v>
      </c>
      <c r="GR64" s="12">
        <f t="shared" si="52"/>
        <v>9</v>
      </c>
      <c r="GS64" s="12">
        <f t="shared" si="53"/>
        <v>36</v>
      </c>
      <c r="GT64" s="12">
        <f t="shared" si="54"/>
        <v>10</v>
      </c>
      <c r="GU64" s="12">
        <f t="shared" si="55"/>
        <v>2</v>
      </c>
      <c r="GV64" s="12">
        <f t="shared" si="56"/>
        <v>20</v>
      </c>
      <c r="GW64" s="12">
        <f t="shared" si="57"/>
        <v>29</v>
      </c>
      <c r="GX64" s="12">
        <f t="shared" si="58"/>
        <v>38</v>
      </c>
      <c r="GY64" s="12">
        <f t="shared" si="59"/>
        <v>68</v>
      </c>
      <c r="GZ64" s="12">
        <f t="shared" si="2"/>
        <v>48</v>
      </c>
      <c r="HA64" s="12">
        <f t="shared" si="3"/>
        <v>25</v>
      </c>
      <c r="HB64" s="12">
        <f t="shared" si="4"/>
        <v>9</v>
      </c>
      <c r="HC64" s="12">
        <f t="shared" si="5"/>
        <v>90</v>
      </c>
      <c r="HD64" s="12">
        <f t="shared" si="6"/>
        <v>89</v>
      </c>
      <c r="HE64" s="12">
        <f t="shared" si="7"/>
        <v>116</v>
      </c>
      <c r="HF64" s="12">
        <f t="shared" si="8"/>
        <v>52</v>
      </c>
      <c r="HG64" s="12">
        <f t="shared" si="9"/>
        <v>35</v>
      </c>
      <c r="HH64" s="12">
        <f t="shared" si="10"/>
        <v>14</v>
      </c>
      <c r="HI64" s="12">
        <f t="shared" si="11"/>
        <v>25</v>
      </c>
      <c r="HJ64" s="12">
        <f t="shared" si="12"/>
        <v>13</v>
      </c>
      <c r="HK64" s="12">
        <f t="shared" si="13"/>
        <v>17</v>
      </c>
      <c r="HL64" s="12">
        <f t="shared" si="14"/>
        <v>13</v>
      </c>
      <c r="HM64" s="12">
        <f t="shared" si="15"/>
        <v>2</v>
      </c>
      <c r="HN64" s="12">
        <f t="shared" si="60"/>
        <v>13</v>
      </c>
      <c r="HO64" s="12">
        <f t="shared" si="61"/>
        <v>17</v>
      </c>
      <c r="HP64" s="12">
        <f t="shared" si="62"/>
        <v>13</v>
      </c>
      <c r="HQ64" s="12">
        <f t="shared" si="63"/>
        <v>2</v>
      </c>
      <c r="HR64" s="12">
        <f t="shared" si="64"/>
        <v>0</v>
      </c>
      <c r="HS64" s="12">
        <f t="shared" si="65"/>
        <v>0</v>
      </c>
      <c r="HT64" s="12">
        <f t="shared" si="16"/>
        <v>2</v>
      </c>
      <c r="HU64" s="12">
        <f t="shared" si="17"/>
        <v>4</v>
      </c>
      <c r="HV64" s="12">
        <f t="shared" si="18"/>
        <v>46</v>
      </c>
      <c r="HW64" s="12">
        <f t="shared" si="19"/>
        <v>1</v>
      </c>
      <c r="HX64" s="12">
        <f t="shared" si="20"/>
        <v>3</v>
      </c>
      <c r="IB64" s="12">
        <f t="shared" si="66"/>
        <v>0</v>
      </c>
      <c r="IC64" s="12">
        <f t="shared" si="67"/>
        <v>0</v>
      </c>
      <c r="ID64" s="12">
        <f t="shared" si="68"/>
        <v>0</v>
      </c>
      <c r="IE64" s="12">
        <f t="shared" si="69"/>
        <v>0</v>
      </c>
      <c r="IF64" s="12">
        <f t="shared" si="70"/>
        <v>0</v>
      </c>
      <c r="IG64" s="12">
        <f t="shared" si="71"/>
        <v>0</v>
      </c>
      <c r="IH64" s="12">
        <f t="shared" si="72"/>
        <v>113</v>
      </c>
      <c r="II64" s="12">
        <f t="shared" si="73"/>
        <v>61</v>
      </c>
      <c r="IJ64" s="12">
        <f t="shared" si="21"/>
        <v>179</v>
      </c>
      <c r="IK64" s="12">
        <f t="shared" si="22"/>
        <v>308</v>
      </c>
      <c r="IL64" s="12">
        <f t="shared" si="23"/>
        <v>126</v>
      </c>
      <c r="IM64" s="12">
        <f t="shared" si="24"/>
        <v>45</v>
      </c>
      <c r="IN64" s="12">
        <f t="shared" si="90"/>
        <v>6</v>
      </c>
    </row>
    <row r="65" spans="1:248" outlineLevel="1" x14ac:dyDescent="0.3">
      <c r="A65" s="15" t="s">
        <v>103</v>
      </c>
      <c r="B65" s="15"/>
      <c r="C65" s="16">
        <f t="shared" ref="C65:BN65" si="97">+SUM(C61:C64)</f>
        <v>0</v>
      </c>
      <c r="D65" s="16">
        <f t="shared" si="97"/>
        <v>0</v>
      </c>
      <c r="E65" s="16">
        <f t="shared" si="97"/>
        <v>0</v>
      </c>
      <c r="F65" s="16">
        <f t="shared" si="97"/>
        <v>0</v>
      </c>
      <c r="G65" s="16">
        <f t="shared" si="97"/>
        <v>0</v>
      </c>
      <c r="H65" s="16">
        <f t="shared" si="97"/>
        <v>0</v>
      </c>
      <c r="I65" s="16">
        <f t="shared" si="97"/>
        <v>0</v>
      </c>
      <c r="J65" s="16">
        <f t="shared" si="97"/>
        <v>0</v>
      </c>
      <c r="K65" s="16">
        <f t="shared" si="97"/>
        <v>0</v>
      </c>
      <c r="L65" s="16">
        <f t="shared" si="97"/>
        <v>0</v>
      </c>
      <c r="M65" s="16">
        <f t="shared" si="97"/>
        <v>0</v>
      </c>
      <c r="N65" s="16">
        <f t="shared" si="97"/>
        <v>0</v>
      </c>
      <c r="O65" s="16">
        <f t="shared" si="97"/>
        <v>0</v>
      </c>
      <c r="P65" s="16">
        <f t="shared" si="97"/>
        <v>0</v>
      </c>
      <c r="Q65" s="16">
        <f t="shared" si="97"/>
        <v>0</v>
      </c>
      <c r="R65" s="16">
        <f t="shared" si="97"/>
        <v>0</v>
      </c>
      <c r="S65" s="16">
        <f t="shared" si="97"/>
        <v>0</v>
      </c>
      <c r="T65" s="16">
        <f t="shared" si="97"/>
        <v>0</v>
      </c>
      <c r="U65" s="16">
        <f t="shared" si="97"/>
        <v>0</v>
      </c>
      <c r="V65" s="16">
        <f t="shared" si="97"/>
        <v>0</v>
      </c>
      <c r="W65" s="16">
        <f t="shared" si="97"/>
        <v>0</v>
      </c>
      <c r="X65" s="16">
        <f t="shared" si="97"/>
        <v>0</v>
      </c>
      <c r="Y65" s="16">
        <f t="shared" si="97"/>
        <v>0</v>
      </c>
      <c r="Z65" s="16">
        <f t="shared" si="97"/>
        <v>0</v>
      </c>
      <c r="AA65" s="17">
        <f t="shared" si="97"/>
        <v>0</v>
      </c>
      <c r="AB65" s="17">
        <f t="shared" si="97"/>
        <v>0</v>
      </c>
      <c r="AC65" s="17">
        <f t="shared" si="97"/>
        <v>0</v>
      </c>
      <c r="AD65" s="17">
        <f t="shared" si="97"/>
        <v>0</v>
      </c>
      <c r="AE65" s="17">
        <f t="shared" si="97"/>
        <v>0</v>
      </c>
      <c r="AF65" s="17">
        <f t="shared" si="97"/>
        <v>0</v>
      </c>
      <c r="AG65" s="17">
        <f t="shared" si="97"/>
        <v>0</v>
      </c>
      <c r="AH65" s="17">
        <f t="shared" si="97"/>
        <v>0</v>
      </c>
      <c r="AI65" s="17">
        <f t="shared" si="97"/>
        <v>0</v>
      </c>
      <c r="AJ65" s="17">
        <f t="shared" si="97"/>
        <v>0</v>
      </c>
      <c r="AK65" s="17">
        <f t="shared" si="97"/>
        <v>0</v>
      </c>
      <c r="AL65" s="18">
        <f t="shared" si="97"/>
        <v>0</v>
      </c>
      <c r="AM65" s="17">
        <f t="shared" si="97"/>
        <v>0</v>
      </c>
      <c r="AN65" s="17">
        <f t="shared" si="97"/>
        <v>0</v>
      </c>
      <c r="AO65" s="17">
        <f t="shared" si="97"/>
        <v>0</v>
      </c>
      <c r="AP65" s="17">
        <f t="shared" si="97"/>
        <v>0</v>
      </c>
      <c r="AQ65" s="17">
        <f t="shared" si="97"/>
        <v>0</v>
      </c>
      <c r="AR65" s="17">
        <f t="shared" si="97"/>
        <v>0</v>
      </c>
      <c r="AS65" s="17">
        <f t="shared" si="97"/>
        <v>0</v>
      </c>
      <c r="AT65" s="17">
        <f t="shared" si="97"/>
        <v>0</v>
      </c>
      <c r="AU65" s="17">
        <f t="shared" si="97"/>
        <v>0</v>
      </c>
      <c r="AV65" s="17">
        <f t="shared" si="97"/>
        <v>0</v>
      </c>
      <c r="AW65" s="17">
        <f t="shared" si="97"/>
        <v>0</v>
      </c>
      <c r="AX65" s="17">
        <f t="shared" si="97"/>
        <v>0</v>
      </c>
      <c r="AY65" s="17">
        <f t="shared" si="97"/>
        <v>0</v>
      </c>
      <c r="AZ65" s="17">
        <f t="shared" si="97"/>
        <v>0</v>
      </c>
      <c r="BA65" s="17">
        <f t="shared" si="97"/>
        <v>0</v>
      </c>
      <c r="BB65" s="17">
        <f t="shared" si="97"/>
        <v>0</v>
      </c>
      <c r="BC65" s="17">
        <f t="shared" si="97"/>
        <v>0</v>
      </c>
      <c r="BD65" s="17">
        <f t="shared" si="97"/>
        <v>0</v>
      </c>
      <c r="BE65" s="17">
        <f t="shared" si="97"/>
        <v>0</v>
      </c>
      <c r="BF65" s="17">
        <f t="shared" si="97"/>
        <v>0</v>
      </c>
      <c r="BG65" s="17">
        <f t="shared" si="97"/>
        <v>0</v>
      </c>
      <c r="BH65" s="17">
        <f t="shared" si="97"/>
        <v>0</v>
      </c>
      <c r="BI65" s="17">
        <f t="shared" si="97"/>
        <v>0</v>
      </c>
      <c r="BJ65" s="17">
        <f t="shared" si="97"/>
        <v>0</v>
      </c>
      <c r="BK65" s="17">
        <f t="shared" si="97"/>
        <v>0</v>
      </c>
      <c r="BL65" s="17">
        <f t="shared" si="97"/>
        <v>0</v>
      </c>
      <c r="BM65" s="17">
        <f t="shared" si="97"/>
        <v>0</v>
      </c>
      <c r="BN65" s="17">
        <f t="shared" si="97"/>
        <v>0</v>
      </c>
      <c r="BO65" s="17">
        <f t="shared" ref="BO65:DA65" si="98">+SUM(BO61:BO64)</f>
        <v>0</v>
      </c>
      <c r="BP65" s="17">
        <f t="shared" si="98"/>
        <v>0</v>
      </c>
      <c r="BQ65" s="17">
        <f t="shared" si="98"/>
        <v>0</v>
      </c>
      <c r="BR65" s="17">
        <f t="shared" si="98"/>
        <v>0</v>
      </c>
      <c r="BS65" s="17">
        <f t="shared" si="98"/>
        <v>0</v>
      </c>
      <c r="BT65" s="17">
        <f t="shared" si="98"/>
        <v>0</v>
      </c>
      <c r="BU65" s="17">
        <f t="shared" si="98"/>
        <v>0</v>
      </c>
      <c r="BV65" s="17">
        <f t="shared" si="98"/>
        <v>0</v>
      </c>
      <c r="BW65" s="17">
        <f t="shared" si="98"/>
        <v>0</v>
      </c>
      <c r="BX65" s="17">
        <f t="shared" si="98"/>
        <v>201</v>
      </c>
      <c r="BY65" s="17">
        <f t="shared" si="98"/>
        <v>0</v>
      </c>
      <c r="BZ65" s="17">
        <f t="shared" si="98"/>
        <v>195</v>
      </c>
      <c r="CA65" s="17">
        <f t="shared" si="98"/>
        <v>162</v>
      </c>
      <c r="CB65" s="17">
        <f t="shared" si="98"/>
        <v>171</v>
      </c>
      <c r="CC65" s="17">
        <f t="shared" si="98"/>
        <v>323</v>
      </c>
      <c r="CD65" s="17">
        <f t="shared" si="98"/>
        <v>143</v>
      </c>
      <c r="CE65" s="17">
        <f t="shared" si="98"/>
        <v>172</v>
      </c>
      <c r="CF65" s="17">
        <f t="shared" si="98"/>
        <v>211</v>
      </c>
      <c r="CG65" s="17">
        <f t="shared" si="98"/>
        <v>130</v>
      </c>
      <c r="CH65" s="17">
        <f t="shared" si="98"/>
        <v>110</v>
      </c>
      <c r="CI65" s="17">
        <f t="shared" si="98"/>
        <v>103</v>
      </c>
      <c r="CJ65" s="17">
        <f t="shared" si="98"/>
        <v>101</v>
      </c>
      <c r="CK65" s="17">
        <f t="shared" si="98"/>
        <v>141</v>
      </c>
      <c r="CL65" s="17">
        <f t="shared" si="98"/>
        <v>106</v>
      </c>
      <c r="CM65" s="17">
        <f t="shared" si="98"/>
        <v>121</v>
      </c>
      <c r="CN65" s="17">
        <f t="shared" si="98"/>
        <v>149</v>
      </c>
      <c r="CO65" s="17">
        <f t="shared" si="98"/>
        <v>220</v>
      </c>
      <c r="CP65" s="17">
        <f t="shared" si="98"/>
        <v>210</v>
      </c>
      <c r="CQ65" s="17">
        <f t="shared" si="98"/>
        <v>126</v>
      </c>
      <c r="CR65" s="17">
        <f t="shared" si="98"/>
        <v>156</v>
      </c>
      <c r="CS65" s="17">
        <f t="shared" si="98"/>
        <v>150</v>
      </c>
      <c r="CT65" s="17">
        <f t="shared" si="98"/>
        <v>60</v>
      </c>
      <c r="CU65" s="17">
        <f t="shared" si="98"/>
        <v>52</v>
      </c>
      <c r="CV65" s="17">
        <f t="shared" si="98"/>
        <v>148</v>
      </c>
      <c r="CW65" s="17">
        <f t="shared" si="98"/>
        <v>202</v>
      </c>
      <c r="CX65" s="17">
        <f t="shared" si="98"/>
        <v>201</v>
      </c>
      <c r="CY65" s="17">
        <f t="shared" si="98"/>
        <v>507</v>
      </c>
      <c r="CZ65" s="17">
        <f t="shared" si="98"/>
        <v>656</v>
      </c>
      <c r="DA65" s="17">
        <f t="shared" si="98"/>
        <v>797</v>
      </c>
      <c r="DB65" s="17">
        <f>+SUM(DB61:DB64)</f>
        <v>485</v>
      </c>
      <c r="DC65" s="17">
        <f>+SUM(DC61:DC64)</f>
        <v>472</v>
      </c>
      <c r="DD65" s="17">
        <f>+SUM(DD61:DD64)</f>
        <v>863</v>
      </c>
      <c r="DE65" s="17">
        <v>782</v>
      </c>
      <c r="DF65" s="17">
        <v>849</v>
      </c>
      <c r="DG65" s="17">
        <v>520</v>
      </c>
      <c r="DH65" s="17">
        <v>525</v>
      </c>
      <c r="DI65" s="19">
        <v>710</v>
      </c>
      <c r="DJ65" s="19">
        <v>503</v>
      </c>
      <c r="DK65" s="19">
        <v>609</v>
      </c>
      <c r="DL65" s="19">
        <v>672</v>
      </c>
      <c r="DM65" s="19">
        <v>852</v>
      </c>
      <c r="DN65" s="19">
        <v>525</v>
      </c>
      <c r="DO65" s="19">
        <v>430</v>
      </c>
      <c r="DP65" s="19">
        <v>475</v>
      </c>
      <c r="DQ65" s="19">
        <v>556</v>
      </c>
      <c r="DR65" s="19">
        <v>775</v>
      </c>
      <c r="DS65" s="19">
        <v>531</v>
      </c>
      <c r="DT65" s="19">
        <v>559</v>
      </c>
      <c r="DU65" s="19">
        <v>546</v>
      </c>
      <c r="DV65" s="19">
        <v>409</v>
      </c>
      <c r="DW65" s="19">
        <v>480</v>
      </c>
      <c r="DX65" s="19">
        <v>694</v>
      </c>
      <c r="DY65" s="19">
        <v>637</v>
      </c>
      <c r="DZ65" s="19">
        <v>435</v>
      </c>
      <c r="EA65" s="19">
        <v>435</v>
      </c>
      <c r="EB65" s="19">
        <v>427</v>
      </c>
      <c r="EC65" s="19">
        <v>540</v>
      </c>
      <c r="ED65" s="19">
        <v>697</v>
      </c>
      <c r="EE65" s="19">
        <v>467</v>
      </c>
      <c r="EF65" s="19">
        <v>578</v>
      </c>
      <c r="EG65" s="19">
        <v>549</v>
      </c>
      <c r="EH65" s="19">
        <v>405</v>
      </c>
      <c r="EI65" s="19">
        <v>425</v>
      </c>
      <c r="EJ65" s="19">
        <v>427</v>
      </c>
      <c r="EK65" s="19">
        <v>518</v>
      </c>
      <c r="EL65" s="19">
        <v>455</v>
      </c>
      <c r="EM65" s="19">
        <v>421</v>
      </c>
      <c r="EN65" s="19">
        <v>402</v>
      </c>
      <c r="EO65" s="19">
        <v>379</v>
      </c>
      <c r="EP65" s="19">
        <v>462</v>
      </c>
      <c r="EQ65" s="19">
        <v>405</v>
      </c>
      <c r="ER65" s="19">
        <v>391</v>
      </c>
      <c r="ES65" s="19">
        <v>398</v>
      </c>
      <c r="ET65" s="19">
        <v>399</v>
      </c>
      <c r="EU65" s="19">
        <v>349</v>
      </c>
      <c r="EV65" s="19">
        <v>436</v>
      </c>
      <c r="EW65" s="19">
        <v>546</v>
      </c>
      <c r="EX65" s="19">
        <v>373</v>
      </c>
      <c r="EY65" s="19">
        <v>318</v>
      </c>
      <c r="EZ65" s="19">
        <v>346</v>
      </c>
      <c r="FA65" s="19">
        <v>319</v>
      </c>
      <c r="FB65" s="19">
        <v>485</v>
      </c>
      <c r="FC65" s="19">
        <v>372</v>
      </c>
      <c r="FD65" s="19">
        <v>405</v>
      </c>
      <c r="FE65" s="19">
        <v>383</v>
      </c>
      <c r="FF65" s="19">
        <v>345</v>
      </c>
      <c r="FG65" s="19">
        <v>339</v>
      </c>
      <c r="FH65" s="19">
        <v>475</v>
      </c>
      <c r="FI65" s="19">
        <v>680</v>
      </c>
      <c r="FJ65" s="19">
        <v>412</v>
      </c>
      <c r="FK65" s="19">
        <v>411</v>
      </c>
      <c r="FL65" s="20"/>
      <c r="FM65" s="20"/>
      <c r="FN65" s="20"/>
      <c r="FR65" s="17">
        <f t="shared" si="26"/>
        <v>0</v>
      </c>
      <c r="FS65" s="17">
        <f t="shared" si="27"/>
        <v>0</v>
      </c>
      <c r="FT65" s="17">
        <f t="shared" si="28"/>
        <v>0</v>
      </c>
      <c r="FU65" s="17">
        <f t="shared" si="29"/>
        <v>0</v>
      </c>
      <c r="FV65" s="17">
        <f t="shared" si="30"/>
        <v>0</v>
      </c>
      <c r="FW65" s="17">
        <f t="shared" si="31"/>
        <v>0</v>
      </c>
      <c r="FX65" s="17">
        <f t="shared" si="32"/>
        <v>0</v>
      </c>
      <c r="FY65" s="17">
        <f t="shared" si="33"/>
        <v>0</v>
      </c>
      <c r="FZ65" s="17">
        <f t="shared" si="34"/>
        <v>0</v>
      </c>
      <c r="GA65" s="17">
        <f t="shared" si="35"/>
        <v>0</v>
      </c>
      <c r="GB65" s="17">
        <f t="shared" si="36"/>
        <v>0</v>
      </c>
      <c r="GC65" s="17">
        <f t="shared" si="37"/>
        <v>0</v>
      </c>
      <c r="GD65" s="17">
        <f t="shared" si="38"/>
        <v>0</v>
      </c>
      <c r="GE65" s="17">
        <f t="shared" si="39"/>
        <v>0</v>
      </c>
      <c r="GF65" s="17">
        <f t="shared" si="40"/>
        <v>0</v>
      </c>
      <c r="GG65" s="17">
        <f t="shared" si="41"/>
        <v>0</v>
      </c>
      <c r="GH65" s="17">
        <f t="shared" si="42"/>
        <v>0</v>
      </c>
      <c r="GI65" s="17">
        <f t="shared" si="43"/>
        <v>0</v>
      </c>
      <c r="GJ65" s="17">
        <f t="shared" si="44"/>
        <v>0</v>
      </c>
      <c r="GK65" s="17">
        <f t="shared" si="45"/>
        <v>0</v>
      </c>
      <c r="GL65" s="17">
        <f t="shared" si="46"/>
        <v>0</v>
      </c>
      <c r="GM65" s="17">
        <f t="shared" si="47"/>
        <v>0</v>
      </c>
      <c r="GN65" s="17">
        <f t="shared" si="48"/>
        <v>0</v>
      </c>
      <c r="GO65" s="17">
        <f t="shared" si="49"/>
        <v>0</v>
      </c>
      <c r="GP65" s="17">
        <f t="shared" si="50"/>
        <v>201</v>
      </c>
      <c r="GQ65" s="17">
        <f t="shared" si="51"/>
        <v>528</v>
      </c>
      <c r="GR65" s="17">
        <f t="shared" si="52"/>
        <v>638</v>
      </c>
      <c r="GS65" s="17">
        <f t="shared" si="53"/>
        <v>451</v>
      </c>
      <c r="GT65" s="17">
        <f t="shared" si="54"/>
        <v>345</v>
      </c>
      <c r="GU65" s="17">
        <f t="shared" si="55"/>
        <v>376</v>
      </c>
      <c r="GV65" s="17">
        <f t="shared" si="56"/>
        <v>556</v>
      </c>
      <c r="GW65" s="17">
        <f t="shared" si="57"/>
        <v>366</v>
      </c>
      <c r="GX65" s="17">
        <f t="shared" si="58"/>
        <v>402</v>
      </c>
      <c r="GY65" s="17">
        <f t="shared" si="59"/>
        <v>1364</v>
      </c>
      <c r="GZ65" s="17">
        <f t="shared" si="2"/>
        <v>1754</v>
      </c>
      <c r="HA65" s="17">
        <f t="shared" si="3"/>
        <v>2494</v>
      </c>
      <c r="HB65" s="17">
        <f t="shared" si="4"/>
        <v>1045</v>
      </c>
      <c r="HC65" s="17">
        <f t="shared" si="5"/>
        <v>1784</v>
      </c>
      <c r="HD65" s="17">
        <f t="shared" si="6"/>
        <v>1807</v>
      </c>
      <c r="HE65" s="17">
        <f t="shared" si="7"/>
        <v>1806</v>
      </c>
      <c r="HF65" s="17">
        <f t="shared" si="8"/>
        <v>1636</v>
      </c>
      <c r="HG65" s="17">
        <f t="shared" si="9"/>
        <v>1583</v>
      </c>
      <c r="HH65" s="17">
        <f t="shared" si="10"/>
        <v>1507</v>
      </c>
      <c r="HI65" s="17">
        <f t="shared" si="11"/>
        <v>1664</v>
      </c>
      <c r="HJ65" s="17">
        <f t="shared" si="12"/>
        <v>1594</v>
      </c>
      <c r="HK65" s="17">
        <f t="shared" si="13"/>
        <v>1257</v>
      </c>
      <c r="HL65" s="17">
        <f t="shared" si="14"/>
        <v>1394</v>
      </c>
      <c r="HM65" s="17">
        <f t="shared" si="15"/>
        <v>1243</v>
      </c>
      <c r="HN65" s="17">
        <f t="shared" si="60"/>
        <v>1594</v>
      </c>
      <c r="HO65" s="17">
        <f t="shared" si="61"/>
        <v>1257</v>
      </c>
      <c r="HP65" s="17">
        <f t="shared" si="62"/>
        <v>1394</v>
      </c>
      <c r="HQ65" s="17">
        <f t="shared" si="63"/>
        <v>1243</v>
      </c>
      <c r="HR65" s="17">
        <f t="shared" si="64"/>
        <v>1194</v>
      </c>
      <c r="HS65" s="17">
        <f t="shared" si="65"/>
        <v>1184</v>
      </c>
      <c r="HT65" s="17">
        <f t="shared" si="16"/>
        <v>1237</v>
      </c>
      <c r="HU65" s="17">
        <f t="shared" si="17"/>
        <v>1150</v>
      </c>
      <c r="HV65" s="17">
        <f t="shared" si="18"/>
        <v>1160</v>
      </c>
      <c r="HW65" s="17">
        <f t="shared" si="19"/>
        <v>1159</v>
      </c>
      <c r="HX65" s="17">
        <f t="shared" si="20"/>
        <v>1503</v>
      </c>
      <c r="IB65" s="17">
        <f t="shared" si="66"/>
        <v>0</v>
      </c>
      <c r="IC65" s="17">
        <f t="shared" si="67"/>
        <v>0</v>
      </c>
      <c r="ID65" s="17">
        <f t="shared" si="68"/>
        <v>0</v>
      </c>
      <c r="IE65" s="17">
        <f t="shared" si="69"/>
        <v>0</v>
      </c>
      <c r="IF65" s="17">
        <f t="shared" si="70"/>
        <v>0</v>
      </c>
      <c r="IG65" s="17">
        <f t="shared" si="71"/>
        <v>0</v>
      </c>
      <c r="IH65" s="17">
        <f t="shared" si="72"/>
        <v>1818</v>
      </c>
      <c r="II65" s="17">
        <f t="shared" si="73"/>
        <v>1643</v>
      </c>
      <c r="IJ65" s="17">
        <f t="shared" si="21"/>
        <v>6014</v>
      </c>
      <c r="IK65" s="17">
        <f t="shared" si="22"/>
        <v>7152</v>
      </c>
      <c r="IL65" s="17">
        <f t="shared" si="23"/>
        <v>6390</v>
      </c>
      <c r="IM65" s="17">
        <f t="shared" si="24"/>
        <v>5488</v>
      </c>
      <c r="IN65" s="17">
        <f t="shared" si="90"/>
        <v>4765</v>
      </c>
    </row>
    <row r="66" spans="1:248" outlineLevel="2" x14ac:dyDescent="0.3">
      <c r="A66" t="s">
        <v>104</v>
      </c>
      <c r="B66" t="s">
        <v>75</v>
      </c>
      <c r="C66" s="11">
        <v>0</v>
      </c>
      <c r="D66" s="11">
        <v>0</v>
      </c>
      <c r="E66" s="11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3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6</v>
      </c>
      <c r="BZ66" s="12">
        <v>15</v>
      </c>
      <c r="CA66" s="12">
        <v>2</v>
      </c>
      <c r="CB66" s="12">
        <v>11</v>
      </c>
      <c r="CC66" s="12">
        <v>5</v>
      </c>
      <c r="CD66" s="12">
        <v>4</v>
      </c>
      <c r="CE66" s="12">
        <v>8</v>
      </c>
      <c r="CF66" s="12">
        <v>2</v>
      </c>
      <c r="CG66" s="12">
        <v>5</v>
      </c>
      <c r="CH66" s="12">
        <v>6</v>
      </c>
      <c r="CI66" s="12">
        <v>3</v>
      </c>
      <c r="CJ66" s="12">
        <v>4</v>
      </c>
      <c r="CK66" s="12">
        <v>6</v>
      </c>
      <c r="CL66" s="12">
        <v>6</v>
      </c>
      <c r="CM66" s="12">
        <v>10</v>
      </c>
      <c r="CN66" s="12">
        <v>6</v>
      </c>
      <c r="CO66" s="12">
        <v>18</v>
      </c>
      <c r="CP66" s="12">
        <v>6</v>
      </c>
      <c r="CQ66" s="12">
        <v>5</v>
      </c>
      <c r="CR66" s="12">
        <v>6</v>
      </c>
      <c r="CS66" s="12">
        <v>13</v>
      </c>
      <c r="CT66" s="12">
        <v>12</v>
      </c>
      <c r="CU66" s="12">
        <v>0</v>
      </c>
      <c r="CV66" s="12">
        <v>5</v>
      </c>
      <c r="CW66" s="12">
        <v>10</v>
      </c>
      <c r="CX66" s="12">
        <v>24</v>
      </c>
      <c r="CY66" s="12">
        <v>10</v>
      </c>
      <c r="CZ66" s="12">
        <v>24</v>
      </c>
      <c r="DA66" s="12">
        <v>32</v>
      </c>
      <c r="DB66" s="12">
        <v>4</v>
      </c>
      <c r="DC66" s="12">
        <v>20</v>
      </c>
      <c r="DD66" s="12">
        <v>0</v>
      </c>
      <c r="DE66" s="12">
        <v>2</v>
      </c>
      <c r="DF66" s="12">
        <v>20</v>
      </c>
      <c r="DG66" s="12">
        <v>18</v>
      </c>
      <c r="DH66" s="12">
        <v>5</v>
      </c>
      <c r="DI66" s="14">
        <v>42</v>
      </c>
      <c r="DJ66" s="14">
        <v>15</v>
      </c>
      <c r="DK66" s="14">
        <v>6</v>
      </c>
      <c r="DL66" s="14">
        <v>20</v>
      </c>
      <c r="DM66" s="14">
        <v>33</v>
      </c>
      <c r="DN66" s="14">
        <v>17</v>
      </c>
      <c r="DO66" s="14">
        <v>18</v>
      </c>
      <c r="DP66" s="14">
        <v>16</v>
      </c>
      <c r="DQ66" s="14">
        <v>9</v>
      </c>
      <c r="DR66" s="14">
        <v>29</v>
      </c>
      <c r="DS66" s="14">
        <v>22</v>
      </c>
      <c r="DT66" s="14">
        <v>23</v>
      </c>
      <c r="DU66" s="14">
        <v>3</v>
      </c>
      <c r="DV66" s="14">
        <v>31</v>
      </c>
      <c r="DW66" s="14">
        <v>15</v>
      </c>
      <c r="DX66" s="14">
        <v>19</v>
      </c>
      <c r="DY66" s="14">
        <v>28</v>
      </c>
      <c r="DZ66" s="14">
        <v>42</v>
      </c>
      <c r="EA66" s="14">
        <v>24</v>
      </c>
      <c r="EB66" s="14">
        <v>31</v>
      </c>
      <c r="EC66" s="14">
        <v>15</v>
      </c>
      <c r="ED66" s="14">
        <v>44</v>
      </c>
      <c r="EE66" s="14">
        <v>28</v>
      </c>
      <c r="EF66" s="14">
        <v>39</v>
      </c>
      <c r="EG66" s="14">
        <v>17</v>
      </c>
      <c r="EH66" s="14">
        <v>35</v>
      </c>
      <c r="EI66" s="14">
        <v>27</v>
      </c>
      <c r="EJ66" s="14">
        <v>18</v>
      </c>
      <c r="EK66" s="14">
        <v>29</v>
      </c>
      <c r="EL66" s="14">
        <v>31</v>
      </c>
      <c r="EM66" s="14">
        <v>61</v>
      </c>
      <c r="EN66" s="14">
        <v>23</v>
      </c>
      <c r="EO66" s="14">
        <v>38</v>
      </c>
      <c r="EP66" s="14">
        <v>21</v>
      </c>
      <c r="EQ66" s="14">
        <v>44</v>
      </c>
      <c r="ER66" s="14">
        <v>30</v>
      </c>
      <c r="ES66" s="14">
        <v>13</v>
      </c>
      <c r="ET66" s="14">
        <v>62</v>
      </c>
      <c r="EU66" s="14">
        <v>33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/>
      <c r="FM66" s="14"/>
      <c r="FN66" s="14"/>
      <c r="FR66" s="12">
        <f t="shared" si="26"/>
        <v>0</v>
      </c>
      <c r="FS66" s="12">
        <f t="shared" si="27"/>
        <v>0</v>
      </c>
      <c r="FT66" s="12">
        <f t="shared" si="28"/>
        <v>0</v>
      </c>
      <c r="FU66" s="12">
        <f t="shared" si="29"/>
        <v>0</v>
      </c>
      <c r="FV66" s="12">
        <f t="shared" si="30"/>
        <v>0</v>
      </c>
      <c r="FW66" s="12">
        <f t="shared" si="31"/>
        <v>0</v>
      </c>
      <c r="FX66" s="12">
        <f t="shared" si="32"/>
        <v>0</v>
      </c>
      <c r="FY66" s="12">
        <f t="shared" si="33"/>
        <v>0</v>
      </c>
      <c r="FZ66" s="12">
        <f t="shared" si="34"/>
        <v>0</v>
      </c>
      <c r="GA66" s="12">
        <f t="shared" si="35"/>
        <v>0</v>
      </c>
      <c r="GB66" s="12">
        <f t="shared" si="36"/>
        <v>0</v>
      </c>
      <c r="GC66" s="12">
        <f t="shared" si="37"/>
        <v>0</v>
      </c>
      <c r="GD66" s="12">
        <f t="shared" si="38"/>
        <v>0</v>
      </c>
      <c r="GE66" s="12">
        <f t="shared" si="39"/>
        <v>0</v>
      </c>
      <c r="GF66" s="12">
        <f t="shared" si="40"/>
        <v>0</v>
      </c>
      <c r="GG66" s="12">
        <f t="shared" si="41"/>
        <v>0</v>
      </c>
      <c r="GH66" s="12">
        <f t="shared" si="42"/>
        <v>0</v>
      </c>
      <c r="GI66" s="12">
        <f t="shared" si="43"/>
        <v>0</v>
      </c>
      <c r="GJ66" s="12">
        <f t="shared" si="44"/>
        <v>0</v>
      </c>
      <c r="GK66" s="12">
        <f t="shared" si="45"/>
        <v>0</v>
      </c>
      <c r="GL66" s="12">
        <f t="shared" si="46"/>
        <v>0</v>
      </c>
      <c r="GM66" s="12">
        <f t="shared" si="47"/>
        <v>0</v>
      </c>
      <c r="GN66" s="12">
        <f t="shared" si="48"/>
        <v>0</v>
      </c>
      <c r="GO66" s="12">
        <f t="shared" si="49"/>
        <v>0</v>
      </c>
      <c r="GP66" s="12">
        <f t="shared" si="50"/>
        <v>6</v>
      </c>
      <c r="GQ66" s="12">
        <f t="shared" si="51"/>
        <v>28</v>
      </c>
      <c r="GR66" s="12">
        <f t="shared" si="52"/>
        <v>17</v>
      </c>
      <c r="GS66" s="12">
        <f t="shared" si="53"/>
        <v>13</v>
      </c>
      <c r="GT66" s="12">
        <f t="shared" si="54"/>
        <v>13</v>
      </c>
      <c r="GU66" s="12">
        <f t="shared" si="55"/>
        <v>22</v>
      </c>
      <c r="GV66" s="12">
        <f t="shared" si="56"/>
        <v>29</v>
      </c>
      <c r="GW66" s="12">
        <f t="shared" si="57"/>
        <v>31</v>
      </c>
      <c r="GX66" s="12">
        <f t="shared" si="58"/>
        <v>15</v>
      </c>
      <c r="GY66" s="12">
        <f t="shared" si="59"/>
        <v>58</v>
      </c>
      <c r="GZ66" s="12">
        <f t="shared" si="2"/>
        <v>56</v>
      </c>
      <c r="HA66" s="12">
        <f t="shared" si="3"/>
        <v>22</v>
      </c>
      <c r="HB66" s="12">
        <f t="shared" si="4"/>
        <v>23</v>
      </c>
      <c r="HC66" s="12">
        <f t="shared" si="5"/>
        <v>41</v>
      </c>
      <c r="HD66" s="12">
        <f t="shared" si="6"/>
        <v>68</v>
      </c>
      <c r="HE66" s="12">
        <f t="shared" si="7"/>
        <v>54</v>
      </c>
      <c r="HF66" s="12">
        <f t="shared" si="8"/>
        <v>48</v>
      </c>
      <c r="HG66" s="12">
        <f t="shared" si="9"/>
        <v>65</v>
      </c>
      <c r="HH66" s="12">
        <f t="shared" si="10"/>
        <v>94</v>
      </c>
      <c r="HI66" s="12">
        <f t="shared" si="11"/>
        <v>90</v>
      </c>
      <c r="HJ66" s="12">
        <f t="shared" si="12"/>
        <v>84</v>
      </c>
      <c r="HK66" s="12">
        <f t="shared" si="13"/>
        <v>80</v>
      </c>
      <c r="HL66" s="12">
        <f t="shared" si="14"/>
        <v>121</v>
      </c>
      <c r="HM66" s="12">
        <f t="shared" si="15"/>
        <v>82</v>
      </c>
      <c r="HN66" s="12">
        <f t="shared" si="60"/>
        <v>84</v>
      </c>
      <c r="HO66" s="12">
        <f t="shared" si="61"/>
        <v>80</v>
      </c>
      <c r="HP66" s="12">
        <f t="shared" si="62"/>
        <v>121</v>
      </c>
      <c r="HQ66" s="12">
        <f t="shared" si="63"/>
        <v>82</v>
      </c>
      <c r="HR66" s="12">
        <f t="shared" si="64"/>
        <v>87</v>
      </c>
      <c r="HS66" s="12">
        <f t="shared" si="65"/>
        <v>95</v>
      </c>
      <c r="HT66" s="12">
        <f t="shared" si="16"/>
        <v>0</v>
      </c>
      <c r="HU66" s="12">
        <f t="shared" si="17"/>
        <v>0</v>
      </c>
      <c r="HV66" s="12">
        <f t="shared" si="18"/>
        <v>0</v>
      </c>
      <c r="HW66" s="12">
        <f t="shared" si="19"/>
        <v>0</v>
      </c>
      <c r="HX66" s="12">
        <f t="shared" si="20"/>
        <v>0</v>
      </c>
      <c r="IB66" s="12">
        <f t="shared" si="66"/>
        <v>0</v>
      </c>
      <c r="IC66" s="12">
        <f t="shared" si="67"/>
        <v>0</v>
      </c>
      <c r="ID66" s="12">
        <f t="shared" si="68"/>
        <v>0</v>
      </c>
      <c r="IE66" s="12">
        <f t="shared" si="69"/>
        <v>0</v>
      </c>
      <c r="IF66" s="12">
        <f t="shared" si="70"/>
        <v>0</v>
      </c>
      <c r="IG66" s="12">
        <f t="shared" si="71"/>
        <v>0</v>
      </c>
      <c r="IH66" s="12">
        <f t="shared" si="72"/>
        <v>64</v>
      </c>
      <c r="II66" s="12">
        <f t="shared" si="73"/>
        <v>95</v>
      </c>
      <c r="IJ66" s="12">
        <f t="shared" si="21"/>
        <v>151</v>
      </c>
      <c r="IK66" s="12">
        <f t="shared" si="22"/>
        <v>228</v>
      </c>
      <c r="IL66" s="12">
        <f t="shared" si="23"/>
        <v>297</v>
      </c>
      <c r="IM66" s="12">
        <f t="shared" si="24"/>
        <v>367</v>
      </c>
      <c r="IN66" s="12">
        <f t="shared" si="90"/>
        <v>182</v>
      </c>
    </row>
    <row r="67" spans="1:248" outlineLevel="2" x14ac:dyDescent="0.3">
      <c r="B67" t="s">
        <v>76</v>
      </c>
      <c r="C67" s="11">
        <v>0</v>
      </c>
      <c r="D67" s="11">
        <v>0</v>
      </c>
      <c r="E67" s="11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3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257</v>
      </c>
      <c r="BZ67" s="12">
        <v>172</v>
      </c>
      <c r="CA67" s="12">
        <v>209</v>
      </c>
      <c r="CB67" s="12">
        <v>356</v>
      </c>
      <c r="CC67" s="12">
        <v>509</v>
      </c>
      <c r="CD67" s="12">
        <v>245</v>
      </c>
      <c r="CE67" s="12">
        <v>271</v>
      </c>
      <c r="CF67" s="12">
        <v>233</v>
      </c>
      <c r="CG67" s="12">
        <v>283</v>
      </c>
      <c r="CH67" s="12">
        <v>407</v>
      </c>
      <c r="CI67" s="12">
        <v>369</v>
      </c>
      <c r="CJ67" s="12">
        <v>431</v>
      </c>
      <c r="CK67" s="12">
        <v>412</v>
      </c>
      <c r="CL67" s="12">
        <v>238</v>
      </c>
      <c r="CM67" s="12">
        <v>351</v>
      </c>
      <c r="CN67" s="12">
        <v>433</v>
      </c>
      <c r="CO67" s="12">
        <v>748</v>
      </c>
      <c r="CP67" s="12">
        <v>439</v>
      </c>
      <c r="CQ67" s="12">
        <v>466</v>
      </c>
      <c r="CR67" s="12">
        <v>425</v>
      </c>
      <c r="CS67" s="12">
        <v>449</v>
      </c>
      <c r="CT67" s="12">
        <v>396</v>
      </c>
      <c r="CU67" s="12">
        <v>52</v>
      </c>
      <c r="CV67" s="12">
        <v>193</v>
      </c>
      <c r="CW67" s="12">
        <v>543</v>
      </c>
      <c r="CX67" s="12">
        <v>493</v>
      </c>
      <c r="CY67" s="12">
        <v>469</v>
      </c>
      <c r="CZ67" s="12">
        <v>319</v>
      </c>
      <c r="DA67" s="12">
        <v>974</v>
      </c>
      <c r="DB67" s="12">
        <v>868</v>
      </c>
      <c r="DC67" s="12">
        <v>796</v>
      </c>
      <c r="DD67" s="12">
        <v>712</v>
      </c>
      <c r="DE67" s="12">
        <v>804</v>
      </c>
      <c r="DF67" s="12">
        <v>868</v>
      </c>
      <c r="DG67" s="12">
        <v>632</v>
      </c>
      <c r="DH67" s="12">
        <v>634</v>
      </c>
      <c r="DI67" s="14">
        <v>1132</v>
      </c>
      <c r="DJ67" s="14">
        <v>920</v>
      </c>
      <c r="DK67" s="14">
        <v>488</v>
      </c>
      <c r="DL67" s="14">
        <v>820</v>
      </c>
      <c r="DM67" s="14">
        <v>1339</v>
      </c>
      <c r="DN67" s="14">
        <v>787</v>
      </c>
      <c r="DO67" s="14">
        <v>1119</v>
      </c>
      <c r="DP67" s="14">
        <v>605</v>
      </c>
      <c r="DQ67" s="14">
        <v>1041</v>
      </c>
      <c r="DR67" s="14">
        <v>1125</v>
      </c>
      <c r="DS67" s="14">
        <v>1330</v>
      </c>
      <c r="DT67" s="14">
        <v>1277</v>
      </c>
      <c r="DU67" s="14">
        <v>1514</v>
      </c>
      <c r="DV67" s="14">
        <v>786</v>
      </c>
      <c r="DW67" s="14">
        <v>915</v>
      </c>
      <c r="DX67" s="14">
        <v>1393</v>
      </c>
      <c r="DY67" s="14">
        <v>1860</v>
      </c>
      <c r="DZ67" s="14">
        <v>951</v>
      </c>
      <c r="EA67" s="14">
        <v>1142</v>
      </c>
      <c r="EB67" s="14">
        <v>936</v>
      </c>
      <c r="EC67" s="14">
        <v>1003</v>
      </c>
      <c r="ED67" s="14">
        <v>1749</v>
      </c>
      <c r="EE67" s="14">
        <v>1019</v>
      </c>
      <c r="EF67" s="14">
        <v>1055</v>
      </c>
      <c r="EG67" s="14">
        <v>1309</v>
      </c>
      <c r="EH67" s="14">
        <v>1130</v>
      </c>
      <c r="EI67" s="14">
        <v>716</v>
      </c>
      <c r="EJ67" s="14">
        <v>896</v>
      </c>
      <c r="EK67" s="14">
        <v>1537</v>
      </c>
      <c r="EL67" s="14">
        <v>1198</v>
      </c>
      <c r="EM67" s="14">
        <v>1207</v>
      </c>
      <c r="EN67" s="14">
        <v>775</v>
      </c>
      <c r="EO67" s="14">
        <v>870</v>
      </c>
      <c r="EP67" s="14">
        <v>766</v>
      </c>
      <c r="EQ67" s="14">
        <v>920</v>
      </c>
      <c r="ER67" s="14">
        <v>1179</v>
      </c>
      <c r="ES67" s="14">
        <v>1015</v>
      </c>
      <c r="ET67" s="14">
        <v>685</v>
      </c>
      <c r="EU67" s="14">
        <v>597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/>
      <c r="FM67" s="14"/>
      <c r="FN67" s="14"/>
      <c r="FR67" s="12">
        <f t="shared" si="26"/>
        <v>0</v>
      </c>
      <c r="FS67" s="12">
        <f t="shared" si="27"/>
        <v>0</v>
      </c>
      <c r="FT67" s="12">
        <f t="shared" si="28"/>
        <v>0</v>
      </c>
      <c r="FU67" s="12">
        <f t="shared" si="29"/>
        <v>0</v>
      </c>
      <c r="FV67" s="12">
        <f t="shared" si="30"/>
        <v>0</v>
      </c>
      <c r="FW67" s="12">
        <f t="shared" si="31"/>
        <v>0</v>
      </c>
      <c r="FX67" s="12">
        <f t="shared" si="32"/>
        <v>0</v>
      </c>
      <c r="FY67" s="12">
        <f t="shared" si="33"/>
        <v>0</v>
      </c>
      <c r="FZ67" s="12">
        <f t="shared" si="34"/>
        <v>0</v>
      </c>
      <c r="GA67" s="12">
        <f t="shared" si="35"/>
        <v>0</v>
      </c>
      <c r="GB67" s="12">
        <f t="shared" si="36"/>
        <v>0</v>
      </c>
      <c r="GC67" s="12">
        <f t="shared" si="37"/>
        <v>0</v>
      </c>
      <c r="GD67" s="12">
        <f t="shared" si="38"/>
        <v>0</v>
      </c>
      <c r="GE67" s="12">
        <f t="shared" si="39"/>
        <v>0</v>
      </c>
      <c r="GF67" s="12">
        <f t="shared" si="40"/>
        <v>0</v>
      </c>
      <c r="GG67" s="12">
        <f t="shared" si="41"/>
        <v>0</v>
      </c>
      <c r="GH67" s="12">
        <f t="shared" si="42"/>
        <v>0</v>
      </c>
      <c r="GI67" s="12">
        <f t="shared" si="43"/>
        <v>0</v>
      </c>
      <c r="GJ67" s="12">
        <f t="shared" si="44"/>
        <v>0</v>
      </c>
      <c r="GK67" s="12">
        <f t="shared" si="45"/>
        <v>0</v>
      </c>
      <c r="GL67" s="12">
        <f t="shared" si="46"/>
        <v>0</v>
      </c>
      <c r="GM67" s="12">
        <f t="shared" si="47"/>
        <v>0</v>
      </c>
      <c r="GN67" s="12">
        <f t="shared" si="48"/>
        <v>0</v>
      </c>
      <c r="GO67" s="12">
        <f t="shared" si="49"/>
        <v>0</v>
      </c>
      <c r="GP67" s="12">
        <f t="shared" si="50"/>
        <v>257</v>
      </c>
      <c r="GQ67" s="12">
        <f t="shared" si="51"/>
        <v>737</v>
      </c>
      <c r="GR67" s="12">
        <f t="shared" si="52"/>
        <v>1025</v>
      </c>
      <c r="GS67" s="12">
        <f t="shared" si="53"/>
        <v>923</v>
      </c>
      <c r="GT67" s="12">
        <f t="shared" si="54"/>
        <v>1212</v>
      </c>
      <c r="GU67" s="12">
        <f t="shared" si="55"/>
        <v>1022</v>
      </c>
      <c r="GV67" s="12">
        <f t="shared" si="56"/>
        <v>1653</v>
      </c>
      <c r="GW67" s="12">
        <f t="shared" si="57"/>
        <v>1270</v>
      </c>
      <c r="GX67" s="12">
        <f t="shared" si="58"/>
        <v>788</v>
      </c>
      <c r="GY67" s="12">
        <f t="shared" si="59"/>
        <v>1281</v>
      </c>
      <c r="GZ67" s="12">
        <f t="shared" si="2"/>
        <v>2638</v>
      </c>
      <c r="HA67" s="12">
        <f t="shared" si="3"/>
        <v>2384</v>
      </c>
      <c r="HB67" s="12">
        <f t="shared" si="4"/>
        <v>1266</v>
      </c>
      <c r="HC67" s="12">
        <f t="shared" si="5"/>
        <v>2228</v>
      </c>
      <c r="HD67" s="12">
        <f t="shared" si="6"/>
        <v>3245</v>
      </c>
      <c r="HE67" s="12">
        <f t="shared" si="7"/>
        <v>2771</v>
      </c>
      <c r="HF67" s="12">
        <f t="shared" si="8"/>
        <v>4121</v>
      </c>
      <c r="HG67" s="12">
        <f t="shared" si="9"/>
        <v>3094</v>
      </c>
      <c r="HH67" s="12">
        <f t="shared" si="10"/>
        <v>3953</v>
      </c>
      <c r="HI67" s="12">
        <f t="shared" si="11"/>
        <v>3688</v>
      </c>
      <c r="HJ67" s="12">
        <f t="shared" si="12"/>
        <v>3383</v>
      </c>
      <c r="HK67" s="12">
        <f t="shared" si="13"/>
        <v>2742</v>
      </c>
      <c r="HL67" s="12">
        <f t="shared" si="14"/>
        <v>3942</v>
      </c>
      <c r="HM67" s="12">
        <f t="shared" si="15"/>
        <v>2411</v>
      </c>
      <c r="HN67" s="12">
        <f t="shared" si="60"/>
        <v>3383</v>
      </c>
      <c r="HO67" s="12">
        <f t="shared" si="61"/>
        <v>2742</v>
      </c>
      <c r="HP67" s="12">
        <f t="shared" si="62"/>
        <v>3942</v>
      </c>
      <c r="HQ67" s="12">
        <f t="shared" si="63"/>
        <v>2411</v>
      </c>
      <c r="HR67" s="12">
        <f t="shared" si="64"/>
        <v>3114</v>
      </c>
      <c r="HS67" s="12">
        <f t="shared" si="65"/>
        <v>1282</v>
      </c>
      <c r="HT67" s="12">
        <f t="shared" si="16"/>
        <v>0</v>
      </c>
      <c r="HU67" s="12">
        <f t="shared" si="17"/>
        <v>0</v>
      </c>
      <c r="HV67" s="12">
        <f t="shared" si="18"/>
        <v>0</v>
      </c>
      <c r="HW67" s="12">
        <f t="shared" si="19"/>
        <v>0</v>
      </c>
      <c r="HX67" s="12">
        <f t="shared" si="20"/>
        <v>0</v>
      </c>
      <c r="IB67" s="12">
        <f t="shared" si="66"/>
        <v>0</v>
      </c>
      <c r="IC67" s="12">
        <f t="shared" si="67"/>
        <v>0</v>
      </c>
      <c r="ID67" s="12">
        <f t="shared" si="68"/>
        <v>0</v>
      </c>
      <c r="IE67" s="12">
        <f t="shared" si="69"/>
        <v>0</v>
      </c>
      <c r="IF67" s="12">
        <f t="shared" si="70"/>
        <v>0</v>
      </c>
      <c r="IG67" s="12">
        <f t="shared" si="71"/>
        <v>0</v>
      </c>
      <c r="IH67" s="12">
        <f t="shared" si="72"/>
        <v>2942</v>
      </c>
      <c r="II67" s="12">
        <f t="shared" si="73"/>
        <v>5157</v>
      </c>
      <c r="IJ67" s="12">
        <f t="shared" si="21"/>
        <v>7091</v>
      </c>
      <c r="IK67" s="12">
        <f t="shared" si="22"/>
        <v>10642</v>
      </c>
      <c r="IL67" s="12">
        <f t="shared" si="23"/>
        <v>14856</v>
      </c>
      <c r="IM67" s="12">
        <f t="shared" si="24"/>
        <v>12478</v>
      </c>
      <c r="IN67" s="12">
        <f t="shared" si="90"/>
        <v>4396</v>
      </c>
    </row>
    <row r="68" spans="1:248" outlineLevel="2" x14ac:dyDescent="0.3">
      <c r="B68" t="s">
        <v>77</v>
      </c>
      <c r="C68" s="11">
        <v>0</v>
      </c>
      <c r="D68" s="11">
        <v>0</v>
      </c>
      <c r="E68" s="11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3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140</v>
      </c>
      <c r="BZ68" s="12">
        <v>97</v>
      </c>
      <c r="CA68" s="12">
        <v>123</v>
      </c>
      <c r="CB68" s="12">
        <v>252</v>
      </c>
      <c r="CC68" s="12">
        <v>455</v>
      </c>
      <c r="CD68" s="12">
        <v>220</v>
      </c>
      <c r="CE68" s="12">
        <v>184</v>
      </c>
      <c r="CF68" s="12">
        <v>157</v>
      </c>
      <c r="CG68" s="12">
        <v>173</v>
      </c>
      <c r="CH68" s="12">
        <v>253</v>
      </c>
      <c r="CI68" s="12">
        <v>220</v>
      </c>
      <c r="CJ68" s="12">
        <v>192</v>
      </c>
      <c r="CK68" s="12">
        <v>207</v>
      </c>
      <c r="CL68" s="12">
        <v>131</v>
      </c>
      <c r="CM68" s="12">
        <v>142</v>
      </c>
      <c r="CN68" s="12">
        <v>287</v>
      </c>
      <c r="CO68" s="12">
        <v>416</v>
      </c>
      <c r="CP68" s="12">
        <v>260</v>
      </c>
      <c r="CQ68" s="12">
        <v>247</v>
      </c>
      <c r="CR68" s="12">
        <v>221</v>
      </c>
      <c r="CS68" s="12">
        <v>289</v>
      </c>
      <c r="CT68" s="12">
        <v>256</v>
      </c>
      <c r="CU68" s="12">
        <v>28</v>
      </c>
      <c r="CV68" s="12">
        <v>117</v>
      </c>
      <c r="CW68" s="12">
        <v>243</v>
      </c>
      <c r="CX68" s="12">
        <v>248</v>
      </c>
      <c r="CY68" s="12">
        <v>332</v>
      </c>
      <c r="CZ68" s="12">
        <v>347</v>
      </c>
      <c r="DA68" s="12">
        <v>391</v>
      </c>
      <c r="DB68" s="12">
        <v>451</v>
      </c>
      <c r="DC68" s="12">
        <v>181</v>
      </c>
      <c r="DD68" s="12">
        <v>218</v>
      </c>
      <c r="DE68" s="12">
        <v>278</v>
      </c>
      <c r="DF68" s="12">
        <v>266</v>
      </c>
      <c r="DG68" s="12">
        <v>222</v>
      </c>
      <c r="DH68" s="12">
        <v>169</v>
      </c>
      <c r="DI68" s="14">
        <v>197</v>
      </c>
      <c r="DJ68" s="14">
        <v>292</v>
      </c>
      <c r="DK68" s="14">
        <v>122</v>
      </c>
      <c r="DL68" s="14">
        <v>281</v>
      </c>
      <c r="DM68" s="14">
        <v>300</v>
      </c>
      <c r="DN68" s="14">
        <v>151</v>
      </c>
      <c r="DO68" s="14">
        <v>188</v>
      </c>
      <c r="DP68" s="14">
        <v>61</v>
      </c>
      <c r="DQ68" s="14">
        <v>125</v>
      </c>
      <c r="DR68" s="14">
        <v>205</v>
      </c>
      <c r="DS68" s="14">
        <v>112</v>
      </c>
      <c r="DT68" s="14">
        <v>82</v>
      </c>
      <c r="DU68" s="14">
        <v>110</v>
      </c>
      <c r="DV68" s="14">
        <v>98</v>
      </c>
      <c r="DW68" s="14">
        <v>196</v>
      </c>
      <c r="DX68" s="14">
        <v>184</v>
      </c>
      <c r="DY68" s="14">
        <v>163</v>
      </c>
      <c r="DZ68" s="14">
        <v>131</v>
      </c>
      <c r="EA68" s="14">
        <v>120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/>
      <c r="FM68" s="14"/>
      <c r="FN68" s="14"/>
      <c r="FR68" s="12">
        <f t="shared" si="26"/>
        <v>0</v>
      </c>
      <c r="FS68" s="12">
        <f t="shared" si="27"/>
        <v>0</v>
      </c>
      <c r="FT68" s="12">
        <f t="shared" si="28"/>
        <v>0</v>
      </c>
      <c r="FU68" s="12">
        <f t="shared" si="29"/>
        <v>0</v>
      </c>
      <c r="FV68" s="12">
        <f t="shared" si="30"/>
        <v>0</v>
      </c>
      <c r="FW68" s="12">
        <f t="shared" si="31"/>
        <v>0</v>
      </c>
      <c r="FX68" s="12">
        <f t="shared" si="32"/>
        <v>0</v>
      </c>
      <c r="FY68" s="12">
        <f t="shared" si="33"/>
        <v>0</v>
      </c>
      <c r="FZ68" s="12">
        <f t="shared" si="34"/>
        <v>0</v>
      </c>
      <c r="GA68" s="12">
        <f t="shared" si="35"/>
        <v>0</v>
      </c>
      <c r="GB68" s="12">
        <f t="shared" si="36"/>
        <v>0</v>
      </c>
      <c r="GC68" s="12">
        <f t="shared" si="37"/>
        <v>0</v>
      </c>
      <c r="GD68" s="12">
        <f t="shared" si="38"/>
        <v>0</v>
      </c>
      <c r="GE68" s="12">
        <f t="shared" si="39"/>
        <v>0</v>
      </c>
      <c r="GF68" s="12">
        <f t="shared" si="40"/>
        <v>0</v>
      </c>
      <c r="GG68" s="12">
        <f t="shared" si="41"/>
        <v>0</v>
      </c>
      <c r="GH68" s="12">
        <f t="shared" si="42"/>
        <v>0</v>
      </c>
      <c r="GI68" s="12">
        <f t="shared" si="43"/>
        <v>0</v>
      </c>
      <c r="GJ68" s="12">
        <f t="shared" si="44"/>
        <v>0</v>
      </c>
      <c r="GK68" s="12">
        <f t="shared" si="45"/>
        <v>0</v>
      </c>
      <c r="GL68" s="12">
        <f t="shared" si="46"/>
        <v>0</v>
      </c>
      <c r="GM68" s="12">
        <f t="shared" si="47"/>
        <v>0</v>
      </c>
      <c r="GN68" s="12">
        <f t="shared" si="48"/>
        <v>0</v>
      </c>
      <c r="GO68" s="12">
        <f t="shared" si="49"/>
        <v>0</v>
      </c>
      <c r="GP68" s="12">
        <f t="shared" si="50"/>
        <v>140</v>
      </c>
      <c r="GQ68" s="12">
        <f t="shared" si="51"/>
        <v>472</v>
      </c>
      <c r="GR68" s="12">
        <f t="shared" si="52"/>
        <v>859</v>
      </c>
      <c r="GS68" s="12">
        <f t="shared" si="53"/>
        <v>583</v>
      </c>
      <c r="GT68" s="12">
        <f t="shared" si="54"/>
        <v>619</v>
      </c>
      <c r="GU68" s="12">
        <f t="shared" si="55"/>
        <v>560</v>
      </c>
      <c r="GV68" s="12">
        <f t="shared" si="56"/>
        <v>923</v>
      </c>
      <c r="GW68" s="12">
        <f t="shared" si="57"/>
        <v>766</v>
      </c>
      <c r="GX68" s="12">
        <f t="shared" si="58"/>
        <v>388</v>
      </c>
      <c r="GY68" s="12">
        <f t="shared" si="59"/>
        <v>927</v>
      </c>
      <c r="GZ68" s="12">
        <f t="shared" ref="GZ68:GZ76" si="99">+SUM(DA68:DC68)</f>
        <v>1023</v>
      </c>
      <c r="HA68" s="12">
        <f t="shared" ref="HA68:HA76" si="100">+SUM(DD68:DF68)</f>
        <v>762</v>
      </c>
      <c r="HB68" s="12">
        <f t="shared" ref="HB68:HB76" si="101">+SUM(DG68:DH68)</f>
        <v>391</v>
      </c>
      <c r="HC68" s="12">
        <f t="shared" ref="HC68:HC76" si="102">+SUM(DJ68:DL68)</f>
        <v>695</v>
      </c>
      <c r="HD68" s="12">
        <f t="shared" ref="HD68:HD76" si="103">+SUM(DM68:DO68)</f>
        <v>639</v>
      </c>
      <c r="HE68" s="12">
        <f t="shared" ref="HE68:HE76" si="104">+SUM(DP68:DR68)</f>
        <v>391</v>
      </c>
      <c r="HF68" s="12">
        <f t="shared" ref="HF68:HF76" si="105">+SUM(DS68:DU68)</f>
        <v>304</v>
      </c>
      <c r="HG68" s="12">
        <f t="shared" ref="HG68:HG76" si="106">+SUM(DV68:DX68)</f>
        <v>478</v>
      </c>
      <c r="HH68" s="12">
        <f t="shared" ref="HH68:HH76" si="107">+SUM(DY68:EA68)</f>
        <v>414</v>
      </c>
      <c r="HI68" s="12">
        <f t="shared" ref="HI68:HI76" si="108">+SUM(EB68:ED68)</f>
        <v>0</v>
      </c>
      <c r="HJ68" s="12">
        <f t="shared" ref="HJ68:HJ76" si="109">+SUM(EE68:EG68)</f>
        <v>0</v>
      </c>
      <c r="HK68" s="12">
        <f t="shared" ref="HK68:HK76" si="110">+SUM(EH68:EJ68)</f>
        <v>0</v>
      </c>
      <c r="HL68" s="12">
        <f t="shared" ref="HL68:HL76" si="111">+SUM(EK68:EM68)</f>
        <v>0</v>
      </c>
      <c r="HM68" s="12">
        <f t="shared" ref="HM68:HM76" si="112">+SUM(EN68:EP68)</f>
        <v>0</v>
      </c>
      <c r="HN68" s="12">
        <f t="shared" si="60"/>
        <v>0</v>
      </c>
      <c r="HO68" s="12">
        <f t="shared" si="61"/>
        <v>0</v>
      </c>
      <c r="HP68" s="12">
        <f t="shared" si="62"/>
        <v>0</v>
      </c>
      <c r="HQ68" s="12">
        <f t="shared" si="63"/>
        <v>0</v>
      </c>
      <c r="HR68" s="12">
        <f t="shared" si="64"/>
        <v>0</v>
      </c>
      <c r="HS68" s="12">
        <f t="shared" si="65"/>
        <v>0</v>
      </c>
      <c r="HT68" s="12">
        <f t="shared" ref="HT68:HT76" si="113">SUM(EW68:EY68)</f>
        <v>0</v>
      </c>
      <c r="HU68" s="12">
        <f t="shared" ref="HU68:HU76" si="114">SUM(EZ68:FB68)</f>
        <v>0</v>
      </c>
      <c r="HV68" s="12">
        <f t="shared" ref="HV68:HV76" si="115">SUM(FC68:FE68)</f>
        <v>0</v>
      </c>
      <c r="HW68" s="12">
        <f t="shared" ref="HW68:HW76" si="116">SUM(FF68:FH68)</f>
        <v>0</v>
      </c>
      <c r="HX68" s="12">
        <f t="shared" ref="HX68:HX76" si="117">SUM(FI68:FK68)</f>
        <v>0</v>
      </c>
      <c r="IB68" s="12">
        <f t="shared" si="66"/>
        <v>0</v>
      </c>
      <c r="IC68" s="12">
        <f t="shared" si="67"/>
        <v>0</v>
      </c>
      <c r="ID68" s="12">
        <f t="shared" si="68"/>
        <v>0</v>
      </c>
      <c r="IE68" s="12">
        <f t="shared" si="69"/>
        <v>0</v>
      </c>
      <c r="IF68" s="12">
        <f t="shared" si="70"/>
        <v>0</v>
      </c>
      <c r="IG68" s="12">
        <f t="shared" si="71"/>
        <v>0</v>
      </c>
      <c r="IH68" s="12">
        <f t="shared" si="72"/>
        <v>2054</v>
      </c>
      <c r="II68" s="12">
        <f t="shared" si="73"/>
        <v>2868</v>
      </c>
      <c r="IJ68" s="12">
        <f t="shared" ref="IJ68:IJ76" si="118">SUM(CU68:DF68)</f>
        <v>3100</v>
      </c>
      <c r="IK68" s="12">
        <f t="shared" ref="IK68:IK76" si="119">SUM(DG68:DR68)</f>
        <v>2313</v>
      </c>
      <c r="IL68" s="12">
        <f t="shared" ref="IL68:IL76" si="120">SUM(DS68:ED68)</f>
        <v>1196</v>
      </c>
      <c r="IM68" s="12">
        <f t="shared" ref="IM68:IM76" si="121">SUM(EE68:EP68)</f>
        <v>0</v>
      </c>
      <c r="IN68" s="12">
        <f t="shared" si="90"/>
        <v>0</v>
      </c>
    </row>
    <row r="69" spans="1:248" outlineLevel="2" x14ac:dyDescent="0.3">
      <c r="B69" t="s">
        <v>78</v>
      </c>
      <c r="C69" s="11">
        <v>0</v>
      </c>
      <c r="D69" s="11">
        <v>0</v>
      </c>
      <c r="E69" s="11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3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434</v>
      </c>
      <c r="BZ69" s="12">
        <v>397</v>
      </c>
      <c r="CA69" s="12">
        <v>314</v>
      </c>
      <c r="CB69" s="12">
        <v>459</v>
      </c>
      <c r="CC69" s="12">
        <v>570</v>
      </c>
      <c r="CD69" s="12">
        <v>577</v>
      </c>
      <c r="CE69" s="12">
        <v>372</v>
      </c>
      <c r="CF69" s="12">
        <v>269</v>
      </c>
      <c r="CG69" s="12">
        <v>339</v>
      </c>
      <c r="CH69" s="12">
        <v>804</v>
      </c>
      <c r="CI69" s="12">
        <v>367</v>
      </c>
      <c r="CJ69" s="12">
        <v>273</v>
      </c>
      <c r="CK69" s="12">
        <v>326</v>
      </c>
      <c r="CL69" s="12">
        <v>355</v>
      </c>
      <c r="CM69" s="12">
        <v>402</v>
      </c>
      <c r="CN69" s="12">
        <v>547</v>
      </c>
      <c r="CO69" s="12">
        <v>776</v>
      </c>
      <c r="CP69" s="12">
        <v>351</v>
      </c>
      <c r="CQ69" s="12">
        <v>515</v>
      </c>
      <c r="CR69" s="12">
        <v>194</v>
      </c>
      <c r="CS69" s="12">
        <v>246</v>
      </c>
      <c r="CT69" s="12">
        <v>452</v>
      </c>
      <c r="CU69" s="12">
        <v>3</v>
      </c>
      <c r="CV69" s="12">
        <v>248</v>
      </c>
      <c r="CW69" s="12">
        <v>632</v>
      </c>
      <c r="CX69" s="12">
        <v>649</v>
      </c>
      <c r="CY69" s="12">
        <v>586</v>
      </c>
      <c r="CZ69" s="12">
        <v>585</v>
      </c>
      <c r="DA69" s="12">
        <v>928</v>
      </c>
      <c r="DB69" s="12">
        <v>744</v>
      </c>
      <c r="DC69" s="12">
        <v>632</v>
      </c>
      <c r="DD69" s="12">
        <v>395</v>
      </c>
      <c r="DE69" s="12">
        <v>427</v>
      </c>
      <c r="DF69" s="12">
        <v>634</v>
      </c>
      <c r="DG69" s="12">
        <v>584</v>
      </c>
      <c r="DH69" s="12">
        <v>574</v>
      </c>
      <c r="DI69" s="14">
        <v>913</v>
      </c>
      <c r="DJ69" s="14">
        <v>726</v>
      </c>
      <c r="DK69" s="14">
        <v>534</v>
      </c>
      <c r="DL69" s="14">
        <v>769</v>
      </c>
      <c r="DM69" s="14">
        <v>855</v>
      </c>
      <c r="DN69" s="14">
        <v>547</v>
      </c>
      <c r="DO69" s="14">
        <v>667</v>
      </c>
      <c r="DP69" s="14">
        <v>472</v>
      </c>
      <c r="DQ69" s="14">
        <v>452</v>
      </c>
      <c r="DR69" s="14">
        <v>828</v>
      </c>
      <c r="DS69" s="14">
        <v>781</v>
      </c>
      <c r="DT69" s="14">
        <v>564</v>
      </c>
      <c r="DU69" s="14">
        <v>763</v>
      </c>
      <c r="DV69" s="14">
        <v>707</v>
      </c>
      <c r="DW69" s="14">
        <v>676</v>
      </c>
      <c r="DX69" s="14">
        <v>822</v>
      </c>
      <c r="DY69" s="14">
        <v>911</v>
      </c>
      <c r="DZ69" s="14">
        <v>1033</v>
      </c>
      <c r="EA69" s="14">
        <v>972</v>
      </c>
      <c r="EB69" s="14">
        <v>645</v>
      </c>
      <c r="EC69" s="14">
        <v>735</v>
      </c>
      <c r="ED69" s="14">
        <v>752</v>
      </c>
      <c r="EE69" s="14">
        <v>967</v>
      </c>
      <c r="EF69" s="14">
        <v>611</v>
      </c>
      <c r="EG69" s="14">
        <v>626</v>
      </c>
      <c r="EH69" s="14">
        <v>591</v>
      </c>
      <c r="EI69" s="14">
        <v>498</v>
      </c>
      <c r="EJ69" s="14">
        <v>306</v>
      </c>
      <c r="EK69" s="14">
        <v>342</v>
      </c>
      <c r="EL69" s="14">
        <v>419</v>
      </c>
      <c r="EM69" s="14">
        <v>332</v>
      </c>
      <c r="EN69" s="14">
        <v>167</v>
      </c>
      <c r="EO69" s="14">
        <v>320</v>
      </c>
      <c r="EP69" s="14">
        <v>514</v>
      </c>
      <c r="EQ69" s="14">
        <v>360</v>
      </c>
      <c r="ER69" s="14">
        <v>465</v>
      </c>
      <c r="ES69" s="14">
        <v>624</v>
      </c>
      <c r="ET69" s="14">
        <v>447</v>
      </c>
      <c r="EU69" s="14">
        <v>408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/>
      <c r="FM69" s="14"/>
      <c r="FN69" s="14"/>
      <c r="FR69" s="12">
        <f t="shared" si="26"/>
        <v>0</v>
      </c>
      <c r="FS69" s="12">
        <f t="shared" si="27"/>
        <v>0</v>
      </c>
      <c r="FT69" s="12">
        <f t="shared" si="28"/>
        <v>0</v>
      </c>
      <c r="FU69" s="12">
        <f t="shared" si="29"/>
        <v>0</v>
      </c>
      <c r="FV69" s="12">
        <f t="shared" si="30"/>
        <v>0</v>
      </c>
      <c r="FW69" s="12">
        <f t="shared" si="31"/>
        <v>0</v>
      </c>
      <c r="FX69" s="12">
        <f t="shared" si="32"/>
        <v>0</v>
      </c>
      <c r="FY69" s="12">
        <f t="shared" si="33"/>
        <v>0</v>
      </c>
      <c r="FZ69" s="12">
        <f t="shared" si="34"/>
        <v>0</v>
      </c>
      <c r="GA69" s="12">
        <f t="shared" si="35"/>
        <v>0</v>
      </c>
      <c r="GB69" s="12">
        <f t="shared" si="36"/>
        <v>0</v>
      </c>
      <c r="GC69" s="12">
        <f t="shared" si="37"/>
        <v>0</v>
      </c>
      <c r="GD69" s="12">
        <f t="shared" si="38"/>
        <v>0</v>
      </c>
      <c r="GE69" s="12">
        <f t="shared" si="39"/>
        <v>0</v>
      </c>
      <c r="GF69" s="12">
        <f t="shared" si="40"/>
        <v>0</v>
      </c>
      <c r="GG69" s="12">
        <f t="shared" si="41"/>
        <v>0</v>
      </c>
      <c r="GH69" s="12">
        <f t="shared" si="42"/>
        <v>0</v>
      </c>
      <c r="GI69" s="12">
        <f t="shared" si="43"/>
        <v>0</v>
      </c>
      <c r="GJ69" s="12">
        <f t="shared" si="44"/>
        <v>0</v>
      </c>
      <c r="GK69" s="12">
        <f t="shared" si="45"/>
        <v>0</v>
      </c>
      <c r="GL69" s="12">
        <f t="shared" si="46"/>
        <v>0</v>
      </c>
      <c r="GM69" s="12">
        <f t="shared" si="47"/>
        <v>0</v>
      </c>
      <c r="GN69" s="12">
        <f t="shared" si="48"/>
        <v>0</v>
      </c>
      <c r="GO69" s="12">
        <f t="shared" si="49"/>
        <v>0</v>
      </c>
      <c r="GP69" s="12">
        <f t="shared" si="50"/>
        <v>434</v>
      </c>
      <c r="GQ69" s="12">
        <f t="shared" si="51"/>
        <v>1170</v>
      </c>
      <c r="GR69" s="12">
        <f t="shared" si="52"/>
        <v>1519</v>
      </c>
      <c r="GS69" s="12">
        <f t="shared" si="53"/>
        <v>1412</v>
      </c>
      <c r="GT69" s="12">
        <f t="shared" si="54"/>
        <v>966</v>
      </c>
      <c r="GU69" s="12">
        <f t="shared" si="55"/>
        <v>1304</v>
      </c>
      <c r="GV69" s="12">
        <f t="shared" si="56"/>
        <v>1642</v>
      </c>
      <c r="GW69" s="12">
        <f t="shared" si="57"/>
        <v>892</v>
      </c>
      <c r="GX69" s="12">
        <f t="shared" si="58"/>
        <v>883</v>
      </c>
      <c r="GY69" s="12">
        <f t="shared" si="59"/>
        <v>1820</v>
      </c>
      <c r="GZ69" s="12">
        <f t="shared" si="99"/>
        <v>2304</v>
      </c>
      <c r="HA69" s="12">
        <f t="shared" si="100"/>
        <v>1456</v>
      </c>
      <c r="HB69" s="12">
        <f t="shared" si="101"/>
        <v>1158</v>
      </c>
      <c r="HC69" s="12">
        <f t="shared" si="102"/>
        <v>2029</v>
      </c>
      <c r="HD69" s="12">
        <f t="shared" si="103"/>
        <v>2069</v>
      </c>
      <c r="HE69" s="12">
        <f t="shared" si="104"/>
        <v>1752</v>
      </c>
      <c r="HF69" s="12">
        <f t="shared" si="105"/>
        <v>2108</v>
      </c>
      <c r="HG69" s="12">
        <f t="shared" si="106"/>
        <v>2205</v>
      </c>
      <c r="HH69" s="12">
        <f t="shared" si="107"/>
        <v>2916</v>
      </c>
      <c r="HI69" s="12">
        <f t="shared" si="108"/>
        <v>2132</v>
      </c>
      <c r="HJ69" s="12">
        <f t="shared" si="109"/>
        <v>2204</v>
      </c>
      <c r="HK69" s="12">
        <f t="shared" si="110"/>
        <v>1395</v>
      </c>
      <c r="HL69" s="12">
        <f t="shared" si="111"/>
        <v>1093</v>
      </c>
      <c r="HM69" s="12">
        <f t="shared" si="112"/>
        <v>1001</v>
      </c>
      <c r="HN69" s="12">
        <f t="shared" si="60"/>
        <v>2204</v>
      </c>
      <c r="HO69" s="12">
        <f t="shared" si="61"/>
        <v>1395</v>
      </c>
      <c r="HP69" s="12">
        <f t="shared" si="62"/>
        <v>1093</v>
      </c>
      <c r="HQ69" s="12">
        <f t="shared" si="63"/>
        <v>1001</v>
      </c>
      <c r="HR69" s="12">
        <f t="shared" si="64"/>
        <v>1449</v>
      </c>
      <c r="HS69" s="12">
        <f t="shared" ref="HS69:HS136" si="122">SUM(ET69:EV69)</f>
        <v>855</v>
      </c>
      <c r="HT69" s="12">
        <f t="shared" si="113"/>
        <v>0</v>
      </c>
      <c r="HU69" s="12">
        <f t="shared" si="114"/>
        <v>0</v>
      </c>
      <c r="HV69" s="12">
        <f t="shared" si="115"/>
        <v>0</v>
      </c>
      <c r="HW69" s="12">
        <f t="shared" si="116"/>
        <v>0</v>
      </c>
      <c r="HX69" s="12">
        <f t="shared" si="117"/>
        <v>0</v>
      </c>
      <c r="IB69" s="12">
        <f t="shared" si="66"/>
        <v>0</v>
      </c>
      <c r="IC69" s="12">
        <f t="shared" si="67"/>
        <v>0</v>
      </c>
      <c r="ID69" s="12">
        <f t="shared" si="68"/>
        <v>0</v>
      </c>
      <c r="IE69" s="12">
        <f t="shared" si="69"/>
        <v>0</v>
      </c>
      <c r="IF69" s="12">
        <f t="shared" si="70"/>
        <v>0</v>
      </c>
      <c r="IG69" s="12">
        <f t="shared" si="71"/>
        <v>0</v>
      </c>
      <c r="IH69" s="12">
        <f t="shared" si="72"/>
        <v>4535</v>
      </c>
      <c r="II69" s="12">
        <f t="shared" si="73"/>
        <v>4804</v>
      </c>
      <c r="IJ69" s="12">
        <f t="shared" si="118"/>
        <v>6463</v>
      </c>
      <c r="IK69" s="12">
        <f t="shared" si="119"/>
        <v>7921</v>
      </c>
      <c r="IL69" s="12">
        <f t="shared" si="120"/>
        <v>9361</v>
      </c>
      <c r="IM69" s="12">
        <f t="shared" si="121"/>
        <v>5693</v>
      </c>
      <c r="IN69" s="12">
        <f t="shared" si="90"/>
        <v>2304</v>
      </c>
    </row>
    <row r="70" spans="1:248" outlineLevel="1" x14ac:dyDescent="0.3">
      <c r="A70" s="15" t="s">
        <v>105</v>
      </c>
      <c r="B70" s="15"/>
      <c r="C70" s="16">
        <f t="shared" ref="C70:BN70" si="123">+SUM(C66:C69)</f>
        <v>0</v>
      </c>
      <c r="D70" s="16">
        <f t="shared" si="123"/>
        <v>0</v>
      </c>
      <c r="E70" s="16">
        <f t="shared" si="123"/>
        <v>0</v>
      </c>
      <c r="F70" s="16">
        <f t="shared" si="123"/>
        <v>0</v>
      </c>
      <c r="G70" s="16">
        <f t="shared" si="123"/>
        <v>0</v>
      </c>
      <c r="H70" s="16">
        <f t="shared" si="123"/>
        <v>0</v>
      </c>
      <c r="I70" s="16">
        <f t="shared" si="123"/>
        <v>0</v>
      </c>
      <c r="J70" s="16">
        <f t="shared" si="123"/>
        <v>0</v>
      </c>
      <c r="K70" s="16">
        <f t="shared" si="123"/>
        <v>0</v>
      </c>
      <c r="L70" s="16">
        <f t="shared" si="123"/>
        <v>0</v>
      </c>
      <c r="M70" s="16">
        <f t="shared" si="123"/>
        <v>0</v>
      </c>
      <c r="N70" s="16">
        <f t="shared" si="123"/>
        <v>0</v>
      </c>
      <c r="O70" s="16">
        <f t="shared" si="123"/>
        <v>0</v>
      </c>
      <c r="P70" s="16">
        <f t="shared" si="123"/>
        <v>0</v>
      </c>
      <c r="Q70" s="16">
        <f t="shared" si="123"/>
        <v>0</v>
      </c>
      <c r="R70" s="16">
        <f t="shared" si="123"/>
        <v>0</v>
      </c>
      <c r="S70" s="16">
        <f t="shared" si="123"/>
        <v>0</v>
      </c>
      <c r="T70" s="16">
        <f t="shared" si="123"/>
        <v>0</v>
      </c>
      <c r="U70" s="16">
        <f t="shared" si="123"/>
        <v>0</v>
      </c>
      <c r="V70" s="16">
        <f t="shared" si="123"/>
        <v>0</v>
      </c>
      <c r="W70" s="16">
        <f t="shared" si="123"/>
        <v>0</v>
      </c>
      <c r="X70" s="16">
        <f t="shared" si="123"/>
        <v>0</v>
      </c>
      <c r="Y70" s="16">
        <f t="shared" si="123"/>
        <v>0</v>
      </c>
      <c r="Z70" s="16">
        <f t="shared" si="123"/>
        <v>0</v>
      </c>
      <c r="AA70" s="17">
        <f t="shared" si="123"/>
        <v>0</v>
      </c>
      <c r="AB70" s="17">
        <f t="shared" si="123"/>
        <v>0</v>
      </c>
      <c r="AC70" s="17">
        <f t="shared" si="123"/>
        <v>0</v>
      </c>
      <c r="AD70" s="17">
        <f t="shared" si="123"/>
        <v>0</v>
      </c>
      <c r="AE70" s="17">
        <f t="shared" si="123"/>
        <v>0</v>
      </c>
      <c r="AF70" s="17">
        <f t="shared" si="123"/>
        <v>0</v>
      </c>
      <c r="AG70" s="17">
        <f t="shared" si="123"/>
        <v>0</v>
      </c>
      <c r="AH70" s="17">
        <f t="shared" si="123"/>
        <v>0</v>
      </c>
      <c r="AI70" s="17">
        <f t="shared" si="123"/>
        <v>0</v>
      </c>
      <c r="AJ70" s="17">
        <f t="shared" si="123"/>
        <v>0</v>
      </c>
      <c r="AK70" s="17">
        <f t="shared" si="123"/>
        <v>0</v>
      </c>
      <c r="AL70" s="18">
        <f t="shared" si="123"/>
        <v>0</v>
      </c>
      <c r="AM70" s="17">
        <f t="shared" si="123"/>
        <v>0</v>
      </c>
      <c r="AN70" s="17">
        <f t="shared" si="123"/>
        <v>0</v>
      </c>
      <c r="AO70" s="17">
        <f t="shared" si="123"/>
        <v>0</v>
      </c>
      <c r="AP70" s="17">
        <f t="shared" si="123"/>
        <v>0</v>
      </c>
      <c r="AQ70" s="17">
        <f t="shared" si="123"/>
        <v>0</v>
      </c>
      <c r="AR70" s="17">
        <f t="shared" si="123"/>
        <v>0</v>
      </c>
      <c r="AS70" s="17">
        <f t="shared" si="123"/>
        <v>0</v>
      </c>
      <c r="AT70" s="17">
        <f t="shared" si="123"/>
        <v>0</v>
      </c>
      <c r="AU70" s="17">
        <f t="shared" si="123"/>
        <v>0</v>
      </c>
      <c r="AV70" s="17">
        <f t="shared" si="123"/>
        <v>0</v>
      </c>
      <c r="AW70" s="17">
        <f t="shared" si="123"/>
        <v>0</v>
      </c>
      <c r="AX70" s="17">
        <f t="shared" si="123"/>
        <v>0</v>
      </c>
      <c r="AY70" s="17">
        <f t="shared" si="123"/>
        <v>0</v>
      </c>
      <c r="AZ70" s="17">
        <f t="shared" si="123"/>
        <v>0</v>
      </c>
      <c r="BA70" s="17">
        <f t="shared" si="123"/>
        <v>0</v>
      </c>
      <c r="BB70" s="17">
        <f t="shared" si="123"/>
        <v>0</v>
      </c>
      <c r="BC70" s="17">
        <f t="shared" si="123"/>
        <v>0</v>
      </c>
      <c r="BD70" s="17">
        <f t="shared" si="123"/>
        <v>0</v>
      </c>
      <c r="BE70" s="17">
        <f t="shared" si="123"/>
        <v>0</v>
      </c>
      <c r="BF70" s="17">
        <f t="shared" si="123"/>
        <v>0</v>
      </c>
      <c r="BG70" s="17">
        <f t="shared" si="123"/>
        <v>0</v>
      </c>
      <c r="BH70" s="17">
        <f t="shared" si="123"/>
        <v>0</v>
      </c>
      <c r="BI70" s="17">
        <f t="shared" si="123"/>
        <v>0</v>
      </c>
      <c r="BJ70" s="17">
        <f t="shared" si="123"/>
        <v>0</v>
      </c>
      <c r="BK70" s="17">
        <f t="shared" si="123"/>
        <v>0</v>
      </c>
      <c r="BL70" s="17">
        <f t="shared" si="123"/>
        <v>0</v>
      </c>
      <c r="BM70" s="17">
        <f t="shared" si="123"/>
        <v>0</v>
      </c>
      <c r="BN70" s="17">
        <f t="shared" si="123"/>
        <v>0</v>
      </c>
      <c r="BO70" s="17">
        <f t="shared" ref="BO70:DA70" si="124">+SUM(BO66:BO69)</f>
        <v>0</v>
      </c>
      <c r="BP70" s="17">
        <f t="shared" si="124"/>
        <v>0</v>
      </c>
      <c r="BQ70" s="17">
        <f t="shared" si="124"/>
        <v>0</v>
      </c>
      <c r="BR70" s="17">
        <f t="shared" si="124"/>
        <v>0</v>
      </c>
      <c r="BS70" s="17">
        <f t="shared" si="124"/>
        <v>0</v>
      </c>
      <c r="BT70" s="17">
        <f t="shared" si="124"/>
        <v>0</v>
      </c>
      <c r="BU70" s="17">
        <f t="shared" si="124"/>
        <v>0</v>
      </c>
      <c r="BV70" s="17">
        <f t="shared" si="124"/>
        <v>0</v>
      </c>
      <c r="BW70" s="17">
        <f t="shared" si="124"/>
        <v>0</v>
      </c>
      <c r="BX70" s="17">
        <f t="shared" si="124"/>
        <v>0</v>
      </c>
      <c r="BY70" s="17">
        <f t="shared" si="124"/>
        <v>837</v>
      </c>
      <c r="BZ70" s="17">
        <f t="shared" si="124"/>
        <v>681</v>
      </c>
      <c r="CA70" s="17">
        <f t="shared" si="124"/>
        <v>648</v>
      </c>
      <c r="CB70" s="17">
        <f t="shared" si="124"/>
        <v>1078</v>
      </c>
      <c r="CC70" s="17">
        <f t="shared" si="124"/>
        <v>1539</v>
      </c>
      <c r="CD70" s="17">
        <f t="shared" si="124"/>
        <v>1046</v>
      </c>
      <c r="CE70" s="17">
        <f t="shared" si="124"/>
        <v>835</v>
      </c>
      <c r="CF70" s="17">
        <f t="shared" si="124"/>
        <v>661</v>
      </c>
      <c r="CG70" s="17">
        <f t="shared" si="124"/>
        <v>800</v>
      </c>
      <c r="CH70" s="17">
        <f t="shared" si="124"/>
        <v>1470</v>
      </c>
      <c r="CI70" s="17">
        <f t="shared" si="124"/>
        <v>959</v>
      </c>
      <c r="CJ70" s="17">
        <f t="shared" si="124"/>
        <v>900</v>
      </c>
      <c r="CK70" s="17">
        <f t="shared" si="124"/>
        <v>951</v>
      </c>
      <c r="CL70" s="17">
        <f t="shared" si="124"/>
        <v>730</v>
      </c>
      <c r="CM70" s="17">
        <f t="shared" si="124"/>
        <v>905</v>
      </c>
      <c r="CN70" s="17">
        <f t="shared" si="124"/>
        <v>1273</v>
      </c>
      <c r="CO70" s="17">
        <f t="shared" si="124"/>
        <v>1958</v>
      </c>
      <c r="CP70" s="17">
        <f t="shared" si="124"/>
        <v>1056</v>
      </c>
      <c r="CQ70" s="17">
        <f t="shared" si="124"/>
        <v>1233</v>
      </c>
      <c r="CR70" s="17">
        <f t="shared" si="124"/>
        <v>846</v>
      </c>
      <c r="CS70" s="17">
        <f t="shared" si="124"/>
        <v>997</v>
      </c>
      <c r="CT70" s="17">
        <f t="shared" si="124"/>
        <v>1116</v>
      </c>
      <c r="CU70" s="17">
        <f t="shared" si="124"/>
        <v>83</v>
      </c>
      <c r="CV70" s="17">
        <f t="shared" si="124"/>
        <v>563</v>
      </c>
      <c r="CW70" s="17">
        <f t="shared" si="124"/>
        <v>1428</v>
      </c>
      <c r="CX70" s="17">
        <f t="shared" si="124"/>
        <v>1414</v>
      </c>
      <c r="CY70" s="17">
        <f t="shared" si="124"/>
        <v>1397</v>
      </c>
      <c r="CZ70" s="17">
        <f t="shared" si="124"/>
        <v>1275</v>
      </c>
      <c r="DA70" s="17">
        <f t="shared" si="124"/>
        <v>2325</v>
      </c>
      <c r="DB70" s="17">
        <f>+SUM(DB66:DB69)</f>
        <v>2067</v>
      </c>
      <c r="DC70" s="17">
        <f>+SUM(DC66:DC69)</f>
        <v>1629</v>
      </c>
      <c r="DD70" s="17">
        <f>+SUM(DD66:DD69)</f>
        <v>1325</v>
      </c>
      <c r="DE70" s="17">
        <v>1511</v>
      </c>
      <c r="DF70" s="17">
        <v>1788</v>
      </c>
      <c r="DG70" s="17">
        <v>1456</v>
      </c>
      <c r="DH70" s="17">
        <v>1382</v>
      </c>
      <c r="DI70" s="19">
        <v>2284</v>
      </c>
      <c r="DJ70" s="19">
        <v>1953</v>
      </c>
      <c r="DK70" s="19">
        <v>1150</v>
      </c>
      <c r="DL70" s="19">
        <v>1890</v>
      </c>
      <c r="DM70" s="19">
        <v>2527</v>
      </c>
      <c r="DN70" s="19">
        <v>1502</v>
      </c>
      <c r="DO70" s="19">
        <v>1992</v>
      </c>
      <c r="DP70" s="19">
        <v>1154</v>
      </c>
      <c r="DQ70" s="19">
        <v>1627</v>
      </c>
      <c r="DR70" s="19">
        <v>2187</v>
      </c>
      <c r="DS70" s="19">
        <v>2245</v>
      </c>
      <c r="DT70" s="19">
        <v>1946</v>
      </c>
      <c r="DU70" s="19">
        <v>2390</v>
      </c>
      <c r="DV70" s="19">
        <v>1622</v>
      </c>
      <c r="DW70" s="19">
        <v>1802</v>
      </c>
      <c r="DX70" s="19">
        <v>2418</v>
      </c>
      <c r="DY70" s="19">
        <v>2962</v>
      </c>
      <c r="DZ70" s="19">
        <v>2157</v>
      </c>
      <c r="EA70" s="19">
        <v>2258</v>
      </c>
      <c r="EB70" s="19">
        <v>1612</v>
      </c>
      <c r="EC70" s="19">
        <v>1753</v>
      </c>
      <c r="ED70" s="19">
        <v>2545</v>
      </c>
      <c r="EE70" s="19">
        <v>2014</v>
      </c>
      <c r="EF70" s="19">
        <v>1705</v>
      </c>
      <c r="EG70" s="19">
        <v>1952</v>
      </c>
      <c r="EH70" s="19">
        <v>1756</v>
      </c>
      <c r="EI70" s="19">
        <v>1241</v>
      </c>
      <c r="EJ70" s="19">
        <v>1220</v>
      </c>
      <c r="EK70" s="19">
        <v>1908</v>
      </c>
      <c r="EL70" s="19">
        <v>1648</v>
      </c>
      <c r="EM70" s="19">
        <v>1600</v>
      </c>
      <c r="EN70" s="19">
        <v>965</v>
      </c>
      <c r="EO70" s="19">
        <v>1228</v>
      </c>
      <c r="EP70" s="19">
        <v>1301</v>
      </c>
      <c r="EQ70" s="19">
        <v>1324</v>
      </c>
      <c r="ER70" s="19">
        <v>1674</v>
      </c>
      <c r="ES70" s="19">
        <v>1652</v>
      </c>
      <c r="ET70" s="19">
        <v>1194</v>
      </c>
      <c r="EU70" s="19">
        <v>1038</v>
      </c>
      <c r="EV70" s="19">
        <v>0</v>
      </c>
      <c r="EW70" s="19">
        <v>0</v>
      </c>
      <c r="EX70" s="19">
        <v>0</v>
      </c>
      <c r="EY70" s="19">
        <v>0</v>
      </c>
      <c r="EZ70" s="19">
        <v>0</v>
      </c>
      <c r="FA70" s="19">
        <v>0</v>
      </c>
      <c r="FB70" s="19">
        <v>0</v>
      </c>
      <c r="FC70" s="19">
        <v>0</v>
      </c>
      <c r="FD70" s="19">
        <v>0</v>
      </c>
      <c r="FE70" s="19">
        <v>0</v>
      </c>
      <c r="FF70" s="19">
        <v>0</v>
      </c>
      <c r="FG70" s="19">
        <v>0</v>
      </c>
      <c r="FH70" s="19">
        <v>0</v>
      </c>
      <c r="FI70" s="19">
        <v>0</v>
      </c>
      <c r="FJ70" s="19">
        <v>0</v>
      </c>
      <c r="FK70" s="19">
        <v>0</v>
      </c>
      <c r="FL70" s="20"/>
      <c r="FM70" s="20"/>
      <c r="FN70" s="20"/>
      <c r="FR70" s="17">
        <f t="shared" si="26"/>
        <v>0</v>
      </c>
      <c r="FS70" s="17">
        <f t="shared" si="27"/>
        <v>0</v>
      </c>
      <c r="FT70" s="17">
        <f t="shared" si="28"/>
        <v>0</v>
      </c>
      <c r="FU70" s="17">
        <f t="shared" si="29"/>
        <v>0</v>
      </c>
      <c r="FV70" s="17">
        <f t="shared" si="30"/>
        <v>0</v>
      </c>
      <c r="FW70" s="17">
        <f t="shared" si="31"/>
        <v>0</v>
      </c>
      <c r="FX70" s="17">
        <f t="shared" si="32"/>
        <v>0</v>
      </c>
      <c r="FY70" s="17">
        <f t="shared" si="33"/>
        <v>0</v>
      </c>
      <c r="FZ70" s="17">
        <f t="shared" si="34"/>
        <v>0</v>
      </c>
      <c r="GA70" s="17">
        <f t="shared" si="35"/>
        <v>0</v>
      </c>
      <c r="GB70" s="17">
        <f t="shared" si="36"/>
        <v>0</v>
      </c>
      <c r="GC70" s="17">
        <f t="shared" si="37"/>
        <v>0</v>
      </c>
      <c r="GD70" s="17">
        <f t="shared" si="38"/>
        <v>0</v>
      </c>
      <c r="GE70" s="17">
        <f t="shared" si="39"/>
        <v>0</v>
      </c>
      <c r="GF70" s="17">
        <f t="shared" si="40"/>
        <v>0</v>
      </c>
      <c r="GG70" s="17">
        <f t="shared" si="41"/>
        <v>0</v>
      </c>
      <c r="GH70" s="17">
        <f t="shared" si="42"/>
        <v>0</v>
      </c>
      <c r="GI70" s="17">
        <f t="shared" si="43"/>
        <v>0</v>
      </c>
      <c r="GJ70" s="17">
        <f t="shared" si="44"/>
        <v>0</v>
      </c>
      <c r="GK70" s="17">
        <f t="shared" si="45"/>
        <v>0</v>
      </c>
      <c r="GL70" s="17">
        <f t="shared" si="46"/>
        <v>0</v>
      </c>
      <c r="GM70" s="17">
        <f t="shared" si="47"/>
        <v>0</v>
      </c>
      <c r="GN70" s="17">
        <f t="shared" si="48"/>
        <v>0</v>
      </c>
      <c r="GO70" s="17">
        <f t="shared" si="49"/>
        <v>0</v>
      </c>
      <c r="GP70" s="17">
        <f t="shared" si="50"/>
        <v>837</v>
      </c>
      <c r="GQ70" s="17">
        <f t="shared" si="51"/>
        <v>2407</v>
      </c>
      <c r="GR70" s="17">
        <f t="shared" si="52"/>
        <v>3420</v>
      </c>
      <c r="GS70" s="17">
        <f t="shared" si="53"/>
        <v>2931</v>
      </c>
      <c r="GT70" s="17">
        <f t="shared" si="54"/>
        <v>2810</v>
      </c>
      <c r="GU70" s="17">
        <f t="shared" si="55"/>
        <v>2908</v>
      </c>
      <c r="GV70" s="17">
        <f t="shared" si="56"/>
        <v>4247</v>
      </c>
      <c r="GW70" s="17">
        <f t="shared" si="57"/>
        <v>2959</v>
      </c>
      <c r="GX70" s="17">
        <f t="shared" si="58"/>
        <v>2074</v>
      </c>
      <c r="GY70" s="17">
        <f t="shared" si="59"/>
        <v>4086</v>
      </c>
      <c r="GZ70" s="17">
        <f t="shared" si="99"/>
        <v>6021</v>
      </c>
      <c r="HA70" s="17">
        <f t="shared" si="100"/>
        <v>4624</v>
      </c>
      <c r="HB70" s="17">
        <f t="shared" si="101"/>
        <v>2838</v>
      </c>
      <c r="HC70" s="17">
        <f t="shared" si="102"/>
        <v>4993</v>
      </c>
      <c r="HD70" s="17">
        <f t="shared" si="103"/>
        <v>6021</v>
      </c>
      <c r="HE70" s="17">
        <f t="shared" si="104"/>
        <v>4968</v>
      </c>
      <c r="HF70" s="17">
        <f t="shared" si="105"/>
        <v>6581</v>
      </c>
      <c r="HG70" s="17">
        <f t="shared" si="106"/>
        <v>5842</v>
      </c>
      <c r="HH70" s="17">
        <f t="shared" si="107"/>
        <v>7377</v>
      </c>
      <c r="HI70" s="17">
        <f t="shared" si="108"/>
        <v>5910</v>
      </c>
      <c r="HJ70" s="17">
        <f t="shared" si="109"/>
        <v>5671</v>
      </c>
      <c r="HK70" s="17">
        <f t="shared" si="110"/>
        <v>4217</v>
      </c>
      <c r="HL70" s="17">
        <f t="shared" si="111"/>
        <v>5156</v>
      </c>
      <c r="HM70" s="17">
        <f t="shared" si="112"/>
        <v>3494</v>
      </c>
      <c r="HN70" s="17">
        <f t="shared" ref="HN70:HN139" si="125">SUM(EE70:EG70)</f>
        <v>5671</v>
      </c>
      <c r="HO70" s="17">
        <f t="shared" ref="HO70:HO139" si="126">SUM(EH70:EJ70)</f>
        <v>4217</v>
      </c>
      <c r="HP70" s="17">
        <f t="shared" ref="HP70:HP139" si="127">SUM(EK70:EM70)</f>
        <v>5156</v>
      </c>
      <c r="HQ70" s="17">
        <f t="shared" ref="HQ70:HQ139" si="128">SUM(EN70:EP70)</f>
        <v>3494</v>
      </c>
      <c r="HR70" s="17">
        <f t="shared" ref="HR70:HR76" si="129">SUM(EQ70:ES70)</f>
        <v>4650</v>
      </c>
      <c r="HS70" s="17">
        <f t="shared" si="122"/>
        <v>2232</v>
      </c>
      <c r="HT70" s="17">
        <f t="shared" si="113"/>
        <v>0</v>
      </c>
      <c r="HU70" s="17">
        <f t="shared" si="114"/>
        <v>0</v>
      </c>
      <c r="HV70" s="17">
        <f t="shared" si="115"/>
        <v>0</v>
      </c>
      <c r="HW70" s="17">
        <f t="shared" si="116"/>
        <v>0</v>
      </c>
      <c r="HX70" s="17">
        <f t="shared" si="117"/>
        <v>0</v>
      </c>
      <c r="IB70" s="17">
        <f t="shared" si="66"/>
        <v>0</v>
      </c>
      <c r="IC70" s="17">
        <f t="shared" si="67"/>
        <v>0</v>
      </c>
      <c r="ID70" s="17">
        <f t="shared" si="68"/>
        <v>0</v>
      </c>
      <c r="IE70" s="17">
        <f t="shared" si="69"/>
        <v>0</v>
      </c>
      <c r="IF70" s="17">
        <f t="shared" si="70"/>
        <v>0</v>
      </c>
      <c r="IG70" s="17">
        <f t="shared" si="71"/>
        <v>0</v>
      </c>
      <c r="IH70" s="17">
        <f t="shared" si="72"/>
        <v>9595</v>
      </c>
      <c r="II70" s="17">
        <f t="shared" si="73"/>
        <v>12924</v>
      </c>
      <c r="IJ70" s="17">
        <f t="shared" si="118"/>
        <v>16805</v>
      </c>
      <c r="IK70" s="17">
        <f t="shared" si="119"/>
        <v>21104</v>
      </c>
      <c r="IL70" s="17">
        <f t="shared" si="120"/>
        <v>25710</v>
      </c>
      <c r="IM70" s="17">
        <f t="shared" si="121"/>
        <v>18538</v>
      </c>
      <c r="IN70" s="17">
        <f t="shared" si="90"/>
        <v>6882</v>
      </c>
    </row>
    <row r="71" spans="1:248" outlineLevel="2" x14ac:dyDescent="0.3">
      <c r="A71" t="s">
        <v>106</v>
      </c>
      <c r="B71" t="s">
        <v>75</v>
      </c>
      <c r="C71" s="11">
        <v>0</v>
      </c>
      <c r="D71" s="11">
        <v>0</v>
      </c>
      <c r="E71" s="11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3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112</v>
      </c>
      <c r="BZ71" s="12">
        <v>62</v>
      </c>
      <c r="CA71" s="12">
        <v>57</v>
      </c>
      <c r="CB71" s="12">
        <v>104</v>
      </c>
      <c r="CC71" s="12">
        <v>147</v>
      </c>
      <c r="CD71" s="12">
        <v>99</v>
      </c>
      <c r="CE71" s="12">
        <v>96</v>
      </c>
      <c r="CF71" s="12">
        <v>130</v>
      </c>
      <c r="CG71" s="12">
        <v>46</v>
      </c>
      <c r="CH71" s="12">
        <v>59</v>
      </c>
      <c r="CI71" s="12">
        <v>76</v>
      </c>
      <c r="CJ71" s="12">
        <v>104</v>
      </c>
      <c r="CK71" s="12">
        <v>80</v>
      </c>
      <c r="CL71" s="12">
        <v>68</v>
      </c>
      <c r="CM71" s="12">
        <v>136</v>
      </c>
      <c r="CN71" s="12">
        <v>174</v>
      </c>
      <c r="CO71" s="12">
        <v>181</v>
      </c>
      <c r="CP71" s="12">
        <v>134</v>
      </c>
      <c r="CQ71" s="12">
        <v>94</v>
      </c>
      <c r="CR71" s="12">
        <v>110</v>
      </c>
      <c r="CS71" s="12">
        <v>111</v>
      </c>
      <c r="CT71" s="12">
        <v>50</v>
      </c>
      <c r="CU71" s="12">
        <v>15</v>
      </c>
      <c r="CV71" s="12">
        <v>96</v>
      </c>
      <c r="CW71" s="12">
        <v>140</v>
      </c>
      <c r="CX71" s="12">
        <v>133</v>
      </c>
      <c r="CY71" s="12">
        <v>123</v>
      </c>
      <c r="CZ71" s="12">
        <v>189</v>
      </c>
      <c r="DA71" s="12">
        <v>224</v>
      </c>
      <c r="DB71" s="12">
        <v>134</v>
      </c>
      <c r="DC71" s="12">
        <v>157</v>
      </c>
      <c r="DD71" s="12">
        <v>167</v>
      </c>
      <c r="DE71" s="12">
        <v>128</v>
      </c>
      <c r="DF71" s="12">
        <v>157</v>
      </c>
      <c r="DG71" s="12">
        <v>92</v>
      </c>
      <c r="DH71" s="12">
        <v>136</v>
      </c>
      <c r="DI71" s="14">
        <v>154</v>
      </c>
      <c r="DJ71" s="14">
        <v>142</v>
      </c>
      <c r="DK71" s="14">
        <v>165</v>
      </c>
      <c r="DL71" s="14">
        <v>175</v>
      </c>
      <c r="DM71" s="14">
        <v>182</v>
      </c>
      <c r="DN71" s="14">
        <v>121</v>
      </c>
      <c r="DO71" s="14">
        <v>127</v>
      </c>
      <c r="DP71" s="14">
        <v>95</v>
      </c>
      <c r="DQ71" s="14">
        <v>154</v>
      </c>
      <c r="DR71" s="14">
        <v>157</v>
      </c>
      <c r="DS71" s="14">
        <v>97</v>
      </c>
      <c r="DT71" s="14">
        <v>107</v>
      </c>
      <c r="DU71" s="14">
        <v>120</v>
      </c>
      <c r="DV71" s="14">
        <v>153</v>
      </c>
      <c r="DW71" s="14">
        <v>134</v>
      </c>
      <c r="DX71" s="14">
        <v>102</v>
      </c>
      <c r="DY71" s="14">
        <v>142</v>
      </c>
      <c r="DZ71" s="14">
        <v>96</v>
      </c>
      <c r="EA71" s="14">
        <v>100</v>
      </c>
      <c r="EB71" s="14">
        <v>144</v>
      </c>
      <c r="EC71" s="14">
        <v>88</v>
      </c>
      <c r="ED71" s="14">
        <v>127</v>
      </c>
      <c r="EE71" s="14">
        <v>99</v>
      </c>
      <c r="EF71" s="14">
        <v>89</v>
      </c>
      <c r="EG71" s="14">
        <v>96</v>
      </c>
      <c r="EH71" s="14">
        <v>97</v>
      </c>
      <c r="EI71" s="14">
        <v>79</v>
      </c>
      <c r="EJ71" s="14">
        <v>80</v>
      </c>
      <c r="EK71" s="14">
        <v>126</v>
      </c>
      <c r="EL71" s="14">
        <v>81</v>
      </c>
      <c r="EM71" s="14">
        <v>43</v>
      </c>
      <c r="EN71" s="14">
        <v>53</v>
      </c>
      <c r="EO71" s="14">
        <v>42</v>
      </c>
      <c r="EP71" s="14">
        <v>55</v>
      </c>
      <c r="EQ71" s="14">
        <v>68</v>
      </c>
      <c r="ER71" s="14">
        <v>36</v>
      </c>
      <c r="ES71" s="14">
        <v>41</v>
      </c>
      <c r="ET71" s="14">
        <v>34</v>
      </c>
      <c r="EU71" s="14">
        <v>65</v>
      </c>
      <c r="EV71" s="14">
        <v>92</v>
      </c>
      <c r="EW71" s="14">
        <v>130</v>
      </c>
      <c r="EX71" s="14">
        <v>70</v>
      </c>
      <c r="EY71" s="14">
        <v>67</v>
      </c>
      <c r="EZ71" s="14">
        <v>80</v>
      </c>
      <c r="FA71" s="14">
        <v>75</v>
      </c>
      <c r="FB71" s="14">
        <v>175</v>
      </c>
      <c r="FC71" s="14">
        <v>105</v>
      </c>
      <c r="FD71" s="14">
        <v>136</v>
      </c>
      <c r="FE71" s="14">
        <v>134</v>
      </c>
      <c r="FF71" s="14">
        <v>95</v>
      </c>
      <c r="FG71" s="14">
        <v>83</v>
      </c>
      <c r="FH71" s="14">
        <v>84</v>
      </c>
      <c r="FI71" s="14">
        <v>103</v>
      </c>
      <c r="FJ71" s="14">
        <v>86</v>
      </c>
      <c r="FK71" s="14">
        <v>109</v>
      </c>
      <c r="FL71" s="14"/>
      <c r="FM71" s="14"/>
      <c r="FN71" s="14"/>
      <c r="FR71" s="12">
        <f t="shared" ref="FR71:FR76" si="130">+SUM(C71:E71)</f>
        <v>0</v>
      </c>
      <c r="FS71" s="12">
        <f t="shared" ref="FS71:FS76" si="131">+SUM(F71:H71)</f>
        <v>0</v>
      </c>
      <c r="FT71" s="12">
        <f t="shared" ref="FT71:FT76" si="132">+SUM(I71:K71)</f>
        <v>0</v>
      </c>
      <c r="FU71" s="12">
        <f t="shared" ref="FU71:FU76" si="133">+SUM(L71:N71)</f>
        <v>0</v>
      </c>
      <c r="FV71" s="12">
        <f t="shared" ref="FV71:FV76" si="134">+SUM(O71:Q71)</f>
        <v>0</v>
      </c>
      <c r="FW71" s="12">
        <f t="shared" ref="FW71:FW76" si="135">+SUM(R71:T71)</f>
        <v>0</v>
      </c>
      <c r="FX71" s="12">
        <f t="shared" ref="FX71:FX76" si="136">+SUM(U71:W71)</f>
        <v>0</v>
      </c>
      <c r="FY71" s="12">
        <f t="shared" ref="FY71:FY76" si="137">+SUM(X71:Z71)</f>
        <v>0</v>
      </c>
      <c r="FZ71" s="12">
        <f t="shared" ref="FZ71:FZ76" si="138">+SUM(AA71:AC71)</f>
        <v>0</v>
      </c>
      <c r="GA71" s="12">
        <f t="shared" ref="GA71:GA76" si="139">+SUM(AD71:AF71)</f>
        <v>0</v>
      </c>
      <c r="GB71" s="12">
        <f t="shared" ref="GB71:GB76" si="140">+SUM(AG71:AI71)</f>
        <v>0</v>
      </c>
      <c r="GC71" s="12">
        <f t="shared" ref="GC71:GC76" si="141">+SUM(AJ71:AL71)</f>
        <v>0</v>
      </c>
      <c r="GD71" s="12">
        <f t="shared" ref="GD71:GD76" si="142">+SUM(AM71:AO71)</f>
        <v>0</v>
      </c>
      <c r="GE71" s="12">
        <f t="shared" ref="GE71:GE76" si="143">+SUM(AP71:AR71)</f>
        <v>0</v>
      </c>
      <c r="GF71" s="12">
        <f t="shared" ref="GF71:GF76" si="144">+SUM(AS71:AU71)</f>
        <v>0</v>
      </c>
      <c r="GG71" s="12">
        <f t="shared" ref="GG71:GG76" si="145">+SUM(AV71:AX71)</f>
        <v>0</v>
      </c>
      <c r="GH71" s="12">
        <f t="shared" ref="GH71:GH76" si="146">+SUM(AY71:BA71)</f>
        <v>0</v>
      </c>
      <c r="GI71" s="12">
        <f t="shared" ref="GI71:GI76" si="147">+SUM(BB71:BD71)</f>
        <v>0</v>
      </c>
      <c r="GJ71" s="12">
        <f t="shared" ref="GJ71:GJ76" si="148">+SUM(BE71:BG71)</f>
        <v>0</v>
      </c>
      <c r="GK71" s="12">
        <f t="shared" ref="GK71:GK76" si="149">+SUM(BH71:BJ71)</f>
        <v>0</v>
      </c>
      <c r="GL71" s="12">
        <f t="shared" ref="GL71:GL76" si="150">+SUM(BK71:BM71)</f>
        <v>0</v>
      </c>
      <c r="GM71" s="12">
        <f t="shared" ref="GM71:GM76" si="151">+SUM(BN71:BP71)</f>
        <v>0</v>
      </c>
      <c r="GN71" s="12">
        <f t="shared" ref="GN71:GN76" si="152">+SUM(BQ71:BS71)</f>
        <v>0</v>
      </c>
      <c r="GO71" s="12">
        <f t="shared" ref="GO71:GO76" si="153">+SUM(BT71:BV71)</f>
        <v>0</v>
      </c>
      <c r="GP71" s="12">
        <f t="shared" ref="GP71:GP76" si="154">+SUM(BW71:BY71)</f>
        <v>112</v>
      </c>
      <c r="GQ71" s="12">
        <f t="shared" ref="GQ71:GQ76" si="155">+SUM(BZ71:CB71)</f>
        <v>223</v>
      </c>
      <c r="GR71" s="12">
        <f t="shared" ref="GR71:GR76" si="156">+SUM(CC71:CE71)</f>
        <v>342</v>
      </c>
      <c r="GS71" s="12">
        <f t="shared" ref="GS71:GS76" si="157">+SUM(CF71:CH71)</f>
        <v>235</v>
      </c>
      <c r="GT71" s="12">
        <f t="shared" ref="GT71:GT76" si="158">+SUM(CI71:CK71)</f>
        <v>260</v>
      </c>
      <c r="GU71" s="12">
        <f t="shared" ref="GU71:GU76" si="159">+SUM(CL71:CN71)</f>
        <v>378</v>
      </c>
      <c r="GV71" s="12">
        <f t="shared" ref="GV71:GV76" si="160">+SUM(CO71:CQ71)</f>
        <v>409</v>
      </c>
      <c r="GW71" s="12">
        <f t="shared" ref="GW71:GW76" si="161">+SUM(CR71:CT71)</f>
        <v>271</v>
      </c>
      <c r="GX71" s="12">
        <f t="shared" ref="GX71:GX76" si="162">+SUM(CU71:CW71)</f>
        <v>251</v>
      </c>
      <c r="GY71" s="12">
        <f t="shared" ref="GY71:GY76" si="163">+SUM(CX71:CZ71)</f>
        <v>445</v>
      </c>
      <c r="GZ71" s="12">
        <f t="shared" si="99"/>
        <v>515</v>
      </c>
      <c r="HA71" s="12">
        <f t="shared" si="100"/>
        <v>452</v>
      </c>
      <c r="HB71" s="12">
        <f t="shared" si="101"/>
        <v>228</v>
      </c>
      <c r="HC71" s="12">
        <f t="shared" si="102"/>
        <v>482</v>
      </c>
      <c r="HD71" s="12">
        <f t="shared" si="103"/>
        <v>430</v>
      </c>
      <c r="HE71" s="12">
        <f t="shared" si="104"/>
        <v>406</v>
      </c>
      <c r="HF71" s="12">
        <f t="shared" si="105"/>
        <v>324</v>
      </c>
      <c r="HG71" s="12">
        <f t="shared" si="106"/>
        <v>389</v>
      </c>
      <c r="HH71" s="12">
        <f t="shared" si="107"/>
        <v>338</v>
      </c>
      <c r="HI71" s="12">
        <f t="shared" si="108"/>
        <v>359</v>
      </c>
      <c r="HJ71" s="12">
        <f t="shared" si="109"/>
        <v>284</v>
      </c>
      <c r="HK71" s="12">
        <f t="shared" si="110"/>
        <v>256</v>
      </c>
      <c r="HL71" s="12">
        <f t="shared" si="111"/>
        <v>250</v>
      </c>
      <c r="HM71" s="12">
        <f t="shared" si="112"/>
        <v>150</v>
      </c>
      <c r="HN71" s="12">
        <f t="shared" si="125"/>
        <v>284</v>
      </c>
      <c r="HO71" s="12">
        <f t="shared" si="126"/>
        <v>256</v>
      </c>
      <c r="HP71" s="12">
        <f t="shared" si="127"/>
        <v>250</v>
      </c>
      <c r="HQ71" s="12">
        <f t="shared" si="128"/>
        <v>150</v>
      </c>
      <c r="HR71" s="12">
        <f t="shared" si="129"/>
        <v>145</v>
      </c>
      <c r="HS71" s="12">
        <f t="shared" si="122"/>
        <v>191</v>
      </c>
      <c r="HT71" s="12">
        <f t="shared" si="113"/>
        <v>267</v>
      </c>
      <c r="HU71" s="12">
        <f t="shared" si="114"/>
        <v>330</v>
      </c>
      <c r="HV71" s="12">
        <f t="shared" si="115"/>
        <v>375</v>
      </c>
      <c r="HW71" s="12">
        <f t="shared" si="116"/>
        <v>262</v>
      </c>
      <c r="HX71" s="12">
        <f t="shared" si="117"/>
        <v>298</v>
      </c>
      <c r="IB71" s="12">
        <f t="shared" ref="IB71:IB76" si="164">+SUM(C71:N71)</f>
        <v>0</v>
      </c>
      <c r="IC71" s="12">
        <f t="shared" ref="IC71:IC76" si="165">+SUM(O71:Z71)</f>
        <v>0</v>
      </c>
      <c r="ID71" s="12">
        <f t="shared" ref="ID71:ID76" si="166">+SUM(AA71:AL71)</f>
        <v>0</v>
      </c>
      <c r="IE71" s="12">
        <f t="shared" ref="IE71:IE76" si="167">+SUM(AM71:AX71)</f>
        <v>0</v>
      </c>
      <c r="IF71" s="12">
        <f t="shared" ref="IF71:IF76" si="168">+SUM(AY71:BJ71)</f>
        <v>0</v>
      </c>
      <c r="IG71" s="12">
        <f t="shared" ref="IG71:IG76" si="169">+SUM(BK71:BV71)</f>
        <v>0</v>
      </c>
      <c r="IH71" s="12">
        <f t="shared" ref="IH71:IH76" si="170">+SUM(BW71:CH71)</f>
        <v>912</v>
      </c>
      <c r="II71" s="12">
        <f t="shared" ref="II71:II76" si="171">SUM(CI71:CT71)</f>
        <v>1318</v>
      </c>
      <c r="IJ71" s="12">
        <f t="shared" si="118"/>
        <v>1663</v>
      </c>
      <c r="IK71" s="12">
        <f t="shared" si="119"/>
        <v>1700</v>
      </c>
      <c r="IL71" s="12">
        <f t="shared" si="120"/>
        <v>1410</v>
      </c>
      <c r="IM71" s="12">
        <f t="shared" si="121"/>
        <v>940</v>
      </c>
      <c r="IN71" s="12">
        <f t="shared" si="90"/>
        <v>933</v>
      </c>
    </row>
    <row r="72" spans="1:248" outlineLevel="2" x14ac:dyDescent="0.3">
      <c r="B72" t="s">
        <v>76</v>
      </c>
      <c r="C72" s="11">
        <v>0</v>
      </c>
      <c r="D72" s="11">
        <v>0</v>
      </c>
      <c r="E72" s="11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3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126</v>
      </c>
      <c r="BZ72" s="12">
        <v>71</v>
      </c>
      <c r="CA72" s="12">
        <v>109</v>
      </c>
      <c r="CB72" s="12">
        <v>184</v>
      </c>
      <c r="CC72" s="12">
        <v>197</v>
      </c>
      <c r="CD72" s="12">
        <v>126</v>
      </c>
      <c r="CE72" s="12">
        <v>49</v>
      </c>
      <c r="CF72" s="12">
        <v>55</v>
      </c>
      <c r="CG72" s="12">
        <v>39</v>
      </c>
      <c r="CH72" s="12">
        <v>44</v>
      </c>
      <c r="CI72" s="12">
        <v>52</v>
      </c>
      <c r="CJ72" s="12">
        <v>80</v>
      </c>
      <c r="CK72" s="12">
        <v>67</v>
      </c>
      <c r="CL72" s="12">
        <v>74</v>
      </c>
      <c r="CM72" s="12">
        <v>56</v>
      </c>
      <c r="CN72" s="12">
        <v>73</v>
      </c>
      <c r="CO72" s="12">
        <v>109</v>
      </c>
      <c r="CP72" s="12">
        <v>94</v>
      </c>
      <c r="CQ72" s="12">
        <v>63</v>
      </c>
      <c r="CR72" s="12">
        <v>94</v>
      </c>
      <c r="CS72" s="12">
        <v>48</v>
      </c>
      <c r="CT72" s="12">
        <v>37</v>
      </c>
      <c r="CU72" s="12">
        <v>20</v>
      </c>
      <c r="CV72" s="12">
        <v>82</v>
      </c>
      <c r="CW72" s="12">
        <v>121</v>
      </c>
      <c r="CX72" s="12">
        <v>116</v>
      </c>
      <c r="CY72" s="12">
        <v>92</v>
      </c>
      <c r="CZ72" s="12">
        <v>198</v>
      </c>
      <c r="DA72" s="12">
        <v>210</v>
      </c>
      <c r="DB72" s="12">
        <v>177</v>
      </c>
      <c r="DC72" s="12">
        <v>144</v>
      </c>
      <c r="DD72" s="12">
        <v>182</v>
      </c>
      <c r="DE72" s="12">
        <v>195</v>
      </c>
      <c r="DF72" s="12">
        <v>252</v>
      </c>
      <c r="DG72" s="12">
        <v>278</v>
      </c>
      <c r="DH72" s="12">
        <v>158</v>
      </c>
      <c r="DI72" s="14">
        <v>218</v>
      </c>
      <c r="DJ72" s="14">
        <v>178</v>
      </c>
      <c r="DK72" s="14">
        <v>165</v>
      </c>
      <c r="DL72" s="14">
        <v>261</v>
      </c>
      <c r="DM72" s="14">
        <v>308</v>
      </c>
      <c r="DN72" s="14">
        <v>232</v>
      </c>
      <c r="DO72" s="14">
        <v>232</v>
      </c>
      <c r="DP72" s="14">
        <v>278</v>
      </c>
      <c r="DQ72" s="14">
        <v>289</v>
      </c>
      <c r="DR72" s="14">
        <v>356</v>
      </c>
      <c r="DS72" s="14">
        <v>274</v>
      </c>
      <c r="DT72" s="14">
        <v>312</v>
      </c>
      <c r="DU72" s="14">
        <v>276</v>
      </c>
      <c r="DV72" s="14">
        <v>206</v>
      </c>
      <c r="DW72" s="14">
        <v>174</v>
      </c>
      <c r="DX72" s="14">
        <v>282</v>
      </c>
      <c r="DY72" s="14">
        <v>287</v>
      </c>
      <c r="DZ72" s="14">
        <v>173</v>
      </c>
      <c r="EA72" s="14">
        <v>223</v>
      </c>
      <c r="EB72" s="14">
        <v>206</v>
      </c>
      <c r="EC72" s="14">
        <v>269</v>
      </c>
      <c r="ED72" s="14">
        <v>390</v>
      </c>
      <c r="EE72" s="14">
        <v>237</v>
      </c>
      <c r="EF72" s="14">
        <v>470</v>
      </c>
      <c r="EG72" s="14">
        <v>411</v>
      </c>
      <c r="EH72" s="14">
        <v>284</v>
      </c>
      <c r="EI72" s="14">
        <v>345</v>
      </c>
      <c r="EJ72" s="14">
        <v>323</v>
      </c>
      <c r="EK72" s="14">
        <v>322</v>
      </c>
      <c r="EL72" s="14">
        <v>377</v>
      </c>
      <c r="EM72" s="14">
        <v>297</v>
      </c>
      <c r="EN72" s="14">
        <v>336</v>
      </c>
      <c r="EO72" s="14">
        <v>310</v>
      </c>
      <c r="EP72" s="14">
        <v>355</v>
      </c>
      <c r="EQ72" s="14">
        <v>284</v>
      </c>
      <c r="ER72" s="14">
        <v>324</v>
      </c>
      <c r="ES72" s="14">
        <v>330</v>
      </c>
      <c r="ET72" s="14">
        <v>302</v>
      </c>
      <c r="EU72" s="14">
        <v>255</v>
      </c>
      <c r="EV72" s="14">
        <v>249</v>
      </c>
      <c r="EW72" s="14">
        <v>355</v>
      </c>
      <c r="EX72" s="14">
        <v>289</v>
      </c>
      <c r="EY72" s="14">
        <v>227</v>
      </c>
      <c r="EZ72" s="14">
        <v>236</v>
      </c>
      <c r="FA72" s="14">
        <v>223</v>
      </c>
      <c r="FB72" s="14">
        <v>355</v>
      </c>
      <c r="FC72" s="14">
        <v>261</v>
      </c>
      <c r="FD72" s="14">
        <v>250</v>
      </c>
      <c r="FE72" s="14">
        <v>250</v>
      </c>
      <c r="FF72" s="14">
        <v>254</v>
      </c>
      <c r="FG72" s="14">
        <v>247</v>
      </c>
      <c r="FH72" s="14">
        <v>315</v>
      </c>
      <c r="FI72" s="14">
        <v>444</v>
      </c>
      <c r="FJ72" s="14">
        <v>340</v>
      </c>
      <c r="FK72" s="14">
        <v>222</v>
      </c>
      <c r="FL72" s="14"/>
      <c r="FM72" s="14"/>
      <c r="FN72" s="14"/>
      <c r="FR72" s="12">
        <f t="shared" si="130"/>
        <v>0</v>
      </c>
      <c r="FS72" s="12">
        <f t="shared" si="131"/>
        <v>0</v>
      </c>
      <c r="FT72" s="12">
        <f t="shared" si="132"/>
        <v>0</v>
      </c>
      <c r="FU72" s="12">
        <f t="shared" si="133"/>
        <v>0</v>
      </c>
      <c r="FV72" s="12">
        <f t="shared" si="134"/>
        <v>0</v>
      </c>
      <c r="FW72" s="12">
        <f t="shared" si="135"/>
        <v>0</v>
      </c>
      <c r="FX72" s="12">
        <f t="shared" si="136"/>
        <v>0</v>
      </c>
      <c r="FY72" s="12">
        <f t="shared" si="137"/>
        <v>0</v>
      </c>
      <c r="FZ72" s="12">
        <f t="shared" si="138"/>
        <v>0</v>
      </c>
      <c r="GA72" s="12">
        <f t="shared" si="139"/>
        <v>0</v>
      </c>
      <c r="GB72" s="12">
        <f t="shared" si="140"/>
        <v>0</v>
      </c>
      <c r="GC72" s="12">
        <f t="shared" si="141"/>
        <v>0</v>
      </c>
      <c r="GD72" s="12">
        <f t="shared" si="142"/>
        <v>0</v>
      </c>
      <c r="GE72" s="12">
        <f t="shared" si="143"/>
        <v>0</v>
      </c>
      <c r="GF72" s="12">
        <f t="shared" si="144"/>
        <v>0</v>
      </c>
      <c r="GG72" s="12">
        <f t="shared" si="145"/>
        <v>0</v>
      </c>
      <c r="GH72" s="12">
        <f t="shared" si="146"/>
        <v>0</v>
      </c>
      <c r="GI72" s="12">
        <f t="shared" si="147"/>
        <v>0</v>
      </c>
      <c r="GJ72" s="12">
        <f t="shared" si="148"/>
        <v>0</v>
      </c>
      <c r="GK72" s="12">
        <f t="shared" si="149"/>
        <v>0</v>
      </c>
      <c r="GL72" s="12">
        <f t="shared" si="150"/>
        <v>0</v>
      </c>
      <c r="GM72" s="12">
        <f t="shared" si="151"/>
        <v>0</v>
      </c>
      <c r="GN72" s="12">
        <f t="shared" si="152"/>
        <v>0</v>
      </c>
      <c r="GO72" s="12">
        <f t="shared" si="153"/>
        <v>0</v>
      </c>
      <c r="GP72" s="12">
        <f t="shared" si="154"/>
        <v>126</v>
      </c>
      <c r="GQ72" s="12">
        <f t="shared" si="155"/>
        <v>364</v>
      </c>
      <c r="GR72" s="12">
        <f t="shared" si="156"/>
        <v>372</v>
      </c>
      <c r="GS72" s="12">
        <f t="shared" si="157"/>
        <v>138</v>
      </c>
      <c r="GT72" s="12">
        <f t="shared" si="158"/>
        <v>199</v>
      </c>
      <c r="GU72" s="12">
        <f t="shared" si="159"/>
        <v>203</v>
      </c>
      <c r="GV72" s="12">
        <f t="shared" si="160"/>
        <v>266</v>
      </c>
      <c r="GW72" s="12">
        <f t="shared" si="161"/>
        <v>179</v>
      </c>
      <c r="GX72" s="12">
        <f t="shared" si="162"/>
        <v>223</v>
      </c>
      <c r="GY72" s="12">
        <f t="shared" si="163"/>
        <v>406</v>
      </c>
      <c r="GZ72" s="12">
        <f t="shared" si="99"/>
        <v>531</v>
      </c>
      <c r="HA72" s="12">
        <f t="shared" si="100"/>
        <v>629</v>
      </c>
      <c r="HB72" s="12">
        <f t="shared" si="101"/>
        <v>436</v>
      </c>
      <c r="HC72" s="12">
        <f t="shared" si="102"/>
        <v>604</v>
      </c>
      <c r="HD72" s="12">
        <f t="shared" si="103"/>
        <v>772</v>
      </c>
      <c r="HE72" s="12">
        <f t="shared" si="104"/>
        <v>923</v>
      </c>
      <c r="HF72" s="12">
        <f t="shared" si="105"/>
        <v>862</v>
      </c>
      <c r="HG72" s="12">
        <f t="shared" si="106"/>
        <v>662</v>
      </c>
      <c r="HH72" s="12">
        <f t="shared" si="107"/>
        <v>683</v>
      </c>
      <c r="HI72" s="12">
        <f t="shared" si="108"/>
        <v>865</v>
      </c>
      <c r="HJ72" s="12">
        <f t="shared" si="109"/>
        <v>1118</v>
      </c>
      <c r="HK72" s="12">
        <f t="shared" si="110"/>
        <v>952</v>
      </c>
      <c r="HL72" s="12">
        <f t="shared" si="111"/>
        <v>996</v>
      </c>
      <c r="HM72" s="12">
        <f t="shared" si="112"/>
        <v>1001</v>
      </c>
      <c r="HN72" s="12">
        <f t="shared" si="125"/>
        <v>1118</v>
      </c>
      <c r="HO72" s="12">
        <f t="shared" si="126"/>
        <v>952</v>
      </c>
      <c r="HP72" s="12">
        <f t="shared" si="127"/>
        <v>996</v>
      </c>
      <c r="HQ72" s="12">
        <f t="shared" si="128"/>
        <v>1001</v>
      </c>
      <c r="HR72" s="12">
        <f t="shared" si="129"/>
        <v>938</v>
      </c>
      <c r="HS72" s="12">
        <f t="shared" si="122"/>
        <v>806</v>
      </c>
      <c r="HT72" s="12">
        <f t="shared" si="113"/>
        <v>871</v>
      </c>
      <c r="HU72" s="12">
        <f t="shared" si="114"/>
        <v>814</v>
      </c>
      <c r="HV72" s="12">
        <f t="shared" si="115"/>
        <v>761</v>
      </c>
      <c r="HW72" s="12">
        <f t="shared" si="116"/>
        <v>816</v>
      </c>
      <c r="HX72" s="12">
        <f t="shared" si="117"/>
        <v>1006</v>
      </c>
      <c r="IB72" s="12">
        <f t="shared" si="164"/>
        <v>0</v>
      </c>
      <c r="IC72" s="12">
        <f t="shared" si="165"/>
        <v>0</v>
      </c>
      <c r="ID72" s="12">
        <f t="shared" si="166"/>
        <v>0</v>
      </c>
      <c r="IE72" s="12">
        <f t="shared" si="167"/>
        <v>0</v>
      </c>
      <c r="IF72" s="12">
        <f t="shared" si="168"/>
        <v>0</v>
      </c>
      <c r="IG72" s="12">
        <f t="shared" si="169"/>
        <v>0</v>
      </c>
      <c r="IH72" s="12">
        <f t="shared" si="170"/>
        <v>1000</v>
      </c>
      <c r="II72" s="12">
        <f t="shared" si="171"/>
        <v>847</v>
      </c>
      <c r="IJ72" s="12">
        <f t="shared" si="118"/>
        <v>1789</v>
      </c>
      <c r="IK72" s="12">
        <f t="shared" si="119"/>
        <v>2953</v>
      </c>
      <c r="IL72" s="12">
        <f t="shared" si="120"/>
        <v>3072</v>
      </c>
      <c r="IM72" s="12">
        <f t="shared" si="121"/>
        <v>4067</v>
      </c>
      <c r="IN72" s="12">
        <f t="shared" si="90"/>
        <v>3429</v>
      </c>
    </row>
    <row r="73" spans="1:248" outlineLevel="2" x14ac:dyDescent="0.3">
      <c r="B73" t="s">
        <v>77</v>
      </c>
      <c r="C73" s="11">
        <v>0</v>
      </c>
      <c r="D73" s="11">
        <v>0</v>
      </c>
      <c r="E73" s="11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3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66</v>
      </c>
      <c r="BZ73" s="12">
        <v>29</v>
      </c>
      <c r="CA73" s="12">
        <v>53</v>
      </c>
      <c r="CB73" s="12">
        <v>73</v>
      </c>
      <c r="CC73" s="12">
        <v>69</v>
      </c>
      <c r="CD73" s="12">
        <v>61</v>
      </c>
      <c r="CE73" s="12">
        <v>31</v>
      </c>
      <c r="CF73" s="12">
        <v>50</v>
      </c>
      <c r="CG73" s="12">
        <v>30</v>
      </c>
      <c r="CH73" s="12">
        <v>2</v>
      </c>
      <c r="CI73" s="12">
        <v>34</v>
      </c>
      <c r="CJ73" s="12">
        <v>23</v>
      </c>
      <c r="CK73" s="12">
        <v>32</v>
      </c>
      <c r="CL73" s="12">
        <v>15</v>
      </c>
      <c r="CM73" s="12">
        <v>4</v>
      </c>
      <c r="CN73" s="12">
        <v>44</v>
      </c>
      <c r="CO73" s="12">
        <v>49</v>
      </c>
      <c r="CP73" s="12">
        <v>39</v>
      </c>
      <c r="CQ73" s="12">
        <v>21</v>
      </c>
      <c r="CR73" s="12">
        <v>43</v>
      </c>
      <c r="CS73" s="12">
        <v>60</v>
      </c>
      <c r="CT73" s="12">
        <v>51</v>
      </c>
      <c r="CU73" s="12">
        <v>15</v>
      </c>
      <c r="CV73" s="12">
        <v>46</v>
      </c>
      <c r="CW73" s="12">
        <v>17</v>
      </c>
      <c r="CX73" s="12">
        <v>45</v>
      </c>
      <c r="CY73" s="12">
        <v>66</v>
      </c>
      <c r="CZ73" s="12">
        <v>68</v>
      </c>
      <c r="DA73" s="12">
        <v>87</v>
      </c>
      <c r="DB73" s="12">
        <v>71</v>
      </c>
      <c r="DC73" s="12">
        <v>94</v>
      </c>
      <c r="DD73" s="12">
        <v>105</v>
      </c>
      <c r="DE73" s="12">
        <v>136</v>
      </c>
      <c r="DF73" s="12">
        <v>175</v>
      </c>
      <c r="DG73" s="12">
        <v>130</v>
      </c>
      <c r="DH73" s="12">
        <v>206</v>
      </c>
      <c r="DI73" s="14">
        <v>190</v>
      </c>
      <c r="DJ73" s="14">
        <v>143</v>
      </c>
      <c r="DK73" s="14">
        <v>170</v>
      </c>
      <c r="DL73" s="14">
        <v>225</v>
      </c>
      <c r="DM73" s="14">
        <v>215</v>
      </c>
      <c r="DN73" s="14">
        <v>183</v>
      </c>
      <c r="DO73" s="14">
        <v>150</v>
      </c>
      <c r="DP73" s="14">
        <v>181</v>
      </c>
      <c r="DQ73" s="14">
        <v>160</v>
      </c>
      <c r="DR73" s="14">
        <v>229</v>
      </c>
      <c r="DS73" s="14">
        <v>180</v>
      </c>
      <c r="DT73" s="14">
        <v>156</v>
      </c>
      <c r="DU73" s="14">
        <v>98</v>
      </c>
      <c r="DV73" s="14">
        <v>81</v>
      </c>
      <c r="DW73" s="14">
        <v>111</v>
      </c>
      <c r="DX73" s="14">
        <v>286</v>
      </c>
      <c r="DY73" s="14">
        <v>160</v>
      </c>
      <c r="DZ73" s="14">
        <v>243</v>
      </c>
      <c r="EA73" s="14">
        <v>186</v>
      </c>
      <c r="EB73" s="14">
        <v>100</v>
      </c>
      <c r="EC73" s="14">
        <v>104</v>
      </c>
      <c r="ED73" s="14">
        <v>83</v>
      </c>
      <c r="EE73" s="14">
        <v>143</v>
      </c>
      <c r="EF73" s="14">
        <v>0</v>
      </c>
      <c r="EG73" s="14">
        <v>1</v>
      </c>
      <c r="EH73" s="14">
        <v>0</v>
      </c>
      <c r="EI73" s="14">
        <v>1</v>
      </c>
      <c r="EJ73" s="14">
        <v>1</v>
      </c>
      <c r="EK73" s="14">
        <v>0</v>
      </c>
      <c r="EL73" s="14">
        <v>0</v>
      </c>
      <c r="EM73" s="14">
        <v>0</v>
      </c>
      <c r="EN73" s="14">
        <v>1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1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1</v>
      </c>
      <c r="FL73" s="14"/>
      <c r="FM73" s="14"/>
      <c r="FN73" s="14"/>
      <c r="FR73" s="12">
        <f t="shared" si="130"/>
        <v>0</v>
      </c>
      <c r="FS73" s="12">
        <f t="shared" si="131"/>
        <v>0</v>
      </c>
      <c r="FT73" s="12">
        <f t="shared" si="132"/>
        <v>0</v>
      </c>
      <c r="FU73" s="12">
        <f t="shared" si="133"/>
        <v>0</v>
      </c>
      <c r="FV73" s="12">
        <f t="shared" si="134"/>
        <v>0</v>
      </c>
      <c r="FW73" s="12">
        <f t="shared" si="135"/>
        <v>0</v>
      </c>
      <c r="FX73" s="12">
        <f t="shared" si="136"/>
        <v>0</v>
      </c>
      <c r="FY73" s="12">
        <f t="shared" si="137"/>
        <v>0</v>
      </c>
      <c r="FZ73" s="12">
        <f t="shared" si="138"/>
        <v>0</v>
      </c>
      <c r="GA73" s="12">
        <f t="shared" si="139"/>
        <v>0</v>
      </c>
      <c r="GB73" s="12">
        <f t="shared" si="140"/>
        <v>0</v>
      </c>
      <c r="GC73" s="12">
        <f t="shared" si="141"/>
        <v>0</v>
      </c>
      <c r="GD73" s="12">
        <f t="shared" si="142"/>
        <v>0</v>
      </c>
      <c r="GE73" s="12">
        <f t="shared" si="143"/>
        <v>0</v>
      </c>
      <c r="GF73" s="12">
        <f t="shared" si="144"/>
        <v>0</v>
      </c>
      <c r="GG73" s="12">
        <f t="shared" si="145"/>
        <v>0</v>
      </c>
      <c r="GH73" s="12">
        <f t="shared" si="146"/>
        <v>0</v>
      </c>
      <c r="GI73" s="12">
        <f t="shared" si="147"/>
        <v>0</v>
      </c>
      <c r="GJ73" s="12">
        <f t="shared" si="148"/>
        <v>0</v>
      </c>
      <c r="GK73" s="12">
        <f t="shared" si="149"/>
        <v>0</v>
      </c>
      <c r="GL73" s="12">
        <f t="shared" si="150"/>
        <v>0</v>
      </c>
      <c r="GM73" s="12">
        <f t="shared" si="151"/>
        <v>0</v>
      </c>
      <c r="GN73" s="12">
        <f t="shared" si="152"/>
        <v>0</v>
      </c>
      <c r="GO73" s="12">
        <f t="shared" si="153"/>
        <v>0</v>
      </c>
      <c r="GP73" s="12">
        <f t="shared" si="154"/>
        <v>66</v>
      </c>
      <c r="GQ73" s="12">
        <f t="shared" si="155"/>
        <v>155</v>
      </c>
      <c r="GR73" s="12">
        <f t="shared" si="156"/>
        <v>161</v>
      </c>
      <c r="GS73" s="12">
        <f t="shared" si="157"/>
        <v>82</v>
      </c>
      <c r="GT73" s="12">
        <f t="shared" si="158"/>
        <v>89</v>
      </c>
      <c r="GU73" s="12">
        <f t="shared" si="159"/>
        <v>63</v>
      </c>
      <c r="GV73" s="12">
        <f t="shared" si="160"/>
        <v>109</v>
      </c>
      <c r="GW73" s="12">
        <f t="shared" si="161"/>
        <v>154</v>
      </c>
      <c r="GX73" s="12">
        <f t="shared" si="162"/>
        <v>78</v>
      </c>
      <c r="GY73" s="12">
        <f t="shared" si="163"/>
        <v>179</v>
      </c>
      <c r="GZ73" s="12">
        <f t="shared" si="99"/>
        <v>252</v>
      </c>
      <c r="HA73" s="12">
        <f t="shared" si="100"/>
        <v>416</v>
      </c>
      <c r="HB73" s="12">
        <f t="shared" si="101"/>
        <v>336</v>
      </c>
      <c r="HC73" s="12">
        <f t="shared" si="102"/>
        <v>538</v>
      </c>
      <c r="HD73" s="12">
        <f t="shared" si="103"/>
        <v>548</v>
      </c>
      <c r="HE73" s="12">
        <f t="shared" si="104"/>
        <v>570</v>
      </c>
      <c r="HF73" s="12">
        <f t="shared" si="105"/>
        <v>434</v>
      </c>
      <c r="HG73" s="12">
        <f t="shared" si="106"/>
        <v>478</v>
      </c>
      <c r="HH73" s="12">
        <f t="shared" si="107"/>
        <v>589</v>
      </c>
      <c r="HI73" s="12">
        <f t="shared" si="108"/>
        <v>287</v>
      </c>
      <c r="HJ73" s="12">
        <f t="shared" si="109"/>
        <v>144</v>
      </c>
      <c r="HK73" s="12">
        <f t="shared" si="110"/>
        <v>2</v>
      </c>
      <c r="HL73" s="12">
        <f t="shared" si="111"/>
        <v>0</v>
      </c>
      <c r="HM73" s="12">
        <f t="shared" si="112"/>
        <v>1</v>
      </c>
      <c r="HN73" s="12">
        <f t="shared" si="125"/>
        <v>144</v>
      </c>
      <c r="HO73" s="12">
        <f t="shared" si="126"/>
        <v>2</v>
      </c>
      <c r="HP73" s="12">
        <f t="shared" si="127"/>
        <v>0</v>
      </c>
      <c r="HQ73" s="12">
        <f t="shared" si="128"/>
        <v>1</v>
      </c>
      <c r="HR73" s="12">
        <f t="shared" si="129"/>
        <v>0</v>
      </c>
      <c r="HS73" s="12">
        <f t="shared" si="122"/>
        <v>0</v>
      </c>
      <c r="HT73" s="12">
        <f t="shared" si="113"/>
        <v>0</v>
      </c>
      <c r="HU73" s="12">
        <f t="shared" si="114"/>
        <v>1</v>
      </c>
      <c r="HV73" s="12">
        <f t="shared" si="115"/>
        <v>0</v>
      </c>
      <c r="HW73" s="12">
        <f t="shared" si="116"/>
        <v>0</v>
      </c>
      <c r="HX73" s="12">
        <f t="shared" si="117"/>
        <v>1</v>
      </c>
      <c r="IB73" s="12">
        <f t="shared" si="164"/>
        <v>0</v>
      </c>
      <c r="IC73" s="12">
        <f t="shared" si="165"/>
        <v>0</v>
      </c>
      <c r="ID73" s="12">
        <f t="shared" si="166"/>
        <v>0</v>
      </c>
      <c r="IE73" s="12">
        <f t="shared" si="167"/>
        <v>0</v>
      </c>
      <c r="IF73" s="12">
        <f t="shared" si="168"/>
        <v>0</v>
      </c>
      <c r="IG73" s="12">
        <f t="shared" si="169"/>
        <v>0</v>
      </c>
      <c r="IH73" s="12">
        <f t="shared" si="170"/>
        <v>464</v>
      </c>
      <c r="II73" s="12">
        <f t="shared" si="171"/>
        <v>415</v>
      </c>
      <c r="IJ73" s="12">
        <f t="shared" si="118"/>
        <v>925</v>
      </c>
      <c r="IK73" s="12">
        <f t="shared" si="119"/>
        <v>2182</v>
      </c>
      <c r="IL73" s="12">
        <f t="shared" si="120"/>
        <v>1788</v>
      </c>
      <c r="IM73" s="12">
        <f t="shared" si="121"/>
        <v>147</v>
      </c>
      <c r="IN73" s="12">
        <f t="shared" si="90"/>
        <v>1</v>
      </c>
    </row>
    <row r="74" spans="1:248" outlineLevel="2" x14ac:dyDescent="0.3">
      <c r="B74" t="s">
        <v>78</v>
      </c>
      <c r="C74" s="11">
        <v>0</v>
      </c>
      <c r="D74" s="11">
        <v>0</v>
      </c>
      <c r="E74" s="11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3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2</v>
      </c>
      <c r="BZ74" s="12">
        <v>5</v>
      </c>
      <c r="CA74" s="12">
        <v>19</v>
      </c>
      <c r="CB74" s="12">
        <v>1</v>
      </c>
      <c r="CC74" s="12">
        <v>0</v>
      </c>
      <c r="CD74" s="12">
        <v>0</v>
      </c>
      <c r="CE74" s="12">
        <v>28</v>
      </c>
      <c r="CF74" s="12">
        <v>37</v>
      </c>
      <c r="CG74" s="12">
        <v>30</v>
      </c>
      <c r="CH74" s="12">
        <v>30</v>
      </c>
      <c r="CI74" s="12">
        <v>35</v>
      </c>
      <c r="CJ74" s="12">
        <v>29</v>
      </c>
      <c r="CK74" s="12">
        <v>31</v>
      </c>
      <c r="CL74" s="12">
        <v>13</v>
      </c>
      <c r="CM74" s="12">
        <v>10</v>
      </c>
      <c r="CN74" s="12">
        <v>37</v>
      </c>
      <c r="CO74" s="12">
        <v>32</v>
      </c>
      <c r="CP74" s="12">
        <v>11</v>
      </c>
      <c r="CQ74" s="12">
        <v>13</v>
      </c>
      <c r="CR74" s="12">
        <v>43</v>
      </c>
      <c r="CS74" s="12">
        <v>30</v>
      </c>
      <c r="CT74" s="12">
        <v>11</v>
      </c>
      <c r="CU74" s="12">
        <v>2</v>
      </c>
      <c r="CV74" s="12">
        <v>19</v>
      </c>
      <c r="CW74" s="12">
        <v>25</v>
      </c>
      <c r="CX74" s="12">
        <v>37</v>
      </c>
      <c r="CY74" s="12">
        <v>29</v>
      </c>
      <c r="CZ74" s="12">
        <v>25</v>
      </c>
      <c r="DA74" s="12">
        <v>30</v>
      </c>
      <c r="DB74" s="12">
        <v>28</v>
      </c>
      <c r="DC74" s="12">
        <v>17</v>
      </c>
      <c r="DD74" s="12">
        <v>10</v>
      </c>
      <c r="DE74" s="12">
        <v>6</v>
      </c>
      <c r="DF74" s="12">
        <v>6</v>
      </c>
      <c r="DG74" s="12">
        <v>7</v>
      </c>
      <c r="DH74" s="12">
        <v>8</v>
      </c>
      <c r="DI74" s="14">
        <v>3</v>
      </c>
      <c r="DJ74" s="14">
        <v>9</v>
      </c>
      <c r="DK74" s="14">
        <v>4</v>
      </c>
      <c r="DL74" s="14">
        <v>18</v>
      </c>
      <c r="DM74" s="14">
        <v>13</v>
      </c>
      <c r="DN74" s="14">
        <v>4</v>
      </c>
      <c r="DO74" s="14">
        <v>10</v>
      </c>
      <c r="DP74" s="14">
        <v>6</v>
      </c>
      <c r="DQ74" s="14">
        <v>3</v>
      </c>
      <c r="DR74" s="14">
        <v>10</v>
      </c>
      <c r="DS74" s="14">
        <v>9</v>
      </c>
      <c r="DT74" s="14">
        <v>2</v>
      </c>
      <c r="DU74" s="14">
        <v>21</v>
      </c>
      <c r="DV74" s="14">
        <v>28</v>
      </c>
      <c r="DW74" s="14">
        <v>35</v>
      </c>
      <c r="DX74" s="14">
        <v>11</v>
      </c>
      <c r="DY74" s="14">
        <v>13</v>
      </c>
      <c r="DZ74" s="14">
        <v>4</v>
      </c>
      <c r="EA74" s="14">
        <v>10</v>
      </c>
      <c r="EB74" s="14">
        <v>10</v>
      </c>
      <c r="EC74" s="14">
        <v>11</v>
      </c>
      <c r="ED74" s="14">
        <v>21</v>
      </c>
      <c r="EE74" s="14">
        <v>1</v>
      </c>
      <c r="EF74" s="14">
        <v>23</v>
      </c>
      <c r="EG74" s="14">
        <v>22</v>
      </c>
      <c r="EH74" s="14">
        <v>4</v>
      </c>
      <c r="EI74" s="14">
        <v>15</v>
      </c>
      <c r="EJ74" s="14">
        <v>2</v>
      </c>
      <c r="EK74" s="14">
        <v>5</v>
      </c>
      <c r="EL74" s="14">
        <v>2</v>
      </c>
      <c r="EM74" s="14">
        <v>72</v>
      </c>
      <c r="EN74" s="14">
        <v>2</v>
      </c>
      <c r="EO74" s="14">
        <v>3</v>
      </c>
      <c r="EP74" s="14">
        <v>2</v>
      </c>
      <c r="EQ74" s="14">
        <v>0</v>
      </c>
      <c r="ER74" s="14">
        <v>12</v>
      </c>
      <c r="ES74" s="14">
        <v>1</v>
      </c>
      <c r="ET74" s="14">
        <v>16</v>
      </c>
      <c r="EU74" s="14">
        <v>2</v>
      </c>
      <c r="EV74" s="14">
        <v>0</v>
      </c>
      <c r="EW74" s="14">
        <v>0</v>
      </c>
      <c r="EX74" s="14">
        <v>3</v>
      </c>
      <c r="EY74" s="14">
        <v>0</v>
      </c>
      <c r="EZ74" s="14">
        <v>0</v>
      </c>
      <c r="FA74" s="14">
        <v>0</v>
      </c>
      <c r="FB74" s="14">
        <v>2</v>
      </c>
      <c r="FC74" s="14">
        <v>0</v>
      </c>
      <c r="FD74" s="14">
        <v>0</v>
      </c>
      <c r="FE74" s="14">
        <v>12</v>
      </c>
      <c r="FF74" s="14">
        <v>9</v>
      </c>
      <c r="FG74" s="14">
        <v>8</v>
      </c>
      <c r="FH74" s="14">
        <v>3</v>
      </c>
      <c r="FI74" s="14">
        <v>1</v>
      </c>
      <c r="FJ74" s="14">
        <v>2</v>
      </c>
      <c r="FK74" s="14">
        <v>2</v>
      </c>
      <c r="FL74" s="14"/>
      <c r="FM74" s="14"/>
      <c r="FN74" s="14"/>
      <c r="FR74" s="12">
        <f t="shared" si="130"/>
        <v>0</v>
      </c>
      <c r="FS74" s="12">
        <f t="shared" si="131"/>
        <v>0</v>
      </c>
      <c r="FT74" s="12">
        <f t="shared" si="132"/>
        <v>0</v>
      </c>
      <c r="FU74" s="12">
        <f t="shared" si="133"/>
        <v>0</v>
      </c>
      <c r="FV74" s="12">
        <f t="shared" si="134"/>
        <v>0</v>
      </c>
      <c r="FW74" s="12">
        <f t="shared" si="135"/>
        <v>0</v>
      </c>
      <c r="FX74" s="12">
        <f t="shared" si="136"/>
        <v>0</v>
      </c>
      <c r="FY74" s="12">
        <f t="shared" si="137"/>
        <v>0</v>
      </c>
      <c r="FZ74" s="12">
        <f t="shared" si="138"/>
        <v>0</v>
      </c>
      <c r="GA74" s="12">
        <f t="shared" si="139"/>
        <v>0</v>
      </c>
      <c r="GB74" s="12">
        <f t="shared" si="140"/>
        <v>0</v>
      </c>
      <c r="GC74" s="12">
        <f t="shared" si="141"/>
        <v>0</v>
      </c>
      <c r="GD74" s="12">
        <f t="shared" si="142"/>
        <v>0</v>
      </c>
      <c r="GE74" s="12">
        <f t="shared" si="143"/>
        <v>0</v>
      </c>
      <c r="GF74" s="12">
        <f t="shared" si="144"/>
        <v>0</v>
      </c>
      <c r="GG74" s="12">
        <f t="shared" si="145"/>
        <v>0</v>
      </c>
      <c r="GH74" s="12">
        <f t="shared" si="146"/>
        <v>0</v>
      </c>
      <c r="GI74" s="12">
        <f t="shared" si="147"/>
        <v>0</v>
      </c>
      <c r="GJ74" s="12">
        <f t="shared" si="148"/>
        <v>0</v>
      </c>
      <c r="GK74" s="12">
        <f t="shared" si="149"/>
        <v>0</v>
      </c>
      <c r="GL74" s="12">
        <f t="shared" si="150"/>
        <v>0</v>
      </c>
      <c r="GM74" s="12">
        <f t="shared" si="151"/>
        <v>0</v>
      </c>
      <c r="GN74" s="12">
        <f t="shared" si="152"/>
        <v>0</v>
      </c>
      <c r="GO74" s="12">
        <f t="shared" si="153"/>
        <v>0</v>
      </c>
      <c r="GP74" s="12">
        <f t="shared" si="154"/>
        <v>2</v>
      </c>
      <c r="GQ74" s="12">
        <f t="shared" si="155"/>
        <v>25</v>
      </c>
      <c r="GR74" s="12">
        <f t="shared" si="156"/>
        <v>28</v>
      </c>
      <c r="GS74" s="12">
        <f t="shared" si="157"/>
        <v>97</v>
      </c>
      <c r="GT74" s="12">
        <f t="shared" si="158"/>
        <v>95</v>
      </c>
      <c r="GU74" s="12">
        <f t="shared" si="159"/>
        <v>60</v>
      </c>
      <c r="GV74" s="12">
        <f t="shared" si="160"/>
        <v>56</v>
      </c>
      <c r="GW74" s="12">
        <f t="shared" si="161"/>
        <v>84</v>
      </c>
      <c r="GX74" s="12">
        <f t="shared" si="162"/>
        <v>46</v>
      </c>
      <c r="GY74" s="12">
        <f t="shared" si="163"/>
        <v>91</v>
      </c>
      <c r="GZ74" s="12">
        <f t="shared" si="99"/>
        <v>75</v>
      </c>
      <c r="HA74" s="12">
        <f t="shared" si="100"/>
        <v>22</v>
      </c>
      <c r="HB74" s="12">
        <f t="shared" si="101"/>
        <v>15</v>
      </c>
      <c r="HC74" s="12">
        <f t="shared" si="102"/>
        <v>31</v>
      </c>
      <c r="HD74" s="12">
        <f t="shared" si="103"/>
        <v>27</v>
      </c>
      <c r="HE74" s="12">
        <f t="shared" si="104"/>
        <v>19</v>
      </c>
      <c r="HF74" s="12">
        <f t="shared" si="105"/>
        <v>32</v>
      </c>
      <c r="HG74" s="12">
        <f t="shared" si="106"/>
        <v>74</v>
      </c>
      <c r="HH74" s="12">
        <f t="shared" si="107"/>
        <v>27</v>
      </c>
      <c r="HI74" s="12">
        <f t="shared" si="108"/>
        <v>42</v>
      </c>
      <c r="HJ74" s="12">
        <f t="shared" si="109"/>
        <v>46</v>
      </c>
      <c r="HK74" s="12">
        <f t="shared" si="110"/>
        <v>21</v>
      </c>
      <c r="HL74" s="12">
        <f t="shared" si="111"/>
        <v>79</v>
      </c>
      <c r="HM74" s="12">
        <f t="shared" si="112"/>
        <v>7</v>
      </c>
      <c r="HN74" s="12">
        <f t="shared" si="125"/>
        <v>46</v>
      </c>
      <c r="HO74" s="12">
        <f t="shared" si="126"/>
        <v>21</v>
      </c>
      <c r="HP74" s="12">
        <f t="shared" si="127"/>
        <v>79</v>
      </c>
      <c r="HQ74" s="12">
        <f t="shared" si="128"/>
        <v>7</v>
      </c>
      <c r="HR74" s="12">
        <f t="shared" si="129"/>
        <v>13</v>
      </c>
      <c r="HS74" s="12">
        <f t="shared" si="122"/>
        <v>18</v>
      </c>
      <c r="HT74" s="12">
        <f t="shared" si="113"/>
        <v>3</v>
      </c>
      <c r="HU74" s="12">
        <f t="shared" si="114"/>
        <v>2</v>
      </c>
      <c r="HV74" s="12">
        <f t="shared" si="115"/>
        <v>12</v>
      </c>
      <c r="HW74" s="12">
        <f t="shared" si="116"/>
        <v>20</v>
      </c>
      <c r="HX74" s="12">
        <f t="shared" si="117"/>
        <v>5</v>
      </c>
      <c r="IB74" s="12">
        <f t="shared" si="164"/>
        <v>0</v>
      </c>
      <c r="IC74" s="12">
        <f t="shared" si="165"/>
        <v>0</v>
      </c>
      <c r="ID74" s="12">
        <f t="shared" si="166"/>
        <v>0</v>
      </c>
      <c r="IE74" s="12">
        <f t="shared" si="167"/>
        <v>0</v>
      </c>
      <c r="IF74" s="12">
        <f t="shared" si="168"/>
        <v>0</v>
      </c>
      <c r="IG74" s="12">
        <f t="shared" si="169"/>
        <v>0</v>
      </c>
      <c r="IH74" s="12">
        <f t="shared" si="170"/>
        <v>152</v>
      </c>
      <c r="II74" s="12">
        <f t="shared" si="171"/>
        <v>295</v>
      </c>
      <c r="IJ74" s="12">
        <f t="shared" si="118"/>
        <v>234</v>
      </c>
      <c r="IK74" s="12">
        <f t="shared" si="119"/>
        <v>95</v>
      </c>
      <c r="IL74" s="12">
        <f t="shared" si="120"/>
        <v>175</v>
      </c>
      <c r="IM74" s="12">
        <f t="shared" si="121"/>
        <v>153</v>
      </c>
      <c r="IN74" s="12">
        <f t="shared" si="90"/>
        <v>36</v>
      </c>
    </row>
    <row r="75" spans="1:248" outlineLevel="1" x14ac:dyDescent="0.3">
      <c r="A75" s="15" t="s">
        <v>107</v>
      </c>
      <c r="B75" s="15"/>
      <c r="C75" s="16">
        <f t="shared" ref="C75:BN75" si="172">+SUM(C71:C74)</f>
        <v>0</v>
      </c>
      <c r="D75" s="16">
        <f t="shared" si="172"/>
        <v>0</v>
      </c>
      <c r="E75" s="16">
        <f t="shared" si="172"/>
        <v>0</v>
      </c>
      <c r="F75" s="16">
        <f t="shared" si="172"/>
        <v>0</v>
      </c>
      <c r="G75" s="16">
        <f t="shared" si="172"/>
        <v>0</v>
      </c>
      <c r="H75" s="16">
        <f t="shared" si="172"/>
        <v>0</v>
      </c>
      <c r="I75" s="16">
        <f t="shared" si="172"/>
        <v>0</v>
      </c>
      <c r="J75" s="16">
        <f t="shared" si="172"/>
        <v>0</v>
      </c>
      <c r="K75" s="16">
        <f t="shared" si="172"/>
        <v>0</v>
      </c>
      <c r="L75" s="16">
        <f t="shared" si="172"/>
        <v>0</v>
      </c>
      <c r="M75" s="16">
        <f t="shared" si="172"/>
        <v>0</v>
      </c>
      <c r="N75" s="16">
        <f t="shared" si="172"/>
        <v>0</v>
      </c>
      <c r="O75" s="16">
        <f t="shared" si="172"/>
        <v>0</v>
      </c>
      <c r="P75" s="16">
        <f t="shared" si="172"/>
        <v>0</v>
      </c>
      <c r="Q75" s="16">
        <f t="shared" si="172"/>
        <v>0</v>
      </c>
      <c r="R75" s="16">
        <f t="shared" si="172"/>
        <v>0</v>
      </c>
      <c r="S75" s="16">
        <f t="shared" si="172"/>
        <v>0</v>
      </c>
      <c r="T75" s="16">
        <f t="shared" si="172"/>
        <v>0</v>
      </c>
      <c r="U75" s="16">
        <f t="shared" si="172"/>
        <v>0</v>
      </c>
      <c r="V75" s="16">
        <f t="shared" si="172"/>
        <v>0</v>
      </c>
      <c r="W75" s="16">
        <f t="shared" si="172"/>
        <v>0</v>
      </c>
      <c r="X75" s="16">
        <f t="shared" si="172"/>
        <v>0</v>
      </c>
      <c r="Y75" s="16">
        <f t="shared" si="172"/>
        <v>0</v>
      </c>
      <c r="Z75" s="16">
        <f t="shared" si="172"/>
        <v>0</v>
      </c>
      <c r="AA75" s="17">
        <f t="shared" si="172"/>
        <v>0</v>
      </c>
      <c r="AB75" s="17">
        <f t="shared" si="172"/>
        <v>0</v>
      </c>
      <c r="AC75" s="17">
        <f t="shared" si="172"/>
        <v>0</v>
      </c>
      <c r="AD75" s="17">
        <f t="shared" si="172"/>
        <v>0</v>
      </c>
      <c r="AE75" s="17">
        <f t="shared" si="172"/>
        <v>0</v>
      </c>
      <c r="AF75" s="17">
        <f t="shared" si="172"/>
        <v>0</v>
      </c>
      <c r="AG75" s="17">
        <f t="shared" si="172"/>
        <v>0</v>
      </c>
      <c r="AH75" s="17">
        <f t="shared" si="172"/>
        <v>0</v>
      </c>
      <c r="AI75" s="17">
        <f t="shared" si="172"/>
        <v>0</v>
      </c>
      <c r="AJ75" s="17">
        <f t="shared" si="172"/>
        <v>0</v>
      </c>
      <c r="AK75" s="17">
        <f t="shared" si="172"/>
        <v>0</v>
      </c>
      <c r="AL75" s="18">
        <f t="shared" si="172"/>
        <v>0</v>
      </c>
      <c r="AM75" s="17">
        <f t="shared" si="172"/>
        <v>0</v>
      </c>
      <c r="AN75" s="17">
        <f t="shared" si="172"/>
        <v>0</v>
      </c>
      <c r="AO75" s="17">
        <f t="shared" si="172"/>
        <v>0</v>
      </c>
      <c r="AP75" s="17">
        <f t="shared" si="172"/>
        <v>0</v>
      </c>
      <c r="AQ75" s="17">
        <f t="shared" si="172"/>
        <v>0</v>
      </c>
      <c r="AR75" s="17">
        <f t="shared" si="172"/>
        <v>0</v>
      </c>
      <c r="AS75" s="17">
        <f t="shared" si="172"/>
        <v>0</v>
      </c>
      <c r="AT75" s="17">
        <f t="shared" si="172"/>
        <v>0</v>
      </c>
      <c r="AU75" s="17">
        <f t="shared" si="172"/>
        <v>0</v>
      </c>
      <c r="AV75" s="17">
        <f t="shared" si="172"/>
        <v>0</v>
      </c>
      <c r="AW75" s="17">
        <f t="shared" si="172"/>
        <v>0</v>
      </c>
      <c r="AX75" s="17">
        <f t="shared" si="172"/>
        <v>0</v>
      </c>
      <c r="AY75" s="17">
        <f t="shared" si="172"/>
        <v>0</v>
      </c>
      <c r="AZ75" s="17">
        <f t="shared" si="172"/>
        <v>0</v>
      </c>
      <c r="BA75" s="17">
        <f t="shared" si="172"/>
        <v>0</v>
      </c>
      <c r="BB75" s="17">
        <f t="shared" si="172"/>
        <v>0</v>
      </c>
      <c r="BC75" s="17">
        <f t="shared" si="172"/>
        <v>0</v>
      </c>
      <c r="BD75" s="17">
        <f t="shared" si="172"/>
        <v>0</v>
      </c>
      <c r="BE75" s="17">
        <f t="shared" si="172"/>
        <v>0</v>
      </c>
      <c r="BF75" s="17">
        <f t="shared" si="172"/>
        <v>0</v>
      </c>
      <c r="BG75" s="17">
        <f t="shared" si="172"/>
        <v>0</v>
      </c>
      <c r="BH75" s="17">
        <f t="shared" si="172"/>
        <v>0</v>
      </c>
      <c r="BI75" s="17">
        <f t="shared" si="172"/>
        <v>0</v>
      </c>
      <c r="BJ75" s="17">
        <f t="shared" si="172"/>
        <v>0</v>
      </c>
      <c r="BK75" s="17">
        <f t="shared" si="172"/>
        <v>0</v>
      </c>
      <c r="BL75" s="17">
        <f t="shared" si="172"/>
        <v>0</v>
      </c>
      <c r="BM75" s="17">
        <f t="shared" si="172"/>
        <v>0</v>
      </c>
      <c r="BN75" s="17">
        <f t="shared" si="172"/>
        <v>0</v>
      </c>
      <c r="BO75" s="17">
        <f t="shared" ref="BO75:DA75" si="173">+SUM(BO71:BO74)</f>
        <v>0</v>
      </c>
      <c r="BP75" s="17">
        <f t="shared" si="173"/>
        <v>0</v>
      </c>
      <c r="BQ75" s="17">
        <f t="shared" si="173"/>
        <v>0</v>
      </c>
      <c r="BR75" s="17">
        <f t="shared" si="173"/>
        <v>0</v>
      </c>
      <c r="BS75" s="17">
        <f t="shared" si="173"/>
        <v>0</v>
      </c>
      <c r="BT75" s="17">
        <f t="shared" si="173"/>
        <v>0</v>
      </c>
      <c r="BU75" s="17">
        <f t="shared" si="173"/>
        <v>0</v>
      </c>
      <c r="BV75" s="17">
        <f t="shared" si="173"/>
        <v>0</v>
      </c>
      <c r="BW75" s="17">
        <f t="shared" si="173"/>
        <v>0</v>
      </c>
      <c r="BX75" s="17">
        <f t="shared" si="173"/>
        <v>0</v>
      </c>
      <c r="BY75" s="17">
        <f t="shared" si="173"/>
        <v>306</v>
      </c>
      <c r="BZ75" s="17">
        <f t="shared" si="173"/>
        <v>167</v>
      </c>
      <c r="CA75" s="17">
        <f t="shared" si="173"/>
        <v>238</v>
      </c>
      <c r="CB75" s="17">
        <f t="shared" si="173"/>
        <v>362</v>
      </c>
      <c r="CC75" s="17">
        <f t="shared" si="173"/>
        <v>413</v>
      </c>
      <c r="CD75" s="17">
        <f t="shared" si="173"/>
        <v>286</v>
      </c>
      <c r="CE75" s="17">
        <f t="shared" si="173"/>
        <v>204</v>
      </c>
      <c r="CF75" s="17">
        <f t="shared" si="173"/>
        <v>272</v>
      </c>
      <c r="CG75" s="17">
        <f t="shared" si="173"/>
        <v>145</v>
      </c>
      <c r="CH75" s="17">
        <f t="shared" si="173"/>
        <v>135</v>
      </c>
      <c r="CI75" s="17">
        <f t="shared" si="173"/>
        <v>197</v>
      </c>
      <c r="CJ75" s="17">
        <f t="shared" si="173"/>
        <v>236</v>
      </c>
      <c r="CK75" s="17">
        <f t="shared" si="173"/>
        <v>210</v>
      </c>
      <c r="CL75" s="17">
        <f t="shared" si="173"/>
        <v>170</v>
      </c>
      <c r="CM75" s="17">
        <f t="shared" si="173"/>
        <v>206</v>
      </c>
      <c r="CN75" s="17">
        <f t="shared" si="173"/>
        <v>328</v>
      </c>
      <c r="CO75" s="17">
        <f t="shared" si="173"/>
        <v>371</v>
      </c>
      <c r="CP75" s="17">
        <f t="shared" si="173"/>
        <v>278</v>
      </c>
      <c r="CQ75" s="17">
        <f t="shared" si="173"/>
        <v>191</v>
      </c>
      <c r="CR75" s="17">
        <f t="shared" si="173"/>
        <v>290</v>
      </c>
      <c r="CS75" s="17">
        <f t="shared" si="173"/>
        <v>249</v>
      </c>
      <c r="CT75" s="17">
        <f t="shared" si="173"/>
        <v>149</v>
      </c>
      <c r="CU75" s="17">
        <f t="shared" si="173"/>
        <v>52</v>
      </c>
      <c r="CV75" s="17">
        <f t="shared" si="173"/>
        <v>243</v>
      </c>
      <c r="CW75" s="17">
        <f t="shared" si="173"/>
        <v>303</v>
      </c>
      <c r="CX75" s="17">
        <f t="shared" si="173"/>
        <v>331</v>
      </c>
      <c r="CY75" s="17">
        <f t="shared" si="173"/>
        <v>310</v>
      </c>
      <c r="CZ75" s="17">
        <f t="shared" si="173"/>
        <v>480</v>
      </c>
      <c r="DA75" s="17">
        <f t="shared" si="173"/>
        <v>551</v>
      </c>
      <c r="DB75" s="17">
        <f>+SUM(DB71:DB74)</f>
        <v>410</v>
      </c>
      <c r="DC75" s="17">
        <f>+SUM(DC71:DC74)</f>
        <v>412</v>
      </c>
      <c r="DD75" s="17">
        <f>+SUM(DD71:DD74)</f>
        <v>464</v>
      </c>
      <c r="DE75" s="17">
        <v>465</v>
      </c>
      <c r="DF75" s="17">
        <v>590</v>
      </c>
      <c r="DG75" s="17">
        <v>507</v>
      </c>
      <c r="DH75" s="17">
        <v>508</v>
      </c>
      <c r="DI75" s="19">
        <v>565</v>
      </c>
      <c r="DJ75" s="19">
        <v>472</v>
      </c>
      <c r="DK75" s="19">
        <v>504</v>
      </c>
      <c r="DL75" s="19">
        <v>679</v>
      </c>
      <c r="DM75" s="19">
        <v>718</v>
      </c>
      <c r="DN75" s="19">
        <v>540</v>
      </c>
      <c r="DO75" s="19">
        <v>519</v>
      </c>
      <c r="DP75" s="19">
        <v>560</v>
      </c>
      <c r="DQ75" s="19">
        <v>606</v>
      </c>
      <c r="DR75" s="19">
        <v>752</v>
      </c>
      <c r="DS75" s="19">
        <v>560</v>
      </c>
      <c r="DT75" s="19">
        <v>577</v>
      </c>
      <c r="DU75" s="19">
        <v>515</v>
      </c>
      <c r="DV75" s="19">
        <v>468</v>
      </c>
      <c r="DW75" s="19">
        <v>454</v>
      </c>
      <c r="DX75" s="19">
        <v>681</v>
      </c>
      <c r="DY75" s="19">
        <v>602</v>
      </c>
      <c r="DZ75" s="19">
        <v>516</v>
      </c>
      <c r="EA75" s="19">
        <v>519</v>
      </c>
      <c r="EB75" s="19">
        <v>460</v>
      </c>
      <c r="EC75" s="19">
        <v>472</v>
      </c>
      <c r="ED75" s="19">
        <v>621</v>
      </c>
      <c r="EE75" s="19">
        <v>480</v>
      </c>
      <c r="EF75" s="19">
        <v>582</v>
      </c>
      <c r="EG75" s="19">
        <v>530</v>
      </c>
      <c r="EH75" s="19">
        <v>385</v>
      </c>
      <c r="EI75" s="19">
        <v>440</v>
      </c>
      <c r="EJ75" s="19">
        <v>406</v>
      </c>
      <c r="EK75" s="19">
        <v>453</v>
      </c>
      <c r="EL75" s="19">
        <v>460</v>
      </c>
      <c r="EM75" s="19">
        <v>412</v>
      </c>
      <c r="EN75" s="19">
        <v>392</v>
      </c>
      <c r="EO75" s="19">
        <v>355</v>
      </c>
      <c r="EP75" s="19">
        <v>412</v>
      </c>
      <c r="EQ75" s="19">
        <v>352</v>
      </c>
      <c r="ER75" s="19">
        <v>372</v>
      </c>
      <c r="ES75" s="19">
        <v>372</v>
      </c>
      <c r="ET75" s="19">
        <v>352</v>
      </c>
      <c r="EU75" s="19">
        <v>322</v>
      </c>
      <c r="EV75" s="19">
        <v>341</v>
      </c>
      <c r="EW75" s="19">
        <v>485</v>
      </c>
      <c r="EX75" s="19">
        <v>362</v>
      </c>
      <c r="EY75" s="19">
        <v>294</v>
      </c>
      <c r="EZ75" s="19">
        <v>316</v>
      </c>
      <c r="FA75" s="19">
        <v>298</v>
      </c>
      <c r="FB75" s="19">
        <v>533</v>
      </c>
      <c r="FC75" s="19">
        <v>366</v>
      </c>
      <c r="FD75" s="19">
        <v>386</v>
      </c>
      <c r="FE75" s="19">
        <v>396</v>
      </c>
      <c r="FF75" s="19">
        <v>358</v>
      </c>
      <c r="FG75" s="19">
        <v>338</v>
      </c>
      <c r="FH75" s="19">
        <v>402</v>
      </c>
      <c r="FI75" s="19">
        <v>548</v>
      </c>
      <c r="FJ75" s="19">
        <v>428</v>
      </c>
      <c r="FK75" s="19">
        <v>334</v>
      </c>
      <c r="FL75" s="20"/>
      <c r="FM75" s="20"/>
      <c r="FN75" s="20"/>
      <c r="FR75" s="17">
        <f t="shared" si="130"/>
        <v>0</v>
      </c>
      <c r="FS75" s="17">
        <f t="shared" si="131"/>
        <v>0</v>
      </c>
      <c r="FT75" s="17">
        <f t="shared" si="132"/>
        <v>0</v>
      </c>
      <c r="FU75" s="17">
        <f t="shared" si="133"/>
        <v>0</v>
      </c>
      <c r="FV75" s="17">
        <f t="shared" si="134"/>
        <v>0</v>
      </c>
      <c r="FW75" s="17">
        <f t="shared" si="135"/>
        <v>0</v>
      </c>
      <c r="FX75" s="17">
        <f t="shared" si="136"/>
        <v>0</v>
      </c>
      <c r="FY75" s="17">
        <f t="shared" si="137"/>
        <v>0</v>
      </c>
      <c r="FZ75" s="17">
        <f t="shared" si="138"/>
        <v>0</v>
      </c>
      <c r="GA75" s="17">
        <f t="shared" si="139"/>
        <v>0</v>
      </c>
      <c r="GB75" s="17">
        <f t="shared" si="140"/>
        <v>0</v>
      </c>
      <c r="GC75" s="17">
        <f t="shared" si="141"/>
        <v>0</v>
      </c>
      <c r="GD75" s="17">
        <f t="shared" si="142"/>
        <v>0</v>
      </c>
      <c r="GE75" s="17">
        <f t="shared" si="143"/>
        <v>0</v>
      </c>
      <c r="GF75" s="17">
        <f t="shared" si="144"/>
        <v>0</v>
      </c>
      <c r="GG75" s="17">
        <f t="shared" si="145"/>
        <v>0</v>
      </c>
      <c r="GH75" s="17">
        <f t="shared" si="146"/>
        <v>0</v>
      </c>
      <c r="GI75" s="17">
        <f t="shared" si="147"/>
        <v>0</v>
      </c>
      <c r="GJ75" s="17">
        <f t="shared" si="148"/>
        <v>0</v>
      </c>
      <c r="GK75" s="17">
        <f t="shared" si="149"/>
        <v>0</v>
      </c>
      <c r="GL75" s="17">
        <f t="shared" si="150"/>
        <v>0</v>
      </c>
      <c r="GM75" s="17">
        <f t="shared" si="151"/>
        <v>0</v>
      </c>
      <c r="GN75" s="17">
        <f t="shared" si="152"/>
        <v>0</v>
      </c>
      <c r="GO75" s="17">
        <f t="shared" si="153"/>
        <v>0</v>
      </c>
      <c r="GP75" s="17">
        <f t="shared" si="154"/>
        <v>306</v>
      </c>
      <c r="GQ75" s="17">
        <f t="shared" si="155"/>
        <v>767</v>
      </c>
      <c r="GR75" s="17">
        <f t="shared" si="156"/>
        <v>903</v>
      </c>
      <c r="GS75" s="17">
        <f t="shared" si="157"/>
        <v>552</v>
      </c>
      <c r="GT75" s="17">
        <f t="shared" si="158"/>
        <v>643</v>
      </c>
      <c r="GU75" s="17">
        <f t="shared" si="159"/>
        <v>704</v>
      </c>
      <c r="GV75" s="17">
        <f t="shared" si="160"/>
        <v>840</v>
      </c>
      <c r="GW75" s="17">
        <f t="shared" si="161"/>
        <v>688</v>
      </c>
      <c r="GX75" s="17">
        <f t="shared" si="162"/>
        <v>598</v>
      </c>
      <c r="GY75" s="17">
        <f t="shared" si="163"/>
        <v>1121</v>
      </c>
      <c r="GZ75" s="17">
        <f t="shared" si="99"/>
        <v>1373</v>
      </c>
      <c r="HA75" s="17">
        <f t="shared" si="100"/>
        <v>1519</v>
      </c>
      <c r="HB75" s="17">
        <f t="shared" si="101"/>
        <v>1015</v>
      </c>
      <c r="HC75" s="17">
        <f t="shared" si="102"/>
        <v>1655</v>
      </c>
      <c r="HD75" s="17">
        <f t="shared" si="103"/>
        <v>1777</v>
      </c>
      <c r="HE75" s="17">
        <f t="shared" si="104"/>
        <v>1918</v>
      </c>
      <c r="HF75" s="17">
        <f t="shared" si="105"/>
        <v>1652</v>
      </c>
      <c r="HG75" s="17">
        <f t="shared" si="106"/>
        <v>1603</v>
      </c>
      <c r="HH75" s="17">
        <f t="shared" si="107"/>
        <v>1637</v>
      </c>
      <c r="HI75" s="17">
        <f t="shared" si="108"/>
        <v>1553</v>
      </c>
      <c r="HJ75" s="17">
        <f t="shared" si="109"/>
        <v>1592</v>
      </c>
      <c r="HK75" s="17">
        <f t="shared" si="110"/>
        <v>1231</v>
      </c>
      <c r="HL75" s="17">
        <f t="shared" si="111"/>
        <v>1325</v>
      </c>
      <c r="HM75" s="17">
        <f t="shared" si="112"/>
        <v>1159</v>
      </c>
      <c r="HN75" s="17">
        <f t="shared" si="125"/>
        <v>1592</v>
      </c>
      <c r="HO75" s="17">
        <f t="shared" si="126"/>
        <v>1231</v>
      </c>
      <c r="HP75" s="17">
        <f t="shared" si="127"/>
        <v>1325</v>
      </c>
      <c r="HQ75" s="17">
        <f t="shared" si="128"/>
        <v>1159</v>
      </c>
      <c r="HR75" s="17">
        <f t="shared" si="129"/>
        <v>1096</v>
      </c>
      <c r="HS75" s="17">
        <f t="shared" si="122"/>
        <v>1015</v>
      </c>
      <c r="HT75" s="17">
        <f t="shared" si="113"/>
        <v>1141</v>
      </c>
      <c r="HU75" s="17">
        <f t="shared" si="114"/>
        <v>1147</v>
      </c>
      <c r="HV75" s="17">
        <f t="shared" si="115"/>
        <v>1148</v>
      </c>
      <c r="HW75" s="17">
        <f t="shared" si="116"/>
        <v>1098</v>
      </c>
      <c r="HX75" s="17">
        <f t="shared" si="117"/>
        <v>1310</v>
      </c>
      <c r="IB75" s="17">
        <f t="shared" si="164"/>
        <v>0</v>
      </c>
      <c r="IC75" s="17">
        <f t="shared" si="165"/>
        <v>0</v>
      </c>
      <c r="ID75" s="17">
        <f t="shared" si="166"/>
        <v>0</v>
      </c>
      <c r="IE75" s="17">
        <f t="shared" si="167"/>
        <v>0</v>
      </c>
      <c r="IF75" s="17">
        <f t="shared" si="168"/>
        <v>0</v>
      </c>
      <c r="IG75" s="17">
        <f t="shared" si="169"/>
        <v>0</v>
      </c>
      <c r="IH75" s="17">
        <f t="shared" si="170"/>
        <v>2528</v>
      </c>
      <c r="II75" s="17">
        <f t="shared" si="171"/>
        <v>2875</v>
      </c>
      <c r="IJ75" s="17">
        <f t="shared" si="118"/>
        <v>4611</v>
      </c>
      <c r="IK75" s="17">
        <f t="shared" si="119"/>
        <v>6930</v>
      </c>
      <c r="IL75" s="17">
        <f t="shared" si="120"/>
        <v>6445</v>
      </c>
      <c r="IM75" s="17">
        <f t="shared" si="121"/>
        <v>5307</v>
      </c>
      <c r="IN75" s="17">
        <f t="shared" si="90"/>
        <v>4399</v>
      </c>
    </row>
    <row r="76" spans="1:248" x14ac:dyDescent="0.3">
      <c r="A76" s="27" t="s">
        <v>108</v>
      </c>
      <c r="B76" s="27"/>
      <c r="C76" s="28">
        <f t="shared" ref="C76:BN76" si="174">C8+C12+C17+C22+C27+C32+C37+C41+C46+C50+C55+C60+C65+C70+C75</f>
        <v>40464</v>
      </c>
      <c r="D76" s="28">
        <f t="shared" si="174"/>
        <v>44190</v>
      </c>
      <c r="E76" s="28">
        <f t="shared" si="174"/>
        <v>51987</v>
      </c>
      <c r="F76" s="28">
        <f t="shared" si="174"/>
        <v>38173</v>
      </c>
      <c r="G76" s="28">
        <f t="shared" si="174"/>
        <v>31127</v>
      </c>
      <c r="H76" s="28">
        <f t="shared" si="174"/>
        <v>47296</v>
      </c>
      <c r="I76" s="28">
        <f t="shared" si="174"/>
        <v>68391</v>
      </c>
      <c r="J76" s="28">
        <f t="shared" si="174"/>
        <v>47533</v>
      </c>
      <c r="K76" s="28">
        <f t="shared" si="174"/>
        <v>34768</v>
      </c>
      <c r="L76" s="28">
        <f t="shared" si="174"/>
        <v>39761</v>
      </c>
      <c r="M76" s="28">
        <f t="shared" si="174"/>
        <v>38010</v>
      </c>
      <c r="N76" s="28">
        <f t="shared" si="174"/>
        <v>46068</v>
      </c>
      <c r="O76" s="28">
        <f t="shared" si="174"/>
        <v>55163</v>
      </c>
      <c r="P76" s="28">
        <f t="shared" si="174"/>
        <v>54572</v>
      </c>
      <c r="Q76" s="28">
        <f t="shared" si="174"/>
        <v>62751</v>
      </c>
      <c r="R76" s="28">
        <f t="shared" si="174"/>
        <v>42887</v>
      </c>
      <c r="S76" s="28">
        <f t="shared" si="174"/>
        <v>34510</v>
      </c>
      <c r="T76" s="28">
        <f t="shared" si="174"/>
        <v>63886</v>
      </c>
      <c r="U76" s="28">
        <f t="shared" si="174"/>
        <v>88938</v>
      </c>
      <c r="V76" s="28">
        <f t="shared" si="174"/>
        <v>53472</v>
      </c>
      <c r="W76" s="28">
        <f t="shared" si="174"/>
        <v>39293</v>
      </c>
      <c r="X76" s="28">
        <f t="shared" si="174"/>
        <v>46323</v>
      </c>
      <c r="Y76" s="28">
        <f t="shared" si="174"/>
        <v>43779</v>
      </c>
      <c r="Z76" s="28">
        <f t="shared" si="174"/>
        <v>48577</v>
      </c>
      <c r="AA76" s="28">
        <f t="shared" si="174"/>
        <v>49668</v>
      </c>
      <c r="AB76" s="28">
        <f t="shared" si="174"/>
        <v>54625</v>
      </c>
      <c r="AC76" s="28">
        <f t="shared" si="174"/>
        <v>66172</v>
      </c>
      <c r="AD76" s="28">
        <f t="shared" si="174"/>
        <v>40345</v>
      </c>
      <c r="AE76" s="28">
        <f t="shared" si="174"/>
        <v>32953</v>
      </c>
      <c r="AF76" s="28">
        <f t="shared" si="174"/>
        <v>68353</v>
      </c>
      <c r="AG76" s="28">
        <f t="shared" si="174"/>
        <v>77983</v>
      </c>
      <c r="AH76" s="28">
        <f t="shared" si="174"/>
        <v>36219</v>
      </c>
      <c r="AI76" s="28">
        <f t="shared" si="174"/>
        <v>27945</v>
      </c>
      <c r="AJ76" s="28">
        <f t="shared" si="174"/>
        <v>33964</v>
      </c>
      <c r="AK76" s="28">
        <f t="shared" si="174"/>
        <v>29416</v>
      </c>
      <c r="AL76" s="28">
        <f t="shared" si="174"/>
        <v>33820</v>
      </c>
      <c r="AM76" s="28">
        <f t="shared" si="174"/>
        <v>40244</v>
      </c>
      <c r="AN76" s="28">
        <f t="shared" si="174"/>
        <v>44716</v>
      </c>
      <c r="AO76" s="28">
        <f t="shared" si="174"/>
        <v>57550</v>
      </c>
      <c r="AP76" s="28">
        <f t="shared" si="174"/>
        <v>35315</v>
      </c>
      <c r="AQ76" s="28">
        <f t="shared" si="174"/>
        <v>26074</v>
      </c>
      <c r="AR76" s="28">
        <f t="shared" si="174"/>
        <v>45089</v>
      </c>
      <c r="AS76" s="28">
        <f t="shared" si="174"/>
        <v>65098</v>
      </c>
      <c r="AT76" s="28">
        <f t="shared" si="174"/>
        <v>46885</v>
      </c>
      <c r="AU76" s="28">
        <f t="shared" si="174"/>
        <v>27898</v>
      </c>
      <c r="AV76" s="28">
        <f t="shared" si="174"/>
        <v>34128</v>
      </c>
      <c r="AW76" s="28">
        <f t="shared" si="174"/>
        <v>32096</v>
      </c>
      <c r="AX76" s="28">
        <f t="shared" si="174"/>
        <v>38671</v>
      </c>
      <c r="AY76" s="28">
        <f t="shared" si="174"/>
        <v>46031</v>
      </c>
      <c r="AZ76" s="28">
        <f t="shared" si="174"/>
        <v>51566</v>
      </c>
      <c r="BA76" s="28">
        <f t="shared" si="174"/>
        <v>65938</v>
      </c>
      <c r="BB76" s="28">
        <f t="shared" si="174"/>
        <v>38248</v>
      </c>
      <c r="BC76" s="28">
        <f t="shared" si="174"/>
        <v>30319</v>
      </c>
      <c r="BD76" s="28">
        <f t="shared" si="174"/>
        <v>67361</v>
      </c>
      <c r="BE76" s="28">
        <f t="shared" si="174"/>
        <v>93907</v>
      </c>
      <c r="BF76" s="28">
        <f t="shared" si="174"/>
        <v>40763</v>
      </c>
      <c r="BG76" s="28">
        <f t="shared" si="174"/>
        <v>30038</v>
      </c>
      <c r="BH76" s="28">
        <f t="shared" si="174"/>
        <v>36021</v>
      </c>
      <c r="BI76" s="28">
        <f t="shared" si="174"/>
        <v>34492</v>
      </c>
      <c r="BJ76" s="28">
        <f t="shared" si="174"/>
        <v>48160</v>
      </c>
      <c r="BK76" s="28">
        <f t="shared" si="174"/>
        <v>54917</v>
      </c>
      <c r="BL76" s="28">
        <f t="shared" si="174"/>
        <v>57598</v>
      </c>
      <c r="BM76" s="28">
        <f t="shared" si="174"/>
        <v>64808</v>
      </c>
      <c r="BN76" s="28">
        <f t="shared" si="174"/>
        <v>43755</v>
      </c>
      <c r="BO76" s="28">
        <f t="shared" ref="BO76:CC76" si="175">BO8+BO12+BO17+BO22+BO27+BO32+BO37+BO41+BO46+BO50+BO55+BO60+BO65+BO70+BO75</f>
        <v>40765</v>
      </c>
      <c r="BP76" s="28">
        <f t="shared" si="175"/>
        <v>101228</v>
      </c>
      <c r="BQ76" s="28">
        <f t="shared" si="175"/>
        <v>91383</v>
      </c>
      <c r="BR76" s="28">
        <f t="shared" si="175"/>
        <v>47807</v>
      </c>
      <c r="BS76" s="28">
        <f t="shared" si="175"/>
        <v>38370</v>
      </c>
      <c r="BT76" s="28">
        <f t="shared" si="175"/>
        <v>49753</v>
      </c>
      <c r="BU76" s="28">
        <f t="shared" si="175"/>
        <v>47807</v>
      </c>
      <c r="BV76" s="28">
        <f t="shared" si="175"/>
        <v>73287</v>
      </c>
      <c r="BW76" s="28">
        <f t="shared" si="175"/>
        <v>65283</v>
      </c>
      <c r="BX76" s="28">
        <f t="shared" si="175"/>
        <v>68901</v>
      </c>
      <c r="BY76" s="28">
        <f t="shared" si="175"/>
        <v>87662</v>
      </c>
      <c r="BZ76" s="28">
        <f t="shared" si="175"/>
        <v>52463</v>
      </c>
      <c r="CA76" s="28">
        <f t="shared" si="175"/>
        <v>44390</v>
      </c>
      <c r="CB76" s="28">
        <f t="shared" si="175"/>
        <v>88820</v>
      </c>
      <c r="CC76" s="28">
        <f t="shared" si="175"/>
        <v>112556</v>
      </c>
      <c r="CD76" s="28">
        <f>CD8+CD12+CD17+CD22+CD27+CD32+CD41+CD37+CD46+CD50+CD55+CD60+CD65+CD70+CD75</f>
        <v>62702</v>
      </c>
      <c r="CE76" s="28">
        <v>41796</v>
      </c>
      <c r="CF76" s="28">
        <v>50961</v>
      </c>
      <c r="CG76" s="28">
        <v>47560</v>
      </c>
      <c r="CH76" s="28">
        <v>62315</v>
      </c>
      <c r="CI76" s="28">
        <f>CI8+CI12+CI17+CI22+CI27+CI32+CI37+CI41+CI46+CI50+CI55+CI60+CI65+CI70+CI75</f>
        <v>57355</v>
      </c>
      <c r="CJ76" s="28">
        <f>CJ8+CJ12+CJ17+CJ22+CJ27+CJ32+CJ37+CJ41+CJ46+CJ50+CJ55+CJ60+CJ65+CJ70+CJ75</f>
        <v>58091</v>
      </c>
      <c r="CK76" s="28">
        <f>CK8+CK12+CK17+CK22+CK27+CK32+CK41+CK37+CK46+CK50+CK55+CK60+CK65+CK70+CK75</f>
        <v>75859</v>
      </c>
      <c r="CL76" s="28">
        <f>CL8+CL12+CL17+CL22+CL27+CL32+CL41+CL37+CL46+CL50+CL55+CL60+CL65+CL70+CL75</f>
        <v>45571</v>
      </c>
      <c r="CM76" s="28">
        <v>37050</v>
      </c>
      <c r="CN76" s="28">
        <v>84636</v>
      </c>
      <c r="CO76" s="28">
        <f>CO8+CO12+CO17+CO22+CO27+CO32+CO41+CO37+CO46+CO50+CO55+CO60+CO65+CO70+CO75</f>
        <v>106889</v>
      </c>
      <c r="CP76" s="28">
        <f>CP8+CP12+CP17+CP22+CP27+CP32+CP41+CP37+CP46+CP50+CP55+CP60+CP65+CP70+CP75</f>
        <v>54432</v>
      </c>
      <c r="CQ76" s="28">
        <f>CQ8+CQ12+CQ17+CQ22+CQ27+CQ32+CQ41+CQ37+CQ46+CQ50+CQ55+CQ60+CQ65+CQ70+CQ75</f>
        <v>42806</v>
      </c>
      <c r="CR76" s="28">
        <v>53387</v>
      </c>
      <c r="CS76" s="28">
        <v>57710</v>
      </c>
      <c r="CT76" s="28">
        <f t="shared" ref="CT76:DD76" si="176">CT8+CT12+CT17+CT22+CT27+CT32+CT41+CT37+CT46+CT50+CT55+CT60+CT65+CT70+CT75</f>
        <v>35216</v>
      </c>
      <c r="CU76" s="28">
        <f t="shared" si="176"/>
        <v>11827</v>
      </c>
      <c r="CV76" s="28">
        <f t="shared" si="176"/>
        <v>60441</v>
      </c>
      <c r="CW76" s="28">
        <f t="shared" si="176"/>
        <v>92888</v>
      </c>
      <c r="CX76" s="28">
        <f t="shared" si="176"/>
        <v>63137</v>
      </c>
      <c r="CY76" s="28">
        <f t="shared" si="176"/>
        <v>64729</v>
      </c>
      <c r="CZ76" s="28">
        <f t="shared" si="176"/>
        <v>108585</v>
      </c>
      <c r="DA76" s="28">
        <f t="shared" si="176"/>
        <v>115155</v>
      </c>
      <c r="DB76" s="28">
        <f t="shared" si="176"/>
        <v>82330</v>
      </c>
      <c r="DC76" s="28">
        <f t="shared" si="176"/>
        <v>61249</v>
      </c>
      <c r="DD76" s="28">
        <f t="shared" si="176"/>
        <v>78345</v>
      </c>
      <c r="DE76" s="28">
        <v>75645</v>
      </c>
      <c r="DF76" s="28">
        <v>85076</v>
      </c>
      <c r="DG76" s="28">
        <v>63422</v>
      </c>
      <c r="DH76" s="28">
        <v>55609</v>
      </c>
      <c r="DI76" s="29">
        <v>110399</v>
      </c>
      <c r="DJ76" s="29">
        <v>65216</v>
      </c>
      <c r="DK76" s="29">
        <v>53721</v>
      </c>
      <c r="DL76" s="29">
        <v>92465</v>
      </c>
      <c r="DM76" s="29">
        <v>115615</v>
      </c>
      <c r="DN76" s="29">
        <v>63783</v>
      </c>
      <c r="DO76" s="29">
        <v>44428</v>
      </c>
      <c r="DP76" s="29">
        <v>52767</v>
      </c>
      <c r="DQ76" s="29">
        <v>51953</v>
      </c>
      <c r="DR76" s="29">
        <v>72888</v>
      </c>
      <c r="DS76" s="29">
        <v>89201</v>
      </c>
      <c r="DT76" s="29">
        <v>81940</v>
      </c>
      <c r="DU76" s="29">
        <v>94477</v>
      </c>
      <c r="DV76" s="29">
        <v>55211</v>
      </c>
      <c r="DW76" s="29">
        <v>52691</v>
      </c>
      <c r="DX76" s="29">
        <v>113686</v>
      </c>
      <c r="DY76" s="29">
        <v>123525</v>
      </c>
      <c r="DZ76" s="29">
        <v>67940</v>
      </c>
      <c r="EA76" s="29">
        <v>55782</v>
      </c>
      <c r="EB76" s="29">
        <v>65635</v>
      </c>
      <c r="EC76" s="29">
        <v>62367</v>
      </c>
      <c r="ED76" s="29">
        <v>82856</v>
      </c>
      <c r="EE76" s="29">
        <v>79288</v>
      </c>
      <c r="EF76" s="29">
        <v>82907</v>
      </c>
      <c r="EG76" s="29">
        <v>98422</v>
      </c>
      <c r="EH76" s="29">
        <v>58583</v>
      </c>
      <c r="EI76" s="29">
        <v>53249</v>
      </c>
      <c r="EJ76" s="29">
        <v>96934</v>
      </c>
      <c r="EK76" s="29">
        <v>118232</v>
      </c>
      <c r="EL76" s="29">
        <v>72266</v>
      </c>
      <c r="EM76" s="29">
        <v>44735</v>
      </c>
      <c r="EN76" s="29">
        <v>55589</v>
      </c>
      <c r="EO76" s="29">
        <v>51764</v>
      </c>
      <c r="EP76" s="29">
        <v>63755</v>
      </c>
      <c r="EQ76" s="29">
        <v>76945</v>
      </c>
      <c r="ER76" s="29">
        <v>82948</v>
      </c>
      <c r="ES76" s="29">
        <v>101981</v>
      </c>
      <c r="ET76" s="29">
        <v>59529</v>
      </c>
      <c r="EU76" s="29">
        <v>50134</v>
      </c>
      <c r="EV76" s="29">
        <v>100542</v>
      </c>
      <c r="EW76" s="29">
        <v>144675</v>
      </c>
      <c r="EX76" s="29">
        <v>71300</v>
      </c>
      <c r="EY76" s="29">
        <v>50993</v>
      </c>
      <c r="EZ76" s="29">
        <v>61923</v>
      </c>
      <c r="FA76" s="29">
        <v>58797</v>
      </c>
      <c r="FB76" s="29">
        <v>79946</v>
      </c>
      <c r="FC76" s="29">
        <v>82839</v>
      </c>
      <c r="FD76" s="29">
        <v>90500</v>
      </c>
      <c r="FE76" s="29">
        <v>112677</v>
      </c>
      <c r="FF76" s="29">
        <v>64320</v>
      </c>
      <c r="FG76" s="29">
        <v>64322</v>
      </c>
      <c r="FH76" s="29">
        <v>146180</v>
      </c>
      <c r="FI76" s="29">
        <v>166145</v>
      </c>
      <c r="FJ76" s="29">
        <v>92742</v>
      </c>
      <c r="FK76" s="29">
        <v>69890</v>
      </c>
      <c r="FL76" s="30"/>
      <c r="FM76" s="30"/>
      <c r="FN76" s="30"/>
      <c r="FR76" s="28">
        <f t="shared" si="130"/>
        <v>136641</v>
      </c>
      <c r="FS76" s="28">
        <f t="shared" si="131"/>
        <v>116596</v>
      </c>
      <c r="FT76" s="28">
        <f t="shared" si="132"/>
        <v>150692</v>
      </c>
      <c r="FU76" s="28">
        <f t="shared" si="133"/>
        <v>123839</v>
      </c>
      <c r="FV76" s="28">
        <f t="shared" si="134"/>
        <v>172486</v>
      </c>
      <c r="FW76" s="28">
        <f t="shared" si="135"/>
        <v>141283</v>
      </c>
      <c r="FX76" s="28">
        <f t="shared" si="136"/>
        <v>181703</v>
      </c>
      <c r="FY76" s="28">
        <f t="shared" si="137"/>
        <v>138679</v>
      </c>
      <c r="FZ76" s="28">
        <f t="shared" si="138"/>
        <v>170465</v>
      </c>
      <c r="GA76" s="28">
        <f t="shared" si="139"/>
        <v>141651</v>
      </c>
      <c r="GB76" s="28">
        <f t="shared" si="140"/>
        <v>142147</v>
      </c>
      <c r="GC76" s="28">
        <f t="shared" si="141"/>
        <v>97200</v>
      </c>
      <c r="GD76" s="28">
        <f t="shared" si="142"/>
        <v>142510</v>
      </c>
      <c r="GE76" s="28">
        <f t="shared" si="143"/>
        <v>106478</v>
      </c>
      <c r="GF76" s="28">
        <f t="shared" si="144"/>
        <v>139881</v>
      </c>
      <c r="GG76" s="28">
        <f t="shared" si="145"/>
        <v>104895</v>
      </c>
      <c r="GH76" s="28">
        <f t="shared" si="146"/>
        <v>163535</v>
      </c>
      <c r="GI76" s="28">
        <f t="shared" si="147"/>
        <v>135928</v>
      </c>
      <c r="GJ76" s="28">
        <f t="shared" si="148"/>
        <v>164708</v>
      </c>
      <c r="GK76" s="28">
        <f t="shared" si="149"/>
        <v>118673</v>
      </c>
      <c r="GL76" s="28">
        <f t="shared" si="150"/>
        <v>177323</v>
      </c>
      <c r="GM76" s="28">
        <f t="shared" si="151"/>
        <v>185748</v>
      </c>
      <c r="GN76" s="28">
        <f t="shared" si="152"/>
        <v>177560</v>
      </c>
      <c r="GO76" s="28">
        <f t="shared" si="153"/>
        <v>170847</v>
      </c>
      <c r="GP76" s="28">
        <f t="shared" si="154"/>
        <v>221846</v>
      </c>
      <c r="GQ76" s="28">
        <f t="shared" si="155"/>
        <v>185673</v>
      </c>
      <c r="GR76" s="28">
        <f t="shared" si="156"/>
        <v>217054</v>
      </c>
      <c r="GS76" s="28">
        <f t="shared" si="157"/>
        <v>160836</v>
      </c>
      <c r="GT76" s="28">
        <f t="shared" si="158"/>
        <v>191305</v>
      </c>
      <c r="GU76" s="28">
        <f t="shared" si="159"/>
        <v>167257</v>
      </c>
      <c r="GV76" s="28">
        <f t="shared" si="160"/>
        <v>204127</v>
      </c>
      <c r="GW76" s="28">
        <f t="shared" si="161"/>
        <v>146313</v>
      </c>
      <c r="GX76" s="28">
        <f t="shared" si="162"/>
        <v>165156</v>
      </c>
      <c r="GY76" s="28">
        <f t="shared" si="163"/>
        <v>236451</v>
      </c>
      <c r="GZ76" s="28">
        <f t="shared" si="99"/>
        <v>258734</v>
      </c>
      <c r="HA76" s="28">
        <f t="shared" si="100"/>
        <v>239066</v>
      </c>
      <c r="HB76" s="28">
        <f t="shared" si="101"/>
        <v>119031</v>
      </c>
      <c r="HC76" s="28">
        <f t="shared" si="102"/>
        <v>211402</v>
      </c>
      <c r="HD76" s="28">
        <f t="shared" si="103"/>
        <v>223826</v>
      </c>
      <c r="HE76" s="28">
        <f t="shared" si="104"/>
        <v>177608</v>
      </c>
      <c r="HF76" s="28">
        <f t="shared" si="105"/>
        <v>265618</v>
      </c>
      <c r="HG76" s="28">
        <f t="shared" si="106"/>
        <v>221588</v>
      </c>
      <c r="HH76" s="28">
        <f t="shared" si="107"/>
        <v>247247</v>
      </c>
      <c r="HI76" s="28">
        <f t="shared" si="108"/>
        <v>210858</v>
      </c>
      <c r="HJ76" s="28">
        <f t="shared" si="109"/>
        <v>260617</v>
      </c>
      <c r="HK76" s="28">
        <f t="shared" si="110"/>
        <v>208766</v>
      </c>
      <c r="HL76" s="28">
        <f t="shared" si="111"/>
        <v>235233</v>
      </c>
      <c r="HM76" s="28">
        <f t="shared" si="112"/>
        <v>171108</v>
      </c>
      <c r="HN76" s="28">
        <f t="shared" si="125"/>
        <v>260617</v>
      </c>
      <c r="HO76" s="28">
        <f t="shared" si="126"/>
        <v>208766</v>
      </c>
      <c r="HP76" s="28">
        <f t="shared" si="127"/>
        <v>235233</v>
      </c>
      <c r="HQ76" s="28">
        <f t="shared" si="128"/>
        <v>171108</v>
      </c>
      <c r="HR76" s="28">
        <f t="shared" si="129"/>
        <v>261874</v>
      </c>
      <c r="HS76" s="28">
        <f t="shared" si="122"/>
        <v>210205</v>
      </c>
      <c r="HT76" s="28">
        <f t="shared" si="113"/>
        <v>266968</v>
      </c>
      <c r="HU76" s="28">
        <f t="shared" si="114"/>
        <v>200666</v>
      </c>
      <c r="HV76" s="28">
        <f t="shared" si="115"/>
        <v>286016</v>
      </c>
      <c r="HW76" s="28">
        <f t="shared" si="116"/>
        <v>274822</v>
      </c>
      <c r="HX76" s="28">
        <f t="shared" si="117"/>
        <v>328777</v>
      </c>
      <c r="IB76" s="28">
        <f t="shared" si="164"/>
        <v>527768</v>
      </c>
      <c r="IC76" s="28">
        <f t="shared" si="165"/>
        <v>634151</v>
      </c>
      <c r="ID76" s="28">
        <f t="shared" si="166"/>
        <v>551463</v>
      </c>
      <c r="IE76" s="28">
        <f t="shared" si="167"/>
        <v>493764</v>
      </c>
      <c r="IF76" s="28">
        <f t="shared" si="168"/>
        <v>582844</v>
      </c>
      <c r="IG76" s="28">
        <f t="shared" si="169"/>
        <v>711478</v>
      </c>
      <c r="IH76" s="28">
        <f t="shared" si="170"/>
        <v>785409</v>
      </c>
      <c r="II76" s="28">
        <f t="shared" si="171"/>
        <v>709002</v>
      </c>
      <c r="IJ76" s="28">
        <f t="shared" si="118"/>
        <v>899407</v>
      </c>
      <c r="IK76" s="28">
        <f t="shared" si="119"/>
        <v>842266</v>
      </c>
      <c r="IL76" s="28">
        <f t="shared" si="120"/>
        <v>945311</v>
      </c>
      <c r="IM76" s="28">
        <f t="shared" si="121"/>
        <v>875724</v>
      </c>
      <c r="IN76" s="28">
        <f t="shared" si="90"/>
        <v>939713</v>
      </c>
    </row>
    <row r="77" spans="1:248" x14ac:dyDescent="0.3">
      <c r="IB77" s="31">
        <f>IB76/10^6</f>
        <v>0.52776800000000001</v>
      </c>
      <c r="IC77" s="31">
        <f t="shared" ref="IC77:IN77" si="177">IC76/10^6</f>
        <v>0.63415100000000002</v>
      </c>
      <c r="ID77" s="31">
        <f t="shared" si="177"/>
        <v>0.55146300000000004</v>
      </c>
      <c r="IE77" s="31">
        <f t="shared" si="177"/>
        <v>0.49376399999999998</v>
      </c>
      <c r="IF77" s="31">
        <f t="shared" si="177"/>
        <v>0.58284400000000003</v>
      </c>
      <c r="IG77" s="31">
        <f t="shared" si="177"/>
        <v>0.71147800000000005</v>
      </c>
      <c r="IH77" s="31">
        <f t="shared" si="177"/>
        <v>0.78540900000000002</v>
      </c>
      <c r="II77" s="31">
        <f t="shared" si="177"/>
        <v>0.70900200000000002</v>
      </c>
      <c r="IJ77" s="31">
        <f t="shared" si="177"/>
        <v>0.89940699999999996</v>
      </c>
      <c r="IK77" s="31">
        <f t="shared" si="177"/>
        <v>0.84226599999999996</v>
      </c>
      <c r="IL77" s="31">
        <f t="shared" si="177"/>
        <v>0.94531100000000001</v>
      </c>
      <c r="IM77" s="31">
        <f t="shared" si="177"/>
        <v>0.87572399999999995</v>
      </c>
      <c r="IN77" s="31">
        <f t="shared" si="177"/>
        <v>0.93971300000000002</v>
      </c>
    </row>
    <row r="78" spans="1:248" x14ac:dyDescent="0.3">
      <c r="A78" s="8" t="s">
        <v>109</v>
      </c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10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</row>
    <row r="79" spans="1:248" outlineLevel="2" x14ac:dyDescent="0.3">
      <c r="A79" t="s">
        <v>74</v>
      </c>
      <c r="B79" t="s">
        <v>75</v>
      </c>
      <c r="C79">
        <v>0</v>
      </c>
      <c r="D79">
        <v>1</v>
      </c>
      <c r="E79">
        <v>9</v>
      </c>
      <c r="F79">
        <v>0</v>
      </c>
      <c r="G79">
        <v>0</v>
      </c>
      <c r="H79">
        <v>0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>
        <v>10</v>
      </c>
      <c r="P79">
        <v>0</v>
      </c>
      <c r="Q79">
        <v>10</v>
      </c>
      <c r="R79">
        <v>0</v>
      </c>
      <c r="S79">
        <v>34</v>
      </c>
      <c r="T79">
        <v>15</v>
      </c>
      <c r="U79">
        <v>0</v>
      </c>
      <c r="V79">
        <v>0</v>
      </c>
      <c r="W79">
        <v>2</v>
      </c>
      <c r="X79">
        <v>0</v>
      </c>
      <c r="Y79">
        <v>25</v>
      </c>
      <c r="Z79">
        <v>13</v>
      </c>
      <c r="AA79" s="32">
        <v>4</v>
      </c>
      <c r="AB79" s="32">
        <v>1</v>
      </c>
      <c r="AC79" s="32">
        <v>12</v>
      </c>
      <c r="AD79" s="32">
        <v>0</v>
      </c>
      <c r="AE79" s="32">
        <v>9</v>
      </c>
      <c r="AF79" s="32">
        <v>0</v>
      </c>
      <c r="AG79" s="32">
        <v>20</v>
      </c>
      <c r="AH79" s="32">
        <v>0</v>
      </c>
      <c r="AI79" s="32">
        <v>0</v>
      </c>
      <c r="AJ79" s="32">
        <v>29</v>
      </c>
      <c r="AK79" s="32">
        <v>14</v>
      </c>
      <c r="AL79" s="32">
        <v>0</v>
      </c>
      <c r="AM79" s="32">
        <v>6</v>
      </c>
      <c r="AN79" s="32">
        <v>22</v>
      </c>
      <c r="AO79" s="32">
        <v>1</v>
      </c>
      <c r="AP79" s="32">
        <v>0</v>
      </c>
      <c r="AQ79" s="32">
        <v>0</v>
      </c>
      <c r="AR79" s="32">
        <v>0</v>
      </c>
      <c r="AS79" s="32">
        <v>10</v>
      </c>
      <c r="AT79" s="32">
        <v>1</v>
      </c>
      <c r="AU79" s="32">
        <v>0</v>
      </c>
      <c r="AV79" s="32">
        <v>10</v>
      </c>
      <c r="AW79" s="32">
        <v>0</v>
      </c>
      <c r="AX79" s="32">
        <v>10</v>
      </c>
      <c r="AY79" s="32">
        <v>10</v>
      </c>
      <c r="AZ79" s="32">
        <v>25</v>
      </c>
      <c r="BA79" s="32">
        <v>3</v>
      </c>
      <c r="BB79" s="32">
        <v>10</v>
      </c>
      <c r="BC79" s="32">
        <v>5</v>
      </c>
      <c r="BD79" s="32">
        <v>18</v>
      </c>
      <c r="BE79" s="32">
        <v>20</v>
      </c>
      <c r="BF79" s="32">
        <v>3</v>
      </c>
      <c r="BG79" s="32">
        <v>58</v>
      </c>
      <c r="BH79" s="32">
        <v>21</v>
      </c>
      <c r="BI79" s="32">
        <v>31</v>
      </c>
      <c r="BJ79" s="32">
        <v>15</v>
      </c>
      <c r="BK79" s="32">
        <v>11</v>
      </c>
      <c r="BL79" s="32">
        <v>21</v>
      </c>
      <c r="BM79" s="32">
        <v>10</v>
      </c>
      <c r="BN79" s="32">
        <v>10</v>
      </c>
      <c r="BO79" s="32">
        <v>26</v>
      </c>
      <c r="BP79" s="32">
        <v>21</v>
      </c>
      <c r="BQ79" s="32">
        <v>34</v>
      </c>
      <c r="BR79" s="32">
        <v>56</v>
      </c>
      <c r="BS79" s="32">
        <v>3</v>
      </c>
      <c r="BT79" s="32">
        <v>18</v>
      </c>
      <c r="BU79" s="32">
        <v>1</v>
      </c>
      <c r="BV79" s="32">
        <v>60</v>
      </c>
      <c r="BW79" s="32">
        <v>21</v>
      </c>
      <c r="BX79" s="32">
        <v>54</v>
      </c>
      <c r="BY79" s="32">
        <v>55</v>
      </c>
      <c r="BZ79" s="32">
        <v>25</v>
      </c>
      <c r="CA79" s="32">
        <v>29</v>
      </c>
      <c r="CB79" s="32">
        <v>41</v>
      </c>
      <c r="CC79" s="32">
        <v>24</v>
      </c>
      <c r="CD79" s="32">
        <v>55</v>
      </c>
      <c r="CE79" s="32">
        <v>48</v>
      </c>
      <c r="CF79" s="32">
        <v>41</v>
      </c>
      <c r="CG79" s="32">
        <v>16</v>
      </c>
      <c r="CH79" s="32">
        <v>61</v>
      </c>
      <c r="CI79" s="32">
        <v>32</v>
      </c>
      <c r="CJ79" s="32">
        <v>47</v>
      </c>
      <c r="CK79" s="32">
        <v>52</v>
      </c>
      <c r="CL79" s="32">
        <v>39</v>
      </c>
      <c r="CM79" s="32">
        <v>46</v>
      </c>
      <c r="CN79" s="32">
        <v>47</v>
      </c>
      <c r="CO79" s="32">
        <v>26</v>
      </c>
      <c r="CP79" s="32">
        <v>43</v>
      </c>
      <c r="CQ79" s="32">
        <v>36</v>
      </c>
      <c r="CR79" s="32">
        <v>38</v>
      </c>
      <c r="CS79" s="32">
        <v>52</v>
      </c>
      <c r="CT79" s="32">
        <v>31</v>
      </c>
      <c r="CU79" s="32">
        <v>6</v>
      </c>
      <c r="CV79" s="32">
        <v>2</v>
      </c>
      <c r="CW79" s="32">
        <v>127</v>
      </c>
      <c r="CX79" s="32">
        <v>18</v>
      </c>
      <c r="CY79" s="32">
        <v>12</v>
      </c>
      <c r="CZ79" s="32">
        <v>22</v>
      </c>
      <c r="DA79" s="32">
        <v>11</v>
      </c>
      <c r="DB79" s="32">
        <v>27</v>
      </c>
      <c r="DC79" s="32">
        <v>27</v>
      </c>
      <c r="DD79" s="32">
        <v>35</v>
      </c>
      <c r="DE79" s="32">
        <v>10</v>
      </c>
      <c r="DF79" s="32">
        <v>14</v>
      </c>
      <c r="DG79" s="32">
        <v>11</v>
      </c>
      <c r="DH79" s="32">
        <v>0</v>
      </c>
      <c r="DI79" s="32">
        <v>5</v>
      </c>
      <c r="DJ79" s="32">
        <v>20</v>
      </c>
      <c r="DK79" s="32">
        <v>32</v>
      </c>
      <c r="DL79" s="32">
        <v>20</v>
      </c>
      <c r="DM79" s="32">
        <v>26</v>
      </c>
      <c r="DN79" s="32">
        <v>5</v>
      </c>
      <c r="DO79" s="32">
        <v>19</v>
      </c>
      <c r="DP79" s="32">
        <v>30</v>
      </c>
      <c r="DQ79" s="32">
        <v>38</v>
      </c>
      <c r="DR79" s="32">
        <v>26</v>
      </c>
      <c r="DS79" s="32">
        <v>10</v>
      </c>
      <c r="DT79" s="32">
        <v>28</v>
      </c>
      <c r="DU79" s="32">
        <v>14</v>
      </c>
      <c r="DV79" s="32">
        <v>14</v>
      </c>
      <c r="DW79" s="32">
        <v>54</v>
      </c>
      <c r="DX79" s="32">
        <v>36</v>
      </c>
      <c r="DY79" s="32">
        <v>21</v>
      </c>
      <c r="DZ79" s="32">
        <v>59</v>
      </c>
      <c r="EA79" s="32">
        <v>12</v>
      </c>
      <c r="EB79" s="32">
        <v>6</v>
      </c>
      <c r="EC79" s="32">
        <v>23</v>
      </c>
      <c r="ED79" s="32">
        <v>22</v>
      </c>
      <c r="EE79" s="32">
        <v>6</v>
      </c>
      <c r="EF79" s="32">
        <v>8</v>
      </c>
      <c r="EG79" s="32">
        <v>33</v>
      </c>
      <c r="EH79" s="32">
        <v>59</v>
      </c>
      <c r="EI79" s="32">
        <v>10</v>
      </c>
      <c r="EJ79" s="32">
        <v>18</v>
      </c>
      <c r="EK79" s="32">
        <v>28</v>
      </c>
      <c r="EL79" s="32">
        <v>26</v>
      </c>
      <c r="EM79" s="32">
        <v>0</v>
      </c>
      <c r="EN79" s="32">
        <v>0</v>
      </c>
      <c r="EO79" s="32">
        <v>0</v>
      </c>
      <c r="EP79" s="32">
        <v>0</v>
      </c>
      <c r="EQ79" s="32">
        <v>0</v>
      </c>
      <c r="ER79" s="32">
        <v>6</v>
      </c>
      <c r="ES79" s="32">
        <v>0</v>
      </c>
      <c r="ET79" s="32">
        <v>34</v>
      </c>
      <c r="EU79" s="32">
        <v>33</v>
      </c>
      <c r="EV79" s="32">
        <v>0</v>
      </c>
      <c r="EW79" s="32">
        <v>8</v>
      </c>
      <c r="EX79" s="32">
        <v>14</v>
      </c>
      <c r="EY79" s="32">
        <v>28</v>
      </c>
      <c r="EZ79" s="32">
        <v>12</v>
      </c>
      <c r="FA79" s="32">
        <v>7</v>
      </c>
      <c r="FB79" s="32">
        <v>34</v>
      </c>
      <c r="FC79" s="32">
        <v>14</v>
      </c>
      <c r="FD79" s="32">
        <v>0</v>
      </c>
      <c r="FE79" s="32">
        <v>0</v>
      </c>
      <c r="FF79" s="32">
        <v>18</v>
      </c>
      <c r="FG79" s="32">
        <v>10</v>
      </c>
      <c r="FH79" s="32">
        <v>14</v>
      </c>
      <c r="FI79" s="32">
        <v>4</v>
      </c>
      <c r="FJ79" s="32">
        <v>12</v>
      </c>
      <c r="FK79" s="32">
        <v>14</v>
      </c>
      <c r="FL79" s="32"/>
      <c r="FM79" s="32"/>
      <c r="FN79" s="32"/>
      <c r="FR79" s="32">
        <f t="shared" ref="FR79:FR149" si="178">+SUM(C79:E79)</f>
        <v>10</v>
      </c>
      <c r="FS79" s="32">
        <f t="shared" ref="FS79:FS149" si="179">+SUM(F79:H79)</f>
        <v>0</v>
      </c>
      <c r="FT79" s="32">
        <f t="shared" ref="FT79:FT149" si="180">+SUM(I79:K79)</f>
        <v>5</v>
      </c>
      <c r="FU79" s="32">
        <f t="shared" ref="FU79:FU149" si="181">+SUM(L79:N79)</f>
        <v>0</v>
      </c>
      <c r="FV79" s="32">
        <f t="shared" ref="FV79:FV149" si="182">+SUM(O79:Q79)</f>
        <v>20</v>
      </c>
      <c r="FW79" s="32">
        <f t="shared" ref="FW79:FW149" si="183">+SUM(R79:T79)</f>
        <v>49</v>
      </c>
      <c r="FX79" s="32">
        <f t="shared" ref="FX79:FX149" si="184">+SUM(U79:W79)</f>
        <v>2</v>
      </c>
      <c r="FY79" s="32">
        <f t="shared" ref="FY79:FY149" si="185">+SUM(X79:Z79)</f>
        <v>38</v>
      </c>
      <c r="FZ79" s="32">
        <f t="shared" ref="FZ79:FZ149" si="186">+SUM(AA79:AC79)</f>
        <v>17</v>
      </c>
      <c r="GA79" s="32">
        <f t="shared" ref="GA79:GA149" si="187">+SUM(AD79:AF79)</f>
        <v>9</v>
      </c>
      <c r="GB79" s="32">
        <f t="shared" ref="GB79:GB149" si="188">+SUM(AG79:AI79)</f>
        <v>20</v>
      </c>
      <c r="GC79" s="32">
        <f t="shared" ref="GC79:GC149" si="189">+SUM(AJ79:AL79)</f>
        <v>43</v>
      </c>
      <c r="GD79" s="32">
        <f t="shared" ref="GD79:GD149" si="190">+SUM(AM79:AO79)</f>
        <v>29</v>
      </c>
      <c r="GE79" s="32">
        <f t="shared" ref="GE79:GE149" si="191">+SUM(AP79:AR79)</f>
        <v>0</v>
      </c>
      <c r="GF79" s="32">
        <f t="shared" ref="GF79:GF149" si="192">+SUM(AS79:AU79)</f>
        <v>11</v>
      </c>
      <c r="GG79" s="32">
        <f t="shared" ref="GG79:GG149" si="193">+SUM(AV79:AX79)</f>
        <v>20</v>
      </c>
      <c r="GH79" s="32">
        <f t="shared" ref="GH79:GH149" si="194">+SUM(AY79:BA79)</f>
        <v>38</v>
      </c>
      <c r="GI79" s="32">
        <f t="shared" ref="GI79:GI149" si="195">+SUM(BB79:BD79)</f>
        <v>33</v>
      </c>
      <c r="GJ79" s="32">
        <f t="shared" ref="GJ79:GJ149" si="196">+SUM(BE79:BG79)</f>
        <v>81</v>
      </c>
      <c r="GK79" s="32">
        <f t="shared" ref="GK79:GK149" si="197">+SUM(BH79:BJ79)</f>
        <v>67</v>
      </c>
      <c r="GL79" s="32">
        <f t="shared" ref="GL79:GL149" si="198">+SUM(BK79:BM79)</f>
        <v>42</v>
      </c>
      <c r="GM79" s="32">
        <f t="shared" ref="GM79:GM149" si="199">+SUM(BN79:BP79)</f>
        <v>57</v>
      </c>
      <c r="GN79" s="32">
        <f t="shared" ref="GN79:GN149" si="200">+SUM(BQ79:BS79)</f>
        <v>93</v>
      </c>
      <c r="GO79" s="32">
        <f t="shared" ref="GO79:GO149" si="201">+SUM(BT79:BV79)</f>
        <v>79</v>
      </c>
      <c r="GP79" s="32">
        <f t="shared" ref="GP79:GP149" si="202">+SUM(BW79:BY79)</f>
        <v>130</v>
      </c>
      <c r="GQ79" s="32">
        <f t="shared" ref="GQ79:GQ149" si="203">+SUM(BZ79:CB79)</f>
        <v>95</v>
      </c>
      <c r="GR79" s="32">
        <f t="shared" ref="GR79:GR149" si="204">+SUM(CC79:CE79)</f>
        <v>127</v>
      </c>
      <c r="GS79" s="32">
        <f t="shared" ref="GS79:GS149" si="205">+SUM(CF79:CH79)</f>
        <v>118</v>
      </c>
      <c r="GT79" s="32">
        <f t="shared" ref="GT79:GT149" si="206">+SUM(CI79:CK79)</f>
        <v>131</v>
      </c>
      <c r="GU79" s="32">
        <f t="shared" ref="GU79:GU149" si="207">+SUM(CL79:CN79)</f>
        <v>132</v>
      </c>
      <c r="GV79" s="32">
        <f t="shared" ref="GV79:GV149" si="208">+SUM(CO79:CQ79)</f>
        <v>105</v>
      </c>
      <c r="GW79" s="32">
        <f t="shared" ref="GW79:GW149" si="209">+SUM(CR79:CT79)</f>
        <v>121</v>
      </c>
      <c r="GX79" s="32">
        <f t="shared" ref="GX79:GX149" si="210">+SUM(CU79:CW79)</f>
        <v>135</v>
      </c>
      <c r="GY79" s="32">
        <f t="shared" ref="GY79:GY149" si="211">+SUM(CX79:CZ79)</f>
        <v>52</v>
      </c>
      <c r="GZ79" s="32">
        <f t="shared" ref="GZ79:GZ121" si="212">+SUM(DA79:DC79)</f>
        <v>65</v>
      </c>
      <c r="HA79" s="32">
        <f t="shared" ref="HA79:HA121" si="213">+SUM(DD79:DF79)</f>
        <v>59</v>
      </c>
      <c r="HB79" s="32">
        <f t="shared" ref="HB79:HB121" si="214">+SUM(DG79:DH79)</f>
        <v>11</v>
      </c>
      <c r="HC79" s="32">
        <f t="shared" ref="HC79:HC121" si="215">+SUM(DJ79:DL79)</f>
        <v>72</v>
      </c>
      <c r="HD79" s="32">
        <f t="shared" ref="HD79:HD121" si="216">+SUM(DM79:DO79)</f>
        <v>50</v>
      </c>
      <c r="HE79" s="32">
        <f t="shared" ref="HE79:HE121" si="217">+SUM(DP79:DR79)</f>
        <v>94</v>
      </c>
      <c r="HF79" s="32">
        <f t="shared" ref="HF79:HF121" si="218">+SUM(DS79:DU79)</f>
        <v>52</v>
      </c>
      <c r="HG79" s="32">
        <f t="shared" ref="HG79:HG121" si="219">+SUM(DV79:DX79)</f>
        <v>104</v>
      </c>
      <c r="HH79" s="32">
        <f t="shared" ref="HH79:HH121" si="220">+SUM(DY79:EA79)</f>
        <v>92</v>
      </c>
      <c r="HI79" s="32">
        <f t="shared" ref="HI79:HI121" si="221">+SUM(EB79:ED79)</f>
        <v>51</v>
      </c>
      <c r="HJ79" s="32">
        <f t="shared" ref="HJ79:HJ121" si="222">+SUM(EE79:EG79)</f>
        <v>47</v>
      </c>
      <c r="HK79" s="32">
        <f t="shared" ref="HK79:HK121" si="223">+SUM(EH79:EJ79)</f>
        <v>87</v>
      </c>
      <c r="HL79" s="32">
        <f t="shared" ref="HL79:HL121" si="224">+SUM(EK79:EM79)</f>
        <v>54</v>
      </c>
      <c r="HM79" s="32">
        <f t="shared" ref="HM79:HM121" si="225">+SUM(EN79:EP79)</f>
        <v>0</v>
      </c>
      <c r="HN79" s="32">
        <f t="shared" si="125"/>
        <v>47</v>
      </c>
      <c r="HO79" s="32">
        <f t="shared" si="126"/>
        <v>87</v>
      </c>
      <c r="HP79" s="32">
        <f t="shared" si="127"/>
        <v>54</v>
      </c>
      <c r="HQ79" s="32">
        <f t="shared" si="128"/>
        <v>0</v>
      </c>
      <c r="HR79" s="32">
        <f t="shared" ref="HR79:HR148" si="226">SUM(EQ79:ES79)</f>
        <v>6</v>
      </c>
      <c r="HS79" s="32">
        <f t="shared" si="122"/>
        <v>67</v>
      </c>
      <c r="HT79" s="32">
        <f t="shared" ref="HT79:HT142" si="227">SUM(EW79:EY79)</f>
        <v>50</v>
      </c>
      <c r="HU79" s="32">
        <f t="shared" ref="HU79:HU126" si="228">SUM(EZ79:FB79)</f>
        <v>53</v>
      </c>
      <c r="HV79" s="32">
        <f t="shared" ref="HV79:HV126" si="229">SUM(FC79:FE79)</f>
        <v>14</v>
      </c>
      <c r="HW79" s="32">
        <f t="shared" ref="HW79:HW126" si="230">SUM(FF79:FH79)</f>
        <v>42</v>
      </c>
      <c r="HX79" s="32">
        <f t="shared" ref="HX79:HX126" si="231">SUM(FI79:FK79)</f>
        <v>30</v>
      </c>
      <c r="IB79" s="32">
        <f t="shared" ref="IB79:IB149" si="232">+SUM(C79:N79)</f>
        <v>15</v>
      </c>
      <c r="IC79" s="32">
        <f t="shared" ref="IC79:IC149" si="233">+SUM(O79:Z79)</f>
        <v>109</v>
      </c>
      <c r="ID79" s="32">
        <f t="shared" ref="ID79:ID149" si="234">+SUM(AA79:AL79)</f>
        <v>89</v>
      </c>
      <c r="IE79" s="32">
        <f t="shared" ref="IE79:IE149" si="235">+SUM(AM79:AX79)</f>
        <v>60</v>
      </c>
      <c r="IF79" s="32">
        <f t="shared" ref="IF79:IF149" si="236">+SUM(AY79:BJ79)</f>
        <v>219</v>
      </c>
      <c r="IG79" s="32">
        <f t="shared" ref="IG79:IG149" si="237">+SUM(BK79:BV79)</f>
        <v>271</v>
      </c>
      <c r="IH79" s="32">
        <f t="shared" ref="IH79:IH149" si="238">+SUM(BW79:CH79)</f>
        <v>470</v>
      </c>
      <c r="II79" s="32">
        <f t="shared" ref="II79:II149" si="239">SUM(CI79:CT79)</f>
        <v>489</v>
      </c>
      <c r="IJ79" s="32">
        <f t="shared" ref="IJ79:IJ121" si="240">SUM(CU79:DF79)</f>
        <v>311</v>
      </c>
      <c r="IK79" s="32">
        <f t="shared" ref="IK79:IK121" si="241">SUM(DG79:DR79)</f>
        <v>232</v>
      </c>
      <c r="IL79" s="32">
        <f t="shared" ref="IL79:IL121" si="242">SUM(DS79:ED79)</f>
        <v>299</v>
      </c>
      <c r="IM79" s="32">
        <f t="shared" ref="IM79:IM121" si="243">SUM(EE79:EP79)</f>
        <v>188</v>
      </c>
      <c r="IN79" s="32">
        <f t="shared" ref="IN79:IN121" si="244">SUM(EQ79:FB79)</f>
        <v>176</v>
      </c>
    </row>
    <row r="80" spans="1:248" outlineLevel="2" x14ac:dyDescent="0.3">
      <c r="B80" t="s">
        <v>76</v>
      </c>
      <c r="C80">
        <v>138</v>
      </c>
      <c r="D80">
        <v>64</v>
      </c>
      <c r="E80">
        <v>10</v>
      </c>
      <c r="F80">
        <v>38</v>
      </c>
      <c r="G80">
        <v>0</v>
      </c>
      <c r="H80">
        <v>0</v>
      </c>
      <c r="I80">
        <v>77</v>
      </c>
      <c r="J80">
        <v>8</v>
      </c>
      <c r="K80">
        <v>16</v>
      </c>
      <c r="L80">
        <v>16</v>
      </c>
      <c r="M80">
        <v>23</v>
      </c>
      <c r="N80">
        <v>94</v>
      </c>
      <c r="O80">
        <v>56</v>
      </c>
      <c r="P80">
        <v>55</v>
      </c>
      <c r="Q80">
        <v>10</v>
      </c>
      <c r="R80">
        <v>38</v>
      </c>
      <c r="S80">
        <v>28</v>
      </c>
      <c r="T80">
        <v>39</v>
      </c>
      <c r="U80">
        <v>68</v>
      </c>
      <c r="V80">
        <v>8</v>
      </c>
      <c r="W80">
        <v>23</v>
      </c>
      <c r="X80">
        <v>21</v>
      </c>
      <c r="Y80">
        <v>16</v>
      </c>
      <c r="Z80">
        <v>59</v>
      </c>
      <c r="AA80" s="32">
        <v>10</v>
      </c>
      <c r="AB80" s="32">
        <v>71</v>
      </c>
      <c r="AC80" s="32">
        <v>136</v>
      </c>
      <c r="AD80" s="32">
        <v>124</v>
      </c>
      <c r="AE80" s="32">
        <v>390</v>
      </c>
      <c r="AF80" s="32">
        <v>155</v>
      </c>
      <c r="AG80" s="32">
        <v>82</v>
      </c>
      <c r="AH80" s="32">
        <v>39</v>
      </c>
      <c r="AI80" s="32">
        <v>82</v>
      </c>
      <c r="AJ80" s="32">
        <v>33</v>
      </c>
      <c r="AK80" s="32">
        <v>20</v>
      </c>
      <c r="AL80" s="32">
        <v>12</v>
      </c>
      <c r="AM80" s="32">
        <v>34</v>
      </c>
      <c r="AN80" s="32">
        <v>25</v>
      </c>
      <c r="AO80" s="32">
        <v>20</v>
      </c>
      <c r="AP80" s="32">
        <v>25</v>
      </c>
      <c r="AQ80" s="32">
        <v>2</v>
      </c>
      <c r="AR80" s="32">
        <v>10</v>
      </c>
      <c r="AS80" s="32">
        <v>0</v>
      </c>
      <c r="AT80" s="32">
        <v>7</v>
      </c>
      <c r="AU80" s="32">
        <v>10</v>
      </c>
      <c r="AV80" s="32">
        <v>27</v>
      </c>
      <c r="AW80" s="32">
        <v>54</v>
      </c>
      <c r="AX80" s="32">
        <v>48</v>
      </c>
      <c r="AY80" s="32">
        <v>10</v>
      </c>
      <c r="AZ80" s="32">
        <v>19</v>
      </c>
      <c r="BA80" s="32">
        <v>37</v>
      </c>
      <c r="BB80" s="32">
        <v>44</v>
      </c>
      <c r="BC80" s="32">
        <v>26</v>
      </c>
      <c r="BD80" s="32">
        <v>29</v>
      </c>
      <c r="BE80" s="32">
        <v>44</v>
      </c>
      <c r="BF80" s="32">
        <v>46</v>
      </c>
      <c r="BG80" s="32">
        <v>19</v>
      </c>
      <c r="BH80" s="32">
        <v>37</v>
      </c>
      <c r="BI80" s="32">
        <v>78</v>
      </c>
      <c r="BJ80" s="32">
        <v>8</v>
      </c>
      <c r="BK80" s="32">
        <v>54</v>
      </c>
      <c r="BL80" s="32">
        <v>35</v>
      </c>
      <c r="BM80" s="32">
        <v>43</v>
      </c>
      <c r="BN80" s="32">
        <v>65</v>
      </c>
      <c r="BO80" s="32">
        <v>5</v>
      </c>
      <c r="BP80" s="32">
        <v>37</v>
      </c>
      <c r="BQ80" s="32">
        <v>56</v>
      </c>
      <c r="BR80" s="32">
        <v>37</v>
      </c>
      <c r="BS80" s="32">
        <v>78</v>
      </c>
      <c r="BT80" s="32">
        <v>22</v>
      </c>
      <c r="BU80" s="32">
        <v>124</v>
      </c>
      <c r="BV80" s="32">
        <v>84</v>
      </c>
      <c r="BW80" s="32">
        <v>35</v>
      </c>
      <c r="BX80" s="32">
        <v>76</v>
      </c>
      <c r="BY80" s="32">
        <v>75</v>
      </c>
      <c r="BZ80" s="32">
        <v>31</v>
      </c>
      <c r="CA80" s="32">
        <v>115</v>
      </c>
      <c r="CB80" s="32">
        <v>168</v>
      </c>
      <c r="CC80" s="32">
        <v>147</v>
      </c>
      <c r="CD80" s="32">
        <v>181</v>
      </c>
      <c r="CE80" s="32">
        <v>150</v>
      </c>
      <c r="CF80" s="32">
        <v>81</v>
      </c>
      <c r="CG80" s="32">
        <v>202</v>
      </c>
      <c r="CH80" s="32">
        <v>93</v>
      </c>
      <c r="CI80" s="32">
        <v>89</v>
      </c>
      <c r="CJ80" s="32">
        <v>121</v>
      </c>
      <c r="CK80" s="32">
        <v>127</v>
      </c>
      <c r="CL80" s="32">
        <v>111</v>
      </c>
      <c r="CM80" s="32">
        <v>77</v>
      </c>
      <c r="CN80" s="32">
        <v>102</v>
      </c>
      <c r="CO80" s="32">
        <v>121</v>
      </c>
      <c r="CP80" s="32">
        <v>90</v>
      </c>
      <c r="CQ80" s="32">
        <v>85</v>
      </c>
      <c r="CR80" s="32">
        <v>65</v>
      </c>
      <c r="CS80" s="32">
        <v>170</v>
      </c>
      <c r="CT80" s="32">
        <v>74</v>
      </c>
      <c r="CU80" s="32">
        <v>36</v>
      </c>
      <c r="CV80" s="32">
        <v>48</v>
      </c>
      <c r="CW80" s="32">
        <v>8</v>
      </c>
      <c r="CX80" s="32">
        <v>86</v>
      </c>
      <c r="CY80" s="32">
        <v>175</v>
      </c>
      <c r="CZ80" s="32">
        <v>158</v>
      </c>
      <c r="DA80" s="32">
        <v>150</v>
      </c>
      <c r="DB80" s="32">
        <v>151</v>
      </c>
      <c r="DC80" s="32">
        <v>90</v>
      </c>
      <c r="DD80" s="32">
        <v>163</v>
      </c>
      <c r="DE80" s="32">
        <v>122</v>
      </c>
      <c r="DF80" s="32">
        <v>184</v>
      </c>
      <c r="DG80" s="32">
        <v>119</v>
      </c>
      <c r="DH80" s="32">
        <v>32</v>
      </c>
      <c r="DI80" s="32">
        <v>99</v>
      </c>
      <c r="DJ80" s="32">
        <v>117</v>
      </c>
      <c r="DK80" s="32">
        <v>139</v>
      </c>
      <c r="DL80" s="32">
        <v>177</v>
      </c>
      <c r="DM80" s="32">
        <v>189</v>
      </c>
      <c r="DN80" s="32">
        <v>162</v>
      </c>
      <c r="DO80" s="32">
        <v>103</v>
      </c>
      <c r="DP80" s="32">
        <v>137</v>
      </c>
      <c r="DQ80" s="32">
        <v>90</v>
      </c>
      <c r="DR80" s="32">
        <v>90</v>
      </c>
      <c r="DS80" s="32">
        <v>153</v>
      </c>
      <c r="DT80" s="32">
        <v>114</v>
      </c>
      <c r="DU80" s="32">
        <v>86</v>
      </c>
      <c r="DV80" s="32">
        <v>98</v>
      </c>
      <c r="DW80" s="32">
        <v>57</v>
      </c>
      <c r="DX80" s="32">
        <v>97</v>
      </c>
      <c r="DY80" s="32">
        <v>153</v>
      </c>
      <c r="DZ80" s="32">
        <v>72</v>
      </c>
      <c r="EA80" s="32">
        <v>74</v>
      </c>
      <c r="EB80" s="32">
        <v>8</v>
      </c>
      <c r="EC80" s="32">
        <v>51</v>
      </c>
      <c r="ED80" s="32">
        <v>30</v>
      </c>
      <c r="EE80" s="32">
        <v>30</v>
      </c>
      <c r="EF80" s="32">
        <v>37</v>
      </c>
      <c r="EG80" s="32">
        <v>34</v>
      </c>
      <c r="EH80" s="32">
        <v>24</v>
      </c>
      <c r="EI80" s="32">
        <v>29</v>
      </c>
      <c r="EJ80" s="32">
        <v>49</v>
      </c>
      <c r="EK80" s="32">
        <v>58</v>
      </c>
      <c r="EL80" s="32">
        <v>28</v>
      </c>
      <c r="EM80" s="32">
        <v>26</v>
      </c>
      <c r="EN80" s="32">
        <v>5</v>
      </c>
      <c r="EO80" s="32">
        <v>16</v>
      </c>
      <c r="EP80" s="32">
        <v>22</v>
      </c>
      <c r="EQ80" s="32">
        <v>8</v>
      </c>
      <c r="ER80" s="32">
        <v>31</v>
      </c>
      <c r="ES80" s="32">
        <v>10</v>
      </c>
      <c r="ET80" s="32">
        <v>26</v>
      </c>
      <c r="EU80" s="32">
        <v>42</v>
      </c>
      <c r="EV80" s="32">
        <v>91</v>
      </c>
      <c r="EW80" s="32">
        <v>15</v>
      </c>
      <c r="EX80" s="32">
        <v>14</v>
      </c>
      <c r="EY80" s="32">
        <v>31</v>
      </c>
      <c r="EZ80" s="32">
        <v>14</v>
      </c>
      <c r="FA80" s="32">
        <v>17</v>
      </c>
      <c r="FB80" s="32">
        <v>40</v>
      </c>
      <c r="FC80" s="32">
        <v>21</v>
      </c>
      <c r="FD80" s="32">
        <v>42</v>
      </c>
      <c r="FE80" s="32">
        <v>32</v>
      </c>
      <c r="FF80" s="32">
        <v>32</v>
      </c>
      <c r="FG80" s="32">
        <v>31</v>
      </c>
      <c r="FH80" s="32">
        <v>42</v>
      </c>
      <c r="FI80" s="32">
        <v>43</v>
      </c>
      <c r="FJ80" s="32">
        <v>106</v>
      </c>
      <c r="FK80" s="32">
        <v>93</v>
      </c>
      <c r="FL80" s="32"/>
      <c r="FM80" s="32"/>
      <c r="FN80" s="32"/>
      <c r="FR80" s="32">
        <f t="shared" si="178"/>
        <v>212</v>
      </c>
      <c r="FS80" s="32">
        <f t="shared" si="179"/>
        <v>38</v>
      </c>
      <c r="FT80" s="32">
        <f t="shared" si="180"/>
        <v>101</v>
      </c>
      <c r="FU80" s="32">
        <f t="shared" si="181"/>
        <v>133</v>
      </c>
      <c r="FV80" s="32">
        <f t="shared" si="182"/>
        <v>121</v>
      </c>
      <c r="FW80" s="32">
        <f t="shared" si="183"/>
        <v>105</v>
      </c>
      <c r="FX80" s="32">
        <f t="shared" si="184"/>
        <v>99</v>
      </c>
      <c r="FY80" s="32">
        <f t="shared" si="185"/>
        <v>96</v>
      </c>
      <c r="FZ80" s="32">
        <f t="shared" si="186"/>
        <v>217</v>
      </c>
      <c r="GA80" s="32">
        <f t="shared" si="187"/>
        <v>669</v>
      </c>
      <c r="GB80" s="32">
        <f t="shared" si="188"/>
        <v>203</v>
      </c>
      <c r="GC80" s="32">
        <f t="shared" si="189"/>
        <v>65</v>
      </c>
      <c r="GD80" s="32">
        <f t="shared" si="190"/>
        <v>79</v>
      </c>
      <c r="GE80" s="32">
        <f t="shared" si="191"/>
        <v>37</v>
      </c>
      <c r="GF80" s="32">
        <f t="shared" si="192"/>
        <v>17</v>
      </c>
      <c r="GG80" s="32">
        <f t="shared" si="193"/>
        <v>129</v>
      </c>
      <c r="GH80" s="32">
        <f t="shared" si="194"/>
        <v>66</v>
      </c>
      <c r="GI80" s="32">
        <f t="shared" si="195"/>
        <v>99</v>
      </c>
      <c r="GJ80" s="32">
        <f t="shared" si="196"/>
        <v>109</v>
      </c>
      <c r="GK80" s="32">
        <f t="shared" si="197"/>
        <v>123</v>
      </c>
      <c r="GL80" s="32">
        <f t="shared" si="198"/>
        <v>132</v>
      </c>
      <c r="GM80" s="32">
        <f t="shared" si="199"/>
        <v>107</v>
      </c>
      <c r="GN80" s="32">
        <f t="shared" si="200"/>
        <v>171</v>
      </c>
      <c r="GO80" s="32">
        <f t="shared" si="201"/>
        <v>230</v>
      </c>
      <c r="GP80" s="32">
        <f t="shared" si="202"/>
        <v>186</v>
      </c>
      <c r="GQ80" s="32">
        <f t="shared" si="203"/>
        <v>314</v>
      </c>
      <c r="GR80" s="32">
        <f t="shared" si="204"/>
        <v>478</v>
      </c>
      <c r="GS80" s="32">
        <f t="shared" si="205"/>
        <v>376</v>
      </c>
      <c r="GT80" s="32">
        <f t="shared" si="206"/>
        <v>337</v>
      </c>
      <c r="GU80" s="32">
        <f t="shared" si="207"/>
        <v>290</v>
      </c>
      <c r="GV80" s="32">
        <f t="shared" si="208"/>
        <v>296</v>
      </c>
      <c r="GW80" s="32">
        <f t="shared" si="209"/>
        <v>309</v>
      </c>
      <c r="GX80" s="32">
        <f t="shared" si="210"/>
        <v>92</v>
      </c>
      <c r="GY80" s="32">
        <f t="shared" si="211"/>
        <v>419</v>
      </c>
      <c r="GZ80" s="32">
        <f t="shared" si="212"/>
        <v>391</v>
      </c>
      <c r="HA80" s="32">
        <f t="shared" si="213"/>
        <v>469</v>
      </c>
      <c r="HB80" s="32">
        <f t="shared" si="214"/>
        <v>151</v>
      </c>
      <c r="HC80" s="32">
        <f t="shared" si="215"/>
        <v>433</v>
      </c>
      <c r="HD80" s="32">
        <f t="shared" si="216"/>
        <v>454</v>
      </c>
      <c r="HE80" s="32">
        <f t="shared" si="217"/>
        <v>317</v>
      </c>
      <c r="HF80" s="32">
        <f t="shared" si="218"/>
        <v>353</v>
      </c>
      <c r="HG80" s="32">
        <f t="shared" si="219"/>
        <v>252</v>
      </c>
      <c r="HH80" s="32">
        <f t="shared" si="220"/>
        <v>299</v>
      </c>
      <c r="HI80" s="32">
        <f t="shared" si="221"/>
        <v>89</v>
      </c>
      <c r="HJ80" s="32">
        <f t="shared" si="222"/>
        <v>101</v>
      </c>
      <c r="HK80" s="32">
        <f t="shared" si="223"/>
        <v>102</v>
      </c>
      <c r="HL80" s="32">
        <f t="shared" si="224"/>
        <v>112</v>
      </c>
      <c r="HM80" s="32">
        <f t="shared" si="225"/>
        <v>43</v>
      </c>
      <c r="HN80" s="32">
        <f t="shared" si="125"/>
        <v>101</v>
      </c>
      <c r="HO80" s="32">
        <f t="shared" si="126"/>
        <v>102</v>
      </c>
      <c r="HP80" s="32">
        <f t="shared" si="127"/>
        <v>112</v>
      </c>
      <c r="HQ80" s="32">
        <f t="shared" si="128"/>
        <v>43</v>
      </c>
      <c r="HR80" s="32">
        <f t="shared" si="226"/>
        <v>49</v>
      </c>
      <c r="HS80" s="32">
        <f t="shared" si="122"/>
        <v>159</v>
      </c>
      <c r="HT80" s="32">
        <f t="shared" si="227"/>
        <v>60</v>
      </c>
      <c r="HU80" s="32">
        <f t="shared" si="228"/>
        <v>71</v>
      </c>
      <c r="HV80" s="32">
        <f t="shared" si="229"/>
        <v>95</v>
      </c>
      <c r="HW80" s="32">
        <f t="shared" si="230"/>
        <v>105</v>
      </c>
      <c r="HX80" s="32">
        <f t="shared" si="231"/>
        <v>242</v>
      </c>
      <c r="IB80" s="32">
        <f t="shared" si="232"/>
        <v>484</v>
      </c>
      <c r="IC80" s="32">
        <f t="shared" si="233"/>
        <v>421</v>
      </c>
      <c r="ID80" s="32">
        <f t="shared" si="234"/>
        <v>1154</v>
      </c>
      <c r="IE80" s="32">
        <f t="shared" si="235"/>
        <v>262</v>
      </c>
      <c r="IF80" s="32">
        <f t="shared" si="236"/>
        <v>397</v>
      </c>
      <c r="IG80" s="32">
        <f t="shared" si="237"/>
        <v>640</v>
      </c>
      <c r="IH80" s="32">
        <f t="shared" si="238"/>
        <v>1354</v>
      </c>
      <c r="II80" s="32">
        <f t="shared" si="239"/>
        <v>1232</v>
      </c>
      <c r="IJ80" s="32">
        <f t="shared" si="240"/>
        <v>1371</v>
      </c>
      <c r="IK80" s="32">
        <f t="shared" si="241"/>
        <v>1454</v>
      </c>
      <c r="IL80" s="32">
        <f t="shared" si="242"/>
        <v>993</v>
      </c>
      <c r="IM80" s="32">
        <f t="shared" si="243"/>
        <v>358</v>
      </c>
      <c r="IN80" s="32">
        <f t="shared" si="244"/>
        <v>339</v>
      </c>
    </row>
    <row r="81" spans="1:248" outlineLevel="2" x14ac:dyDescent="0.3">
      <c r="B81" t="s">
        <v>77</v>
      </c>
      <c r="C81">
        <v>0</v>
      </c>
      <c r="D81">
        <v>29</v>
      </c>
      <c r="E81">
        <v>51</v>
      </c>
      <c r="F81">
        <v>12</v>
      </c>
      <c r="G81">
        <v>9</v>
      </c>
      <c r="H81">
        <v>0</v>
      </c>
      <c r="I81">
        <v>22</v>
      </c>
      <c r="J81">
        <v>15</v>
      </c>
      <c r="K81">
        <v>27</v>
      </c>
      <c r="L81">
        <v>16</v>
      </c>
      <c r="M81">
        <v>10</v>
      </c>
      <c r="N81">
        <v>0</v>
      </c>
      <c r="O81">
        <v>3</v>
      </c>
      <c r="P81">
        <v>21</v>
      </c>
      <c r="Q81">
        <v>78</v>
      </c>
      <c r="R81">
        <v>47</v>
      </c>
      <c r="S81">
        <v>3</v>
      </c>
      <c r="T81">
        <v>18</v>
      </c>
      <c r="U81">
        <v>46</v>
      </c>
      <c r="V81">
        <v>23</v>
      </c>
      <c r="W81">
        <v>0</v>
      </c>
      <c r="X81">
        <v>34</v>
      </c>
      <c r="Y81">
        <v>30</v>
      </c>
      <c r="Z81">
        <v>65</v>
      </c>
      <c r="AA81" s="32">
        <v>56</v>
      </c>
      <c r="AB81" s="32">
        <v>180</v>
      </c>
      <c r="AC81" s="32">
        <v>90</v>
      </c>
      <c r="AD81" s="32">
        <v>67</v>
      </c>
      <c r="AE81" s="32">
        <v>78</v>
      </c>
      <c r="AF81" s="32">
        <v>73</v>
      </c>
      <c r="AG81" s="32">
        <v>49</v>
      </c>
      <c r="AH81" s="32">
        <v>86</v>
      </c>
      <c r="AI81" s="32">
        <v>68</v>
      </c>
      <c r="AJ81" s="32">
        <v>84</v>
      </c>
      <c r="AK81" s="32">
        <v>92</v>
      </c>
      <c r="AL81" s="32">
        <v>48</v>
      </c>
      <c r="AM81" s="32">
        <v>87</v>
      </c>
      <c r="AN81" s="32">
        <v>65</v>
      </c>
      <c r="AO81" s="32">
        <v>66</v>
      </c>
      <c r="AP81" s="32">
        <v>43</v>
      </c>
      <c r="AQ81" s="32">
        <v>45</v>
      </c>
      <c r="AR81" s="32">
        <v>20</v>
      </c>
      <c r="AS81" s="32">
        <v>20</v>
      </c>
      <c r="AT81" s="32">
        <v>7</v>
      </c>
      <c r="AU81" s="32">
        <v>14</v>
      </c>
      <c r="AV81" s="32">
        <v>14</v>
      </c>
      <c r="AW81" s="32">
        <v>36</v>
      </c>
      <c r="AX81" s="32">
        <v>18</v>
      </c>
      <c r="AY81" s="32">
        <v>18</v>
      </c>
      <c r="AZ81" s="32">
        <v>35</v>
      </c>
      <c r="BA81" s="32">
        <v>15</v>
      </c>
      <c r="BB81" s="32">
        <v>28</v>
      </c>
      <c r="BC81" s="32">
        <v>24</v>
      </c>
      <c r="BD81" s="32">
        <v>14</v>
      </c>
      <c r="BE81" s="32">
        <v>47</v>
      </c>
      <c r="BF81" s="32">
        <v>43</v>
      </c>
      <c r="BG81" s="32">
        <v>0</v>
      </c>
      <c r="BH81" s="32">
        <v>87</v>
      </c>
      <c r="BI81" s="32">
        <v>34</v>
      </c>
      <c r="BJ81" s="32">
        <v>42</v>
      </c>
      <c r="BK81" s="32">
        <v>74</v>
      </c>
      <c r="BL81" s="32">
        <v>0</v>
      </c>
      <c r="BM81" s="32">
        <v>54</v>
      </c>
      <c r="BN81" s="32">
        <v>68</v>
      </c>
      <c r="BO81" s="32">
        <v>146</v>
      </c>
      <c r="BP81" s="32">
        <v>151</v>
      </c>
      <c r="BQ81" s="32">
        <v>114</v>
      </c>
      <c r="BR81" s="32">
        <v>85</v>
      </c>
      <c r="BS81" s="32">
        <v>49</v>
      </c>
      <c r="BT81" s="32">
        <v>116</v>
      </c>
      <c r="BU81" s="32">
        <v>42</v>
      </c>
      <c r="BV81" s="32">
        <v>89</v>
      </c>
      <c r="BW81" s="32">
        <v>27</v>
      </c>
      <c r="BX81" s="32">
        <v>108</v>
      </c>
      <c r="BY81" s="32">
        <v>71</v>
      </c>
      <c r="BZ81" s="32">
        <v>34</v>
      </c>
      <c r="CA81" s="32">
        <v>74</v>
      </c>
      <c r="CB81" s="32">
        <v>112</v>
      </c>
      <c r="CC81" s="32">
        <v>92</v>
      </c>
      <c r="CD81" s="32">
        <v>75</v>
      </c>
      <c r="CE81" s="32">
        <v>171</v>
      </c>
      <c r="CF81" s="32">
        <v>79</v>
      </c>
      <c r="CG81" s="32">
        <v>60</v>
      </c>
      <c r="CH81" s="32">
        <v>187</v>
      </c>
      <c r="CI81" s="32">
        <v>85</v>
      </c>
      <c r="CJ81" s="32">
        <v>66</v>
      </c>
      <c r="CK81" s="32">
        <v>51</v>
      </c>
      <c r="CL81" s="32">
        <v>76</v>
      </c>
      <c r="CM81" s="32">
        <v>55</v>
      </c>
      <c r="CN81" s="32">
        <v>58</v>
      </c>
      <c r="CO81" s="32">
        <v>82</v>
      </c>
      <c r="CP81" s="32">
        <v>101</v>
      </c>
      <c r="CQ81" s="32">
        <v>103</v>
      </c>
      <c r="CR81" s="32">
        <v>63</v>
      </c>
      <c r="CS81" s="32">
        <v>188</v>
      </c>
      <c r="CT81" s="32">
        <v>89</v>
      </c>
      <c r="CU81" s="32">
        <v>16</v>
      </c>
      <c r="CV81" s="32">
        <v>58</v>
      </c>
      <c r="CW81" s="32">
        <v>37</v>
      </c>
      <c r="CX81" s="32">
        <v>93</v>
      </c>
      <c r="CY81" s="32">
        <v>136</v>
      </c>
      <c r="CZ81" s="32">
        <v>90</v>
      </c>
      <c r="DA81" s="32">
        <v>93</v>
      </c>
      <c r="DB81" s="32">
        <v>159</v>
      </c>
      <c r="DC81" s="32">
        <v>189</v>
      </c>
      <c r="DD81" s="32">
        <v>123</v>
      </c>
      <c r="DE81" s="32">
        <v>97</v>
      </c>
      <c r="DF81" s="32">
        <v>179</v>
      </c>
      <c r="DG81" s="32">
        <v>245</v>
      </c>
      <c r="DH81" s="32">
        <v>125</v>
      </c>
      <c r="DI81" s="32">
        <v>0</v>
      </c>
      <c r="DJ81" s="32">
        <v>124</v>
      </c>
      <c r="DK81" s="32">
        <v>228</v>
      </c>
      <c r="DL81" s="32">
        <v>230</v>
      </c>
      <c r="DM81" s="32">
        <v>332</v>
      </c>
      <c r="DN81" s="32">
        <v>0</v>
      </c>
      <c r="DO81" s="32">
        <v>83</v>
      </c>
      <c r="DP81" s="32">
        <v>124</v>
      </c>
      <c r="DQ81" s="32">
        <v>105</v>
      </c>
      <c r="DR81" s="32">
        <v>146</v>
      </c>
      <c r="DS81" s="32">
        <v>66</v>
      </c>
      <c r="DT81" s="32">
        <v>67</v>
      </c>
      <c r="DU81" s="32">
        <v>71</v>
      </c>
      <c r="DV81" s="32">
        <v>77</v>
      </c>
      <c r="DW81" s="32">
        <v>88</v>
      </c>
      <c r="DX81" s="32">
        <v>134</v>
      </c>
      <c r="DY81" s="32">
        <v>87</v>
      </c>
      <c r="DZ81" s="32">
        <v>96</v>
      </c>
      <c r="EA81" s="32">
        <v>120</v>
      </c>
      <c r="EB81" s="32">
        <v>179</v>
      </c>
      <c r="EC81" s="32">
        <v>103</v>
      </c>
      <c r="ED81" s="32">
        <v>110</v>
      </c>
      <c r="EE81" s="32">
        <v>64</v>
      </c>
      <c r="EF81" s="32">
        <v>74</v>
      </c>
      <c r="EG81" s="32">
        <v>47</v>
      </c>
      <c r="EH81" s="32">
        <v>80</v>
      </c>
      <c r="EI81" s="32">
        <v>66</v>
      </c>
      <c r="EJ81" s="32">
        <v>58</v>
      </c>
      <c r="EK81" s="32">
        <v>48</v>
      </c>
      <c r="EL81" s="32">
        <v>60</v>
      </c>
      <c r="EM81" s="32">
        <v>0</v>
      </c>
      <c r="EN81" s="32">
        <v>42</v>
      </c>
      <c r="EO81" s="32">
        <v>59</v>
      </c>
      <c r="EP81" s="32">
        <v>63</v>
      </c>
      <c r="EQ81" s="32">
        <v>60</v>
      </c>
      <c r="ER81" s="32">
        <v>83</v>
      </c>
      <c r="ES81" s="32">
        <v>96</v>
      </c>
      <c r="ET81" s="32">
        <v>107</v>
      </c>
      <c r="EU81" s="32">
        <v>121</v>
      </c>
      <c r="EV81" s="32">
        <v>88</v>
      </c>
      <c r="EW81" s="32">
        <v>94</v>
      </c>
      <c r="EX81" s="32">
        <v>56</v>
      </c>
      <c r="EY81" s="32">
        <v>89</v>
      </c>
      <c r="EZ81" s="32">
        <v>26</v>
      </c>
      <c r="FA81" s="32">
        <v>64</v>
      </c>
      <c r="FB81" s="32">
        <v>49</v>
      </c>
      <c r="FC81" s="32">
        <v>98</v>
      </c>
      <c r="FD81" s="32">
        <v>79</v>
      </c>
      <c r="FE81" s="32">
        <v>69</v>
      </c>
      <c r="FF81" s="32">
        <v>61</v>
      </c>
      <c r="FG81" s="32">
        <v>77</v>
      </c>
      <c r="FH81" s="32">
        <v>90</v>
      </c>
      <c r="FI81" s="32">
        <v>100</v>
      </c>
      <c r="FJ81" s="32">
        <v>0</v>
      </c>
      <c r="FK81" s="32">
        <v>50</v>
      </c>
      <c r="FL81" s="32"/>
      <c r="FM81" s="32"/>
      <c r="FN81" s="32"/>
      <c r="FR81" s="32">
        <f t="shared" si="178"/>
        <v>80</v>
      </c>
      <c r="FS81" s="32">
        <f t="shared" si="179"/>
        <v>21</v>
      </c>
      <c r="FT81" s="32">
        <f t="shared" si="180"/>
        <v>64</v>
      </c>
      <c r="FU81" s="32">
        <f t="shared" si="181"/>
        <v>26</v>
      </c>
      <c r="FV81" s="32">
        <f t="shared" si="182"/>
        <v>102</v>
      </c>
      <c r="FW81" s="32">
        <f t="shared" si="183"/>
        <v>68</v>
      </c>
      <c r="FX81" s="32">
        <f t="shared" si="184"/>
        <v>69</v>
      </c>
      <c r="FY81" s="32">
        <f t="shared" si="185"/>
        <v>129</v>
      </c>
      <c r="FZ81" s="32">
        <f t="shared" si="186"/>
        <v>326</v>
      </c>
      <c r="GA81" s="32">
        <f t="shared" si="187"/>
        <v>218</v>
      </c>
      <c r="GB81" s="32">
        <f t="shared" si="188"/>
        <v>203</v>
      </c>
      <c r="GC81" s="32">
        <f t="shared" si="189"/>
        <v>224</v>
      </c>
      <c r="GD81" s="32">
        <f t="shared" si="190"/>
        <v>218</v>
      </c>
      <c r="GE81" s="32">
        <f t="shared" si="191"/>
        <v>108</v>
      </c>
      <c r="GF81" s="32">
        <f t="shared" si="192"/>
        <v>41</v>
      </c>
      <c r="GG81" s="32">
        <f t="shared" si="193"/>
        <v>68</v>
      </c>
      <c r="GH81" s="32">
        <f t="shared" si="194"/>
        <v>68</v>
      </c>
      <c r="GI81" s="32">
        <f t="shared" si="195"/>
        <v>66</v>
      </c>
      <c r="GJ81" s="32">
        <f t="shared" si="196"/>
        <v>90</v>
      </c>
      <c r="GK81" s="32">
        <f t="shared" si="197"/>
        <v>163</v>
      </c>
      <c r="GL81" s="32">
        <f t="shared" si="198"/>
        <v>128</v>
      </c>
      <c r="GM81" s="32">
        <f t="shared" si="199"/>
        <v>365</v>
      </c>
      <c r="GN81" s="32">
        <f t="shared" si="200"/>
        <v>248</v>
      </c>
      <c r="GO81" s="32">
        <f t="shared" si="201"/>
        <v>247</v>
      </c>
      <c r="GP81" s="32">
        <f t="shared" si="202"/>
        <v>206</v>
      </c>
      <c r="GQ81" s="32">
        <f t="shared" si="203"/>
        <v>220</v>
      </c>
      <c r="GR81" s="32">
        <f t="shared" si="204"/>
        <v>338</v>
      </c>
      <c r="GS81" s="32">
        <f t="shared" si="205"/>
        <v>326</v>
      </c>
      <c r="GT81" s="32">
        <f t="shared" si="206"/>
        <v>202</v>
      </c>
      <c r="GU81" s="32">
        <f t="shared" si="207"/>
        <v>189</v>
      </c>
      <c r="GV81" s="32">
        <f t="shared" si="208"/>
        <v>286</v>
      </c>
      <c r="GW81" s="32">
        <f t="shared" si="209"/>
        <v>340</v>
      </c>
      <c r="GX81" s="32">
        <f t="shared" si="210"/>
        <v>111</v>
      </c>
      <c r="GY81" s="32">
        <f t="shared" si="211"/>
        <v>319</v>
      </c>
      <c r="GZ81" s="32">
        <f t="shared" si="212"/>
        <v>441</v>
      </c>
      <c r="HA81" s="32">
        <f t="shared" si="213"/>
        <v>399</v>
      </c>
      <c r="HB81" s="32">
        <f t="shared" si="214"/>
        <v>370</v>
      </c>
      <c r="HC81" s="32">
        <f t="shared" si="215"/>
        <v>582</v>
      </c>
      <c r="HD81" s="32">
        <f t="shared" si="216"/>
        <v>415</v>
      </c>
      <c r="HE81" s="32">
        <f t="shared" si="217"/>
        <v>375</v>
      </c>
      <c r="HF81" s="32">
        <f t="shared" si="218"/>
        <v>204</v>
      </c>
      <c r="HG81" s="32">
        <f t="shared" si="219"/>
        <v>299</v>
      </c>
      <c r="HH81" s="32">
        <f t="shared" si="220"/>
        <v>303</v>
      </c>
      <c r="HI81" s="32">
        <f t="shared" si="221"/>
        <v>392</v>
      </c>
      <c r="HJ81" s="32">
        <f t="shared" si="222"/>
        <v>185</v>
      </c>
      <c r="HK81" s="32">
        <f t="shared" si="223"/>
        <v>204</v>
      </c>
      <c r="HL81" s="32">
        <f t="shared" si="224"/>
        <v>108</v>
      </c>
      <c r="HM81" s="32">
        <f t="shared" si="225"/>
        <v>164</v>
      </c>
      <c r="HN81" s="32">
        <f t="shared" si="125"/>
        <v>185</v>
      </c>
      <c r="HO81" s="32">
        <f t="shared" si="126"/>
        <v>204</v>
      </c>
      <c r="HP81" s="32">
        <f t="shared" si="127"/>
        <v>108</v>
      </c>
      <c r="HQ81" s="32">
        <f t="shared" si="128"/>
        <v>164</v>
      </c>
      <c r="HR81" s="32">
        <f t="shared" si="226"/>
        <v>239</v>
      </c>
      <c r="HS81" s="32">
        <f t="shared" si="122"/>
        <v>316</v>
      </c>
      <c r="HT81" s="32">
        <f t="shared" si="227"/>
        <v>239</v>
      </c>
      <c r="HU81" s="32">
        <f t="shared" si="228"/>
        <v>139</v>
      </c>
      <c r="HV81" s="32">
        <f t="shared" si="229"/>
        <v>246</v>
      </c>
      <c r="HW81" s="32">
        <f t="shared" si="230"/>
        <v>228</v>
      </c>
      <c r="HX81" s="32">
        <f t="shared" si="231"/>
        <v>150</v>
      </c>
      <c r="IB81" s="32">
        <f t="shared" si="232"/>
        <v>191</v>
      </c>
      <c r="IC81" s="32">
        <f t="shared" si="233"/>
        <v>368</v>
      </c>
      <c r="ID81" s="32">
        <f t="shared" si="234"/>
        <v>971</v>
      </c>
      <c r="IE81" s="32">
        <f t="shared" si="235"/>
        <v>435</v>
      </c>
      <c r="IF81" s="32">
        <f t="shared" si="236"/>
        <v>387</v>
      </c>
      <c r="IG81" s="32">
        <f t="shared" si="237"/>
        <v>988</v>
      </c>
      <c r="IH81" s="32">
        <f t="shared" si="238"/>
        <v>1090</v>
      </c>
      <c r="II81" s="32">
        <f t="shared" si="239"/>
        <v>1017</v>
      </c>
      <c r="IJ81" s="32">
        <f t="shared" si="240"/>
        <v>1270</v>
      </c>
      <c r="IK81" s="32">
        <f t="shared" si="241"/>
        <v>1742</v>
      </c>
      <c r="IL81" s="32">
        <f t="shared" si="242"/>
        <v>1198</v>
      </c>
      <c r="IM81" s="32">
        <f t="shared" si="243"/>
        <v>661</v>
      </c>
      <c r="IN81" s="32">
        <f t="shared" si="244"/>
        <v>933</v>
      </c>
    </row>
    <row r="82" spans="1:248" outlineLevel="2" x14ac:dyDescent="0.3">
      <c r="B82" t="s">
        <v>78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25</v>
      </c>
      <c r="X82">
        <v>0</v>
      </c>
      <c r="Y82">
        <v>0</v>
      </c>
      <c r="Z82">
        <v>0</v>
      </c>
      <c r="AA82" s="32">
        <v>0</v>
      </c>
      <c r="AB82" s="32">
        <v>0</v>
      </c>
      <c r="AC82" s="32">
        <v>0</v>
      </c>
      <c r="AD82" s="32">
        <v>0</v>
      </c>
      <c r="AE82" s="32">
        <v>0</v>
      </c>
      <c r="AF82" s="32">
        <v>0</v>
      </c>
      <c r="AG82" s="32">
        <v>0</v>
      </c>
      <c r="AH82" s="32">
        <v>0</v>
      </c>
      <c r="AI82" s="32">
        <v>0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2">
        <v>0</v>
      </c>
      <c r="AZ82" s="32">
        <v>0</v>
      </c>
      <c r="BA82" s="32">
        <v>0</v>
      </c>
      <c r="BB82" s="32">
        <v>0</v>
      </c>
      <c r="BC82" s="32">
        <v>0</v>
      </c>
      <c r="BD82" s="32">
        <v>0</v>
      </c>
      <c r="BE82" s="32">
        <v>0</v>
      </c>
      <c r="BF82" s="32">
        <v>0</v>
      </c>
      <c r="BG82" s="32">
        <v>28</v>
      </c>
      <c r="BH82" s="32">
        <v>0</v>
      </c>
      <c r="BI82" s="32">
        <v>0</v>
      </c>
      <c r="BJ82" s="32">
        <v>0</v>
      </c>
      <c r="BK82" s="32">
        <v>0</v>
      </c>
      <c r="BL82" s="32">
        <v>60</v>
      </c>
      <c r="BM82" s="32">
        <v>0</v>
      </c>
      <c r="BN82" s="32">
        <v>0</v>
      </c>
      <c r="BO82" s="32">
        <v>0</v>
      </c>
      <c r="BP82" s="32">
        <v>0</v>
      </c>
      <c r="BQ82" s="32">
        <v>0</v>
      </c>
      <c r="BR82" s="32">
        <v>0</v>
      </c>
      <c r="BS82" s="32">
        <v>0</v>
      </c>
      <c r="BT82" s="32">
        <v>0</v>
      </c>
      <c r="BU82" s="32">
        <v>0</v>
      </c>
      <c r="BV82" s="32">
        <v>0</v>
      </c>
      <c r="BW82" s="32">
        <v>9</v>
      </c>
      <c r="BX82" s="32">
        <v>0</v>
      </c>
      <c r="BY82" s="32">
        <v>24</v>
      </c>
      <c r="BZ82" s="32">
        <v>37</v>
      </c>
      <c r="CA82" s="32">
        <v>24</v>
      </c>
      <c r="CB82" s="32">
        <v>32</v>
      </c>
      <c r="CC82" s="32">
        <v>10</v>
      </c>
      <c r="CD82" s="32">
        <v>53</v>
      </c>
      <c r="CE82" s="32">
        <v>17</v>
      </c>
      <c r="CF82" s="32">
        <v>28</v>
      </c>
      <c r="CG82" s="32">
        <v>44</v>
      </c>
      <c r="CH82" s="32">
        <v>133</v>
      </c>
      <c r="CI82" s="32">
        <v>72</v>
      </c>
      <c r="CJ82" s="32">
        <v>105</v>
      </c>
      <c r="CK82" s="32">
        <v>82</v>
      </c>
      <c r="CL82" s="32">
        <v>131</v>
      </c>
      <c r="CM82" s="32">
        <v>94</v>
      </c>
      <c r="CN82" s="32">
        <v>124</v>
      </c>
      <c r="CO82" s="32">
        <v>90</v>
      </c>
      <c r="CP82" s="32">
        <v>29</v>
      </c>
      <c r="CQ82" s="32">
        <v>84</v>
      </c>
      <c r="CR82" s="32">
        <v>52</v>
      </c>
      <c r="CS82" s="32">
        <v>142</v>
      </c>
      <c r="CT82" s="32">
        <v>22</v>
      </c>
      <c r="CU82" s="32">
        <v>34</v>
      </c>
      <c r="CV82" s="32">
        <v>32</v>
      </c>
      <c r="CW82" s="32">
        <v>56</v>
      </c>
      <c r="CX82" s="32">
        <v>172</v>
      </c>
      <c r="CY82" s="32">
        <v>195</v>
      </c>
      <c r="CZ82" s="32">
        <v>128</v>
      </c>
      <c r="DA82" s="32">
        <v>230</v>
      </c>
      <c r="DB82" s="32">
        <v>166</v>
      </c>
      <c r="DC82" s="32">
        <v>197</v>
      </c>
      <c r="DD82" s="32">
        <v>190</v>
      </c>
      <c r="DE82" s="32">
        <v>311</v>
      </c>
      <c r="DF82" s="32">
        <v>230</v>
      </c>
      <c r="DG82" s="32">
        <v>218</v>
      </c>
      <c r="DH82" s="32">
        <v>108</v>
      </c>
      <c r="DI82" s="32">
        <v>473</v>
      </c>
      <c r="DJ82" s="32">
        <v>248</v>
      </c>
      <c r="DK82" s="32">
        <v>374</v>
      </c>
      <c r="DL82" s="32">
        <v>414</v>
      </c>
      <c r="DM82" s="32">
        <v>218</v>
      </c>
      <c r="DN82" s="32">
        <v>457</v>
      </c>
      <c r="DO82" s="32">
        <v>410</v>
      </c>
      <c r="DP82" s="32">
        <v>313</v>
      </c>
      <c r="DQ82" s="32">
        <v>195</v>
      </c>
      <c r="DR82" s="32">
        <v>329</v>
      </c>
      <c r="DS82" s="32">
        <v>420</v>
      </c>
      <c r="DT82" s="32">
        <v>545</v>
      </c>
      <c r="DU82" s="32">
        <v>615</v>
      </c>
      <c r="DV82" s="32">
        <v>467</v>
      </c>
      <c r="DW82" s="32">
        <v>604</v>
      </c>
      <c r="DX82" s="32">
        <v>581</v>
      </c>
      <c r="DY82" s="32">
        <v>388</v>
      </c>
      <c r="DZ82" s="32">
        <v>374</v>
      </c>
      <c r="EA82" s="32">
        <v>401</v>
      </c>
      <c r="EB82" s="32">
        <v>208</v>
      </c>
      <c r="EC82" s="32">
        <v>389</v>
      </c>
      <c r="ED82" s="32">
        <v>542</v>
      </c>
      <c r="EE82" s="32">
        <v>213</v>
      </c>
      <c r="EF82" s="32">
        <v>344</v>
      </c>
      <c r="EG82" s="32">
        <v>466</v>
      </c>
      <c r="EH82" s="32">
        <v>246</v>
      </c>
      <c r="EI82" s="32">
        <v>290</v>
      </c>
      <c r="EJ82" s="32">
        <v>622</v>
      </c>
      <c r="EK82" s="32">
        <v>429</v>
      </c>
      <c r="EL82" s="32">
        <v>289</v>
      </c>
      <c r="EM82" s="32">
        <v>379</v>
      </c>
      <c r="EN82" s="32">
        <v>321</v>
      </c>
      <c r="EO82" s="32">
        <v>365</v>
      </c>
      <c r="EP82" s="32">
        <v>448</v>
      </c>
      <c r="EQ82" s="32">
        <v>279</v>
      </c>
      <c r="ER82" s="32">
        <v>260</v>
      </c>
      <c r="ES82" s="32">
        <v>128</v>
      </c>
      <c r="ET82" s="32">
        <v>256</v>
      </c>
      <c r="EU82" s="32">
        <v>213</v>
      </c>
      <c r="EV82" s="32">
        <v>216</v>
      </c>
      <c r="EW82" s="32">
        <v>154</v>
      </c>
      <c r="EX82" s="32">
        <v>160</v>
      </c>
      <c r="EY82" s="32">
        <v>308</v>
      </c>
      <c r="EZ82" s="32">
        <v>559</v>
      </c>
      <c r="FA82" s="32">
        <v>534</v>
      </c>
      <c r="FB82" s="32">
        <v>476</v>
      </c>
      <c r="FC82" s="32">
        <v>448</v>
      </c>
      <c r="FD82" s="32">
        <v>530</v>
      </c>
      <c r="FE82" s="32">
        <v>400</v>
      </c>
      <c r="FF82" s="32">
        <v>419</v>
      </c>
      <c r="FG82" s="32">
        <v>436</v>
      </c>
      <c r="FH82" s="32">
        <v>314</v>
      </c>
      <c r="FI82" s="32">
        <v>228</v>
      </c>
      <c r="FJ82" s="32">
        <v>340</v>
      </c>
      <c r="FK82" s="32">
        <v>592</v>
      </c>
      <c r="FL82" s="32"/>
      <c r="FM82" s="32"/>
      <c r="FN82" s="32"/>
      <c r="FR82" s="32">
        <f t="shared" si="178"/>
        <v>0</v>
      </c>
      <c r="FS82" s="32">
        <f t="shared" si="179"/>
        <v>0</v>
      </c>
      <c r="FT82" s="32">
        <f t="shared" si="180"/>
        <v>0</v>
      </c>
      <c r="FU82" s="32">
        <f t="shared" si="181"/>
        <v>0</v>
      </c>
      <c r="FV82" s="32">
        <f t="shared" si="182"/>
        <v>0</v>
      </c>
      <c r="FW82" s="32">
        <f t="shared" si="183"/>
        <v>0</v>
      </c>
      <c r="FX82" s="32">
        <f t="shared" si="184"/>
        <v>25</v>
      </c>
      <c r="FY82" s="32">
        <f t="shared" si="185"/>
        <v>0</v>
      </c>
      <c r="FZ82" s="32">
        <f t="shared" si="186"/>
        <v>0</v>
      </c>
      <c r="GA82" s="32">
        <f t="shared" si="187"/>
        <v>0</v>
      </c>
      <c r="GB82" s="32">
        <f t="shared" si="188"/>
        <v>0</v>
      </c>
      <c r="GC82" s="32">
        <f t="shared" si="189"/>
        <v>0</v>
      </c>
      <c r="GD82" s="32">
        <f t="shared" si="190"/>
        <v>0</v>
      </c>
      <c r="GE82" s="32">
        <f t="shared" si="191"/>
        <v>0</v>
      </c>
      <c r="GF82" s="32">
        <f t="shared" si="192"/>
        <v>0</v>
      </c>
      <c r="GG82" s="32">
        <f t="shared" si="193"/>
        <v>0</v>
      </c>
      <c r="GH82" s="32">
        <f t="shared" si="194"/>
        <v>0</v>
      </c>
      <c r="GI82" s="32">
        <f t="shared" si="195"/>
        <v>0</v>
      </c>
      <c r="GJ82" s="32">
        <f t="shared" si="196"/>
        <v>28</v>
      </c>
      <c r="GK82" s="32">
        <f t="shared" si="197"/>
        <v>0</v>
      </c>
      <c r="GL82" s="32">
        <f t="shared" si="198"/>
        <v>60</v>
      </c>
      <c r="GM82" s="32">
        <f t="shared" si="199"/>
        <v>0</v>
      </c>
      <c r="GN82" s="32">
        <f t="shared" si="200"/>
        <v>0</v>
      </c>
      <c r="GO82" s="32">
        <f t="shared" si="201"/>
        <v>0</v>
      </c>
      <c r="GP82" s="32">
        <f t="shared" si="202"/>
        <v>33</v>
      </c>
      <c r="GQ82" s="32">
        <f t="shared" si="203"/>
        <v>93</v>
      </c>
      <c r="GR82" s="32">
        <f t="shared" si="204"/>
        <v>80</v>
      </c>
      <c r="GS82" s="32">
        <f t="shared" si="205"/>
        <v>205</v>
      </c>
      <c r="GT82" s="32">
        <f t="shared" si="206"/>
        <v>259</v>
      </c>
      <c r="GU82" s="32">
        <f t="shared" si="207"/>
        <v>349</v>
      </c>
      <c r="GV82" s="32">
        <f t="shared" si="208"/>
        <v>203</v>
      </c>
      <c r="GW82" s="32">
        <f t="shared" si="209"/>
        <v>216</v>
      </c>
      <c r="GX82" s="32">
        <f t="shared" si="210"/>
        <v>122</v>
      </c>
      <c r="GY82" s="32">
        <f t="shared" si="211"/>
        <v>495</v>
      </c>
      <c r="GZ82" s="32">
        <f t="shared" si="212"/>
        <v>593</v>
      </c>
      <c r="HA82" s="32">
        <f t="shared" si="213"/>
        <v>731</v>
      </c>
      <c r="HB82" s="32">
        <f t="shared" si="214"/>
        <v>326</v>
      </c>
      <c r="HC82" s="32">
        <f t="shared" si="215"/>
        <v>1036</v>
      </c>
      <c r="HD82" s="32">
        <f t="shared" si="216"/>
        <v>1085</v>
      </c>
      <c r="HE82" s="32">
        <f t="shared" si="217"/>
        <v>837</v>
      </c>
      <c r="HF82" s="32">
        <f t="shared" si="218"/>
        <v>1580</v>
      </c>
      <c r="HG82" s="32">
        <f t="shared" si="219"/>
        <v>1652</v>
      </c>
      <c r="HH82" s="32">
        <f t="shared" si="220"/>
        <v>1163</v>
      </c>
      <c r="HI82" s="32">
        <f t="shared" si="221"/>
        <v>1139</v>
      </c>
      <c r="HJ82" s="32">
        <f t="shared" si="222"/>
        <v>1023</v>
      </c>
      <c r="HK82" s="32">
        <f t="shared" si="223"/>
        <v>1158</v>
      </c>
      <c r="HL82" s="32">
        <f t="shared" si="224"/>
        <v>1097</v>
      </c>
      <c r="HM82" s="32">
        <f t="shared" si="225"/>
        <v>1134</v>
      </c>
      <c r="HN82" s="32">
        <f t="shared" si="125"/>
        <v>1023</v>
      </c>
      <c r="HO82" s="32">
        <f t="shared" si="126"/>
        <v>1158</v>
      </c>
      <c r="HP82" s="32">
        <f t="shared" si="127"/>
        <v>1097</v>
      </c>
      <c r="HQ82" s="32">
        <f t="shared" si="128"/>
        <v>1134</v>
      </c>
      <c r="HR82" s="32">
        <f t="shared" si="226"/>
        <v>667</v>
      </c>
      <c r="HS82" s="32">
        <f t="shared" si="122"/>
        <v>685</v>
      </c>
      <c r="HT82" s="32">
        <f t="shared" si="227"/>
        <v>622</v>
      </c>
      <c r="HU82" s="32">
        <f t="shared" si="228"/>
        <v>1569</v>
      </c>
      <c r="HV82" s="32">
        <f t="shared" si="229"/>
        <v>1378</v>
      </c>
      <c r="HW82" s="32">
        <f t="shared" si="230"/>
        <v>1169</v>
      </c>
      <c r="HX82" s="32">
        <f t="shared" si="231"/>
        <v>1160</v>
      </c>
      <c r="IB82" s="32">
        <f t="shared" si="232"/>
        <v>0</v>
      </c>
      <c r="IC82" s="32">
        <f t="shared" si="233"/>
        <v>25</v>
      </c>
      <c r="ID82" s="32">
        <f t="shared" si="234"/>
        <v>0</v>
      </c>
      <c r="IE82" s="32">
        <f t="shared" si="235"/>
        <v>0</v>
      </c>
      <c r="IF82" s="32">
        <f t="shared" si="236"/>
        <v>28</v>
      </c>
      <c r="IG82" s="32">
        <f t="shared" si="237"/>
        <v>60</v>
      </c>
      <c r="IH82" s="32">
        <f t="shared" si="238"/>
        <v>411</v>
      </c>
      <c r="II82" s="32">
        <f t="shared" si="239"/>
        <v>1027</v>
      </c>
      <c r="IJ82" s="32">
        <f t="shared" si="240"/>
        <v>1941</v>
      </c>
      <c r="IK82" s="32">
        <f t="shared" si="241"/>
        <v>3757</v>
      </c>
      <c r="IL82" s="32">
        <f t="shared" si="242"/>
        <v>5534</v>
      </c>
      <c r="IM82" s="32">
        <f t="shared" si="243"/>
        <v>4412</v>
      </c>
      <c r="IN82" s="32">
        <f t="shared" si="244"/>
        <v>3543</v>
      </c>
    </row>
    <row r="83" spans="1:248" outlineLevel="1" x14ac:dyDescent="0.3">
      <c r="A83" s="15" t="s">
        <v>79</v>
      </c>
      <c r="B83" s="15"/>
      <c r="C83" s="15">
        <v>138</v>
      </c>
      <c r="D83" s="15">
        <v>94</v>
      </c>
      <c r="E83" s="15">
        <v>70</v>
      </c>
      <c r="F83" s="15">
        <v>50</v>
      </c>
      <c r="G83" s="15">
        <v>9</v>
      </c>
      <c r="H83" s="15">
        <v>0</v>
      </c>
      <c r="I83" s="15">
        <v>104</v>
      </c>
      <c r="J83" s="15">
        <v>23</v>
      </c>
      <c r="K83" s="15">
        <v>43</v>
      </c>
      <c r="L83" s="15">
        <v>32</v>
      </c>
      <c r="M83" s="15">
        <v>33</v>
      </c>
      <c r="N83" s="15">
        <v>94</v>
      </c>
      <c r="O83" s="15">
        <v>69</v>
      </c>
      <c r="P83" s="15">
        <v>76</v>
      </c>
      <c r="Q83" s="15">
        <v>98</v>
      </c>
      <c r="R83" s="15">
        <v>85</v>
      </c>
      <c r="S83" s="15">
        <v>65</v>
      </c>
      <c r="T83" s="15">
        <v>72</v>
      </c>
      <c r="U83" s="15">
        <v>114</v>
      </c>
      <c r="V83" s="15">
        <v>31</v>
      </c>
      <c r="W83" s="15">
        <v>50</v>
      </c>
      <c r="X83" s="15">
        <v>55</v>
      </c>
      <c r="Y83" s="15">
        <v>71</v>
      </c>
      <c r="Z83" s="15">
        <v>137</v>
      </c>
      <c r="AA83" s="33">
        <v>70</v>
      </c>
      <c r="AB83" s="33">
        <v>252</v>
      </c>
      <c r="AC83" s="33">
        <v>238</v>
      </c>
      <c r="AD83" s="33">
        <v>191</v>
      </c>
      <c r="AE83" s="33">
        <v>477</v>
      </c>
      <c r="AF83" s="33">
        <v>228</v>
      </c>
      <c r="AG83" s="33">
        <v>151</v>
      </c>
      <c r="AH83" s="33">
        <v>125</v>
      </c>
      <c r="AI83" s="33">
        <v>150</v>
      </c>
      <c r="AJ83" s="33">
        <v>146</v>
      </c>
      <c r="AK83" s="33">
        <v>126</v>
      </c>
      <c r="AL83" s="33">
        <v>60</v>
      </c>
      <c r="AM83" s="33">
        <v>127</v>
      </c>
      <c r="AN83" s="33">
        <v>112</v>
      </c>
      <c r="AO83" s="33">
        <v>87</v>
      </c>
      <c r="AP83" s="33">
        <v>68</v>
      </c>
      <c r="AQ83" s="33">
        <v>47</v>
      </c>
      <c r="AR83" s="33">
        <v>30</v>
      </c>
      <c r="AS83" s="33">
        <v>30</v>
      </c>
      <c r="AT83" s="33">
        <v>15</v>
      </c>
      <c r="AU83" s="33">
        <v>24</v>
      </c>
      <c r="AV83" s="33">
        <v>51</v>
      </c>
      <c r="AW83" s="33">
        <v>90</v>
      </c>
      <c r="AX83" s="33">
        <v>76</v>
      </c>
      <c r="AY83" s="33">
        <v>38</v>
      </c>
      <c r="AZ83" s="33">
        <v>79</v>
      </c>
      <c r="BA83" s="33">
        <v>55</v>
      </c>
      <c r="BB83" s="33">
        <v>82</v>
      </c>
      <c r="BC83" s="33">
        <v>55</v>
      </c>
      <c r="BD83" s="33">
        <v>61</v>
      </c>
      <c r="BE83" s="33">
        <v>111</v>
      </c>
      <c r="BF83" s="33">
        <v>92</v>
      </c>
      <c r="BG83" s="33">
        <v>105</v>
      </c>
      <c r="BH83" s="33">
        <v>145</v>
      </c>
      <c r="BI83" s="33">
        <v>143</v>
      </c>
      <c r="BJ83" s="33">
        <v>65</v>
      </c>
      <c r="BK83" s="33">
        <v>139</v>
      </c>
      <c r="BL83" s="33">
        <v>116</v>
      </c>
      <c r="BM83" s="33">
        <v>107</v>
      </c>
      <c r="BN83" s="33">
        <v>143</v>
      </c>
      <c r="BO83" s="33">
        <v>177</v>
      </c>
      <c r="BP83" s="33">
        <v>209</v>
      </c>
      <c r="BQ83" s="33">
        <v>204</v>
      </c>
      <c r="BR83" s="33">
        <v>178</v>
      </c>
      <c r="BS83" s="33">
        <v>130</v>
      </c>
      <c r="BT83" s="33">
        <v>156</v>
      </c>
      <c r="BU83" s="33">
        <v>167</v>
      </c>
      <c r="BV83" s="33">
        <v>233</v>
      </c>
      <c r="BW83" s="33">
        <v>92</v>
      </c>
      <c r="BX83" s="33">
        <v>238</v>
      </c>
      <c r="BY83" s="33">
        <v>225</v>
      </c>
      <c r="BZ83" s="33">
        <v>127</v>
      </c>
      <c r="CA83" s="33">
        <v>242</v>
      </c>
      <c r="CB83" s="33">
        <v>353</v>
      </c>
      <c r="CC83" s="33">
        <v>273</v>
      </c>
      <c r="CD83" s="33">
        <v>364</v>
      </c>
      <c r="CE83" s="33">
        <v>386</v>
      </c>
      <c r="CF83" s="33">
        <v>229</v>
      </c>
      <c r="CG83" s="33">
        <v>322</v>
      </c>
      <c r="CH83" s="33">
        <v>474</v>
      </c>
      <c r="CI83" s="33">
        <v>278</v>
      </c>
      <c r="CJ83" s="33">
        <v>339</v>
      </c>
      <c r="CK83" s="33">
        <v>312</v>
      </c>
      <c r="CL83" s="33">
        <v>357</v>
      </c>
      <c r="CM83" s="33">
        <v>272</v>
      </c>
      <c r="CN83" s="33">
        <v>331</v>
      </c>
      <c r="CO83" s="33">
        <v>319</v>
      </c>
      <c r="CP83" s="33">
        <v>263</v>
      </c>
      <c r="CQ83" s="33">
        <v>308</v>
      </c>
      <c r="CR83" s="33">
        <v>218</v>
      </c>
      <c r="CS83" s="33">
        <v>552</v>
      </c>
      <c r="CT83" s="33">
        <v>216</v>
      </c>
      <c r="CU83" s="33">
        <v>92</v>
      </c>
      <c r="CV83" s="33">
        <v>140</v>
      </c>
      <c r="CW83" s="33">
        <v>228</v>
      </c>
      <c r="CX83" s="33">
        <v>369</v>
      </c>
      <c r="CY83" s="33">
        <v>518</v>
      </c>
      <c r="CZ83" s="33">
        <v>398</v>
      </c>
      <c r="DA83" s="33">
        <v>484</v>
      </c>
      <c r="DB83" s="33">
        <v>503</v>
      </c>
      <c r="DC83" s="33">
        <v>503</v>
      </c>
      <c r="DD83" s="33">
        <v>511</v>
      </c>
      <c r="DE83" s="33">
        <v>540</v>
      </c>
      <c r="DF83" s="33">
        <v>607</v>
      </c>
      <c r="DG83" s="33">
        <v>593</v>
      </c>
      <c r="DH83" s="33">
        <v>265</v>
      </c>
      <c r="DI83" s="33">
        <v>577</v>
      </c>
      <c r="DJ83" s="33">
        <v>509</v>
      </c>
      <c r="DK83" s="33">
        <v>773</v>
      </c>
      <c r="DL83" s="33">
        <v>841</v>
      </c>
      <c r="DM83" s="33">
        <v>765</v>
      </c>
      <c r="DN83" s="33">
        <v>624</v>
      </c>
      <c r="DO83" s="33">
        <v>615</v>
      </c>
      <c r="DP83" s="33">
        <v>604</v>
      </c>
      <c r="DQ83" s="33">
        <v>428</v>
      </c>
      <c r="DR83" s="33">
        <v>591</v>
      </c>
      <c r="DS83" s="33">
        <v>649</v>
      </c>
      <c r="DT83" s="33">
        <v>754</v>
      </c>
      <c r="DU83" s="33">
        <v>786</v>
      </c>
      <c r="DV83" s="33">
        <v>656</v>
      </c>
      <c r="DW83" s="33">
        <v>803</v>
      </c>
      <c r="DX83" s="33">
        <v>848</v>
      </c>
      <c r="DY83" s="33">
        <v>649</v>
      </c>
      <c r="DZ83" s="33">
        <v>601</v>
      </c>
      <c r="EA83" s="33">
        <v>607</v>
      </c>
      <c r="EB83" s="33">
        <v>401</v>
      </c>
      <c r="EC83" s="33">
        <v>566</v>
      </c>
      <c r="ED83" s="33">
        <v>704</v>
      </c>
      <c r="EE83" s="33">
        <v>313</v>
      </c>
      <c r="EF83" s="33">
        <v>463</v>
      </c>
      <c r="EG83" s="33">
        <v>580</v>
      </c>
      <c r="EH83" s="33">
        <v>409</v>
      </c>
      <c r="EI83" s="33">
        <v>395</v>
      </c>
      <c r="EJ83" s="33">
        <v>747</v>
      </c>
      <c r="EK83" s="33">
        <v>563</v>
      </c>
      <c r="EL83" s="33">
        <v>403</v>
      </c>
      <c r="EM83" s="33">
        <v>405</v>
      </c>
      <c r="EN83" s="33">
        <v>368</v>
      </c>
      <c r="EO83" s="33">
        <v>440</v>
      </c>
      <c r="EP83" s="33">
        <v>533</v>
      </c>
      <c r="EQ83" s="33">
        <v>347</v>
      </c>
      <c r="ER83" s="33">
        <v>380</v>
      </c>
      <c r="ES83" s="33">
        <v>234</v>
      </c>
      <c r="ET83" s="33">
        <v>423</v>
      </c>
      <c r="EU83" s="33">
        <v>409</v>
      </c>
      <c r="EV83" s="33">
        <v>395</v>
      </c>
      <c r="EW83" s="33">
        <v>271</v>
      </c>
      <c r="EX83" s="33">
        <v>244</v>
      </c>
      <c r="EY83" s="33">
        <v>456</v>
      </c>
      <c r="EZ83" s="33">
        <v>611</v>
      </c>
      <c r="FA83" s="33">
        <v>622</v>
      </c>
      <c r="FB83" s="33">
        <v>599</v>
      </c>
      <c r="FC83" s="33">
        <v>581</v>
      </c>
      <c r="FD83" s="33">
        <v>651</v>
      </c>
      <c r="FE83" s="33">
        <v>501</v>
      </c>
      <c r="FF83" s="33">
        <v>530</v>
      </c>
      <c r="FG83" s="33">
        <v>554</v>
      </c>
      <c r="FH83" s="33">
        <v>464</v>
      </c>
      <c r="FI83" s="33">
        <v>375</v>
      </c>
      <c r="FJ83" s="33">
        <v>458</v>
      </c>
      <c r="FK83" s="33">
        <v>749</v>
      </c>
      <c r="FL83" s="34"/>
      <c r="FM83" s="34"/>
      <c r="FN83" s="34"/>
      <c r="FR83" s="33">
        <f t="shared" si="178"/>
        <v>302</v>
      </c>
      <c r="FS83" s="33">
        <f t="shared" si="179"/>
        <v>59</v>
      </c>
      <c r="FT83" s="33">
        <f t="shared" si="180"/>
        <v>170</v>
      </c>
      <c r="FU83" s="33">
        <f t="shared" si="181"/>
        <v>159</v>
      </c>
      <c r="FV83" s="33">
        <f t="shared" si="182"/>
        <v>243</v>
      </c>
      <c r="FW83" s="33">
        <f t="shared" si="183"/>
        <v>222</v>
      </c>
      <c r="FX83" s="33">
        <f t="shared" si="184"/>
        <v>195</v>
      </c>
      <c r="FY83" s="33">
        <f t="shared" si="185"/>
        <v>263</v>
      </c>
      <c r="FZ83" s="33">
        <f t="shared" si="186"/>
        <v>560</v>
      </c>
      <c r="GA83" s="33">
        <f t="shared" si="187"/>
        <v>896</v>
      </c>
      <c r="GB83" s="33">
        <f t="shared" si="188"/>
        <v>426</v>
      </c>
      <c r="GC83" s="33">
        <f t="shared" si="189"/>
        <v>332</v>
      </c>
      <c r="GD83" s="33">
        <f t="shared" si="190"/>
        <v>326</v>
      </c>
      <c r="GE83" s="33">
        <f t="shared" si="191"/>
        <v>145</v>
      </c>
      <c r="GF83" s="33">
        <f t="shared" si="192"/>
        <v>69</v>
      </c>
      <c r="GG83" s="33">
        <f t="shared" si="193"/>
        <v>217</v>
      </c>
      <c r="GH83" s="33">
        <f t="shared" si="194"/>
        <v>172</v>
      </c>
      <c r="GI83" s="33">
        <f t="shared" si="195"/>
        <v>198</v>
      </c>
      <c r="GJ83" s="33">
        <f t="shared" si="196"/>
        <v>308</v>
      </c>
      <c r="GK83" s="33">
        <f t="shared" si="197"/>
        <v>353</v>
      </c>
      <c r="GL83" s="33">
        <f t="shared" si="198"/>
        <v>362</v>
      </c>
      <c r="GM83" s="33">
        <f t="shared" si="199"/>
        <v>529</v>
      </c>
      <c r="GN83" s="33">
        <f t="shared" si="200"/>
        <v>512</v>
      </c>
      <c r="GO83" s="33">
        <f t="shared" si="201"/>
        <v>556</v>
      </c>
      <c r="GP83" s="33">
        <f t="shared" si="202"/>
        <v>555</v>
      </c>
      <c r="GQ83" s="33">
        <f t="shared" si="203"/>
        <v>722</v>
      </c>
      <c r="GR83" s="33">
        <f t="shared" si="204"/>
        <v>1023</v>
      </c>
      <c r="GS83" s="33">
        <f t="shared" si="205"/>
        <v>1025</v>
      </c>
      <c r="GT83" s="33">
        <f t="shared" si="206"/>
        <v>929</v>
      </c>
      <c r="GU83" s="33">
        <f t="shared" si="207"/>
        <v>960</v>
      </c>
      <c r="GV83" s="33">
        <f t="shared" si="208"/>
        <v>890</v>
      </c>
      <c r="GW83" s="33">
        <f t="shared" si="209"/>
        <v>986</v>
      </c>
      <c r="GX83" s="33">
        <f t="shared" si="210"/>
        <v>460</v>
      </c>
      <c r="GY83" s="33">
        <f t="shared" si="211"/>
        <v>1285</v>
      </c>
      <c r="GZ83" s="33">
        <f t="shared" si="212"/>
        <v>1490</v>
      </c>
      <c r="HA83" s="33">
        <f t="shared" si="213"/>
        <v>1658</v>
      </c>
      <c r="HB83" s="33">
        <f t="shared" si="214"/>
        <v>858</v>
      </c>
      <c r="HC83" s="33">
        <f t="shared" si="215"/>
        <v>2123</v>
      </c>
      <c r="HD83" s="33">
        <f t="shared" si="216"/>
        <v>2004</v>
      </c>
      <c r="HE83" s="33">
        <f t="shared" si="217"/>
        <v>1623</v>
      </c>
      <c r="HF83" s="33">
        <f t="shared" si="218"/>
        <v>2189</v>
      </c>
      <c r="HG83" s="33">
        <f t="shared" si="219"/>
        <v>2307</v>
      </c>
      <c r="HH83" s="33">
        <f t="shared" si="220"/>
        <v>1857</v>
      </c>
      <c r="HI83" s="33">
        <f t="shared" si="221"/>
        <v>1671</v>
      </c>
      <c r="HJ83" s="33">
        <f t="shared" si="222"/>
        <v>1356</v>
      </c>
      <c r="HK83" s="33">
        <f t="shared" si="223"/>
        <v>1551</v>
      </c>
      <c r="HL83" s="33">
        <f t="shared" si="224"/>
        <v>1371</v>
      </c>
      <c r="HM83" s="33">
        <f t="shared" si="225"/>
        <v>1341</v>
      </c>
      <c r="HN83" s="33">
        <f t="shared" si="125"/>
        <v>1356</v>
      </c>
      <c r="HO83" s="33">
        <f t="shared" si="126"/>
        <v>1551</v>
      </c>
      <c r="HP83" s="33">
        <f t="shared" si="127"/>
        <v>1371</v>
      </c>
      <c r="HQ83" s="33">
        <f t="shared" si="128"/>
        <v>1341</v>
      </c>
      <c r="HR83" s="33">
        <f t="shared" si="226"/>
        <v>961</v>
      </c>
      <c r="HS83" s="33">
        <f t="shared" si="122"/>
        <v>1227</v>
      </c>
      <c r="HT83" s="33">
        <f t="shared" si="227"/>
        <v>971</v>
      </c>
      <c r="HU83" s="33">
        <f t="shared" si="228"/>
        <v>1832</v>
      </c>
      <c r="HV83" s="33">
        <f t="shared" si="229"/>
        <v>1733</v>
      </c>
      <c r="HW83" s="33">
        <f t="shared" si="230"/>
        <v>1548</v>
      </c>
      <c r="HX83" s="33">
        <f t="shared" si="231"/>
        <v>1582</v>
      </c>
      <c r="IB83" s="33">
        <f t="shared" si="232"/>
        <v>690</v>
      </c>
      <c r="IC83" s="33">
        <f t="shared" si="233"/>
        <v>923</v>
      </c>
      <c r="ID83" s="33">
        <f t="shared" si="234"/>
        <v>2214</v>
      </c>
      <c r="IE83" s="33">
        <f t="shared" si="235"/>
        <v>757</v>
      </c>
      <c r="IF83" s="33">
        <f t="shared" si="236"/>
        <v>1031</v>
      </c>
      <c r="IG83" s="33">
        <f t="shared" si="237"/>
        <v>1959</v>
      </c>
      <c r="IH83" s="33">
        <f t="shared" si="238"/>
        <v>3325</v>
      </c>
      <c r="II83" s="33">
        <f t="shared" si="239"/>
        <v>3765</v>
      </c>
      <c r="IJ83" s="33">
        <f t="shared" si="240"/>
        <v>4893</v>
      </c>
      <c r="IK83" s="33">
        <f t="shared" si="241"/>
        <v>7185</v>
      </c>
      <c r="IL83" s="33">
        <f t="shared" si="242"/>
        <v>8024</v>
      </c>
      <c r="IM83" s="33">
        <f t="shared" si="243"/>
        <v>5619</v>
      </c>
      <c r="IN83" s="33">
        <f t="shared" si="244"/>
        <v>4991</v>
      </c>
    </row>
    <row r="84" spans="1:248" outlineLevel="2" x14ac:dyDescent="0.3">
      <c r="A84" t="s">
        <v>80</v>
      </c>
      <c r="B84" t="s">
        <v>75</v>
      </c>
      <c r="C84">
        <v>0</v>
      </c>
      <c r="D84">
        <v>0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32">
        <v>0</v>
      </c>
      <c r="AB84" s="32">
        <v>0</v>
      </c>
      <c r="AC84" s="32">
        <v>0</v>
      </c>
      <c r="AD84" s="32">
        <v>0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32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2">
        <v>0</v>
      </c>
      <c r="AZ84" s="32">
        <v>0</v>
      </c>
      <c r="BA84" s="32">
        <v>0</v>
      </c>
      <c r="BB84" s="32">
        <v>0</v>
      </c>
      <c r="BC84" s="32">
        <v>0</v>
      </c>
      <c r="BD84" s="32">
        <v>0</v>
      </c>
      <c r="BE84" s="32">
        <v>0</v>
      </c>
      <c r="BF84" s="32">
        <v>0</v>
      </c>
      <c r="BG84" s="32">
        <v>2</v>
      </c>
      <c r="BH84" s="32">
        <v>0</v>
      </c>
      <c r="BI84" s="32">
        <v>0</v>
      </c>
      <c r="BJ84" s="32">
        <v>0</v>
      </c>
      <c r="BK84" s="32">
        <v>0</v>
      </c>
      <c r="BL84" s="32">
        <v>0</v>
      </c>
      <c r="BM84" s="32">
        <v>0</v>
      </c>
      <c r="BN84" s="32">
        <v>0</v>
      </c>
      <c r="BO84" s="32">
        <v>0</v>
      </c>
      <c r="BP84" s="32">
        <v>0</v>
      </c>
      <c r="BQ84" s="32">
        <v>0</v>
      </c>
      <c r="BR84" s="32">
        <v>0</v>
      </c>
      <c r="BS84" s="32">
        <v>0</v>
      </c>
      <c r="BT84" s="32">
        <v>0</v>
      </c>
      <c r="BU84" s="32">
        <v>0</v>
      </c>
      <c r="BV84" s="32">
        <v>0</v>
      </c>
      <c r="BW84" s="32">
        <v>0</v>
      </c>
      <c r="BX84" s="32">
        <v>0</v>
      </c>
      <c r="BY84" s="32">
        <v>0</v>
      </c>
      <c r="BZ84" s="32">
        <v>0</v>
      </c>
      <c r="CA84" s="32">
        <v>0</v>
      </c>
      <c r="CB84" s="32">
        <v>0</v>
      </c>
      <c r="CC84" s="32">
        <v>0</v>
      </c>
      <c r="CD84" s="32">
        <v>0</v>
      </c>
      <c r="CE84" s="32">
        <v>0</v>
      </c>
      <c r="CF84" s="32">
        <v>0</v>
      </c>
      <c r="CG84" s="32">
        <v>0</v>
      </c>
      <c r="CH84" s="32">
        <v>0</v>
      </c>
      <c r="CI84" s="32">
        <v>0</v>
      </c>
      <c r="CJ84" s="32">
        <v>0</v>
      </c>
      <c r="CK84" s="32">
        <v>0</v>
      </c>
      <c r="CL84" s="32">
        <v>0</v>
      </c>
      <c r="CM84" s="32">
        <v>0</v>
      </c>
      <c r="CN84" s="32">
        <v>0</v>
      </c>
      <c r="CO84" s="32">
        <v>0</v>
      </c>
      <c r="CP84" s="32">
        <v>0</v>
      </c>
      <c r="CQ84" s="32">
        <v>0</v>
      </c>
      <c r="CR84" s="32">
        <v>0</v>
      </c>
      <c r="CS84" s="32">
        <v>0</v>
      </c>
      <c r="CT84" s="32">
        <v>0</v>
      </c>
      <c r="CU84" s="32">
        <v>0</v>
      </c>
      <c r="CV84" s="32">
        <v>0</v>
      </c>
      <c r="CW84" s="32">
        <v>0</v>
      </c>
      <c r="CX84" s="32">
        <v>0</v>
      </c>
      <c r="CY84" s="32">
        <v>0</v>
      </c>
      <c r="CZ84" s="32">
        <v>0</v>
      </c>
      <c r="DA84" s="32">
        <v>0</v>
      </c>
      <c r="DB84" s="32">
        <v>0</v>
      </c>
      <c r="DC84" s="32">
        <v>0</v>
      </c>
      <c r="DD84" s="32">
        <v>0</v>
      </c>
      <c r="DE84" s="32">
        <v>0</v>
      </c>
      <c r="DF84" s="32">
        <v>0</v>
      </c>
      <c r="DG84" s="32">
        <v>0</v>
      </c>
      <c r="DH84" s="32">
        <v>0</v>
      </c>
      <c r="DI84" s="32">
        <v>0</v>
      </c>
      <c r="DJ84" s="32">
        <v>0</v>
      </c>
      <c r="DK84" s="32">
        <v>0</v>
      </c>
      <c r="DL84" s="32">
        <v>0</v>
      </c>
      <c r="DM84" s="32">
        <v>0</v>
      </c>
      <c r="DN84" s="32">
        <v>0</v>
      </c>
      <c r="DO84" s="32">
        <v>0</v>
      </c>
      <c r="DP84" s="32">
        <v>0</v>
      </c>
      <c r="DQ84" s="32">
        <v>0</v>
      </c>
      <c r="DR84" s="32">
        <v>0</v>
      </c>
      <c r="DS84" s="32">
        <v>0</v>
      </c>
      <c r="DT84" s="32">
        <v>0</v>
      </c>
      <c r="DU84" s="32">
        <v>0</v>
      </c>
      <c r="DV84" s="32">
        <v>0</v>
      </c>
      <c r="DW84" s="32">
        <v>0</v>
      </c>
      <c r="DX84" s="32">
        <v>0</v>
      </c>
      <c r="DY84" s="32">
        <v>0</v>
      </c>
      <c r="DZ84" s="32">
        <v>0</v>
      </c>
      <c r="EA84" s="32">
        <v>0</v>
      </c>
      <c r="EB84" s="32">
        <v>0</v>
      </c>
      <c r="EC84" s="32">
        <v>0</v>
      </c>
      <c r="ED84" s="32">
        <v>0</v>
      </c>
      <c r="EE84" s="32">
        <v>0</v>
      </c>
      <c r="EF84" s="32">
        <v>0</v>
      </c>
      <c r="EG84" s="32">
        <v>0</v>
      </c>
      <c r="EH84" s="32">
        <v>0</v>
      </c>
      <c r="EI84" s="32">
        <v>0</v>
      </c>
      <c r="EJ84" s="32">
        <v>0</v>
      </c>
      <c r="EK84" s="32">
        <v>0</v>
      </c>
      <c r="EL84" s="32">
        <v>0</v>
      </c>
      <c r="EM84" s="32">
        <v>0</v>
      </c>
      <c r="EN84" s="32">
        <v>0</v>
      </c>
      <c r="EO84" s="32">
        <v>0</v>
      </c>
      <c r="EP84" s="32">
        <v>0</v>
      </c>
      <c r="EQ84" s="32">
        <v>0</v>
      </c>
      <c r="ER84" s="32">
        <v>0</v>
      </c>
      <c r="ES84" s="32">
        <v>0</v>
      </c>
      <c r="ET84" s="32">
        <v>0</v>
      </c>
      <c r="EU84" s="32">
        <v>0</v>
      </c>
      <c r="EV84" s="32">
        <v>0</v>
      </c>
      <c r="EW84" s="32">
        <v>0</v>
      </c>
      <c r="EX84" s="32">
        <v>0</v>
      </c>
      <c r="EY84" s="32">
        <v>0</v>
      </c>
      <c r="EZ84" s="32">
        <v>0</v>
      </c>
      <c r="FA84" s="32">
        <v>0</v>
      </c>
      <c r="FB84" s="32">
        <v>0</v>
      </c>
      <c r="FC84" s="32">
        <v>0</v>
      </c>
      <c r="FD84" s="32">
        <v>0</v>
      </c>
      <c r="FE84" s="32">
        <v>0</v>
      </c>
      <c r="FF84" s="32">
        <v>0</v>
      </c>
      <c r="FG84" s="32">
        <v>0</v>
      </c>
      <c r="FH84" s="32">
        <v>0</v>
      </c>
      <c r="FI84" s="32">
        <v>0</v>
      </c>
      <c r="FJ84" s="32">
        <v>0</v>
      </c>
      <c r="FK84" s="32">
        <v>0</v>
      </c>
      <c r="FL84" s="32"/>
      <c r="FM84" s="32"/>
      <c r="FN84" s="32"/>
      <c r="FR84" s="32">
        <f t="shared" si="178"/>
        <v>0</v>
      </c>
      <c r="FS84" s="32">
        <f t="shared" si="179"/>
        <v>4</v>
      </c>
      <c r="FT84" s="32">
        <f t="shared" si="180"/>
        <v>0</v>
      </c>
      <c r="FU84" s="32">
        <f t="shared" si="181"/>
        <v>0</v>
      </c>
      <c r="FV84" s="32">
        <f t="shared" si="182"/>
        <v>0</v>
      </c>
      <c r="FW84" s="32">
        <f t="shared" si="183"/>
        <v>0</v>
      </c>
      <c r="FX84" s="32">
        <f t="shared" si="184"/>
        <v>0</v>
      </c>
      <c r="FY84" s="32">
        <f t="shared" si="185"/>
        <v>0</v>
      </c>
      <c r="FZ84" s="32">
        <f t="shared" si="186"/>
        <v>0</v>
      </c>
      <c r="GA84" s="32">
        <f t="shared" si="187"/>
        <v>0</v>
      </c>
      <c r="GB84" s="32">
        <f t="shared" si="188"/>
        <v>0</v>
      </c>
      <c r="GC84" s="32">
        <f t="shared" si="189"/>
        <v>0</v>
      </c>
      <c r="GD84" s="32">
        <f t="shared" si="190"/>
        <v>0</v>
      </c>
      <c r="GE84" s="32">
        <f t="shared" si="191"/>
        <v>0</v>
      </c>
      <c r="GF84" s="32">
        <f t="shared" si="192"/>
        <v>0</v>
      </c>
      <c r="GG84" s="32">
        <f t="shared" si="193"/>
        <v>0</v>
      </c>
      <c r="GH84" s="32">
        <f t="shared" si="194"/>
        <v>0</v>
      </c>
      <c r="GI84" s="32">
        <f t="shared" si="195"/>
        <v>0</v>
      </c>
      <c r="GJ84" s="32">
        <f t="shared" si="196"/>
        <v>2</v>
      </c>
      <c r="GK84" s="32">
        <f t="shared" si="197"/>
        <v>0</v>
      </c>
      <c r="GL84" s="32">
        <f t="shared" si="198"/>
        <v>0</v>
      </c>
      <c r="GM84" s="32">
        <f t="shared" si="199"/>
        <v>0</v>
      </c>
      <c r="GN84" s="32">
        <f t="shared" si="200"/>
        <v>0</v>
      </c>
      <c r="GO84" s="32">
        <f t="shared" si="201"/>
        <v>0</v>
      </c>
      <c r="GP84" s="32">
        <f t="shared" si="202"/>
        <v>0</v>
      </c>
      <c r="GQ84" s="32">
        <f t="shared" si="203"/>
        <v>0</v>
      </c>
      <c r="GR84" s="32">
        <f t="shared" si="204"/>
        <v>0</v>
      </c>
      <c r="GS84" s="32">
        <f t="shared" si="205"/>
        <v>0</v>
      </c>
      <c r="GT84" s="32">
        <f t="shared" si="206"/>
        <v>0</v>
      </c>
      <c r="GU84" s="32">
        <f t="shared" si="207"/>
        <v>0</v>
      </c>
      <c r="GV84" s="32">
        <f t="shared" si="208"/>
        <v>0</v>
      </c>
      <c r="GW84" s="32">
        <f t="shared" si="209"/>
        <v>0</v>
      </c>
      <c r="GX84" s="32">
        <f t="shared" si="210"/>
        <v>0</v>
      </c>
      <c r="GY84" s="32">
        <f t="shared" si="211"/>
        <v>0</v>
      </c>
      <c r="GZ84" s="32">
        <f t="shared" si="212"/>
        <v>0</v>
      </c>
      <c r="HA84" s="32">
        <f t="shared" si="213"/>
        <v>0</v>
      </c>
      <c r="HB84" s="32">
        <f t="shared" si="214"/>
        <v>0</v>
      </c>
      <c r="HC84" s="32">
        <f t="shared" si="215"/>
        <v>0</v>
      </c>
      <c r="HD84" s="32">
        <f t="shared" si="216"/>
        <v>0</v>
      </c>
      <c r="HE84" s="32">
        <f t="shared" si="217"/>
        <v>0</v>
      </c>
      <c r="HF84" s="32">
        <f t="shared" si="218"/>
        <v>0</v>
      </c>
      <c r="HG84" s="32">
        <f t="shared" si="219"/>
        <v>0</v>
      </c>
      <c r="HH84" s="32">
        <f t="shared" si="220"/>
        <v>0</v>
      </c>
      <c r="HI84" s="32">
        <f t="shared" si="221"/>
        <v>0</v>
      </c>
      <c r="HJ84" s="32">
        <f t="shared" si="222"/>
        <v>0</v>
      </c>
      <c r="HK84" s="32">
        <f t="shared" si="223"/>
        <v>0</v>
      </c>
      <c r="HL84" s="32">
        <f t="shared" si="224"/>
        <v>0</v>
      </c>
      <c r="HM84" s="32">
        <f t="shared" si="225"/>
        <v>0</v>
      </c>
      <c r="HN84" s="32">
        <f t="shared" si="125"/>
        <v>0</v>
      </c>
      <c r="HO84" s="32">
        <f t="shared" si="126"/>
        <v>0</v>
      </c>
      <c r="HP84" s="32">
        <f t="shared" si="127"/>
        <v>0</v>
      </c>
      <c r="HQ84" s="32">
        <f t="shared" si="128"/>
        <v>0</v>
      </c>
      <c r="HR84" s="32">
        <f t="shared" si="226"/>
        <v>0</v>
      </c>
      <c r="HS84" s="32">
        <f t="shared" si="122"/>
        <v>0</v>
      </c>
      <c r="HT84" s="32">
        <f t="shared" si="227"/>
        <v>0</v>
      </c>
      <c r="HU84" s="32">
        <f t="shared" si="228"/>
        <v>0</v>
      </c>
      <c r="HV84" s="32">
        <f t="shared" si="229"/>
        <v>0</v>
      </c>
      <c r="HW84" s="32">
        <f t="shared" si="230"/>
        <v>0</v>
      </c>
      <c r="HX84" s="32">
        <f t="shared" si="231"/>
        <v>0</v>
      </c>
      <c r="IB84" s="32">
        <f t="shared" si="232"/>
        <v>4</v>
      </c>
      <c r="IC84" s="32">
        <f t="shared" si="233"/>
        <v>0</v>
      </c>
      <c r="ID84" s="32">
        <f t="shared" si="234"/>
        <v>0</v>
      </c>
      <c r="IE84" s="32">
        <f t="shared" si="235"/>
        <v>0</v>
      </c>
      <c r="IF84" s="32">
        <f t="shared" si="236"/>
        <v>2</v>
      </c>
      <c r="IG84" s="32">
        <f t="shared" si="237"/>
        <v>0</v>
      </c>
      <c r="IH84" s="32">
        <f t="shared" si="238"/>
        <v>0</v>
      </c>
      <c r="II84" s="32">
        <f t="shared" si="239"/>
        <v>0</v>
      </c>
      <c r="IJ84" s="32">
        <f t="shared" si="240"/>
        <v>0</v>
      </c>
      <c r="IK84" s="32">
        <f t="shared" si="241"/>
        <v>0</v>
      </c>
      <c r="IL84" s="32">
        <f t="shared" si="242"/>
        <v>0</v>
      </c>
      <c r="IM84" s="32">
        <f t="shared" si="243"/>
        <v>0</v>
      </c>
      <c r="IN84" s="32">
        <f t="shared" si="244"/>
        <v>0</v>
      </c>
    </row>
    <row r="85" spans="1:248" outlineLevel="2" x14ac:dyDescent="0.3">
      <c r="B85" t="s">
        <v>76</v>
      </c>
      <c r="C85">
        <v>0</v>
      </c>
      <c r="D85">
        <v>7</v>
      </c>
      <c r="E85">
        <v>0</v>
      </c>
      <c r="F85">
        <v>0</v>
      </c>
      <c r="G85">
        <v>3</v>
      </c>
      <c r="H85">
        <v>7</v>
      </c>
      <c r="I85">
        <v>0</v>
      </c>
      <c r="J85">
        <v>0</v>
      </c>
      <c r="K85">
        <v>21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32">
        <v>0</v>
      </c>
      <c r="AB85" s="32">
        <v>0</v>
      </c>
      <c r="AC85" s="32">
        <v>6</v>
      </c>
      <c r="AD85" s="32">
        <v>0</v>
      </c>
      <c r="AE85" s="32">
        <v>0</v>
      </c>
      <c r="AF85" s="32">
        <v>7</v>
      </c>
      <c r="AG85" s="32">
        <v>0</v>
      </c>
      <c r="AH85" s="32">
        <v>0</v>
      </c>
      <c r="AI85" s="32">
        <v>7</v>
      </c>
      <c r="AJ85" s="32">
        <v>0</v>
      </c>
      <c r="AK85" s="32">
        <v>0</v>
      </c>
      <c r="AL85" s="32">
        <v>0</v>
      </c>
      <c r="AM85" s="32">
        <v>0</v>
      </c>
      <c r="AN85" s="32">
        <v>7</v>
      </c>
      <c r="AO85" s="32">
        <v>5</v>
      </c>
      <c r="AP85" s="32">
        <v>0</v>
      </c>
      <c r="AQ85" s="32">
        <v>0</v>
      </c>
      <c r="AR85" s="32">
        <v>7</v>
      </c>
      <c r="AS85" s="32">
        <v>7</v>
      </c>
      <c r="AT85" s="32">
        <v>0</v>
      </c>
      <c r="AU85" s="32">
        <v>0</v>
      </c>
      <c r="AV85" s="32">
        <v>7</v>
      </c>
      <c r="AW85" s="32">
        <v>0</v>
      </c>
      <c r="AX85" s="32">
        <v>7</v>
      </c>
      <c r="AY85" s="32">
        <v>0</v>
      </c>
      <c r="AZ85" s="32">
        <v>0</v>
      </c>
      <c r="BA85" s="32">
        <v>0</v>
      </c>
      <c r="BB85" s="32">
        <v>0</v>
      </c>
      <c r="BC85" s="32">
        <v>0</v>
      </c>
      <c r="BD85" s="32">
        <v>3</v>
      </c>
      <c r="BE85" s="32">
        <v>1</v>
      </c>
      <c r="BF85" s="32">
        <v>0</v>
      </c>
      <c r="BG85" s="32">
        <v>2</v>
      </c>
      <c r="BH85" s="32">
        <v>0</v>
      </c>
      <c r="BI85" s="32">
        <v>0</v>
      </c>
      <c r="BJ85" s="32">
        <v>0</v>
      </c>
      <c r="BK85" s="32">
        <v>0</v>
      </c>
      <c r="BL85" s="32">
        <v>0</v>
      </c>
      <c r="BM85" s="32">
        <v>6</v>
      </c>
      <c r="BN85" s="32">
        <v>0</v>
      </c>
      <c r="BO85" s="32">
        <v>0</v>
      </c>
      <c r="BP85" s="32">
        <v>0</v>
      </c>
      <c r="BQ85" s="32">
        <v>1</v>
      </c>
      <c r="BR85" s="32">
        <v>0</v>
      </c>
      <c r="BS85" s="32">
        <v>0</v>
      </c>
      <c r="BT85" s="32">
        <v>0</v>
      </c>
      <c r="BU85" s="32">
        <v>0</v>
      </c>
      <c r="BV85" s="32">
        <v>0</v>
      </c>
      <c r="BW85" s="32">
        <v>0</v>
      </c>
      <c r="BX85" s="32">
        <v>0</v>
      </c>
      <c r="BY85" s="32">
        <v>0</v>
      </c>
      <c r="BZ85" s="32">
        <v>0</v>
      </c>
      <c r="CA85" s="32">
        <v>0</v>
      </c>
      <c r="CB85" s="32">
        <v>0</v>
      </c>
      <c r="CC85" s="32">
        <v>0</v>
      </c>
      <c r="CD85" s="32">
        <v>0</v>
      </c>
      <c r="CE85" s="32">
        <v>0</v>
      </c>
      <c r="CF85" s="32">
        <v>0</v>
      </c>
      <c r="CG85" s="32">
        <v>0</v>
      </c>
      <c r="CH85" s="32">
        <v>0</v>
      </c>
      <c r="CI85" s="32">
        <v>0</v>
      </c>
      <c r="CJ85" s="32">
        <v>0</v>
      </c>
      <c r="CK85" s="32">
        <v>0</v>
      </c>
      <c r="CL85" s="32">
        <v>2</v>
      </c>
      <c r="CM85" s="32">
        <v>0</v>
      </c>
      <c r="CN85" s="32">
        <v>0</v>
      </c>
      <c r="CO85" s="32">
        <v>0</v>
      </c>
      <c r="CP85" s="32">
        <v>0</v>
      </c>
      <c r="CQ85" s="32">
        <v>0</v>
      </c>
      <c r="CR85" s="32">
        <v>0</v>
      </c>
      <c r="CS85" s="32">
        <v>0</v>
      </c>
      <c r="CT85" s="32">
        <v>0</v>
      </c>
      <c r="CU85" s="32">
        <v>0</v>
      </c>
      <c r="CV85" s="32">
        <v>0</v>
      </c>
      <c r="CW85" s="32">
        <v>0</v>
      </c>
      <c r="CX85" s="32">
        <v>0</v>
      </c>
      <c r="CY85" s="32">
        <v>0</v>
      </c>
      <c r="CZ85" s="32">
        <v>0</v>
      </c>
      <c r="DA85" s="32">
        <v>0</v>
      </c>
      <c r="DB85" s="32">
        <v>0</v>
      </c>
      <c r="DC85" s="32">
        <v>0</v>
      </c>
      <c r="DD85" s="32">
        <v>0</v>
      </c>
      <c r="DE85" s="32">
        <v>0</v>
      </c>
      <c r="DF85" s="32">
        <v>0</v>
      </c>
      <c r="DG85" s="32">
        <v>0</v>
      </c>
      <c r="DH85" s="32">
        <v>0</v>
      </c>
      <c r="DI85" s="32">
        <v>0</v>
      </c>
      <c r="DJ85" s="32">
        <v>0</v>
      </c>
      <c r="DK85" s="32">
        <v>0</v>
      </c>
      <c r="DL85" s="32">
        <v>0</v>
      </c>
      <c r="DM85" s="32">
        <v>0</v>
      </c>
      <c r="DN85" s="32">
        <v>0</v>
      </c>
      <c r="DO85" s="32">
        <v>0</v>
      </c>
      <c r="DP85" s="32">
        <v>0</v>
      </c>
      <c r="DQ85" s="32">
        <v>0</v>
      </c>
      <c r="DR85" s="32">
        <v>0</v>
      </c>
      <c r="DS85" s="32">
        <v>0</v>
      </c>
      <c r="DT85" s="32">
        <v>0</v>
      </c>
      <c r="DU85" s="32">
        <v>0</v>
      </c>
      <c r="DV85" s="32">
        <v>0</v>
      </c>
      <c r="DW85" s="32">
        <v>0</v>
      </c>
      <c r="DX85" s="32">
        <v>0</v>
      </c>
      <c r="DY85" s="32">
        <v>0</v>
      </c>
      <c r="DZ85" s="32">
        <v>0</v>
      </c>
      <c r="EA85" s="32">
        <v>0</v>
      </c>
      <c r="EB85" s="32">
        <v>0</v>
      </c>
      <c r="EC85" s="32">
        <v>0</v>
      </c>
      <c r="ED85" s="32">
        <v>0</v>
      </c>
      <c r="EE85" s="32">
        <v>0</v>
      </c>
      <c r="EF85" s="32">
        <v>0</v>
      </c>
      <c r="EG85" s="32">
        <v>0</v>
      </c>
      <c r="EH85" s="32">
        <v>0</v>
      </c>
      <c r="EI85" s="32">
        <v>0</v>
      </c>
      <c r="EJ85" s="32">
        <v>0</v>
      </c>
      <c r="EK85" s="32">
        <v>0</v>
      </c>
      <c r="EL85" s="32">
        <v>0</v>
      </c>
      <c r="EM85" s="32">
        <v>0</v>
      </c>
      <c r="EN85" s="32">
        <v>0</v>
      </c>
      <c r="EO85" s="32">
        <v>0</v>
      </c>
      <c r="EP85" s="32">
        <v>0</v>
      </c>
      <c r="EQ85" s="32">
        <v>0</v>
      </c>
      <c r="ER85" s="32">
        <v>0</v>
      </c>
      <c r="ES85" s="32">
        <v>0</v>
      </c>
      <c r="ET85" s="32">
        <v>0</v>
      </c>
      <c r="EU85" s="32">
        <v>0</v>
      </c>
      <c r="EV85" s="32">
        <v>0</v>
      </c>
      <c r="EW85" s="32">
        <v>0</v>
      </c>
      <c r="EX85" s="32">
        <v>0</v>
      </c>
      <c r="EY85" s="32">
        <v>0</v>
      </c>
      <c r="EZ85" s="32">
        <v>0</v>
      </c>
      <c r="FA85" s="32">
        <v>0</v>
      </c>
      <c r="FB85" s="32">
        <v>0</v>
      </c>
      <c r="FC85" s="32">
        <v>0</v>
      </c>
      <c r="FD85" s="32">
        <v>0</v>
      </c>
      <c r="FE85" s="32">
        <v>0</v>
      </c>
      <c r="FF85" s="32">
        <v>0</v>
      </c>
      <c r="FG85" s="32">
        <v>0</v>
      </c>
      <c r="FH85" s="32">
        <v>0</v>
      </c>
      <c r="FI85" s="32">
        <v>0</v>
      </c>
      <c r="FJ85" s="32">
        <v>0</v>
      </c>
      <c r="FK85" s="32">
        <v>0</v>
      </c>
      <c r="FL85" s="32"/>
      <c r="FM85" s="32"/>
      <c r="FN85" s="32"/>
      <c r="FR85" s="32">
        <f t="shared" si="178"/>
        <v>7</v>
      </c>
      <c r="FS85" s="32">
        <f t="shared" si="179"/>
        <v>10</v>
      </c>
      <c r="FT85" s="32">
        <f t="shared" si="180"/>
        <v>21</v>
      </c>
      <c r="FU85" s="32">
        <f t="shared" si="181"/>
        <v>0</v>
      </c>
      <c r="FV85" s="32">
        <f t="shared" si="182"/>
        <v>0</v>
      </c>
      <c r="FW85" s="32">
        <f t="shared" si="183"/>
        <v>0</v>
      </c>
      <c r="FX85" s="32">
        <f t="shared" si="184"/>
        <v>0</v>
      </c>
      <c r="FY85" s="32">
        <f t="shared" si="185"/>
        <v>0</v>
      </c>
      <c r="FZ85" s="32">
        <f t="shared" si="186"/>
        <v>6</v>
      </c>
      <c r="GA85" s="32">
        <f t="shared" si="187"/>
        <v>7</v>
      </c>
      <c r="GB85" s="32">
        <f t="shared" si="188"/>
        <v>7</v>
      </c>
      <c r="GC85" s="32">
        <f t="shared" si="189"/>
        <v>0</v>
      </c>
      <c r="GD85" s="32">
        <f t="shared" si="190"/>
        <v>12</v>
      </c>
      <c r="GE85" s="32">
        <f t="shared" si="191"/>
        <v>7</v>
      </c>
      <c r="GF85" s="32">
        <f t="shared" si="192"/>
        <v>7</v>
      </c>
      <c r="GG85" s="32">
        <f t="shared" si="193"/>
        <v>14</v>
      </c>
      <c r="GH85" s="32">
        <f t="shared" si="194"/>
        <v>0</v>
      </c>
      <c r="GI85" s="32">
        <f t="shared" si="195"/>
        <v>3</v>
      </c>
      <c r="GJ85" s="32">
        <f t="shared" si="196"/>
        <v>3</v>
      </c>
      <c r="GK85" s="32">
        <f t="shared" si="197"/>
        <v>0</v>
      </c>
      <c r="GL85" s="32">
        <f t="shared" si="198"/>
        <v>6</v>
      </c>
      <c r="GM85" s="32">
        <f t="shared" si="199"/>
        <v>0</v>
      </c>
      <c r="GN85" s="32">
        <f t="shared" si="200"/>
        <v>1</v>
      </c>
      <c r="GO85" s="32">
        <f t="shared" si="201"/>
        <v>0</v>
      </c>
      <c r="GP85" s="32">
        <f t="shared" si="202"/>
        <v>0</v>
      </c>
      <c r="GQ85" s="32">
        <f t="shared" si="203"/>
        <v>0</v>
      </c>
      <c r="GR85" s="32">
        <f t="shared" si="204"/>
        <v>0</v>
      </c>
      <c r="GS85" s="32">
        <f t="shared" si="205"/>
        <v>0</v>
      </c>
      <c r="GT85" s="32">
        <f t="shared" si="206"/>
        <v>0</v>
      </c>
      <c r="GU85" s="32">
        <f t="shared" si="207"/>
        <v>2</v>
      </c>
      <c r="GV85" s="32">
        <f t="shared" si="208"/>
        <v>0</v>
      </c>
      <c r="GW85" s="32">
        <f t="shared" si="209"/>
        <v>0</v>
      </c>
      <c r="GX85" s="32">
        <f t="shared" si="210"/>
        <v>0</v>
      </c>
      <c r="GY85" s="32">
        <f t="shared" si="211"/>
        <v>0</v>
      </c>
      <c r="GZ85" s="32">
        <f t="shared" si="212"/>
        <v>0</v>
      </c>
      <c r="HA85" s="32">
        <f t="shared" si="213"/>
        <v>0</v>
      </c>
      <c r="HB85" s="32">
        <f t="shared" si="214"/>
        <v>0</v>
      </c>
      <c r="HC85" s="32">
        <f t="shared" si="215"/>
        <v>0</v>
      </c>
      <c r="HD85" s="32">
        <f t="shared" si="216"/>
        <v>0</v>
      </c>
      <c r="HE85" s="32">
        <f t="shared" si="217"/>
        <v>0</v>
      </c>
      <c r="HF85" s="32">
        <f t="shared" si="218"/>
        <v>0</v>
      </c>
      <c r="HG85" s="32">
        <f t="shared" si="219"/>
        <v>0</v>
      </c>
      <c r="HH85" s="32">
        <f t="shared" si="220"/>
        <v>0</v>
      </c>
      <c r="HI85" s="32">
        <f t="shared" si="221"/>
        <v>0</v>
      </c>
      <c r="HJ85" s="32">
        <f t="shared" si="222"/>
        <v>0</v>
      </c>
      <c r="HK85" s="32">
        <f t="shared" si="223"/>
        <v>0</v>
      </c>
      <c r="HL85" s="32">
        <f t="shared" si="224"/>
        <v>0</v>
      </c>
      <c r="HM85" s="32">
        <f t="shared" si="225"/>
        <v>0</v>
      </c>
      <c r="HN85" s="32">
        <f t="shared" si="125"/>
        <v>0</v>
      </c>
      <c r="HO85" s="32">
        <f t="shared" si="126"/>
        <v>0</v>
      </c>
      <c r="HP85" s="32">
        <f t="shared" si="127"/>
        <v>0</v>
      </c>
      <c r="HQ85" s="32">
        <f t="shared" si="128"/>
        <v>0</v>
      </c>
      <c r="HR85" s="32">
        <f t="shared" si="226"/>
        <v>0</v>
      </c>
      <c r="HS85" s="32">
        <f t="shared" si="122"/>
        <v>0</v>
      </c>
      <c r="HT85" s="32">
        <f t="shared" si="227"/>
        <v>0</v>
      </c>
      <c r="HU85" s="32">
        <f t="shared" si="228"/>
        <v>0</v>
      </c>
      <c r="HV85" s="32">
        <f t="shared" si="229"/>
        <v>0</v>
      </c>
      <c r="HW85" s="32">
        <f t="shared" si="230"/>
        <v>0</v>
      </c>
      <c r="HX85" s="32">
        <f t="shared" si="231"/>
        <v>0</v>
      </c>
      <c r="IB85" s="32">
        <f t="shared" si="232"/>
        <v>38</v>
      </c>
      <c r="IC85" s="32">
        <f t="shared" si="233"/>
        <v>0</v>
      </c>
      <c r="ID85" s="32">
        <f t="shared" si="234"/>
        <v>20</v>
      </c>
      <c r="IE85" s="32">
        <f t="shared" si="235"/>
        <v>40</v>
      </c>
      <c r="IF85" s="32">
        <f t="shared" si="236"/>
        <v>6</v>
      </c>
      <c r="IG85" s="32">
        <f t="shared" si="237"/>
        <v>7</v>
      </c>
      <c r="IH85" s="32">
        <f t="shared" si="238"/>
        <v>0</v>
      </c>
      <c r="II85" s="32">
        <f t="shared" si="239"/>
        <v>2</v>
      </c>
      <c r="IJ85" s="32">
        <f t="shared" si="240"/>
        <v>0</v>
      </c>
      <c r="IK85" s="32">
        <f t="shared" si="241"/>
        <v>0</v>
      </c>
      <c r="IL85" s="32">
        <f t="shared" si="242"/>
        <v>0</v>
      </c>
      <c r="IM85" s="32">
        <f t="shared" si="243"/>
        <v>0</v>
      </c>
      <c r="IN85" s="32">
        <f t="shared" si="244"/>
        <v>0</v>
      </c>
    </row>
    <row r="86" spans="1:248" outlineLevel="2" x14ac:dyDescent="0.3">
      <c r="B86" t="s">
        <v>78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s="32">
        <v>0</v>
      </c>
      <c r="AB86" s="32">
        <v>0</v>
      </c>
      <c r="AC86" s="32">
        <v>1</v>
      </c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32">
        <v>0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2">
        <v>0</v>
      </c>
      <c r="AZ86" s="32">
        <v>0</v>
      </c>
      <c r="BA86" s="32">
        <v>0</v>
      </c>
      <c r="BB86" s="32">
        <v>0</v>
      </c>
      <c r="BC86" s="32">
        <v>0</v>
      </c>
      <c r="BD86" s="32">
        <v>4</v>
      </c>
      <c r="BE86" s="32">
        <v>6</v>
      </c>
      <c r="BF86" s="32">
        <v>0</v>
      </c>
      <c r="BG86" s="32">
        <v>1</v>
      </c>
      <c r="BH86" s="32">
        <v>0</v>
      </c>
      <c r="BI86" s="32">
        <v>7</v>
      </c>
      <c r="BJ86" s="32">
        <v>0</v>
      </c>
      <c r="BK86" s="32">
        <v>0</v>
      </c>
      <c r="BL86" s="32">
        <v>0</v>
      </c>
      <c r="BM86" s="32">
        <v>0</v>
      </c>
      <c r="BN86" s="32">
        <v>0</v>
      </c>
      <c r="BO86" s="32">
        <v>0</v>
      </c>
      <c r="BP86" s="32">
        <v>0</v>
      </c>
      <c r="BQ86" s="32">
        <v>0</v>
      </c>
      <c r="BR86" s="32">
        <v>0</v>
      </c>
      <c r="BS86" s="32">
        <v>0</v>
      </c>
      <c r="BT86" s="32">
        <v>0</v>
      </c>
      <c r="BU86" s="32">
        <v>0</v>
      </c>
      <c r="BV86" s="32">
        <v>0</v>
      </c>
      <c r="BW86" s="32">
        <v>0</v>
      </c>
      <c r="BX86" s="32">
        <v>0</v>
      </c>
      <c r="BY86" s="32">
        <v>0</v>
      </c>
      <c r="BZ86" s="32">
        <v>0</v>
      </c>
      <c r="CA86" s="32">
        <v>0</v>
      </c>
      <c r="CB86" s="32">
        <v>0</v>
      </c>
      <c r="CC86" s="32">
        <v>1</v>
      </c>
      <c r="CD86" s="32">
        <v>0</v>
      </c>
      <c r="CE86" s="32">
        <v>0</v>
      </c>
      <c r="CF86" s="32">
        <v>1</v>
      </c>
      <c r="CG86" s="32">
        <v>1</v>
      </c>
      <c r="CH86" s="32">
        <v>18</v>
      </c>
      <c r="CI86" s="32">
        <v>0</v>
      </c>
      <c r="CJ86" s="32">
        <v>0</v>
      </c>
      <c r="CK86" s="32">
        <v>0</v>
      </c>
      <c r="CL86" s="32">
        <v>0</v>
      </c>
      <c r="CM86" s="32">
        <v>0</v>
      </c>
      <c r="CN86" s="32">
        <v>0</v>
      </c>
      <c r="CO86" s="32">
        <v>0</v>
      </c>
      <c r="CP86" s="32">
        <v>0</v>
      </c>
      <c r="CQ86" s="32">
        <v>0</v>
      </c>
      <c r="CR86" s="32">
        <v>0</v>
      </c>
      <c r="CS86" s="32">
        <v>0</v>
      </c>
      <c r="CT86" s="32">
        <v>0</v>
      </c>
      <c r="CU86" s="32">
        <v>0</v>
      </c>
      <c r="CV86" s="32">
        <v>0</v>
      </c>
      <c r="CW86" s="32">
        <v>0</v>
      </c>
      <c r="CX86" s="32">
        <v>0</v>
      </c>
      <c r="CY86" s="32">
        <v>0</v>
      </c>
      <c r="CZ86" s="32">
        <v>0</v>
      </c>
      <c r="DA86" s="32">
        <v>0</v>
      </c>
      <c r="DB86" s="32">
        <v>0</v>
      </c>
      <c r="DC86" s="32">
        <v>0</v>
      </c>
      <c r="DD86" s="32">
        <v>0</v>
      </c>
      <c r="DE86" s="32">
        <v>0</v>
      </c>
      <c r="DF86" s="32">
        <v>0</v>
      </c>
      <c r="DG86" s="32">
        <v>0</v>
      </c>
      <c r="DH86" s="32">
        <v>0</v>
      </c>
      <c r="DI86" s="32">
        <v>0</v>
      </c>
      <c r="DJ86" s="32">
        <v>0</v>
      </c>
      <c r="DK86" s="32">
        <v>0</v>
      </c>
      <c r="DL86" s="32">
        <v>0</v>
      </c>
      <c r="DM86" s="32">
        <v>0</v>
      </c>
      <c r="DN86" s="32">
        <v>0</v>
      </c>
      <c r="DO86" s="32">
        <v>0</v>
      </c>
      <c r="DP86" s="32">
        <v>0</v>
      </c>
      <c r="DQ86" s="32">
        <v>0</v>
      </c>
      <c r="DR86" s="32">
        <v>0</v>
      </c>
      <c r="DS86" s="32">
        <v>0</v>
      </c>
      <c r="DT86" s="32">
        <v>0</v>
      </c>
      <c r="DU86" s="32">
        <v>0</v>
      </c>
      <c r="DV86" s="32">
        <v>0</v>
      </c>
      <c r="DW86" s="32">
        <v>0</v>
      </c>
      <c r="DX86" s="32">
        <v>0</v>
      </c>
      <c r="DY86" s="32">
        <v>0</v>
      </c>
      <c r="DZ86" s="32">
        <v>0</v>
      </c>
      <c r="EA86" s="32">
        <v>0</v>
      </c>
      <c r="EB86" s="32">
        <v>0</v>
      </c>
      <c r="EC86" s="32">
        <v>0</v>
      </c>
      <c r="ED86" s="32">
        <v>0</v>
      </c>
      <c r="EE86" s="32">
        <v>0</v>
      </c>
      <c r="EF86" s="32">
        <v>0</v>
      </c>
      <c r="EG86" s="32">
        <v>0</v>
      </c>
      <c r="EH86" s="32">
        <v>0</v>
      </c>
      <c r="EI86" s="32">
        <v>0</v>
      </c>
      <c r="EJ86" s="32">
        <v>0</v>
      </c>
      <c r="EK86" s="32">
        <v>0</v>
      </c>
      <c r="EL86" s="32">
        <v>0</v>
      </c>
      <c r="EM86" s="32">
        <v>0</v>
      </c>
      <c r="EN86" s="32">
        <v>0</v>
      </c>
      <c r="EO86" s="32">
        <v>0</v>
      </c>
      <c r="EP86" s="32">
        <v>0</v>
      </c>
      <c r="EQ86" s="32">
        <v>0</v>
      </c>
      <c r="ER86" s="32">
        <v>0</v>
      </c>
      <c r="ES86" s="32">
        <v>0</v>
      </c>
      <c r="ET86" s="32">
        <v>0</v>
      </c>
      <c r="EU86" s="32">
        <v>0</v>
      </c>
      <c r="EV86" s="32">
        <v>0</v>
      </c>
      <c r="EW86" s="32">
        <v>0</v>
      </c>
      <c r="EX86" s="32">
        <v>0</v>
      </c>
      <c r="EY86" s="32">
        <v>0</v>
      </c>
      <c r="EZ86" s="32">
        <v>0</v>
      </c>
      <c r="FA86" s="32">
        <v>0</v>
      </c>
      <c r="FB86" s="32">
        <v>0</v>
      </c>
      <c r="FC86" s="32">
        <v>0</v>
      </c>
      <c r="FD86" s="32">
        <v>0</v>
      </c>
      <c r="FE86" s="32">
        <v>0</v>
      </c>
      <c r="FF86" s="32">
        <v>0</v>
      </c>
      <c r="FG86" s="32">
        <v>0</v>
      </c>
      <c r="FH86" s="32">
        <v>0</v>
      </c>
      <c r="FI86" s="32">
        <v>0</v>
      </c>
      <c r="FJ86" s="32">
        <v>0</v>
      </c>
      <c r="FK86" s="32">
        <v>0</v>
      </c>
      <c r="FL86" s="32"/>
      <c r="FM86" s="32"/>
      <c r="FN86" s="32"/>
      <c r="FR86" s="32">
        <f t="shared" si="178"/>
        <v>0</v>
      </c>
      <c r="FS86" s="32">
        <f t="shared" si="179"/>
        <v>0</v>
      </c>
      <c r="FT86" s="32">
        <f t="shared" si="180"/>
        <v>0</v>
      </c>
      <c r="FU86" s="32">
        <f t="shared" si="181"/>
        <v>0</v>
      </c>
      <c r="FV86" s="32">
        <f t="shared" si="182"/>
        <v>0</v>
      </c>
      <c r="FW86" s="32">
        <f t="shared" si="183"/>
        <v>0</v>
      </c>
      <c r="FX86" s="32">
        <f t="shared" si="184"/>
        <v>0</v>
      </c>
      <c r="FY86" s="32">
        <f t="shared" si="185"/>
        <v>0</v>
      </c>
      <c r="FZ86" s="32">
        <f t="shared" si="186"/>
        <v>1</v>
      </c>
      <c r="GA86" s="32">
        <f t="shared" si="187"/>
        <v>0</v>
      </c>
      <c r="GB86" s="32">
        <f t="shared" si="188"/>
        <v>0</v>
      </c>
      <c r="GC86" s="32">
        <f t="shared" si="189"/>
        <v>0</v>
      </c>
      <c r="GD86" s="32">
        <f t="shared" si="190"/>
        <v>0</v>
      </c>
      <c r="GE86" s="32">
        <f t="shared" si="191"/>
        <v>0</v>
      </c>
      <c r="GF86" s="32">
        <f t="shared" si="192"/>
        <v>0</v>
      </c>
      <c r="GG86" s="32">
        <f t="shared" si="193"/>
        <v>0</v>
      </c>
      <c r="GH86" s="32">
        <f t="shared" si="194"/>
        <v>0</v>
      </c>
      <c r="GI86" s="32">
        <f t="shared" si="195"/>
        <v>4</v>
      </c>
      <c r="GJ86" s="32">
        <f t="shared" si="196"/>
        <v>7</v>
      </c>
      <c r="GK86" s="32">
        <f t="shared" si="197"/>
        <v>7</v>
      </c>
      <c r="GL86" s="32">
        <f t="shared" si="198"/>
        <v>0</v>
      </c>
      <c r="GM86" s="32">
        <f t="shared" si="199"/>
        <v>0</v>
      </c>
      <c r="GN86" s="32">
        <f t="shared" si="200"/>
        <v>0</v>
      </c>
      <c r="GO86" s="32">
        <f t="shared" si="201"/>
        <v>0</v>
      </c>
      <c r="GP86" s="32">
        <f t="shared" si="202"/>
        <v>0</v>
      </c>
      <c r="GQ86" s="32">
        <f t="shared" si="203"/>
        <v>0</v>
      </c>
      <c r="GR86" s="32">
        <f t="shared" si="204"/>
        <v>1</v>
      </c>
      <c r="GS86" s="32">
        <f t="shared" si="205"/>
        <v>20</v>
      </c>
      <c r="GT86" s="32">
        <f t="shared" si="206"/>
        <v>0</v>
      </c>
      <c r="GU86" s="32">
        <f t="shared" si="207"/>
        <v>0</v>
      </c>
      <c r="GV86" s="32">
        <f t="shared" si="208"/>
        <v>0</v>
      </c>
      <c r="GW86" s="32">
        <f t="shared" si="209"/>
        <v>0</v>
      </c>
      <c r="GX86" s="32">
        <f t="shared" si="210"/>
        <v>0</v>
      </c>
      <c r="GY86" s="32">
        <f t="shared" si="211"/>
        <v>0</v>
      </c>
      <c r="GZ86" s="32">
        <f t="shared" si="212"/>
        <v>0</v>
      </c>
      <c r="HA86" s="32">
        <f t="shared" si="213"/>
        <v>0</v>
      </c>
      <c r="HB86" s="32">
        <f t="shared" si="214"/>
        <v>0</v>
      </c>
      <c r="HC86" s="32">
        <f t="shared" si="215"/>
        <v>0</v>
      </c>
      <c r="HD86" s="32">
        <f t="shared" si="216"/>
        <v>0</v>
      </c>
      <c r="HE86" s="32">
        <f t="shared" si="217"/>
        <v>0</v>
      </c>
      <c r="HF86" s="32">
        <f t="shared" si="218"/>
        <v>0</v>
      </c>
      <c r="HG86" s="32">
        <f t="shared" si="219"/>
        <v>0</v>
      </c>
      <c r="HH86" s="32">
        <f t="shared" si="220"/>
        <v>0</v>
      </c>
      <c r="HI86" s="32">
        <f t="shared" si="221"/>
        <v>0</v>
      </c>
      <c r="HJ86" s="32">
        <f t="shared" si="222"/>
        <v>0</v>
      </c>
      <c r="HK86" s="32">
        <f t="shared" si="223"/>
        <v>0</v>
      </c>
      <c r="HL86" s="32">
        <f t="shared" si="224"/>
        <v>0</v>
      </c>
      <c r="HM86" s="32">
        <f t="shared" si="225"/>
        <v>0</v>
      </c>
      <c r="HN86" s="32">
        <f t="shared" si="125"/>
        <v>0</v>
      </c>
      <c r="HO86" s="32">
        <f t="shared" si="126"/>
        <v>0</v>
      </c>
      <c r="HP86" s="32">
        <f t="shared" si="127"/>
        <v>0</v>
      </c>
      <c r="HQ86" s="32">
        <f t="shared" si="128"/>
        <v>0</v>
      </c>
      <c r="HR86" s="32">
        <f t="shared" si="226"/>
        <v>0</v>
      </c>
      <c r="HS86" s="32">
        <f t="shared" si="122"/>
        <v>0</v>
      </c>
      <c r="HT86" s="32">
        <f t="shared" si="227"/>
        <v>0</v>
      </c>
      <c r="HU86" s="32">
        <f t="shared" si="228"/>
        <v>0</v>
      </c>
      <c r="HV86" s="32">
        <f t="shared" si="229"/>
        <v>0</v>
      </c>
      <c r="HW86" s="32">
        <f t="shared" si="230"/>
        <v>0</v>
      </c>
      <c r="HX86" s="32">
        <f t="shared" si="231"/>
        <v>0</v>
      </c>
      <c r="IB86" s="32">
        <f t="shared" si="232"/>
        <v>0</v>
      </c>
      <c r="IC86" s="32">
        <f t="shared" si="233"/>
        <v>0</v>
      </c>
      <c r="ID86" s="32">
        <f t="shared" si="234"/>
        <v>1</v>
      </c>
      <c r="IE86" s="32">
        <f t="shared" si="235"/>
        <v>0</v>
      </c>
      <c r="IF86" s="32">
        <f t="shared" si="236"/>
        <v>18</v>
      </c>
      <c r="IG86" s="32">
        <f t="shared" si="237"/>
        <v>0</v>
      </c>
      <c r="IH86" s="32">
        <f t="shared" si="238"/>
        <v>21</v>
      </c>
      <c r="II86" s="32">
        <f t="shared" si="239"/>
        <v>0</v>
      </c>
      <c r="IJ86" s="32">
        <f t="shared" si="240"/>
        <v>0</v>
      </c>
      <c r="IK86" s="32">
        <f t="shared" si="241"/>
        <v>0</v>
      </c>
      <c r="IL86" s="32">
        <f t="shared" si="242"/>
        <v>0</v>
      </c>
      <c r="IM86" s="32">
        <f t="shared" si="243"/>
        <v>0</v>
      </c>
      <c r="IN86" s="32">
        <f t="shared" si="244"/>
        <v>0</v>
      </c>
    </row>
    <row r="87" spans="1:248" outlineLevel="1" x14ac:dyDescent="0.3">
      <c r="A87" s="15" t="s">
        <v>81</v>
      </c>
      <c r="B87" s="15"/>
      <c r="C87" s="15">
        <v>0</v>
      </c>
      <c r="D87" s="15">
        <v>7</v>
      </c>
      <c r="E87" s="15">
        <v>0</v>
      </c>
      <c r="F87" s="15">
        <v>0</v>
      </c>
      <c r="G87" s="15">
        <v>7</v>
      </c>
      <c r="H87" s="15">
        <v>7</v>
      </c>
      <c r="I87" s="15">
        <v>0</v>
      </c>
      <c r="J87" s="15">
        <v>0</v>
      </c>
      <c r="K87" s="15">
        <v>21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33">
        <v>0</v>
      </c>
      <c r="AB87" s="33">
        <v>0</v>
      </c>
      <c r="AC87" s="33">
        <v>7</v>
      </c>
      <c r="AD87" s="33">
        <v>0</v>
      </c>
      <c r="AE87" s="33">
        <v>0</v>
      </c>
      <c r="AF87" s="33">
        <v>7</v>
      </c>
      <c r="AG87" s="33">
        <v>0</v>
      </c>
      <c r="AH87" s="33">
        <v>0</v>
      </c>
      <c r="AI87" s="33">
        <v>7</v>
      </c>
      <c r="AJ87" s="33">
        <v>0</v>
      </c>
      <c r="AK87" s="33">
        <v>0</v>
      </c>
      <c r="AL87" s="33">
        <v>0</v>
      </c>
      <c r="AM87" s="33">
        <v>0</v>
      </c>
      <c r="AN87" s="33">
        <v>7</v>
      </c>
      <c r="AO87" s="33">
        <v>5</v>
      </c>
      <c r="AP87" s="33">
        <v>0</v>
      </c>
      <c r="AQ87" s="33">
        <v>0</v>
      </c>
      <c r="AR87" s="33">
        <v>7</v>
      </c>
      <c r="AS87" s="33">
        <v>7</v>
      </c>
      <c r="AT87" s="33">
        <v>0</v>
      </c>
      <c r="AU87" s="33">
        <v>0</v>
      </c>
      <c r="AV87" s="33">
        <v>7</v>
      </c>
      <c r="AW87" s="33">
        <v>0</v>
      </c>
      <c r="AX87" s="33">
        <v>7</v>
      </c>
      <c r="AY87" s="33">
        <v>0</v>
      </c>
      <c r="AZ87" s="33">
        <v>0</v>
      </c>
      <c r="BA87" s="33">
        <v>0</v>
      </c>
      <c r="BB87" s="33">
        <v>0</v>
      </c>
      <c r="BC87" s="33">
        <v>0</v>
      </c>
      <c r="BD87" s="33">
        <v>7</v>
      </c>
      <c r="BE87" s="33">
        <v>7</v>
      </c>
      <c r="BF87" s="33">
        <v>0</v>
      </c>
      <c r="BG87" s="33">
        <v>5</v>
      </c>
      <c r="BH87" s="33">
        <v>0</v>
      </c>
      <c r="BI87" s="33">
        <v>7</v>
      </c>
      <c r="BJ87" s="33">
        <v>0</v>
      </c>
      <c r="BK87" s="33">
        <v>0</v>
      </c>
      <c r="BL87" s="33">
        <v>0</v>
      </c>
      <c r="BM87" s="33">
        <v>6</v>
      </c>
      <c r="BN87" s="33">
        <v>0</v>
      </c>
      <c r="BO87" s="33">
        <v>0</v>
      </c>
      <c r="BP87" s="33">
        <v>0</v>
      </c>
      <c r="BQ87" s="33">
        <v>1</v>
      </c>
      <c r="BR87" s="33">
        <v>0</v>
      </c>
      <c r="BS87" s="33">
        <v>0</v>
      </c>
      <c r="BT87" s="33">
        <v>0</v>
      </c>
      <c r="BU87" s="33">
        <v>0</v>
      </c>
      <c r="BV87" s="33">
        <v>0</v>
      </c>
      <c r="BW87" s="33">
        <v>0</v>
      </c>
      <c r="BX87" s="33">
        <v>0</v>
      </c>
      <c r="BY87" s="33">
        <v>0</v>
      </c>
      <c r="BZ87" s="33">
        <v>0</v>
      </c>
      <c r="CA87" s="33">
        <v>0</v>
      </c>
      <c r="CB87" s="33">
        <v>0</v>
      </c>
      <c r="CC87" s="33">
        <v>1</v>
      </c>
      <c r="CD87" s="33">
        <v>0</v>
      </c>
      <c r="CE87" s="33">
        <v>0</v>
      </c>
      <c r="CF87" s="33">
        <v>1</v>
      </c>
      <c r="CG87" s="33">
        <v>1</v>
      </c>
      <c r="CH87" s="33">
        <v>18</v>
      </c>
      <c r="CI87" s="33">
        <v>0</v>
      </c>
      <c r="CJ87" s="33">
        <v>0</v>
      </c>
      <c r="CK87" s="33">
        <v>0</v>
      </c>
      <c r="CL87" s="33">
        <v>2</v>
      </c>
      <c r="CM87" s="33">
        <v>0</v>
      </c>
      <c r="CN87" s="33">
        <v>0</v>
      </c>
      <c r="CO87" s="33">
        <v>0</v>
      </c>
      <c r="CP87" s="33">
        <v>0</v>
      </c>
      <c r="CQ87" s="33">
        <v>0</v>
      </c>
      <c r="CR87" s="33">
        <v>0</v>
      </c>
      <c r="CS87" s="33">
        <v>0</v>
      </c>
      <c r="CT87" s="33">
        <v>0</v>
      </c>
      <c r="CU87" s="33">
        <v>0</v>
      </c>
      <c r="CV87" s="33">
        <v>0</v>
      </c>
      <c r="CW87" s="33">
        <v>0</v>
      </c>
      <c r="CX87" s="33">
        <v>0</v>
      </c>
      <c r="CY87" s="33">
        <v>0</v>
      </c>
      <c r="CZ87" s="33">
        <v>0</v>
      </c>
      <c r="DA87" s="33">
        <v>0</v>
      </c>
      <c r="DB87" s="33">
        <v>0</v>
      </c>
      <c r="DC87" s="33">
        <v>0</v>
      </c>
      <c r="DD87" s="33">
        <v>0</v>
      </c>
      <c r="DE87" s="33">
        <v>0</v>
      </c>
      <c r="DF87" s="33">
        <v>0</v>
      </c>
      <c r="DG87" s="33">
        <v>0</v>
      </c>
      <c r="DH87" s="33">
        <v>0</v>
      </c>
      <c r="DI87" s="33">
        <v>0</v>
      </c>
      <c r="DJ87" s="33">
        <v>0</v>
      </c>
      <c r="DK87" s="33">
        <v>0</v>
      </c>
      <c r="DL87" s="33">
        <v>0</v>
      </c>
      <c r="DM87" s="33">
        <v>0</v>
      </c>
      <c r="DN87" s="33">
        <v>0</v>
      </c>
      <c r="DO87" s="33">
        <v>0</v>
      </c>
      <c r="DP87" s="33">
        <v>0</v>
      </c>
      <c r="DQ87" s="33">
        <v>0</v>
      </c>
      <c r="DR87" s="33">
        <v>0</v>
      </c>
      <c r="DS87" s="33">
        <v>0</v>
      </c>
      <c r="DT87" s="33">
        <v>0</v>
      </c>
      <c r="DU87" s="33">
        <v>0</v>
      </c>
      <c r="DV87" s="33">
        <v>0</v>
      </c>
      <c r="DW87" s="33">
        <v>0</v>
      </c>
      <c r="DX87" s="33">
        <v>0</v>
      </c>
      <c r="DY87" s="33">
        <v>0</v>
      </c>
      <c r="DZ87" s="33">
        <v>0</v>
      </c>
      <c r="EA87" s="33">
        <v>0</v>
      </c>
      <c r="EB87" s="33">
        <v>0</v>
      </c>
      <c r="EC87" s="33">
        <v>0</v>
      </c>
      <c r="ED87" s="33">
        <v>0</v>
      </c>
      <c r="EE87" s="33">
        <v>0</v>
      </c>
      <c r="EF87" s="33">
        <v>0</v>
      </c>
      <c r="EG87" s="33">
        <v>0</v>
      </c>
      <c r="EH87" s="33">
        <v>0</v>
      </c>
      <c r="EI87" s="33">
        <v>0</v>
      </c>
      <c r="EJ87" s="33">
        <v>0</v>
      </c>
      <c r="EK87" s="33">
        <v>0</v>
      </c>
      <c r="EL87" s="33">
        <v>0</v>
      </c>
      <c r="EM87" s="33">
        <v>0</v>
      </c>
      <c r="EN87" s="33">
        <v>0</v>
      </c>
      <c r="EO87" s="33">
        <v>0</v>
      </c>
      <c r="EP87" s="33">
        <v>0</v>
      </c>
      <c r="EQ87" s="33">
        <v>0</v>
      </c>
      <c r="ER87" s="33">
        <v>0</v>
      </c>
      <c r="ES87" s="33">
        <v>0</v>
      </c>
      <c r="ET87" s="33">
        <v>0</v>
      </c>
      <c r="EU87" s="33">
        <v>0</v>
      </c>
      <c r="EV87" s="33">
        <v>0</v>
      </c>
      <c r="EW87" s="33">
        <v>0</v>
      </c>
      <c r="EX87" s="33">
        <v>0</v>
      </c>
      <c r="EY87" s="33">
        <v>0</v>
      </c>
      <c r="EZ87" s="33">
        <v>0</v>
      </c>
      <c r="FA87" s="33">
        <v>0</v>
      </c>
      <c r="FB87" s="33">
        <v>0</v>
      </c>
      <c r="FC87" s="33">
        <v>0</v>
      </c>
      <c r="FD87" s="33">
        <v>0</v>
      </c>
      <c r="FE87" s="33">
        <v>0</v>
      </c>
      <c r="FF87" s="33">
        <v>0</v>
      </c>
      <c r="FG87" s="33">
        <v>0</v>
      </c>
      <c r="FH87" s="33">
        <v>0</v>
      </c>
      <c r="FI87" s="33">
        <v>0</v>
      </c>
      <c r="FJ87" s="33">
        <v>0</v>
      </c>
      <c r="FK87" s="33">
        <v>0</v>
      </c>
      <c r="FL87" s="34"/>
      <c r="FM87" s="34"/>
      <c r="FN87" s="34"/>
      <c r="FR87" s="33">
        <f t="shared" si="178"/>
        <v>7</v>
      </c>
      <c r="FS87" s="33">
        <f t="shared" si="179"/>
        <v>14</v>
      </c>
      <c r="FT87" s="33">
        <f t="shared" si="180"/>
        <v>21</v>
      </c>
      <c r="FU87" s="33">
        <f t="shared" si="181"/>
        <v>0</v>
      </c>
      <c r="FV87" s="33">
        <f t="shared" si="182"/>
        <v>0</v>
      </c>
      <c r="FW87" s="33">
        <f t="shared" si="183"/>
        <v>0</v>
      </c>
      <c r="FX87" s="33">
        <f t="shared" si="184"/>
        <v>0</v>
      </c>
      <c r="FY87" s="33">
        <f t="shared" si="185"/>
        <v>0</v>
      </c>
      <c r="FZ87" s="33">
        <f t="shared" si="186"/>
        <v>7</v>
      </c>
      <c r="GA87" s="33">
        <f t="shared" si="187"/>
        <v>7</v>
      </c>
      <c r="GB87" s="33">
        <f t="shared" si="188"/>
        <v>7</v>
      </c>
      <c r="GC87" s="33">
        <f t="shared" si="189"/>
        <v>0</v>
      </c>
      <c r="GD87" s="33">
        <f t="shared" si="190"/>
        <v>12</v>
      </c>
      <c r="GE87" s="33">
        <f t="shared" si="191"/>
        <v>7</v>
      </c>
      <c r="GF87" s="33">
        <f t="shared" si="192"/>
        <v>7</v>
      </c>
      <c r="GG87" s="33">
        <f t="shared" si="193"/>
        <v>14</v>
      </c>
      <c r="GH87" s="33">
        <f t="shared" si="194"/>
        <v>0</v>
      </c>
      <c r="GI87" s="33">
        <f t="shared" si="195"/>
        <v>7</v>
      </c>
      <c r="GJ87" s="33">
        <f t="shared" si="196"/>
        <v>12</v>
      </c>
      <c r="GK87" s="33">
        <f t="shared" si="197"/>
        <v>7</v>
      </c>
      <c r="GL87" s="33">
        <f t="shared" si="198"/>
        <v>6</v>
      </c>
      <c r="GM87" s="33">
        <f t="shared" si="199"/>
        <v>0</v>
      </c>
      <c r="GN87" s="33">
        <f t="shared" si="200"/>
        <v>1</v>
      </c>
      <c r="GO87" s="33">
        <f t="shared" si="201"/>
        <v>0</v>
      </c>
      <c r="GP87" s="33">
        <f t="shared" si="202"/>
        <v>0</v>
      </c>
      <c r="GQ87" s="33">
        <f t="shared" si="203"/>
        <v>0</v>
      </c>
      <c r="GR87" s="33">
        <f t="shared" si="204"/>
        <v>1</v>
      </c>
      <c r="GS87" s="33">
        <f t="shared" si="205"/>
        <v>20</v>
      </c>
      <c r="GT87" s="33">
        <f t="shared" si="206"/>
        <v>0</v>
      </c>
      <c r="GU87" s="33">
        <f t="shared" si="207"/>
        <v>2</v>
      </c>
      <c r="GV87" s="33">
        <f t="shared" si="208"/>
        <v>0</v>
      </c>
      <c r="GW87" s="33">
        <f t="shared" si="209"/>
        <v>0</v>
      </c>
      <c r="GX87" s="33">
        <f t="shared" si="210"/>
        <v>0</v>
      </c>
      <c r="GY87" s="33">
        <f t="shared" si="211"/>
        <v>0</v>
      </c>
      <c r="GZ87" s="33">
        <f t="shared" si="212"/>
        <v>0</v>
      </c>
      <c r="HA87" s="33">
        <f t="shared" si="213"/>
        <v>0</v>
      </c>
      <c r="HB87" s="33">
        <f t="shared" si="214"/>
        <v>0</v>
      </c>
      <c r="HC87" s="33">
        <f t="shared" si="215"/>
        <v>0</v>
      </c>
      <c r="HD87" s="33">
        <f t="shared" si="216"/>
        <v>0</v>
      </c>
      <c r="HE87" s="33">
        <f t="shared" si="217"/>
        <v>0</v>
      </c>
      <c r="HF87" s="33">
        <f t="shared" si="218"/>
        <v>0</v>
      </c>
      <c r="HG87" s="33">
        <f t="shared" si="219"/>
        <v>0</v>
      </c>
      <c r="HH87" s="33">
        <f t="shared" si="220"/>
        <v>0</v>
      </c>
      <c r="HI87" s="33">
        <f t="shared" si="221"/>
        <v>0</v>
      </c>
      <c r="HJ87" s="33">
        <f t="shared" si="222"/>
        <v>0</v>
      </c>
      <c r="HK87" s="33">
        <f t="shared" si="223"/>
        <v>0</v>
      </c>
      <c r="HL87" s="33">
        <f t="shared" si="224"/>
        <v>0</v>
      </c>
      <c r="HM87" s="33">
        <f t="shared" si="225"/>
        <v>0</v>
      </c>
      <c r="HN87" s="33">
        <f t="shared" si="125"/>
        <v>0</v>
      </c>
      <c r="HO87" s="33">
        <f t="shared" si="126"/>
        <v>0</v>
      </c>
      <c r="HP87" s="33">
        <f t="shared" si="127"/>
        <v>0</v>
      </c>
      <c r="HQ87" s="33">
        <f t="shared" si="128"/>
        <v>0</v>
      </c>
      <c r="HR87" s="33">
        <f t="shared" si="226"/>
        <v>0</v>
      </c>
      <c r="HS87" s="33">
        <f t="shared" si="122"/>
        <v>0</v>
      </c>
      <c r="HT87" s="33">
        <f t="shared" si="227"/>
        <v>0</v>
      </c>
      <c r="HU87" s="33">
        <f t="shared" si="228"/>
        <v>0</v>
      </c>
      <c r="HV87" s="33">
        <f t="shared" si="229"/>
        <v>0</v>
      </c>
      <c r="HW87" s="33">
        <f t="shared" si="230"/>
        <v>0</v>
      </c>
      <c r="HX87" s="33">
        <f t="shared" si="231"/>
        <v>0</v>
      </c>
      <c r="IB87" s="33">
        <f t="shared" si="232"/>
        <v>42</v>
      </c>
      <c r="IC87" s="33">
        <f t="shared" si="233"/>
        <v>0</v>
      </c>
      <c r="ID87" s="33">
        <f t="shared" si="234"/>
        <v>21</v>
      </c>
      <c r="IE87" s="33">
        <f t="shared" si="235"/>
        <v>40</v>
      </c>
      <c r="IF87" s="33">
        <f t="shared" si="236"/>
        <v>26</v>
      </c>
      <c r="IG87" s="33">
        <f t="shared" si="237"/>
        <v>7</v>
      </c>
      <c r="IH87" s="33">
        <f t="shared" si="238"/>
        <v>21</v>
      </c>
      <c r="II87" s="33">
        <f t="shared" si="239"/>
        <v>2</v>
      </c>
      <c r="IJ87" s="33">
        <f t="shared" si="240"/>
        <v>0</v>
      </c>
      <c r="IK87" s="33">
        <f t="shared" si="241"/>
        <v>0</v>
      </c>
      <c r="IL87" s="33">
        <f t="shared" si="242"/>
        <v>0</v>
      </c>
      <c r="IM87" s="33">
        <f t="shared" si="243"/>
        <v>0</v>
      </c>
      <c r="IN87" s="33">
        <f t="shared" si="244"/>
        <v>0</v>
      </c>
    </row>
    <row r="88" spans="1:248" outlineLevel="2" x14ac:dyDescent="0.3">
      <c r="A88" t="s">
        <v>82</v>
      </c>
      <c r="B88" t="s">
        <v>75</v>
      </c>
      <c r="C88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-4</v>
      </c>
      <c r="O88">
        <v>0</v>
      </c>
      <c r="P88">
        <v>0</v>
      </c>
      <c r="Q88">
        <v>0</v>
      </c>
      <c r="R88">
        <v>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s="32">
        <v>0</v>
      </c>
      <c r="AB88" s="32">
        <v>0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5</v>
      </c>
      <c r="BB88" s="32">
        <v>0</v>
      </c>
      <c r="BC88" s="32">
        <v>6</v>
      </c>
      <c r="BD88" s="32">
        <v>0</v>
      </c>
      <c r="BE88" s="32">
        <v>0</v>
      </c>
      <c r="BF88" s="32">
        <v>0</v>
      </c>
      <c r="BG88" s="32">
        <v>4</v>
      </c>
      <c r="BH88" s="32">
        <v>0</v>
      </c>
      <c r="BI88" s="32">
        <v>0</v>
      </c>
      <c r="BJ88" s="32">
        <v>0</v>
      </c>
      <c r="BK88" s="32">
        <v>0</v>
      </c>
      <c r="BL88" s="32">
        <v>0</v>
      </c>
      <c r="BM88" s="32">
        <v>0</v>
      </c>
      <c r="BN88" s="32">
        <v>0</v>
      </c>
      <c r="BO88" s="32">
        <v>0</v>
      </c>
      <c r="BP88" s="32">
        <v>0</v>
      </c>
      <c r="BQ88" s="32">
        <v>0</v>
      </c>
      <c r="BR88" s="32">
        <v>0</v>
      </c>
      <c r="BS88" s="32">
        <v>0</v>
      </c>
      <c r="BT88" s="32">
        <v>0</v>
      </c>
      <c r="BU88" s="32">
        <v>0</v>
      </c>
      <c r="BV88" s="32">
        <v>0</v>
      </c>
      <c r="BW88" s="32">
        <v>0</v>
      </c>
      <c r="BX88" s="32">
        <v>0</v>
      </c>
      <c r="BY88" s="32">
        <v>0</v>
      </c>
      <c r="BZ88" s="32">
        <v>0</v>
      </c>
      <c r="CA88" s="32">
        <v>0</v>
      </c>
      <c r="CB88" s="32">
        <v>0</v>
      </c>
      <c r="CC88" s="32">
        <v>0</v>
      </c>
      <c r="CD88" s="32">
        <v>0</v>
      </c>
      <c r="CE88" s="32">
        <v>0</v>
      </c>
      <c r="CF88" s="32">
        <v>0</v>
      </c>
      <c r="CG88" s="32">
        <v>0</v>
      </c>
      <c r="CH88" s="32">
        <v>0</v>
      </c>
      <c r="CI88" s="32">
        <v>0</v>
      </c>
      <c r="CJ88" s="32">
        <v>0</v>
      </c>
      <c r="CK88" s="32">
        <v>0</v>
      </c>
      <c r="CL88" s="32">
        <v>0</v>
      </c>
      <c r="CM88" s="32">
        <v>0</v>
      </c>
      <c r="CN88" s="32">
        <v>0</v>
      </c>
      <c r="CO88" s="32">
        <v>0</v>
      </c>
      <c r="CP88" s="32">
        <v>0</v>
      </c>
      <c r="CQ88" s="32">
        <v>0</v>
      </c>
      <c r="CR88" s="32">
        <v>0</v>
      </c>
      <c r="CS88" s="32">
        <v>0</v>
      </c>
      <c r="CT88" s="32">
        <v>0</v>
      </c>
      <c r="CU88" s="32">
        <v>0</v>
      </c>
      <c r="CV88" s="32">
        <v>0</v>
      </c>
      <c r="CW88" s="32">
        <v>0</v>
      </c>
      <c r="CX88" s="32">
        <v>0</v>
      </c>
      <c r="CY88" s="32">
        <v>0</v>
      </c>
      <c r="CZ88" s="32">
        <v>0</v>
      </c>
      <c r="DA88" s="32">
        <v>0</v>
      </c>
      <c r="DB88" s="32">
        <v>0</v>
      </c>
      <c r="DC88" s="32">
        <v>0</v>
      </c>
      <c r="DD88" s="32">
        <v>0</v>
      </c>
      <c r="DE88" s="32">
        <v>0</v>
      </c>
      <c r="DF88" s="32">
        <v>0</v>
      </c>
      <c r="DG88" s="32">
        <v>0</v>
      </c>
      <c r="DH88" s="32">
        <v>0</v>
      </c>
      <c r="DI88" s="32">
        <v>0</v>
      </c>
      <c r="DJ88" s="32">
        <v>0</v>
      </c>
      <c r="DK88" s="32">
        <v>0</v>
      </c>
      <c r="DL88" s="32">
        <v>0</v>
      </c>
      <c r="DM88" s="32">
        <v>0</v>
      </c>
      <c r="DN88" s="32">
        <v>0</v>
      </c>
      <c r="DO88" s="32">
        <v>0</v>
      </c>
      <c r="DP88" s="32">
        <v>0</v>
      </c>
      <c r="DQ88" s="32">
        <v>0</v>
      </c>
      <c r="DR88" s="32">
        <v>0</v>
      </c>
      <c r="DS88" s="32">
        <v>0</v>
      </c>
      <c r="DT88" s="32">
        <v>0</v>
      </c>
      <c r="DU88" s="32">
        <v>0</v>
      </c>
      <c r="DV88" s="32">
        <v>0</v>
      </c>
      <c r="DW88" s="32">
        <v>0</v>
      </c>
      <c r="DX88" s="32">
        <v>0</v>
      </c>
      <c r="DY88" s="32">
        <v>0</v>
      </c>
      <c r="DZ88" s="32">
        <v>0</v>
      </c>
      <c r="EA88" s="32">
        <v>0</v>
      </c>
      <c r="EB88" s="32">
        <v>0</v>
      </c>
      <c r="EC88" s="32">
        <v>0</v>
      </c>
      <c r="ED88" s="32">
        <v>0</v>
      </c>
      <c r="EE88" s="32">
        <v>0</v>
      </c>
      <c r="EF88" s="32">
        <v>0</v>
      </c>
      <c r="EG88" s="32">
        <v>0</v>
      </c>
      <c r="EH88" s="32">
        <v>0</v>
      </c>
      <c r="EI88" s="32">
        <v>0</v>
      </c>
      <c r="EJ88" s="32">
        <v>0</v>
      </c>
      <c r="EK88" s="32">
        <v>0</v>
      </c>
      <c r="EL88" s="32">
        <v>0</v>
      </c>
      <c r="EM88" s="32">
        <v>0</v>
      </c>
      <c r="EN88" s="32">
        <v>0</v>
      </c>
      <c r="EO88" s="32">
        <v>0</v>
      </c>
      <c r="EP88" s="32">
        <v>0</v>
      </c>
      <c r="EQ88" s="32">
        <v>0</v>
      </c>
      <c r="ER88" s="32">
        <v>0</v>
      </c>
      <c r="ES88" s="32">
        <v>0</v>
      </c>
      <c r="ET88" s="32">
        <v>0</v>
      </c>
      <c r="EU88" s="32">
        <v>0</v>
      </c>
      <c r="EV88" s="32">
        <v>0</v>
      </c>
      <c r="EW88" s="32">
        <v>0</v>
      </c>
      <c r="EX88" s="32">
        <v>0</v>
      </c>
      <c r="EY88" s="32">
        <v>0</v>
      </c>
      <c r="EZ88" s="32">
        <v>0</v>
      </c>
      <c r="FA88" s="32">
        <v>0</v>
      </c>
      <c r="FB88" s="32">
        <v>0</v>
      </c>
      <c r="FC88" s="32">
        <v>0</v>
      </c>
      <c r="FD88" s="32">
        <v>0</v>
      </c>
      <c r="FE88" s="32">
        <v>0</v>
      </c>
      <c r="FF88" s="32">
        <v>0</v>
      </c>
      <c r="FG88" s="32">
        <v>0</v>
      </c>
      <c r="FH88" s="32">
        <v>0</v>
      </c>
      <c r="FI88" s="32">
        <v>0</v>
      </c>
      <c r="FJ88" s="32">
        <v>0</v>
      </c>
      <c r="FK88" s="32">
        <v>0</v>
      </c>
      <c r="FL88" s="32"/>
      <c r="FM88" s="32"/>
      <c r="FN88" s="32"/>
      <c r="FR88" s="32">
        <f t="shared" si="178"/>
        <v>15</v>
      </c>
      <c r="FS88" s="32">
        <f t="shared" si="179"/>
        <v>0</v>
      </c>
      <c r="FT88" s="32">
        <f t="shared" si="180"/>
        <v>0</v>
      </c>
      <c r="FU88" s="32">
        <f t="shared" si="181"/>
        <v>-4</v>
      </c>
      <c r="FV88" s="32">
        <f t="shared" si="182"/>
        <v>0</v>
      </c>
      <c r="FW88" s="32">
        <f t="shared" si="183"/>
        <v>5</v>
      </c>
      <c r="FX88" s="32">
        <f t="shared" si="184"/>
        <v>0</v>
      </c>
      <c r="FY88" s="32">
        <f t="shared" si="185"/>
        <v>0</v>
      </c>
      <c r="FZ88" s="32">
        <f t="shared" si="186"/>
        <v>0</v>
      </c>
      <c r="GA88" s="32">
        <f t="shared" si="187"/>
        <v>0</v>
      </c>
      <c r="GB88" s="32">
        <f t="shared" si="188"/>
        <v>0</v>
      </c>
      <c r="GC88" s="32">
        <f t="shared" si="189"/>
        <v>0</v>
      </c>
      <c r="GD88" s="32">
        <f t="shared" si="190"/>
        <v>0</v>
      </c>
      <c r="GE88" s="32">
        <f t="shared" si="191"/>
        <v>0</v>
      </c>
      <c r="GF88" s="32">
        <f t="shared" si="192"/>
        <v>0</v>
      </c>
      <c r="GG88" s="32">
        <f t="shared" si="193"/>
        <v>0</v>
      </c>
      <c r="GH88" s="32">
        <f t="shared" si="194"/>
        <v>5</v>
      </c>
      <c r="GI88" s="32">
        <f t="shared" si="195"/>
        <v>6</v>
      </c>
      <c r="GJ88" s="32">
        <f t="shared" si="196"/>
        <v>4</v>
      </c>
      <c r="GK88" s="32">
        <f t="shared" si="197"/>
        <v>0</v>
      </c>
      <c r="GL88" s="32">
        <f t="shared" si="198"/>
        <v>0</v>
      </c>
      <c r="GM88" s="32">
        <f t="shared" si="199"/>
        <v>0</v>
      </c>
      <c r="GN88" s="32">
        <f t="shared" si="200"/>
        <v>0</v>
      </c>
      <c r="GO88" s="32">
        <f t="shared" si="201"/>
        <v>0</v>
      </c>
      <c r="GP88" s="32">
        <f t="shared" si="202"/>
        <v>0</v>
      </c>
      <c r="GQ88" s="32">
        <f t="shared" si="203"/>
        <v>0</v>
      </c>
      <c r="GR88" s="32">
        <f t="shared" si="204"/>
        <v>0</v>
      </c>
      <c r="GS88" s="32">
        <f t="shared" si="205"/>
        <v>0</v>
      </c>
      <c r="GT88" s="32">
        <f t="shared" si="206"/>
        <v>0</v>
      </c>
      <c r="GU88" s="32">
        <f t="shared" si="207"/>
        <v>0</v>
      </c>
      <c r="GV88" s="32">
        <f t="shared" si="208"/>
        <v>0</v>
      </c>
      <c r="GW88" s="32">
        <f t="shared" si="209"/>
        <v>0</v>
      </c>
      <c r="GX88" s="32">
        <f t="shared" si="210"/>
        <v>0</v>
      </c>
      <c r="GY88" s="32">
        <f t="shared" si="211"/>
        <v>0</v>
      </c>
      <c r="GZ88" s="32">
        <f t="shared" si="212"/>
        <v>0</v>
      </c>
      <c r="HA88" s="32">
        <f t="shared" si="213"/>
        <v>0</v>
      </c>
      <c r="HB88" s="32">
        <f t="shared" si="214"/>
        <v>0</v>
      </c>
      <c r="HC88" s="32">
        <f t="shared" si="215"/>
        <v>0</v>
      </c>
      <c r="HD88" s="32">
        <f t="shared" si="216"/>
        <v>0</v>
      </c>
      <c r="HE88" s="32">
        <f t="shared" si="217"/>
        <v>0</v>
      </c>
      <c r="HF88" s="32">
        <f t="shared" si="218"/>
        <v>0</v>
      </c>
      <c r="HG88" s="32">
        <f t="shared" si="219"/>
        <v>0</v>
      </c>
      <c r="HH88" s="32">
        <f t="shared" si="220"/>
        <v>0</v>
      </c>
      <c r="HI88" s="32">
        <f t="shared" si="221"/>
        <v>0</v>
      </c>
      <c r="HJ88" s="32">
        <f t="shared" si="222"/>
        <v>0</v>
      </c>
      <c r="HK88" s="32">
        <f t="shared" si="223"/>
        <v>0</v>
      </c>
      <c r="HL88" s="32">
        <f t="shared" si="224"/>
        <v>0</v>
      </c>
      <c r="HM88" s="32">
        <f t="shared" si="225"/>
        <v>0</v>
      </c>
      <c r="HN88" s="32">
        <f t="shared" si="125"/>
        <v>0</v>
      </c>
      <c r="HO88" s="32">
        <f t="shared" si="126"/>
        <v>0</v>
      </c>
      <c r="HP88" s="32">
        <f t="shared" si="127"/>
        <v>0</v>
      </c>
      <c r="HQ88" s="32">
        <f t="shared" si="128"/>
        <v>0</v>
      </c>
      <c r="HR88" s="32">
        <f t="shared" si="226"/>
        <v>0</v>
      </c>
      <c r="HS88" s="32">
        <f t="shared" si="122"/>
        <v>0</v>
      </c>
      <c r="HT88" s="32">
        <f t="shared" si="227"/>
        <v>0</v>
      </c>
      <c r="HU88" s="32">
        <f t="shared" si="228"/>
        <v>0</v>
      </c>
      <c r="HV88" s="32">
        <f t="shared" si="229"/>
        <v>0</v>
      </c>
      <c r="HW88" s="32">
        <f t="shared" si="230"/>
        <v>0</v>
      </c>
      <c r="HX88" s="32">
        <f t="shared" si="231"/>
        <v>0</v>
      </c>
      <c r="IB88" s="32">
        <f t="shared" si="232"/>
        <v>11</v>
      </c>
      <c r="IC88" s="32">
        <f t="shared" si="233"/>
        <v>5</v>
      </c>
      <c r="ID88" s="32">
        <f t="shared" si="234"/>
        <v>0</v>
      </c>
      <c r="IE88" s="32">
        <f t="shared" si="235"/>
        <v>0</v>
      </c>
      <c r="IF88" s="32">
        <f t="shared" si="236"/>
        <v>15</v>
      </c>
      <c r="IG88" s="32">
        <f t="shared" si="237"/>
        <v>0</v>
      </c>
      <c r="IH88" s="32">
        <f t="shared" si="238"/>
        <v>0</v>
      </c>
      <c r="II88" s="32">
        <f t="shared" si="239"/>
        <v>0</v>
      </c>
      <c r="IJ88" s="32">
        <f t="shared" si="240"/>
        <v>0</v>
      </c>
      <c r="IK88" s="32">
        <f t="shared" si="241"/>
        <v>0</v>
      </c>
      <c r="IL88" s="32">
        <f t="shared" si="242"/>
        <v>0</v>
      </c>
      <c r="IM88" s="32">
        <f t="shared" si="243"/>
        <v>0</v>
      </c>
      <c r="IN88" s="32">
        <f t="shared" si="244"/>
        <v>0</v>
      </c>
    </row>
    <row r="89" spans="1:248" outlineLevel="2" x14ac:dyDescent="0.3">
      <c r="B89" t="s">
        <v>76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32">
        <v>0</v>
      </c>
      <c r="AB89" s="32">
        <v>0</v>
      </c>
      <c r="AC89" s="32">
        <v>0</v>
      </c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v>0</v>
      </c>
      <c r="AY89" s="32">
        <v>0</v>
      </c>
      <c r="AZ89" s="32">
        <v>0</v>
      </c>
      <c r="BA89" s="32">
        <v>2</v>
      </c>
      <c r="BB89" s="32">
        <v>0</v>
      </c>
      <c r="BC89" s="32">
        <v>0</v>
      </c>
      <c r="BD89" s="32">
        <v>0</v>
      </c>
      <c r="BE89" s="32">
        <v>0</v>
      </c>
      <c r="BF89" s="32">
        <v>0</v>
      </c>
      <c r="BG89" s="32">
        <v>0</v>
      </c>
      <c r="BH89" s="32">
        <v>0</v>
      </c>
      <c r="BI89" s="32">
        <v>0</v>
      </c>
      <c r="BJ89" s="32">
        <v>0</v>
      </c>
      <c r="BK89" s="32">
        <v>0</v>
      </c>
      <c r="BL89" s="32">
        <v>0</v>
      </c>
      <c r="BM89" s="32">
        <v>0</v>
      </c>
      <c r="BN89" s="32">
        <v>0</v>
      </c>
      <c r="BO89" s="32">
        <v>0</v>
      </c>
      <c r="BP89" s="32">
        <v>0</v>
      </c>
      <c r="BQ89" s="32">
        <v>0</v>
      </c>
      <c r="BR89" s="32">
        <v>0</v>
      </c>
      <c r="BS89" s="32">
        <v>0</v>
      </c>
      <c r="BT89" s="32">
        <v>0</v>
      </c>
      <c r="BU89" s="32">
        <v>0</v>
      </c>
      <c r="BV89" s="32">
        <v>0</v>
      </c>
      <c r="BW89" s="32">
        <v>0</v>
      </c>
      <c r="BX89" s="32">
        <v>0</v>
      </c>
      <c r="BY89" s="32">
        <v>0</v>
      </c>
      <c r="BZ89" s="32">
        <v>0</v>
      </c>
      <c r="CA89" s="32">
        <v>0</v>
      </c>
      <c r="CB89" s="32">
        <v>0</v>
      </c>
      <c r="CC89" s="32">
        <v>0</v>
      </c>
      <c r="CD89" s="32">
        <v>0</v>
      </c>
      <c r="CE89" s="32">
        <v>0</v>
      </c>
      <c r="CF89" s="32">
        <v>0</v>
      </c>
      <c r="CG89" s="32">
        <v>0</v>
      </c>
      <c r="CH89" s="32">
        <v>0</v>
      </c>
      <c r="CI89" s="32">
        <v>0</v>
      </c>
      <c r="CJ89" s="32">
        <v>0</v>
      </c>
      <c r="CK89" s="32">
        <v>0</v>
      </c>
      <c r="CL89" s="32">
        <v>0</v>
      </c>
      <c r="CM89" s="32">
        <v>0</v>
      </c>
      <c r="CN89" s="32">
        <v>0</v>
      </c>
      <c r="CO89" s="32">
        <v>0</v>
      </c>
      <c r="CP89" s="32">
        <v>0</v>
      </c>
      <c r="CQ89" s="32">
        <v>0</v>
      </c>
      <c r="CR89" s="32">
        <v>0</v>
      </c>
      <c r="CS89" s="32">
        <v>0</v>
      </c>
      <c r="CT89" s="32">
        <v>0</v>
      </c>
      <c r="CU89" s="32">
        <v>0</v>
      </c>
      <c r="CV89" s="32">
        <v>0</v>
      </c>
      <c r="CW89" s="32">
        <v>0</v>
      </c>
      <c r="CX89" s="32">
        <v>0</v>
      </c>
      <c r="CY89" s="32">
        <v>0</v>
      </c>
      <c r="CZ89" s="32">
        <v>0</v>
      </c>
      <c r="DA89" s="32">
        <v>0</v>
      </c>
      <c r="DB89" s="32">
        <v>0</v>
      </c>
      <c r="DC89" s="32">
        <v>0</v>
      </c>
      <c r="DD89" s="32">
        <v>0</v>
      </c>
      <c r="DE89" s="32">
        <v>0</v>
      </c>
      <c r="DF89" s="32">
        <v>0</v>
      </c>
      <c r="DG89" s="32">
        <v>0</v>
      </c>
      <c r="DH89" s="32">
        <v>0</v>
      </c>
      <c r="DI89" s="32">
        <v>0</v>
      </c>
      <c r="DJ89" s="32">
        <v>0</v>
      </c>
      <c r="DK89" s="32">
        <v>0</v>
      </c>
      <c r="DL89" s="32">
        <v>0</v>
      </c>
      <c r="DM89" s="32">
        <v>0</v>
      </c>
      <c r="DN89" s="32">
        <v>0</v>
      </c>
      <c r="DO89" s="32">
        <v>0</v>
      </c>
      <c r="DP89" s="32">
        <v>0</v>
      </c>
      <c r="DQ89" s="32">
        <v>0</v>
      </c>
      <c r="DR89" s="32">
        <v>0</v>
      </c>
      <c r="DS89" s="32">
        <v>0</v>
      </c>
      <c r="DT89" s="32">
        <v>0</v>
      </c>
      <c r="DU89" s="32">
        <v>0</v>
      </c>
      <c r="DV89" s="32">
        <v>0</v>
      </c>
      <c r="DW89" s="32">
        <v>0</v>
      </c>
      <c r="DX89" s="32">
        <v>0</v>
      </c>
      <c r="DY89" s="32">
        <v>0</v>
      </c>
      <c r="DZ89" s="32">
        <v>0</v>
      </c>
      <c r="EA89" s="32">
        <v>0</v>
      </c>
      <c r="EB89" s="32">
        <v>0</v>
      </c>
      <c r="EC89" s="32">
        <v>0</v>
      </c>
      <c r="ED89" s="32">
        <v>0</v>
      </c>
      <c r="EE89" s="32">
        <v>0</v>
      </c>
      <c r="EF89" s="32">
        <v>0</v>
      </c>
      <c r="EG89" s="32">
        <v>0</v>
      </c>
      <c r="EH89" s="32">
        <v>0</v>
      </c>
      <c r="EI89" s="32">
        <v>0</v>
      </c>
      <c r="EJ89" s="32">
        <v>0</v>
      </c>
      <c r="EK89" s="32">
        <v>0</v>
      </c>
      <c r="EL89" s="32">
        <v>0</v>
      </c>
      <c r="EM89" s="32">
        <v>0</v>
      </c>
      <c r="EN89" s="32">
        <v>0</v>
      </c>
      <c r="EO89" s="32">
        <v>0</v>
      </c>
      <c r="EP89" s="32">
        <v>0</v>
      </c>
      <c r="EQ89" s="32">
        <v>0</v>
      </c>
      <c r="ER89" s="32">
        <v>0</v>
      </c>
      <c r="ES89" s="32">
        <v>0</v>
      </c>
      <c r="ET89" s="32">
        <v>0</v>
      </c>
      <c r="EU89" s="32">
        <v>0</v>
      </c>
      <c r="EV89" s="32">
        <v>0</v>
      </c>
      <c r="EW89" s="32">
        <v>0</v>
      </c>
      <c r="EX89" s="32">
        <v>0</v>
      </c>
      <c r="EY89" s="32">
        <v>0</v>
      </c>
      <c r="EZ89" s="32">
        <v>0</v>
      </c>
      <c r="FA89" s="32">
        <v>0</v>
      </c>
      <c r="FB89" s="32">
        <v>0</v>
      </c>
      <c r="FC89" s="32">
        <v>0</v>
      </c>
      <c r="FD89" s="32">
        <v>0</v>
      </c>
      <c r="FE89" s="32">
        <v>0</v>
      </c>
      <c r="FF89" s="32">
        <v>0</v>
      </c>
      <c r="FG89" s="32">
        <v>0</v>
      </c>
      <c r="FH89" s="32">
        <v>0</v>
      </c>
      <c r="FI89" s="32">
        <v>0</v>
      </c>
      <c r="FJ89" s="32">
        <v>0</v>
      </c>
      <c r="FK89" s="32">
        <v>0</v>
      </c>
      <c r="FL89" s="32"/>
      <c r="FM89" s="32"/>
      <c r="FN89" s="32"/>
      <c r="FR89" s="32">
        <f t="shared" si="178"/>
        <v>0</v>
      </c>
      <c r="FS89" s="32">
        <f t="shared" si="179"/>
        <v>0</v>
      </c>
      <c r="FT89" s="32">
        <f t="shared" si="180"/>
        <v>0</v>
      </c>
      <c r="FU89" s="32">
        <f t="shared" si="181"/>
        <v>0</v>
      </c>
      <c r="FV89" s="32">
        <f t="shared" si="182"/>
        <v>0</v>
      </c>
      <c r="FW89" s="32">
        <f t="shared" si="183"/>
        <v>0</v>
      </c>
      <c r="FX89" s="32">
        <f t="shared" si="184"/>
        <v>0</v>
      </c>
      <c r="FY89" s="32">
        <f t="shared" si="185"/>
        <v>0</v>
      </c>
      <c r="FZ89" s="32">
        <f t="shared" si="186"/>
        <v>0</v>
      </c>
      <c r="GA89" s="32">
        <f t="shared" si="187"/>
        <v>0</v>
      </c>
      <c r="GB89" s="32">
        <f t="shared" si="188"/>
        <v>0</v>
      </c>
      <c r="GC89" s="32">
        <f t="shared" si="189"/>
        <v>0</v>
      </c>
      <c r="GD89" s="32">
        <f t="shared" si="190"/>
        <v>0</v>
      </c>
      <c r="GE89" s="32">
        <f t="shared" si="191"/>
        <v>0</v>
      </c>
      <c r="GF89" s="32">
        <f t="shared" si="192"/>
        <v>0</v>
      </c>
      <c r="GG89" s="32">
        <f t="shared" si="193"/>
        <v>0</v>
      </c>
      <c r="GH89" s="32">
        <f t="shared" si="194"/>
        <v>2</v>
      </c>
      <c r="GI89" s="32">
        <f t="shared" si="195"/>
        <v>0</v>
      </c>
      <c r="GJ89" s="32">
        <f t="shared" si="196"/>
        <v>0</v>
      </c>
      <c r="GK89" s="32">
        <f t="shared" si="197"/>
        <v>0</v>
      </c>
      <c r="GL89" s="32">
        <f t="shared" si="198"/>
        <v>0</v>
      </c>
      <c r="GM89" s="32">
        <f t="shared" si="199"/>
        <v>0</v>
      </c>
      <c r="GN89" s="32">
        <f t="shared" si="200"/>
        <v>0</v>
      </c>
      <c r="GO89" s="32">
        <f t="shared" si="201"/>
        <v>0</v>
      </c>
      <c r="GP89" s="32">
        <f t="shared" si="202"/>
        <v>0</v>
      </c>
      <c r="GQ89" s="32">
        <f t="shared" si="203"/>
        <v>0</v>
      </c>
      <c r="GR89" s="32">
        <f t="shared" si="204"/>
        <v>0</v>
      </c>
      <c r="GS89" s="32">
        <f t="shared" si="205"/>
        <v>0</v>
      </c>
      <c r="GT89" s="32">
        <f t="shared" si="206"/>
        <v>0</v>
      </c>
      <c r="GU89" s="32">
        <f t="shared" si="207"/>
        <v>0</v>
      </c>
      <c r="GV89" s="32">
        <f t="shared" si="208"/>
        <v>0</v>
      </c>
      <c r="GW89" s="32">
        <f t="shared" si="209"/>
        <v>0</v>
      </c>
      <c r="GX89" s="32">
        <f t="shared" si="210"/>
        <v>0</v>
      </c>
      <c r="GY89" s="32">
        <f t="shared" si="211"/>
        <v>0</v>
      </c>
      <c r="GZ89" s="32">
        <f t="shared" si="212"/>
        <v>0</v>
      </c>
      <c r="HA89" s="32">
        <f t="shared" si="213"/>
        <v>0</v>
      </c>
      <c r="HB89" s="32">
        <f t="shared" si="214"/>
        <v>0</v>
      </c>
      <c r="HC89" s="32">
        <f t="shared" si="215"/>
        <v>0</v>
      </c>
      <c r="HD89" s="32">
        <f t="shared" si="216"/>
        <v>0</v>
      </c>
      <c r="HE89" s="32">
        <f t="shared" si="217"/>
        <v>0</v>
      </c>
      <c r="HF89" s="32">
        <f t="shared" si="218"/>
        <v>0</v>
      </c>
      <c r="HG89" s="32">
        <f t="shared" si="219"/>
        <v>0</v>
      </c>
      <c r="HH89" s="32">
        <f t="shared" si="220"/>
        <v>0</v>
      </c>
      <c r="HI89" s="32">
        <f t="shared" si="221"/>
        <v>0</v>
      </c>
      <c r="HJ89" s="32">
        <f t="shared" si="222"/>
        <v>0</v>
      </c>
      <c r="HK89" s="32">
        <f t="shared" si="223"/>
        <v>0</v>
      </c>
      <c r="HL89" s="32">
        <f t="shared" si="224"/>
        <v>0</v>
      </c>
      <c r="HM89" s="32">
        <f t="shared" si="225"/>
        <v>0</v>
      </c>
      <c r="HN89" s="32">
        <f t="shared" si="125"/>
        <v>0</v>
      </c>
      <c r="HO89" s="32">
        <f t="shared" si="126"/>
        <v>0</v>
      </c>
      <c r="HP89" s="32">
        <f t="shared" si="127"/>
        <v>0</v>
      </c>
      <c r="HQ89" s="32">
        <f t="shared" si="128"/>
        <v>0</v>
      </c>
      <c r="HR89" s="32">
        <f t="shared" si="226"/>
        <v>0</v>
      </c>
      <c r="HS89" s="32">
        <f t="shared" si="122"/>
        <v>0</v>
      </c>
      <c r="HT89" s="32">
        <f t="shared" si="227"/>
        <v>0</v>
      </c>
      <c r="HU89" s="32">
        <f t="shared" si="228"/>
        <v>0</v>
      </c>
      <c r="HV89" s="32">
        <f t="shared" si="229"/>
        <v>0</v>
      </c>
      <c r="HW89" s="32">
        <f t="shared" si="230"/>
        <v>0</v>
      </c>
      <c r="HX89" s="32">
        <f t="shared" si="231"/>
        <v>0</v>
      </c>
      <c r="IB89" s="32">
        <f t="shared" si="232"/>
        <v>0</v>
      </c>
      <c r="IC89" s="32">
        <f t="shared" si="233"/>
        <v>0</v>
      </c>
      <c r="ID89" s="32">
        <f t="shared" si="234"/>
        <v>0</v>
      </c>
      <c r="IE89" s="32">
        <f t="shared" si="235"/>
        <v>0</v>
      </c>
      <c r="IF89" s="32">
        <f t="shared" si="236"/>
        <v>2</v>
      </c>
      <c r="IG89" s="32">
        <f t="shared" si="237"/>
        <v>0</v>
      </c>
      <c r="IH89" s="32">
        <f t="shared" si="238"/>
        <v>0</v>
      </c>
      <c r="II89" s="32">
        <f t="shared" si="239"/>
        <v>0</v>
      </c>
      <c r="IJ89" s="32">
        <f t="shared" si="240"/>
        <v>0</v>
      </c>
      <c r="IK89" s="32">
        <f t="shared" si="241"/>
        <v>0</v>
      </c>
      <c r="IL89" s="32">
        <f t="shared" si="242"/>
        <v>0</v>
      </c>
      <c r="IM89" s="32">
        <f t="shared" si="243"/>
        <v>0</v>
      </c>
      <c r="IN89" s="32">
        <f t="shared" si="244"/>
        <v>0</v>
      </c>
    </row>
    <row r="90" spans="1:248" outlineLevel="2" x14ac:dyDescent="0.3">
      <c r="B90" t="s">
        <v>77</v>
      </c>
      <c r="C90">
        <v>0</v>
      </c>
      <c r="D90">
        <v>0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32">
        <v>0</v>
      </c>
      <c r="AB90" s="32">
        <v>0</v>
      </c>
      <c r="AC90" s="32">
        <v>0</v>
      </c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0</v>
      </c>
      <c r="AR90" s="32">
        <v>0</v>
      </c>
      <c r="AS90" s="32">
        <v>0</v>
      </c>
      <c r="AT90" s="32">
        <v>0</v>
      </c>
      <c r="AU90" s="32">
        <v>0</v>
      </c>
      <c r="AV90" s="32">
        <v>0</v>
      </c>
      <c r="AW90" s="32">
        <v>0</v>
      </c>
      <c r="AX90" s="32">
        <v>0</v>
      </c>
      <c r="AY90" s="32">
        <v>0</v>
      </c>
      <c r="AZ90" s="32">
        <v>0</v>
      </c>
      <c r="BA90" s="32">
        <v>1</v>
      </c>
      <c r="BB90" s="32">
        <v>0</v>
      </c>
      <c r="BC90" s="32">
        <v>0</v>
      </c>
      <c r="BD90" s="32">
        <v>0</v>
      </c>
      <c r="BE90" s="32">
        <v>0</v>
      </c>
      <c r="BF90" s="32">
        <v>0</v>
      </c>
      <c r="BG90" s="32">
        <v>0</v>
      </c>
      <c r="BH90" s="32">
        <v>0</v>
      </c>
      <c r="BI90" s="32">
        <v>0</v>
      </c>
      <c r="BJ90" s="32">
        <v>0</v>
      </c>
      <c r="BK90" s="32">
        <v>0</v>
      </c>
      <c r="BL90" s="32">
        <v>0</v>
      </c>
      <c r="BM90" s="32">
        <v>0</v>
      </c>
      <c r="BN90" s="32">
        <v>0</v>
      </c>
      <c r="BO90" s="32">
        <v>0</v>
      </c>
      <c r="BP90" s="32">
        <v>0</v>
      </c>
      <c r="BQ90" s="32">
        <v>0</v>
      </c>
      <c r="BR90" s="32">
        <v>0</v>
      </c>
      <c r="BS90" s="32">
        <v>0</v>
      </c>
      <c r="BT90" s="32">
        <v>0</v>
      </c>
      <c r="BU90" s="32">
        <v>0</v>
      </c>
      <c r="BV90" s="32">
        <v>0</v>
      </c>
      <c r="BW90" s="32">
        <v>0</v>
      </c>
      <c r="BX90" s="32">
        <v>0</v>
      </c>
      <c r="BY90" s="32">
        <v>0</v>
      </c>
      <c r="BZ90" s="32">
        <v>0</v>
      </c>
      <c r="CA90" s="32">
        <v>0</v>
      </c>
      <c r="CB90" s="32">
        <v>0</v>
      </c>
      <c r="CC90" s="32">
        <v>0</v>
      </c>
      <c r="CD90" s="32">
        <v>0</v>
      </c>
      <c r="CE90" s="32">
        <v>0</v>
      </c>
      <c r="CF90" s="32">
        <v>0</v>
      </c>
      <c r="CG90" s="32">
        <v>0</v>
      </c>
      <c r="CH90" s="32">
        <v>0</v>
      </c>
      <c r="CI90" s="32">
        <v>0</v>
      </c>
      <c r="CJ90" s="32">
        <v>0</v>
      </c>
      <c r="CK90" s="32">
        <v>0</v>
      </c>
      <c r="CL90" s="32">
        <v>0</v>
      </c>
      <c r="CM90" s="32">
        <v>0</v>
      </c>
      <c r="CN90" s="32">
        <v>0</v>
      </c>
      <c r="CO90" s="32">
        <v>0</v>
      </c>
      <c r="CP90" s="32">
        <v>0</v>
      </c>
      <c r="CQ90" s="32">
        <v>0</v>
      </c>
      <c r="CR90" s="32">
        <v>0</v>
      </c>
      <c r="CS90" s="32">
        <v>0</v>
      </c>
      <c r="CT90" s="32">
        <v>0</v>
      </c>
      <c r="CU90" s="32">
        <v>0</v>
      </c>
      <c r="CV90" s="32">
        <v>0</v>
      </c>
      <c r="CW90" s="32">
        <v>0</v>
      </c>
      <c r="CX90" s="32">
        <v>0</v>
      </c>
      <c r="CY90" s="32">
        <v>0</v>
      </c>
      <c r="CZ90" s="32">
        <v>0</v>
      </c>
      <c r="DA90" s="32">
        <v>0</v>
      </c>
      <c r="DB90" s="32">
        <v>0</v>
      </c>
      <c r="DC90" s="32">
        <v>0</v>
      </c>
      <c r="DD90" s="32">
        <v>0</v>
      </c>
      <c r="DE90" s="32">
        <v>0</v>
      </c>
      <c r="DF90" s="32">
        <v>0</v>
      </c>
      <c r="DG90" s="32">
        <v>0</v>
      </c>
      <c r="DH90" s="32">
        <v>0</v>
      </c>
      <c r="DI90" s="32">
        <v>0</v>
      </c>
      <c r="DJ90" s="32">
        <v>0</v>
      </c>
      <c r="DK90" s="32">
        <v>0</v>
      </c>
      <c r="DL90" s="32">
        <v>0</v>
      </c>
      <c r="DM90" s="32">
        <v>0</v>
      </c>
      <c r="DN90" s="32">
        <v>0</v>
      </c>
      <c r="DO90" s="32">
        <v>0</v>
      </c>
      <c r="DP90" s="32">
        <v>0</v>
      </c>
      <c r="DQ90" s="32">
        <v>0</v>
      </c>
      <c r="DR90" s="32">
        <v>0</v>
      </c>
      <c r="DS90" s="32">
        <v>0</v>
      </c>
      <c r="DT90" s="32">
        <v>0</v>
      </c>
      <c r="DU90" s="32">
        <v>0</v>
      </c>
      <c r="DV90" s="32">
        <v>0</v>
      </c>
      <c r="DW90" s="32">
        <v>0</v>
      </c>
      <c r="DX90" s="32">
        <v>0</v>
      </c>
      <c r="DY90" s="32">
        <v>0</v>
      </c>
      <c r="DZ90" s="32">
        <v>0</v>
      </c>
      <c r="EA90" s="32">
        <v>0</v>
      </c>
      <c r="EB90" s="32">
        <v>0</v>
      </c>
      <c r="EC90" s="32">
        <v>0</v>
      </c>
      <c r="ED90" s="32">
        <v>0</v>
      </c>
      <c r="EE90" s="32">
        <v>0</v>
      </c>
      <c r="EF90" s="32">
        <v>0</v>
      </c>
      <c r="EG90" s="32">
        <v>0</v>
      </c>
      <c r="EH90" s="32">
        <v>0</v>
      </c>
      <c r="EI90" s="32">
        <v>0</v>
      </c>
      <c r="EJ90" s="32">
        <v>0</v>
      </c>
      <c r="EK90" s="32">
        <v>0</v>
      </c>
      <c r="EL90" s="32">
        <v>0</v>
      </c>
      <c r="EM90" s="32">
        <v>0</v>
      </c>
      <c r="EN90" s="32">
        <v>0</v>
      </c>
      <c r="EO90" s="32">
        <v>0</v>
      </c>
      <c r="EP90" s="32">
        <v>0</v>
      </c>
      <c r="EQ90" s="32">
        <v>0</v>
      </c>
      <c r="ER90" s="32">
        <v>0</v>
      </c>
      <c r="ES90" s="32">
        <v>0</v>
      </c>
      <c r="ET90" s="32">
        <v>0</v>
      </c>
      <c r="EU90" s="32">
        <v>0</v>
      </c>
      <c r="EV90" s="32">
        <v>0</v>
      </c>
      <c r="EW90" s="32">
        <v>0</v>
      </c>
      <c r="EX90" s="32">
        <v>0</v>
      </c>
      <c r="EY90" s="32">
        <v>0</v>
      </c>
      <c r="EZ90" s="32">
        <v>0</v>
      </c>
      <c r="FA90" s="32">
        <v>0</v>
      </c>
      <c r="FB90" s="32">
        <v>0</v>
      </c>
      <c r="FC90" s="32">
        <v>0</v>
      </c>
      <c r="FD90" s="32">
        <v>0</v>
      </c>
      <c r="FE90" s="32">
        <v>0</v>
      </c>
      <c r="FF90" s="32">
        <v>0</v>
      </c>
      <c r="FG90" s="32">
        <v>0</v>
      </c>
      <c r="FH90" s="32">
        <v>0</v>
      </c>
      <c r="FI90" s="32">
        <v>0</v>
      </c>
      <c r="FJ90" s="32">
        <v>0</v>
      </c>
      <c r="FK90" s="32">
        <v>0</v>
      </c>
      <c r="FL90" s="32"/>
      <c r="FM90" s="32"/>
      <c r="FN90" s="32"/>
      <c r="FR90" s="32">
        <f t="shared" si="178"/>
        <v>2</v>
      </c>
      <c r="FS90" s="32">
        <f t="shared" si="179"/>
        <v>0</v>
      </c>
      <c r="FT90" s="32">
        <f t="shared" si="180"/>
        <v>0</v>
      </c>
      <c r="FU90" s="32">
        <f t="shared" si="181"/>
        <v>0</v>
      </c>
      <c r="FV90" s="32">
        <f t="shared" si="182"/>
        <v>0</v>
      </c>
      <c r="FW90" s="32">
        <f t="shared" si="183"/>
        <v>0</v>
      </c>
      <c r="FX90" s="32">
        <f t="shared" si="184"/>
        <v>0</v>
      </c>
      <c r="FY90" s="32">
        <f t="shared" si="185"/>
        <v>0</v>
      </c>
      <c r="FZ90" s="32">
        <f t="shared" si="186"/>
        <v>0</v>
      </c>
      <c r="GA90" s="32">
        <f t="shared" si="187"/>
        <v>0</v>
      </c>
      <c r="GB90" s="32">
        <f t="shared" si="188"/>
        <v>0</v>
      </c>
      <c r="GC90" s="32">
        <f t="shared" si="189"/>
        <v>0</v>
      </c>
      <c r="GD90" s="32">
        <f t="shared" si="190"/>
        <v>0</v>
      </c>
      <c r="GE90" s="32">
        <f t="shared" si="191"/>
        <v>0</v>
      </c>
      <c r="GF90" s="32">
        <f t="shared" si="192"/>
        <v>0</v>
      </c>
      <c r="GG90" s="32">
        <f t="shared" si="193"/>
        <v>0</v>
      </c>
      <c r="GH90" s="32">
        <f t="shared" si="194"/>
        <v>1</v>
      </c>
      <c r="GI90" s="32">
        <f t="shared" si="195"/>
        <v>0</v>
      </c>
      <c r="GJ90" s="32">
        <f t="shared" si="196"/>
        <v>0</v>
      </c>
      <c r="GK90" s="32">
        <f t="shared" si="197"/>
        <v>0</v>
      </c>
      <c r="GL90" s="32">
        <f t="shared" si="198"/>
        <v>0</v>
      </c>
      <c r="GM90" s="32">
        <f t="shared" si="199"/>
        <v>0</v>
      </c>
      <c r="GN90" s="32">
        <f t="shared" si="200"/>
        <v>0</v>
      </c>
      <c r="GO90" s="32">
        <f t="shared" si="201"/>
        <v>0</v>
      </c>
      <c r="GP90" s="32">
        <f t="shared" si="202"/>
        <v>0</v>
      </c>
      <c r="GQ90" s="32">
        <f t="shared" si="203"/>
        <v>0</v>
      </c>
      <c r="GR90" s="32">
        <f t="shared" si="204"/>
        <v>0</v>
      </c>
      <c r="GS90" s="32">
        <f t="shared" si="205"/>
        <v>0</v>
      </c>
      <c r="GT90" s="32">
        <f t="shared" si="206"/>
        <v>0</v>
      </c>
      <c r="GU90" s="32">
        <f t="shared" si="207"/>
        <v>0</v>
      </c>
      <c r="GV90" s="32">
        <f t="shared" si="208"/>
        <v>0</v>
      </c>
      <c r="GW90" s="32">
        <f t="shared" si="209"/>
        <v>0</v>
      </c>
      <c r="GX90" s="32">
        <f t="shared" si="210"/>
        <v>0</v>
      </c>
      <c r="GY90" s="32">
        <f t="shared" si="211"/>
        <v>0</v>
      </c>
      <c r="GZ90" s="32">
        <f t="shared" si="212"/>
        <v>0</v>
      </c>
      <c r="HA90" s="32">
        <f t="shared" si="213"/>
        <v>0</v>
      </c>
      <c r="HB90" s="32">
        <f t="shared" si="214"/>
        <v>0</v>
      </c>
      <c r="HC90" s="32">
        <f t="shared" si="215"/>
        <v>0</v>
      </c>
      <c r="HD90" s="32">
        <f t="shared" si="216"/>
        <v>0</v>
      </c>
      <c r="HE90" s="32">
        <f t="shared" si="217"/>
        <v>0</v>
      </c>
      <c r="HF90" s="32">
        <f t="shared" si="218"/>
        <v>0</v>
      </c>
      <c r="HG90" s="32">
        <f t="shared" si="219"/>
        <v>0</v>
      </c>
      <c r="HH90" s="32">
        <f t="shared" si="220"/>
        <v>0</v>
      </c>
      <c r="HI90" s="32">
        <f t="shared" si="221"/>
        <v>0</v>
      </c>
      <c r="HJ90" s="32">
        <f t="shared" si="222"/>
        <v>0</v>
      </c>
      <c r="HK90" s="32">
        <f t="shared" si="223"/>
        <v>0</v>
      </c>
      <c r="HL90" s="32">
        <f t="shared" si="224"/>
        <v>0</v>
      </c>
      <c r="HM90" s="32">
        <f t="shared" si="225"/>
        <v>0</v>
      </c>
      <c r="HN90" s="32">
        <f t="shared" si="125"/>
        <v>0</v>
      </c>
      <c r="HO90" s="32">
        <f t="shared" si="126"/>
        <v>0</v>
      </c>
      <c r="HP90" s="32">
        <f t="shared" si="127"/>
        <v>0</v>
      </c>
      <c r="HQ90" s="32">
        <f t="shared" si="128"/>
        <v>0</v>
      </c>
      <c r="HR90" s="32">
        <f t="shared" si="226"/>
        <v>0</v>
      </c>
      <c r="HS90" s="32">
        <f t="shared" si="122"/>
        <v>0</v>
      </c>
      <c r="HT90" s="32">
        <f t="shared" si="227"/>
        <v>0</v>
      </c>
      <c r="HU90" s="32">
        <f t="shared" si="228"/>
        <v>0</v>
      </c>
      <c r="HV90" s="32">
        <f t="shared" si="229"/>
        <v>0</v>
      </c>
      <c r="HW90" s="32">
        <f t="shared" si="230"/>
        <v>0</v>
      </c>
      <c r="HX90" s="32">
        <f t="shared" si="231"/>
        <v>0</v>
      </c>
      <c r="IB90" s="32">
        <f t="shared" si="232"/>
        <v>2</v>
      </c>
      <c r="IC90" s="32">
        <f t="shared" si="233"/>
        <v>0</v>
      </c>
      <c r="ID90" s="32">
        <f t="shared" si="234"/>
        <v>0</v>
      </c>
      <c r="IE90" s="32">
        <f t="shared" si="235"/>
        <v>0</v>
      </c>
      <c r="IF90" s="32">
        <f t="shared" si="236"/>
        <v>1</v>
      </c>
      <c r="IG90" s="32">
        <f t="shared" si="237"/>
        <v>0</v>
      </c>
      <c r="IH90" s="32">
        <f t="shared" si="238"/>
        <v>0</v>
      </c>
      <c r="II90" s="32">
        <f t="shared" si="239"/>
        <v>0</v>
      </c>
      <c r="IJ90" s="32">
        <f t="shared" si="240"/>
        <v>0</v>
      </c>
      <c r="IK90" s="32">
        <f t="shared" si="241"/>
        <v>0</v>
      </c>
      <c r="IL90" s="32">
        <f t="shared" si="242"/>
        <v>0</v>
      </c>
      <c r="IM90" s="32">
        <f t="shared" si="243"/>
        <v>0</v>
      </c>
      <c r="IN90" s="32">
        <f t="shared" si="244"/>
        <v>0</v>
      </c>
    </row>
    <row r="91" spans="1:248" outlineLevel="2" x14ac:dyDescent="0.3">
      <c r="B91" t="s">
        <v>78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32">
        <v>0</v>
      </c>
      <c r="AB91" s="32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 s="32">
        <v>0</v>
      </c>
      <c r="BD91" s="32">
        <v>0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2">
        <v>0</v>
      </c>
      <c r="BQ91" s="32">
        <v>0</v>
      </c>
      <c r="BR91" s="32">
        <v>0</v>
      </c>
      <c r="BS91" s="32">
        <v>0</v>
      </c>
      <c r="BT91" s="32">
        <v>0</v>
      </c>
      <c r="BU91" s="32">
        <v>0</v>
      </c>
      <c r="BV91" s="32">
        <v>0</v>
      </c>
      <c r="BW91" s="32">
        <v>0</v>
      </c>
      <c r="BX91" s="32">
        <v>0</v>
      </c>
      <c r="BY91" s="32">
        <v>0</v>
      </c>
      <c r="BZ91" s="32">
        <v>0</v>
      </c>
      <c r="CA91" s="32">
        <v>0</v>
      </c>
      <c r="CB91" s="32">
        <v>0</v>
      </c>
      <c r="CC91" s="32">
        <v>0</v>
      </c>
      <c r="CD91" s="32">
        <v>0</v>
      </c>
      <c r="CE91" s="32">
        <v>0</v>
      </c>
      <c r="CF91" s="32">
        <v>0</v>
      </c>
      <c r="CG91" s="32">
        <v>0</v>
      </c>
      <c r="CH91" s="32">
        <v>0</v>
      </c>
      <c r="CI91" s="32">
        <v>0</v>
      </c>
      <c r="CJ91" s="32">
        <v>0</v>
      </c>
      <c r="CK91" s="32">
        <v>0</v>
      </c>
      <c r="CL91" s="32">
        <v>0</v>
      </c>
      <c r="CM91" s="32">
        <v>0</v>
      </c>
      <c r="CN91" s="32">
        <v>0</v>
      </c>
      <c r="CO91" s="32">
        <v>0</v>
      </c>
      <c r="CP91" s="32">
        <v>0</v>
      </c>
      <c r="CQ91" s="32">
        <v>0</v>
      </c>
      <c r="CR91" s="32">
        <v>0</v>
      </c>
      <c r="CS91" s="32">
        <v>0</v>
      </c>
      <c r="CT91" s="32">
        <v>0</v>
      </c>
      <c r="CU91" s="32">
        <v>0</v>
      </c>
      <c r="CV91" s="32">
        <v>0</v>
      </c>
      <c r="CW91" s="32">
        <v>0</v>
      </c>
      <c r="CX91" s="32">
        <v>0</v>
      </c>
      <c r="CY91" s="32">
        <v>0</v>
      </c>
      <c r="CZ91" s="32">
        <v>0</v>
      </c>
      <c r="DA91" s="32">
        <v>0</v>
      </c>
      <c r="DB91" s="32">
        <v>0</v>
      </c>
      <c r="DC91" s="32">
        <v>0</v>
      </c>
      <c r="DD91" s="32">
        <v>0</v>
      </c>
      <c r="DE91" s="32">
        <v>0</v>
      </c>
      <c r="DF91" s="32">
        <v>0</v>
      </c>
      <c r="DG91" s="32">
        <v>0</v>
      </c>
      <c r="DH91" s="32">
        <v>0</v>
      </c>
      <c r="DI91" s="32">
        <v>0</v>
      </c>
      <c r="DJ91" s="32">
        <v>0</v>
      </c>
      <c r="DK91" s="32">
        <v>0</v>
      </c>
      <c r="DL91" s="32">
        <v>0</v>
      </c>
      <c r="DM91" s="32">
        <v>0</v>
      </c>
      <c r="DN91" s="32">
        <v>0</v>
      </c>
      <c r="DO91" s="32">
        <v>0</v>
      </c>
      <c r="DP91" s="32">
        <v>0</v>
      </c>
      <c r="DQ91" s="32">
        <v>0</v>
      </c>
      <c r="DR91" s="32">
        <v>0</v>
      </c>
      <c r="DS91" s="32">
        <v>0</v>
      </c>
      <c r="DT91" s="32">
        <v>0</v>
      </c>
      <c r="DU91" s="32">
        <v>0</v>
      </c>
      <c r="DV91" s="32">
        <v>0</v>
      </c>
      <c r="DW91" s="32">
        <v>0</v>
      </c>
      <c r="DX91" s="32">
        <v>0</v>
      </c>
      <c r="DY91" s="32">
        <v>0</v>
      </c>
      <c r="DZ91" s="32">
        <v>0</v>
      </c>
      <c r="EA91" s="32">
        <v>0</v>
      </c>
      <c r="EB91" s="32">
        <v>0</v>
      </c>
      <c r="EC91" s="32">
        <v>0</v>
      </c>
      <c r="ED91" s="32">
        <v>0</v>
      </c>
      <c r="EE91" s="32">
        <v>0</v>
      </c>
      <c r="EF91" s="32">
        <v>0</v>
      </c>
      <c r="EG91" s="32">
        <v>0</v>
      </c>
      <c r="EH91" s="32">
        <v>0</v>
      </c>
      <c r="EI91" s="32">
        <v>0</v>
      </c>
      <c r="EJ91" s="32">
        <v>0</v>
      </c>
      <c r="EK91" s="32">
        <v>0</v>
      </c>
      <c r="EL91" s="32">
        <v>0</v>
      </c>
      <c r="EM91" s="32">
        <v>0</v>
      </c>
      <c r="EN91" s="32">
        <v>0</v>
      </c>
      <c r="EO91" s="32">
        <v>0</v>
      </c>
      <c r="EP91" s="32">
        <v>0</v>
      </c>
      <c r="EQ91" s="32">
        <v>0</v>
      </c>
      <c r="ER91" s="32">
        <v>0</v>
      </c>
      <c r="ES91" s="32">
        <v>0</v>
      </c>
      <c r="ET91" s="32">
        <v>0</v>
      </c>
      <c r="EU91" s="32">
        <v>0</v>
      </c>
      <c r="EV91" s="32">
        <v>0</v>
      </c>
      <c r="EW91" s="32">
        <v>0</v>
      </c>
      <c r="EX91" s="32">
        <v>0</v>
      </c>
      <c r="EY91" s="32">
        <v>0</v>
      </c>
      <c r="EZ91" s="32">
        <v>0</v>
      </c>
      <c r="FA91" s="32">
        <v>0</v>
      </c>
      <c r="FB91" s="32">
        <v>0</v>
      </c>
      <c r="FC91" s="32">
        <v>0</v>
      </c>
      <c r="FD91" s="32">
        <v>0</v>
      </c>
      <c r="FE91" s="32">
        <v>0</v>
      </c>
      <c r="FF91" s="32">
        <v>0</v>
      </c>
      <c r="FG91" s="32">
        <v>0</v>
      </c>
      <c r="FH91" s="32">
        <v>0</v>
      </c>
      <c r="FI91" s="32">
        <v>0</v>
      </c>
      <c r="FJ91" s="32">
        <v>0</v>
      </c>
      <c r="FK91" s="32">
        <v>0</v>
      </c>
      <c r="FL91" s="32"/>
      <c r="FM91" s="32"/>
      <c r="FN91" s="32"/>
      <c r="FR91" s="32">
        <f t="shared" si="178"/>
        <v>0</v>
      </c>
      <c r="FS91" s="32">
        <f t="shared" si="179"/>
        <v>0</v>
      </c>
      <c r="FT91" s="32">
        <f t="shared" si="180"/>
        <v>0</v>
      </c>
      <c r="FU91" s="32">
        <f t="shared" si="181"/>
        <v>0</v>
      </c>
      <c r="FV91" s="32">
        <f t="shared" si="182"/>
        <v>0</v>
      </c>
      <c r="FW91" s="32">
        <f t="shared" si="183"/>
        <v>0</v>
      </c>
      <c r="FX91" s="32">
        <f t="shared" si="184"/>
        <v>0</v>
      </c>
      <c r="FY91" s="32">
        <f t="shared" si="185"/>
        <v>0</v>
      </c>
      <c r="FZ91" s="32">
        <f t="shared" si="186"/>
        <v>0</v>
      </c>
      <c r="GA91" s="32">
        <f t="shared" si="187"/>
        <v>0</v>
      </c>
      <c r="GB91" s="32">
        <f t="shared" si="188"/>
        <v>0</v>
      </c>
      <c r="GC91" s="32">
        <f t="shared" si="189"/>
        <v>0</v>
      </c>
      <c r="GD91" s="32">
        <f t="shared" si="190"/>
        <v>0</v>
      </c>
      <c r="GE91" s="32">
        <f t="shared" si="191"/>
        <v>0</v>
      </c>
      <c r="GF91" s="32">
        <f t="shared" si="192"/>
        <v>0</v>
      </c>
      <c r="GG91" s="32">
        <f t="shared" si="193"/>
        <v>0</v>
      </c>
      <c r="GH91" s="32">
        <f t="shared" si="194"/>
        <v>0</v>
      </c>
      <c r="GI91" s="32">
        <f t="shared" si="195"/>
        <v>0</v>
      </c>
      <c r="GJ91" s="32">
        <f t="shared" si="196"/>
        <v>0</v>
      </c>
      <c r="GK91" s="32">
        <f t="shared" si="197"/>
        <v>0</v>
      </c>
      <c r="GL91" s="32">
        <f t="shared" si="198"/>
        <v>0</v>
      </c>
      <c r="GM91" s="32">
        <f t="shared" si="199"/>
        <v>0</v>
      </c>
      <c r="GN91" s="32">
        <f t="shared" si="200"/>
        <v>0</v>
      </c>
      <c r="GO91" s="32">
        <f t="shared" si="201"/>
        <v>0</v>
      </c>
      <c r="GP91" s="32">
        <f t="shared" si="202"/>
        <v>0</v>
      </c>
      <c r="GQ91" s="32">
        <f t="shared" si="203"/>
        <v>0</v>
      </c>
      <c r="GR91" s="32">
        <f t="shared" si="204"/>
        <v>0</v>
      </c>
      <c r="GS91" s="32">
        <f t="shared" si="205"/>
        <v>0</v>
      </c>
      <c r="GT91" s="32">
        <f t="shared" si="206"/>
        <v>0</v>
      </c>
      <c r="GU91" s="32">
        <f t="shared" si="207"/>
        <v>0</v>
      </c>
      <c r="GV91" s="32">
        <f t="shared" si="208"/>
        <v>0</v>
      </c>
      <c r="GW91" s="32">
        <f t="shared" si="209"/>
        <v>0</v>
      </c>
      <c r="GX91" s="32">
        <f t="shared" si="210"/>
        <v>0</v>
      </c>
      <c r="GY91" s="32">
        <f t="shared" si="211"/>
        <v>0</v>
      </c>
      <c r="GZ91" s="32">
        <f t="shared" si="212"/>
        <v>0</v>
      </c>
      <c r="HA91" s="32">
        <f t="shared" si="213"/>
        <v>0</v>
      </c>
      <c r="HB91" s="32">
        <f t="shared" si="214"/>
        <v>0</v>
      </c>
      <c r="HC91" s="32">
        <f t="shared" si="215"/>
        <v>0</v>
      </c>
      <c r="HD91" s="32">
        <f t="shared" si="216"/>
        <v>0</v>
      </c>
      <c r="HE91" s="32">
        <f t="shared" si="217"/>
        <v>0</v>
      </c>
      <c r="HF91" s="32">
        <f t="shared" si="218"/>
        <v>0</v>
      </c>
      <c r="HG91" s="32">
        <f t="shared" si="219"/>
        <v>0</v>
      </c>
      <c r="HH91" s="32">
        <f t="shared" si="220"/>
        <v>0</v>
      </c>
      <c r="HI91" s="32">
        <f t="shared" si="221"/>
        <v>0</v>
      </c>
      <c r="HJ91" s="32">
        <f t="shared" si="222"/>
        <v>0</v>
      </c>
      <c r="HK91" s="32">
        <f t="shared" si="223"/>
        <v>0</v>
      </c>
      <c r="HL91" s="32">
        <f t="shared" si="224"/>
        <v>0</v>
      </c>
      <c r="HM91" s="32">
        <f t="shared" si="225"/>
        <v>0</v>
      </c>
      <c r="HN91" s="32">
        <f t="shared" si="125"/>
        <v>0</v>
      </c>
      <c r="HO91" s="32">
        <f t="shared" si="126"/>
        <v>0</v>
      </c>
      <c r="HP91" s="32">
        <f t="shared" si="127"/>
        <v>0</v>
      </c>
      <c r="HQ91" s="32">
        <f t="shared" si="128"/>
        <v>0</v>
      </c>
      <c r="HR91" s="32">
        <f t="shared" si="226"/>
        <v>0</v>
      </c>
      <c r="HS91" s="32">
        <f t="shared" si="122"/>
        <v>0</v>
      </c>
      <c r="HT91" s="32">
        <f t="shared" si="227"/>
        <v>0</v>
      </c>
      <c r="HU91" s="32">
        <f t="shared" si="228"/>
        <v>0</v>
      </c>
      <c r="HV91" s="32">
        <f t="shared" si="229"/>
        <v>0</v>
      </c>
      <c r="HW91" s="32">
        <f t="shared" si="230"/>
        <v>0</v>
      </c>
      <c r="HX91" s="32">
        <f t="shared" si="231"/>
        <v>0</v>
      </c>
      <c r="IB91" s="32">
        <f t="shared" si="232"/>
        <v>0</v>
      </c>
      <c r="IC91" s="32">
        <f t="shared" si="233"/>
        <v>0</v>
      </c>
      <c r="ID91" s="32">
        <f t="shared" si="234"/>
        <v>0</v>
      </c>
      <c r="IE91" s="32">
        <f t="shared" si="235"/>
        <v>0</v>
      </c>
      <c r="IF91" s="32">
        <f t="shared" si="236"/>
        <v>0</v>
      </c>
      <c r="IG91" s="32">
        <f t="shared" si="237"/>
        <v>0</v>
      </c>
      <c r="IH91" s="32">
        <f t="shared" si="238"/>
        <v>0</v>
      </c>
      <c r="II91" s="32">
        <f t="shared" si="239"/>
        <v>0</v>
      </c>
      <c r="IJ91" s="32">
        <f t="shared" si="240"/>
        <v>0</v>
      </c>
      <c r="IK91" s="32">
        <f t="shared" si="241"/>
        <v>0</v>
      </c>
      <c r="IL91" s="32">
        <f t="shared" si="242"/>
        <v>0</v>
      </c>
      <c r="IM91" s="32">
        <f t="shared" si="243"/>
        <v>0</v>
      </c>
      <c r="IN91" s="32">
        <f t="shared" si="244"/>
        <v>0</v>
      </c>
    </row>
    <row r="92" spans="1:248" outlineLevel="1" x14ac:dyDescent="0.3">
      <c r="A92" s="15" t="s">
        <v>83</v>
      </c>
      <c r="B92" s="15"/>
      <c r="C92" s="15">
        <v>15</v>
      </c>
      <c r="D92" s="15">
        <v>0</v>
      </c>
      <c r="E92" s="15">
        <v>2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-4</v>
      </c>
      <c r="O92" s="15">
        <v>0</v>
      </c>
      <c r="P92" s="15">
        <v>0</v>
      </c>
      <c r="Q92" s="15">
        <v>0</v>
      </c>
      <c r="R92" s="15">
        <v>5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33">
        <v>0</v>
      </c>
      <c r="AB92" s="33">
        <v>0</v>
      </c>
      <c r="AC92" s="33">
        <v>0</v>
      </c>
      <c r="AD92" s="33">
        <v>0</v>
      </c>
      <c r="AE92" s="33">
        <v>0</v>
      </c>
      <c r="AF92" s="33">
        <v>0</v>
      </c>
      <c r="AG92" s="33">
        <v>0</v>
      </c>
      <c r="AH92" s="33">
        <v>0</v>
      </c>
      <c r="AI92" s="33">
        <v>0</v>
      </c>
      <c r="AJ92" s="33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33">
        <v>0</v>
      </c>
      <c r="AQ92" s="33">
        <v>0</v>
      </c>
      <c r="AR92" s="33">
        <v>0</v>
      </c>
      <c r="AS92" s="33">
        <v>0</v>
      </c>
      <c r="AT92" s="33">
        <v>0</v>
      </c>
      <c r="AU92" s="33">
        <v>0</v>
      </c>
      <c r="AV92" s="33">
        <v>0</v>
      </c>
      <c r="AW92" s="33">
        <v>0</v>
      </c>
      <c r="AX92" s="33">
        <v>0</v>
      </c>
      <c r="AY92" s="33">
        <v>0</v>
      </c>
      <c r="AZ92" s="33">
        <v>0</v>
      </c>
      <c r="BA92" s="33">
        <v>8</v>
      </c>
      <c r="BB92" s="33">
        <v>0</v>
      </c>
      <c r="BC92" s="33">
        <v>6</v>
      </c>
      <c r="BD92" s="33">
        <v>0</v>
      </c>
      <c r="BE92" s="33">
        <v>0</v>
      </c>
      <c r="BF92" s="33">
        <v>0</v>
      </c>
      <c r="BG92" s="33">
        <v>4</v>
      </c>
      <c r="BH92" s="33">
        <v>0</v>
      </c>
      <c r="BI92" s="33">
        <v>0</v>
      </c>
      <c r="BJ92" s="33">
        <v>0</v>
      </c>
      <c r="BK92" s="33">
        <v>0</v>
      </c>
      <c r="BL92" s="33">
        <v>0</v>
      </c>
      <c r="BM92" s="33">
        <v>0</v>
      </c>
      <c r="BN92" s="33">
        <v>0</v>
      </c>
      <c r="BO92" s="33">
        <v>0</v>
      </c>
      <c r="BP92" s="33">
        <v>0</v>
      </c>
      <c r="BQ92" s="33">
        <v>0</v>
      </c>
      <c r="BR92" s="33">
        <v>0</v>
      </c>
      <c r="BS92" s="33">
        <v>0</v>
      </c>
      <c r="BT92" s="33">
        <v>0</v>
      </c>
      <c r="BU92" s="33">
        <v>0</v>
      </c>
      <c r="BV92" s="33">
        <v>0</v>
      </c>
      <c r="BW92" s="33">
        <v>0</v>
      </c>
      <c r="BX92" s="33">
        <v>0</v>
      </c>
      <c r="BY92" s="33">
        <v>0</v>
      </c>
      <c r="BZ92" s="33">
        <v>0</v>
      </c>
      <c r="CA92" s="33">
        <v>0</v>
      </c>
      <c r="CB92" s="33">
        <v>0</v>
      </c>
      <c r="CC92" s="33">
        <v>0</v>
      </c>
      <c r="CD92" s="33">
        <v>0</v>
      </c>
      <c r="CE92" s="33">
        <v>0</v>
      </c>
      <c r="CF92" s="33">
        <v>0</v>
      </c>
      <c r="CG92" s="33">
        <v>0</v>
      </c>
      <c r="CH92" s="33">
        <v>0</v>
      </c>
      <c r="CI92" s="33">
        <v>0</v>
      </c>
      <c r="CJ92" s="33">
        <v>0</v>
      </c>
      <c r="CK92" s="33">
        <v>0</v>
      </c>
      <c r="CL92" s="33">
        <v>0</v>
      </c>
      <c r="CM92" s="33">
        <v>0</v>
      </c>
      <c r="CN92" s="33">
        <v>0</v>
      </c>
      <c r="CO92" s="33">
        <v>0</v>
      </c>
      <c r="CP92" s="33">
        <v>0</v>
      </c>
      <c r="CQ92" s="33">
        <v>0</v>
      </c>
      <c r="CR92" s="33">
        <v>0</v>
      </c>
      <c r="CS92" s="33">
        <v>0</v>
      </c>
      <c r="CT92" s="33">
        <v>0</v>
      </c>
      <c r="CU92" s="33">
        <v>0</v>
      </c>
      <c r="CV92" s="33">
        <v>0</v>
      </c>
      <c r="CW92" s="33">
        <v>0</v>
      </c>
      <c r="CX92" s="33">
        <v>0</v>
      </c>
      <c r="CY92" s="33">
        <v>0</v>
      </c>
      <c r="CZ92" s="33">
        <v>0</v>
      </c>
      <c r="DA92" s="33">
        <v>0</v>
      </c>
      <c r="DB92" s="33">
        <v>0</v>
      </c>
      <c r="DC92" s="33">
        <v>0</v>
      </c>
      <c r="DD92" s="33">
        <v>0</v>
      </c>
      <c r="DE92" s="33">
        <v>0</v>
      </c>
      <c r="DF92" s="33">
        <v>0</v>
      </c>
      <c r="DG92" s="33">
        <v>0</v>
      </c>
      <c r="DH92" s="33">
        <v>0</v>
      </c>
      <c r="DI92" s="33">
        <v>0</v>
      </c>
      <c r="DJ92" s="33">
        <v>0</v>
      </c>
      <c r="DK92" s="33">
        <v>0</v>
      </c>
      <c r="DL92" s="33">
        <v>0</v>
      </c>
      <c r="DM92" s="33">
        <v>0</v>
      </c>
      <c r="DN92" s="33">
        <v>0</v>
      </c>
      <c r="DO92" s="33">
        <v>0</v>
      </c>
      <c r="DP92" s="33">
        <v>0</v>
      </c>
      <c r="DQ92" s="33">
        <v>0</v>
      </c>
      <c r="DR92" s="33">
        <v>0</v>
      </c>
      <c r="DS92" s="33">
        <v>0</v>
      </c>
      <c r="DT92" s="33">
        <v>0</v>
      </c>
      <c r="DU92" s="33">
        <v>0</v>
      </c>
      <c r="DV92" s="33">
        <v>0</v>
      </c>
      <c r="DW92" s="33">
        <v>0</v>
      </c>
      <c r="DX92" s="33">
        <v>0</v>
      </c>
      <c r="DY92" s="33">
        <v>0</v>
      </c>
      <c r="DZ92" s="33">
        <v>0</v>
      </c>
      <c r="EA92" s="33">
        <v>0</v>
      </c>
      <c r="EB92" s="33">
        <v>0</v>
      </c>
      <c r="EC92" s="33">
        <v>0</v>
      </c>
      <c r="ED92" s="33">
        <v>0</v>
      </c>
      <c r="EE92" s="33">
        <v>0</v>
      </c>
      <c r="EF92" s="33">
        <v>0</v>
      </c>
      <c r="EG92" s="33">
        <v>0</v>
      </c>
      <c r="EH92" s="33">
        <v>0</v>
      </c>
      <c r="EI92" s="33">
        <v>0</v>
      </c>
      <c r="EJ92" s="33">
        <v>0</v>
      </c>
      <c r="EK92" s="33">
        <v>0</v>
      </c>
      <c r="EL92" s="33">
        <v>0</v>
      </c>
      <c r="EM92" s="33">
        <v>0</v>
      </c>
      <c r="EN92" s="33">
        <v>0</v>
      </c>
      <c r="EO92" s="33">
        <v>0</v>
      </c>
      <c r="EP92" s="33">
        <v>0</v>
      </c>
      <c r="EQ92" s="33">
        <v>0</v>
      </c>
      <c r="ER92" s="33">
        <v>0</v>
      </c>
      <c r="ES92" s="33">
        <v>0</v>
      </c>
      <c r="ET92" s="33">
        <v>0</v>
      </c>
      <c r="EU92" s="33">
        <v>0</v>
      </c>
      <c r="EV92" s="33">
        <v>0</v>
      </c>
      <c r="EW92" s="33">
        <v>0</v>
      </c>
      <c r="EX92" s="33">
        <v>0</v>
      </c>
      <c r="EY92" s="33">
        <v>0</v>
      </c>
      <c r="EZ92" s="33">
        <v>0</v>
      </c>
      <c r="FA92" s="33">
        <v>0</v>
      </c>
      <c r="FB92" s="33">
        <v>0</v>
      </c>
      <c r="FC92" s="33">
        <v>0</v>
      </c>
      <c r="FD92" s="33">
        <v>0</v>
      </c>
      <c r="FE92" s="33">
        <v>0</v>
      </c>
      <c r="FF92" s="33">
        <v>0</v>
      </c>
      <c r="FG92" s="33">
        <v>0</v>
      </c>
      <c r="FH92" s="33">
        <v>0</v>
      </c>
      <c r="FI92" s="33">
        <v>0</v>
      </c>
      <c r="FJ92" s="33">
        <v>0</v>
      </c>
      <c r="FK92" s="33">
        <v>0</v>
      </c>
      <c r="FL92" s="34"/>
      <c r="FM92" s="34"/>
      <c r="FN92" s="34"/>
      <c r="FR92" s="33">
        <f t="shared" si="178"/>
        <v>17</v>
      </c>
      <c r="FS92" s="33">
        <f t="shared" si="179"/>
        <v>0</v>
      </c>
      <c r="FT92" s="33">
        <f t="shared" si="180"/>
        <v>0</v>
      </c>
      <c r="FU92" s="33">
        <f t="shared" si="181"/>
        <v>-4</v>
      </c>
      <c r="FV92" s="33">
        <f t="shared" si="182"/>
        <v>0</v>
      </c>
      <c r="FW92" s="33">
        <f t="shared" si="183"/>
        <v>5</v>
      </c>
      <c r="FX92" s="33">
        <f t="shared" si="184"/>
        <v>0</v>
      </c>
      <c r="FY92" s="33">
        <f t="shared" si="185"/>
        <v>0</v>
      </c>
      <c r="FZ92" s="33">
        <f t="shared" si="186"/>
        <v>0</v>
      </c>
      <c r="GA92" s="33">
        <f t="shared" si="187"/>
        <v>0</v>
      </c>
      <c r="GB92" s="33">
        <f t="shared" si="188"/>
        <v>0</v>
      </c>
      <c r="GC92" s="33">
        <f t="shared" si="189"/>
        <v>0</v>
      </c>
      <c r="GD92" s="33">
        <f t="shared" si="190"/>
        <v>0</v>
      </c>
      <c r="GE92" s="33">
        <f t="shared" si="191"/>
        <v>0</v>
      </c>
      <c r="GF92" s="33">
        <f t="shared" si="192"/>
        <v>0</v>
      </c>
      <c r="GG92" s="33">
        <f t="shared" si="193"/>
        <v>0</v>
      </c>
      <c r="GH92" s="33">
        <f t="shared" si="194"/>
        <v>8</v>
      </c>
      <c r="GI92" s="33">
        <f t="shared" si="195"/>
        <v>6</v>
      </c>
      <c r="GJ92" s="33">
        <f t="shared" si="196"/>
        <v>4</v>
      </c>
      <c r="GK92" s="33">
        <f t="shared" si="197"/>
        <v>0</v>
      </c>
      <c r="GL92" s="33">
        <f t="shared" si="198"/>
        <v>0</v>
      </c>
      <c r="GM92" s="33">
        <f t="shared" si="199"/>
        <v>0</v>
      </c>
      <c r="GN92" s="33">
        <f t="shared" si="200"/>
        <v>0</v>
      </c>
      <c r="GO92" s="33">
        <f t="shared" si="201"/>
        <v>0</v>
      </c>
      <c r="GP92" s="33">
        <f t="shared" si="202"/>
        <v>0</v>
      </c>
      <c r="GQ92" s="33">
        <f t="shared" si="203"/>
        <v>0</v>
      </c>
      <c r="GR92" s="33">
        <f t="shared" si="204"/>
        <v>0</v>
      </c>
      <c r="GS92" s="33">
        <f t="shared" si="205"/>
        <v>0</v>
      </c>
      <c r="GT92" s="33">
        <f t="shared" si="206"/>
        <v>0</v>
      </c>
      <c r="GU92" s="33">
        <f t="shared" si="207"/>
        <v>0</v>
      </c>
      <c r="GV92" s="33">
        <f t="shared" si="208"/>
        <v>0</v>
      </c>
      <c r="GW92" s="33">
        <f t="shared" si="209"/>
        <v>0</v>
      </c>
      <c r="GX92" s="33">
        <f t="shared" si="210"/>
        <v>0</v>
      </c>
      <c r="GY92" s="33">
        <f t="shared" si="211"/>
        <v>0</v>
      </c>
      <c r="GZ92" s="33">
        <f t="shared" si="212"/>
        <v>0</v>
      </c>
      <c r="HA92" s="33">
        <f t="shared" si="213"/>
        <v>0</v>
      </c>
      <c r="HB92" s="33">
        <f t="shared" si="214"/>
        <v>0</v>
      </c>
      <c r="HC92" s="33">
        <f t="shared" si="215"/>
        <v>0</v>
      </c>
      <c r="HD92" s="33">
        <f t="shared" si="216"/>
        <v>0</v>
      </c>
      <c r="HE92" s="33">
        <f t="shared" si="217"/>
        <v>0</v>
      </c>
      <c r="HF92" s="33">
        <f t="shared" si="218"/>
        <v>0</v>
      </c>
      <c r="HG92" s="33">
        <f t="shared" si="219"/>
        <v>0</v>
      </c>
      <c r="HH92" s="33">
        <f t="shared" si="220"/>
        <v>0</v>
      </c>
      <c r="HI92" s="33">
        <f t="shared" si="221"/>
        <v>0</v>
      </c>
      <c r="HJ92" s="33">
        <f t="shared" si="222"/>
        <v>0</v>
      </c>
      <c r="HK92" s="33">
        <f t="shared" si="223"/>
        <v>0</v>
      </c>
      <c r="HL92" s="33">
        <f t="shared" si="224"/>
        <v>0</v>
      </c>
      <c r="HM92" s="33">
        <f t="shared" si="225"/>
        <v>0</v>
      </c>
      <c r="HN92" s="33">
        <f t="shared" si="125"/>
        <v>0</v>
      </c>
      <c r="HO92" s="33">
        <f t="shared" si="126"/>
        <v>0</v>
      </c>
      <c r="HP92" s="33">
        <f t="shared" si="127"/>
        <v>0</v>
      </c>
      <c r="HQ92" s="33">
        <f t="shared" si="128"/>
        <v>0</v>
      </c>
      <c r="HR92" s="33">
        <f t="shared" si="226"/>
        <v>0</v>
      </c>
      <c r="HS92" s="33">
        <f t="shared" si="122"/>
        <v>0</v>
      </c>
      <c r="HT92" s="33">
        <f t="shared" si="227"/>
        <v>0</v>
      </c>
      <c r="HU92" s="33">
        <f t="shared" si="228"/>
        <v>0</v>
      </c>
      <c r="HV92" s="33">
        <f t="shared" si="229"/>
        <v>0</v>
      </c>
      <c r="HW92" s="33">
        <f t="shared" si="230"/>
        <v>0</v>
      </c>
      <c r="HX92" s="33">
        <f t="shared" si="231"/>
        <v>0</v>
      </c>
      <c r="IB92" s="33">
        <f t="shared" si="232"/>
        <v>13</v>
      </c>
      <c r="IC92" s="33">
        <f t="shared" si="233"/>
        <v>5</v>
      </c>
      <c r="ID92" s="33">
        <f t="shared" si="234"/>
        <v>0</v>
      </c>
      <c r="IE92" s="33">
        <f t="shared" si="235"/>
        <v>0</v>
      </c>
      <c r="IF92" s="33">
        <f t="shared" si="236"/>
        <v>18</v>
      </c>
      <c r="IG92" s="33">
        <f t="shared" si="237"/>
        <v>0</v>
      </c>
      <c r="IH92" s="33">
        <f t="shared" si="238"/>
        <v>0</v>
      </c>
      <c r="II92" s="33">
        <f t="shared" si="239"/>
        <v>0</v>
      </c>
      <c r="IJ92" s="33">
        <f t="shared" si="240"/>
        <v>0</v>
      </c>
      <c r="IK92" s="33">
        <f t="shared" si="241"/>
        <v>0</v>
      </c>
      <c r="IL92" s="33">
        <f t="shared" si="242"/>
        <v>0</v>
      </c>
      <c r="IM92" s="33">
        <f t="shared" si="243"/>
        <v>0</v>
      </c>
      <c r="IN92" s="33">
        <f t="shared" si="244"/>
        <v>0</v>
      </c>
    </row>
    <row r="93" spans="1:248" outlineLevel="2" x14ac:dyDescent="0.3">
      <c r="A93" t="s">
        <v>84</v>
      </c>
      <c r="B93" t="s">
        <v>75</v>
      </c>
      <c r="C93">
        <v>2</v>
      </c>
      <c r="D93">
        <v>27</v>
      </c>
      <c r="E93">
        <v>45</v>
      </c>
      <c r="F93">
        <v>0</v>
      </c>
      <c r="G93">
        <v>97</v>
      </c>
      <c r="H93">
        <v>47</v>
      </c>
      <c r="I93">
        <v>25</v>
      </c>
      <c r="J93">
        <v>64</v>
      </c>
      <c r="K93">
        <v>9</v>
      </c>
      <c r="L93">
        <v>67</v>
      </c>
      <c r="M93">
        <v>18</v>
      </c>
      <c r="N93">
        <v>14</v>
      </c>
      <c r="O93">
        <v>7</v>
      </c>
      <c r="P93">
        <v>43</v>
      </c>
      <c r="Q93">
        <v>28</v>
      </c>
      <c r="R93">
        <v>5</v>
      </c>
      <c r="S93">
        <v>41</v>
      </c>
      <c r="T93">
        <v>51</v>
      </c>
      <c r="U93">
        <v>13</v>
      </c>
      <c r="V93">
        <v>21</v>
      </c>
      <c r="W93">
        <v>25</v>
      </c>
      <c r="X93">
        <v>15</v>
      </c>
      <c r="Y93">
        <v>21</v>
      </c>
      <c r="Z93">
        <v>27</v>
      </c>
      <c r="AA93" s="32">
        <v>15</v>
      </c>
      <c r="AB93" s="32">
        <v>25</v>
      </c>
      <c r="AC93" s="32">
        <v>39</v>
      </c>
      <c r="AD93" s="32">
        <v>10</v>
      </c>
      <c r="AE93" s="32">
        <v>29</v>
      </c>
      <c r="AF93" s="32">
        <v>42</v>
      </c>
      <c r="AG93" s="32">
        <v>36</v>
      </c>
      <c r="AH93" s="32">
        <v>13</v>
      </c>
      <c r="AI93" s="32">
        <v>28</v>
      </c>
      <c r="AJ93" s="32">
        <v>11</v>
      </c>
      <c r="AK93" s="32">
        <v>9</v>
      </c>
      <c r="AL93" s="32">
        <v>32</v>
      </c>
      <c r="AM93" s="32">
        <v>20</v>
      </c>
      <c r="AN93" s="32">
        <v>29</v>
      </c>
      <c r="AO93" s="32">
        <v>37</v>
      </c>
      <c r="AP93" s="32">
        <v>19</v>
      </c>
      <c r="AQ93" s="32">
        <v>28</v>
      </c>
      <c r="AR93" s="32">
        <v>32</v>
      </c>
      <c r="AS93" s="32">
        <v>37</v>
      </c>
      <c r="AT93" s="32">
        <v>9</v>
      </c>
      <c r="AU93" s="32">
        <v>31</v>
      </c>
      <c r="AV93" s="32">
        <v>41</v>
      </c>
      <c r="AW93" s="32">
        <v>18</v>
      </c>
      <c r="AX93" s="32">
        <v>53</v>
      </c>
      <c r="AY93" s="32">
        <v>63</v>
      </c>
      <c r="AZ93" s="32">
        <v>46</v>
      </c>
      <c r="BA93" s="32">
        <v>27</v>
      </c>
      <c r="BB93" s="32">
        <v>65</v>
      </c>
      <c r="BC93" s="32">
        <v>49</v>
      </c>
      <c r="BD93" s="32">
        <v>92</v>
      </c>
      <c r="BE93" s="32">
        <v>59</v>
      </c>
      <c r="BF93" s="32">
        <v>78</v>
      </c>
      <c r="BG93" s="32">
        <v>59</v>
      </c>
      <c r="BH93" s="32">
        <v>70</v>
      </c>
      <c r="BI93" s="32">
        <v>107</v>
      </c>
      <c r="BJ93" s="32">
        <v>21</v>
      </c>
      <c r="BK93" s="32">
        <v>40</v>
      </c>
      <c r="BL93" s="32">
        <v>27</v>
      </c>
      <c r="BM93" s="32">
        <v>21</v>
      </c>
      <c r="BN93" s="32">
        <v>62</v>
      </c>
      <c r="BO93">
        <v>75</v>
      </c>
      <c r="BP93">
        <v>186</v>
      </c>
      <c r="BQ93">
        <v>28</v>
      </c>
      <c r="BR93">
        <v>71</v>
      </c>
      <c r="BS93">
        <v>45</v>
      </c>
      <c r="BT93">
        <v>53</v>
      </c>
      <c r="BU93">
        <v>102</v>
      </c>
      <c r="BV93">
        <v>25</v>
      </c>
      <c r="BW93">
        <v>4</v>
      </c>
      <c r="BX93">
        <v>28</v>
      </c>
      <c r="BY93">
        <v>27</v>
      </c>
      <c r="BZ93">
        <v>136</v>
      </c>
      <c r="CA93">
        <v>155</v>
      </c>
      <c r="CB93">
        <v>19</v>
      </c>
      <c r="CC93">
        <v>59</v>
      </c>
      <c r="CD93">
        <v>60</v>
      </c>
      <c r="CE93">
        <v>92</v>
      </c>
      <c r="CF93">
        <v>22</v>
      </c>
      <c r="CG93">
        <v>22</v>
      </c>
      <c r="CH93">
        <v>71</v>
      </c>
      <c r="CI93">
        <v>0</v>
      </c>
      <c r="CJ93">
        <v>46</v>
      </c>
      <c r="CK93">
        <v>4</v>
      </c>
      <c r="CL93">
        <v>87</v>
      </c>
      <c r="CM93">
        <v>236</v>
      </c>
      <c r="CN93">
        <v>51</v>
      </c>
      <c r="CO93">
        <v>1</v>
      </c>
      <c r="CP93">
        <v>2</v>
      </c>
      <c r="CQ93">
        <v>24</v>
      </c>
      <c r="CR93">
        <v>51</v>
      </c>
      <c r="CS93">
        <v>120</v>
      </c>
      <c r="CT93">
        <v>2</v>
      </c>
      <c r="CU93">
        <v>0</v>
      </c>
      <c r="CV93">
        <v>0</v>
      </c>
      <c r="CW93">
        <v>19</v>
      </c>
      <c r="CX93">
        <v>25</v>
      </c>
      <c r="CY93">
        <v>90</v>
      </c>
      <c r="CZ93">
        <v>96</v>
      </c>
      <c r="DA93">
        <v>33</v>
      </c>
      <c r="DB93">
        <v>0</v>
      </c>
      <c r="DC93">
        <v>31</v>
      </c>
      <c r="DD93">
        <v>86</v>
      </c>
      <c r="DE93">
        <v>5</v>
      </c>
      <c r="DF93">
        <v>54</v>
      </c>
      <c r="DG93">
        <v>26</v>
      </c>
      <c r="DH93">
        <v>0</v>
      </c>
      <c r="DI93" s="32">
        <v>8</v>
      </c>
      <c r="DJ93" s="32">
        <v>32</v>
      </c>
      <c r="DK93" s="32">
        <v>80</v>
      </c>
      <c r="DL93" s="32">
        <v>64</v>
      </c>
      <c r="DM93" s="32">
        <v>20</v>
      </c>
      <c r="DN93" s="32">
        <v>4</v>
      </c>
      <c r="DO93" s="32">
        <v>0</v>
      </c>
      <c r="DP93" s="32">
        <v>0</v>
      </c>
      <c r="DQ93" s="32">
        <v>0</v>
      </c>
      <c r="DR93" s="32">
        <v>0</v>
      </c>
      <c r="DS93" s="32">
        <v>0</v>
      </c>
      <c r="DT93" s="32">
        <v>36</v>
      </c>
      <c r="DU93" s="32">
        <v>2</v>
      </c>
      <c r="DV93" s="32">
        <v>0</v>
      </c>
      <c r="DW93" s="32">
        <v>0</v>
      </c>
      <c r="DX93" s="32">
        <v>1</v>
      </c>
      <c r="DY93" s="32">
        <v>100</v>
      </c>
      <c r="DZ93" s="32">
        <v>9</v>
      </c>
      <c r="EA93" s="32">
        <v>24</v>
      </c>
      <c r="EB93" s="32">
        <v>8</v>
      </c>
      <c r="EC93" s="32">
        <v>8</v>
      </c>
      <c r="ED93" s="32">
        <v>15</v>
      </c>
      <c r="EE93" s="32">
        <v>37</v>
      </c>
      <c r="EF93" s="32">
        <v>22</v>
      </c>
      <c r="EG93" s="32">
        <v>6</v>
      </c>
      <c r="EH93" s="32">
        <v>10</v>
      </c>
      <c r="EI93" s="32">
        <v>24</v>
      </c>
      <c r="EJ93" s="32">
        <v>39</v>
      </c>
      <c r="EK93" s="32">
        <v>5</v>
      </c>
      <c r="EL93" s="32">
        <v>22</v>
      </c>
      <c r="EM93" s="32">
        <v>40</v>
      </c>
      <c r="EN93" s="32">
        <v>4</v>
      </c>
      <c r="EO93" s="32">
        <v>10</v>
      </c>
      <c r="EP93" s="32">
        <v>137</v>
      </c>
      <c r="EQ93" s="32">
        <v>17</v>
      </c>
      <c r="ER93" s="32">
        <v>3</v>
      </c>
      <c r="ES93" s="32">
        <v>1</v>
      </c>
      <c r="ET93" s="32">
        <v>7</v>
      </c>
      <c r="EU93" s="32">
        <v>22</v>
      </c>
      <c r="EV93" s="32">
        <v>41</v>
      </c>
      <c r="EW93" s="32">
        <v>20</v>
      </c>
      <c r="EX93" s="32">
        <v>68</v>
      </c>
      <c r="EY93" s="32">
        <v>60</v>
      </c>
      <c r="EZ93" s="32">
        <v>60</v>
      </c>
      <c r="FA93" s="32">
        <v>94</v>
      </c>
      <c r="FB93" s="32">
        <v>45</v>
      </c>
      <c r="FC93" s="32">
        <v>20</v>
      </c>
      <c r="FD93" s="32">
        <v>32</v>
      </c>
      <c r="FE93" s="32">
        <v>26</v>
      </c>
      <c r="FF93" s="32">
        <v>31</v>
      </c>
      <c r="FG93" s="32">
        <v>46</v>
      </c>
      <c r="FH93" s="32">
        <v>32</v>
      </c>
      <c r="FI93" s="32">
        <v>45</v>
      </c>
      <c r="FJ93" s="32">
        <v>60</v>
      </c>
      <c r="FK93" s="32">
        <v>33</v>
      </c>
      <c r="FL93" s="32"/>
      <c r="FM93" s="32"/>
      <c r="FN93" s="32"/>
      <c r="FR93">
        <f t="shared" si="178"/>
        <v>74</v>
      </c>
      <c r="FS93">
        <f t="shared" si="179"/>
        <v>144</v>
      </c>
      <c r="FT93">
        <f t="shared" si="180"/>
        <v>98</v>
      </c>
      <c r="FU93">
        <f t="shared" si="181"/>
        <v>99</v>
      </c>
      <c r="FV93">
        <f t="shared" si="182"/>
        <v>78</v>
      </c>
      <c r="FW93">
        <f t="shared" si="183"/>
        <v>97</v>
      </c>
      <c r="FX93">
        <f t="shared" si="184"/>
        <v>59</v>
      </c>
      <c r="FY93">
        <f t="shared" si="185"/>
        <v>63</v>
      </c>
      <c r="FZ93">
        <f t="shared" si="186"/>
        <v>79</v>
      </c>
      <c r="GA93">
        <f t="shared" si="187"/>
        <v>81</v>
      </c>
      <c r="GB93">
        <f t="shared" si="188"/>
        <v>77</v>
      </c>
      <c r="GC93">
        <f t="shared" si="189"/>
        <v>52</v>
      </c>
      <c r="GD93">
        <f t="shared" si="190"/>
        <v>86</v>
      </c>
      <c r="GE93">
        <f t="shared" si="191"/>
        <v>79</v>
      </c>
      <c r="GF93">
        <f t="shared" si="192"/>
        <v>77</v>
      </c>
      <c r="GG93">
        <f t="shared" si="193"/>
        <v>112</v>
      </c>
      <c r="GH93">
        <f t="shared" si="194"/>
        <v>136</v>
      </c>
      <c r="GI93">
        <f t="shared" si="195"/>
        <v>206</v>
      </c>
      <c r="GJ93">
        <f t="shared" si="196"/>
        <v>196</v>
      </c>
      <c r="GK93">
        <f t="shared" si="197"/>
        <v>198</v>
      </c>
      <c r="GL93">
        <f t="shared" si="198"/>
        <v>88</v>
      </c>
      <c r="GM93">
        <f t="shared" si="199"/>
        <v>323</v>
      </c>
      <c r="GN93">
        <f t="shared" si="200"/>
        <v>144</v>
      </c>
      <c r="GO93">
        <f t="shared" si="201"/>
        <v>180</v>
      </c>
      <c r="GP93">
        <f t="shared" si="202"/>
        <v>59</v>
      </c>
      <c r="GQ93">
        <f t="shared" si="203"/>
        <v>310</v>
      </c>
      <c r="GR93">
        <f t="shared" si="204"/>
        <v>211</v>
      </c>
      <c r="GS93">
        <f t="shared" si="205"/>
        <v>115</v>
      </c>
      <c r="GT93">
        <f t="shared" si="206"/>
        <v>50</v>
      </c>
      <c r="GU93">
        <f t="shared" si="207"/>
        <v>374</v>
      </c>
      <c r="GV93">
        <f t="shared" si="208"/>
        <v>27</v>
      </c>
      <c r="GW93">
        <f t="shared" si="209"/>
        <v>173</v>
      </c>
      <c r="GX93">
        <f t="shared" si="210"/>
        <v>19</v>
      </c>
      <c r="GY93">
        <f t="shared" si="211"/>
        <v>211</v>
      </c>
      <c r="GZ93">
        <f t="shared" si="212"/>
        <v>64</v>
      </c>
      <c r="HA93">
        <f t="shared" si="213"/>
        <v>145</v>
      </c>
      <c r="HB93">
        <f t="shared" si="214"/>
        <v>26</v>
      </c>
      <c r="HC93">
        <f t="shared" si="215"/>
        <v>176</v>
      </c>
      <c r="HD93">
        <f t="shared" si="216"/>
        <v>24</v>
      </c>
      <c r="HE93">
        <f t="shared" si="217"/>
        <v>0</v>
      </c>
      <c r="HF93">
        <f t="shared" si="218"/>
        <v>38</v>
      </c>
      <c r="HG93">
        <f t="shared" si="219"/>
        <v>1</v>
      </c>
      <c r="HH93">
        <f t="shared" si="220"/>
        <v>133</v>
      </c>
      <c r="HI93">
        <f t="shared" si="221"/>
        <v>31</v>
      </c>
      <c r="HJ93">
        <f t="shared" si="222"/>
        <v>65</v>
      </c>
      <c r="HK93">
        <f t="shared" si="223"/>
        <v>73</v>
      </c>
      <c r="HL93">
        <f t="shared" si="224"/>
        <v>67</v>
      </c>
      <c r="HM93">
        <f t="shared" si="225"/>
        <v>151</v>
      </c>
      <c r="HN93">
        <f t="shared" si="125"/>
        <v>65</v>
      </c>
      <c r="HO93">
        <f t="shared" si="126"/>
        <v>73</v>
      </c>
      <c r="HP93">
        <f t="shared" si="127"/>
        <v>67</v>
      </c>
      <c r="HQ93">
        <f t="shared" si="128"/>
        <v>151</v>
      </c>
      <c r="HR93">
        <f t="shared" si="226"/>
        <v>21</v>
      </c>
      <c r="HS93">
        <f t="shared" si="122"/>
        <v>70</v>
      </c>
      <c r="HT93">
        <f t="shared" si="227"/>
        <v>148</v>
      </c>
      <c r="HU93">
        <f t="shared" si="228"/>
        <v>199</v>
      </c>
      <c r="HV93">
        <f t="shared" si="229"/>
        <v>78</v>
      </c>
      <c r="HW93">
        <f t="shared" si="230"/>
        <v>109</v>
      </c>
      <c r="HX93">
        <f t="shared" si="231"/>
        <v>138</v>
      </c>
      <c r="IB93">
        <f t="shared" si="232"/>
        <v>415</v>
      </c>
      <c r="IC93">
        <f t="shared" si="233"/>
        <v>297</v>
      </c>
      <c r="ID93">
        <f t="shared" si="234"/>
        <v>289</v>
      </c>
      <c r="IE93">
        <f t="shared" si="235"/>
        <v>354</v>
      </c>
      <c r="IF93">
        <f t="shared" si="236"/>
        <v>736</v>
      </c>
      <c r="IG93">
        <f t="shared" si="237"/>
        <v>735</v>
      </c>
      <c r="IH93">
        <f t="shared" si="238"/>
        <v>695</v>
      </c>
      <c r="II93">
        <f t="shared" si="239"/>
        <v>624</v>
      </c>
      <c r="IJ93">
        <f t="shared" si="240"/>
        <v>439</v>
      </c>
      <c r="IK93">
        <f t="shared" si="241"/>
        <v>234</v>
      </c>
      <c r="IL93">
        <f t="shared" si="242"/>
        <v>203</v>
      </c>
      <c r="IM93">
        <f t="shared" si="243"/>
        <v>356</v>
      </c>
      <c r="IN93">
        <f t="shared" si="244"/>
        <v>438</v>
      </c>
    </row>
    <row r="94" spans="1:248" outlineLevel="2" x14ac:dyDescent="0.3">
      <c r="B94" t="s">
        <v>76</v>
      </c>
      <c r="C94">
        <v>1</v>
      </c>
      <c r="D94">
        <v>62</v>
      </c>
      <c r="E94">
        <v>67</v>
      </c>
      <c r="F94">
        <v>112</v>
      </c>
      <c r="G94">
        <v>118</v>
      </c>
      <c r="H94">
        <v>100</v>
      </c>
      <c r="I94">
        <v>67</v>
      </c>
      <c r="J94">
        <v>92</v>
      </c>
      <c r="K94">
        <v>77</v>
      </c>
      <c r="L94">
        <v>69</v>
      </c>
      <c r="M94">
        <v>119</v>
      </c>
      <c r="N94">
        <v>91</v>
      </c>
      <c r="O94">
        <v>98</v>
      </c>
      <c r="P94">
        <v>164</v>
      </c>
      <c r="Q94">
        <v>201</v>
      </c>
      <c r="R94">
        <v>97</v>
      </c>
      <c r="S94">
        <v>132</v>
      </c>
      <c r="T94">
        <v>426</v>
      </c>
      <c r="U94">
        <v>88</v>
      </c>
      <c r="V94">
        <v>107</v>
      </c>
      <c r="W94">
        <v>81</v>
      </c>
      <c r="X94">
        <v>147</v>
      </c>
      <c r="Y94">
        <v>79</v>
      </c>
      <c r="Z94">
        <v>216</v>
      </c>
      <c r="AA94" s="32">
        <v>90</v>
      </c>
      <c r="AB94" s="32">
        <v>122</v>
      </c>
      <c r="AC94" s="32">
        <v>141</v>
      </c>
      <c r="AD94" s="32">
        <v>96</v>
      </c>
      <c r="AE94" s="32">
        <v>259</v>
      </c>
      <c r="AF94" s="32">
        <v>112</v>
      </c>
      <c r="AG94" s="32">
        <v>269</v>
      </c>
      <c r="AH94" s="32">
        <v>126</v>
      </c>
      <c r="AI94" s="32">
        <v>183</v>
      </c>
      <c r="AJ94" s="32">
        <v>111</v>
      </c>
      <c r="AK94" s="32">
        <v>63</v>
      </c>
      <c r="AL94" s="32">
        <v>220</v>
      </c>
      <c r="AM94" s="32">
        <v>101</v>
      </c>
      <c r="AN94" s="32">
        <v>222</v>
      </c>
      <c r="AO94" s="32">
        <v>185</v>
      </c>
      <c r="AP94" s="32">
        <v>79</v>
      </c>
      <c r="AQ94" s="32">
        <v>172</v>
      </c>
      <c r="AR94" s="32">
        <v>202</v>
      </c>
      <c r="AS94" s="32">
        <v>213</v>
      </c>
      <c r="AT94" s="32">
        <v>117</v>
      </c>
      <c r="AU94" s="32">
        <v>131</v>
      </c>
      <c r="AV94" s="32">
        <v>171</v>
      </c>
      <c r="AW94" s="32">
        <v>103</v>
      </c>
      <c r="AX94" s="32">
        <v>215</v>
      </c>
      <c r="AY94" s="32">
        <v>200</v>
      </c>
      <c r="AZ94" s="32">
        <v>191</v>
      </c>
      <c r="BA94" s="32">
        <v>282</v>
      </c>
      <c r="BB94" s="32">
        <v>210</v>
      </c>
      <c r="BC94" s="32">
        <v>382</v>
      </c>
      <c r="BD94" s="32">
        <v>252</v>
      </c>
      <c r="BE94" s="32">
        <v>301</v>
      </c>
      <c r="BF94" s="32">
        <v>271</v>
      </c>
      <c r="BG94" s="32">
        <v>238</v>
      </c>
      <c r="BH94" s="32">
        <v>186</v>
      </c>
      <c r="BI94" s="32">
        <v>167</v>
      </c>
      <c r="BJ94" s="32">
        <v>169</v>
      </c>
      <c r="BK94" s="32">
        <v>284</v>
      </c>
      <c r="BL94" s="32">
        <v>419</v>
      </c>
      <c r="BM94" s="32">
        <v>324</v>
      </c>
      <c r="BN94" s="32">
        <v>207</v>
      </c>
      <c r="BO94">
        <v>415</v>
      </c>
      <c r="BP94">
        <v>538</v>
      </c>
      <c r="BQ94">
        <v>151</v>
      </c>
      <c r="BR94">
        <v>392</v>
      </c>
      <c r="BS94">
        <v>200</v>
      </c>
      <c r="BT94">
        <v>180</v>
      </c>
      <c r="BU94">
        <v>266</v>
      </c>
      <c r="BV94">
        <v>357</v>
      </c>
      <c r="BW94">
        <v>126</v>
      </c>
      <c r="BX94">
        <v>243</v>
      </c>
      <c r="BY94">
        <v>487</v>
      </c>
      <c r="BZ94">
        <v>360</v>
      </c>
      <c r="CA94">
        <v>653</v>
      </c>
      <c r="CB94">
        <v>351</v>
      </c>
      <c r="CC94">
        <v>427</v>
      </c>
      <c r="CD94">
        <v>238</v>
      </c>
      <c r="CE94">
        <v>201</v>
      </c>
      <c r="CF94">
        <v>219</v>
      </c>
      <c r="CG94">
        <v>285</v>
      </c>
      <c r="CH94">
        <v>496</v>
      </c>
      <c r="CI94">
        <v>88</v>
      </c>
      <c r="CJ94">
        <v>228</v>
      </c>
      <c r="CK94">
        <v>176</v>
      </c>
      <c r="CL94">
        <v>406</v>
      </c>
      <c r="CM94">
        <v>574</v>
      </c>
      <c r="CN94">
        <v>347</v>
      </c>
      <c r="CO94">
        <v>315</v>
      </c>
      <c r="CP94">
        <v>208</v>
      </c>
      <c r="CQ94">
        <v>353</v>
      </c>
      <c r="CR94">
        <v>271</v>
      </c>
      <c r="CS94">
        <v>117</v>
      </c>
      <c r="CT94">
        <v>133</v>
      </c>
      <c r="CU94">
        <v>10</v>
      </c>
      <c r="CV94">
        <v>362</v>
      </c>
      <c r="CW94">
        <v>376</v>
      </c>
      <c r="CX94">
        <v>432</v>
      </c>
      <c r="CY94">
        <v>581</v>
      </c>
      <c r="CZ94">
        <v>413</v>
      </c>
      <c r="DA94">
        <v>474</v>
      </c>
      <c r="DB94">
        <v>299</v>
      </c>
      <c r="DC94">
        <v>514</v>
      </c>
      <c r="DD94">
        <v>341</v>
      </c>
      <c r="DE94">
        <v>284</v>
      </c>
      <c r="DF94">
        <v>336</v>
      </c>
      <c r="DG94">
        <v>421</v>
      </c>
      <c r="DH94">
        <v>567</v>
      </c>
      <c r="DI94" s="32">
        <v>856</v>
      </c>
      <c r="DJ94" s="32">
        <v>660</v>
      </c>
      <c r="DK94" s="32">
        <v>613</v>
      </c>
      <c r="DL94" s="32">
        <v>633</v>
      </c>
      <c r="DM94" s="32">
        <v>519</v>
      </c>
      <c r="DN94" s="32">
        <v>435</v>
      </c>
      <c r="DO94" s="32">
        <v>612</v>
      </c>
      <c r="DP94" s="32">
        <v>435</v>
      </c>
      <c r="DQ94" s="32">
        <v>372</v>
      </c>
      <c r="DR94" s="32">
        <v>1</v>
      </c>
      <c r="DS94" s="32">
        <v>282</v>
      </c>
      <c r="DT94" s="32">
        <v>363</v>
      </c>
      <c r="DU94" s="32">
        <v>319</v>
      </c>
      <c r="DV94" s="32">
        <v>511</v>
      </c>
      <c r="DW94" s="32">
        <v>715</v>
      </c>
      <c r="DX94" s="32">
        <v>666</v>
      </c>
      <c r="DY94" s="32">
        <v>522</v>
      </c>
      <c r="DZ94" s="32">
        <v>289</v>
      </c>
      <c r="EA94" s="32">
        <v>351</v>
      </c>
      <c r="EB94" s="32">
        <v>229</v>
      </c>
      <c r="EC94" s="32">
        <v>169</v>
      </c>
      <c r="ED94" s="32">
        <v>272</v>
      </c>
      <c r="EE94" s="32">
        <v>1272</v>
      </c>
      <c r="EF94" s="32">
        <v>1217</v>
      </c>
      <c r="EG94" s="32">
        <v>1082</v>
      </c>
      <c r="EH94" s="32">
        <v>1913</v>
      </c>
      <c r="EI94" s="32">
        <v>2132</v>
      </c>
      <c r="EJ94" s="32">
        <v>862</v>
      </c>
      <c r="EK94" s="32">
        <v>368</v>
      </c>
      <c r="EL94" s="32">
        <v>508</v>
      </c>
      <c r="EM94" s="32">
        <v>439</v>
      </c>
      <c r="EN94" s="32">
        <v>537</v>
      </c>
      <c r="EO94" s="32">
        <v>805</v>
      </c>
      <c r="EP94" s="32">
        <v>480</v>
      </c>
      <c r="EQ94" s="32">
        <v>340</v>
      </c>
      <c r="ER94" s="32">
        <v>284</v>
      </c>
      <c r="ES94" s="32">
        <v>418</v>
      </c>
      <c r="ET94" s="32">
        <v>372</v>
      </c>
      <c r="EU94" s="32">
        <v>763</v>
      </c>
      <c r="EV94" s="32">
        <v>868</v>
      </c>
      <c r="EW94" s="32">
        <v>443</v>
      </c>
      <c r="EX94" s="32">
        <v>461</v>
      </c>
      <c r="EY94" s="32">
        <v>486</v>
      </c>
      <c r="EZ94" s="32">
        <v>406</v>
      </c>
      <c r="FA94" s="32">
        <v>454</v>
      </c>
      <c r="FB94" s="32">
        <v>570</v>
      </c>
      <c r="FC94" s="32">
        <v>352</v>
      </c>
      <c r="FD94" s="32">
        <v>377</v>
      </c>
      <c r="FE94" s="32">
        <v>296</v>
      </c>
      <c r="FF94" s="32">
        <v>436</v>
      </c>
      <c r="FG94" s="32">
        <v>620</v>
      </c>
      <c r="FH94" s="32">
        <v>670</v>
      </c>
      <c r="FI94" s="32">
        <v>352</v>
      </c>
      <c r="FJ94" s="32">
        <v>417</v>
      </c>
      <c r="FK94" s="32">
        <v>504</v>
      </c>
      <c r="FL94" s="32"/>
      <c r="FM94" s="32"/>
      <c r="FN94" s="32"/>
      <c r="FR94">
        <f t="shared" si="178"/>
        <v>130</v>
      </c>
      <c r="FS94">
        <f t="shared" si="179"/>
        <v>330</v>
      </c>
      <c r="FT94">
        <f t="shared" si="180"/>
        <v>236</v>
      </c>
      <c r="FU94">
        <f t="shared" si="181"/>
        <v>279</v>
      </c>
      <c r="FV94">
        <f t="shared" si="182"/>
        <v>463</v>
      </c>
      <c r="FW94">
        <f t="shared" si="183"/>
        <v>655</v>
      </c>
      <c r="FX94">
        <f t="shared" si="184"/>
        <v>276</v>
      </c>
      <c r="FY94">
        <f t="shared" si="185"/>
        <v>442</v>
      </c>
      <c r="FZ94">
        <f t="shared" si="186"/>
        <v>353</v>
      </c>
      <c r="GA94">
        <f t="shared" si="187"/>
        <v>467</v>
      </c>
      <c r="GB94">
        <f t="shared" si="188"/>
        <v>578</v>
      </c>
      <c r="GC94">
        <f t="shared" si="189"/>
        <v>394</v>
      </c>
      <c r="GD94">
        <f t="shared" si="190"/>
        <v>508</v>
      </c>
      <c r="GE94">
        <f t="shared" si="191"/>
        <v>453</v>
      </c>
      <c r="GF94">
        <f t="shared" si="192"/>
        <v>461</v>
      </c>
      <c r="GG94">
        <f t="shared" si="193"/>
        <v>489</v>
      </c>
      <c r="GH94">
        <f t="shared" si="194"/>
        <v>673</v>
      </c>
      <c r="GI94">
        <f t="shared" si="195"/>
        <v>844</v>
      </c>
      <c r="GJ94">
        <f t="shared" si="196"/>
        <v>810</v>
      </c>
      <c r="GK94">
        <f t="shared" si="197"/>
        <v>522</v>
      </c>
      <c r="GL94">
        <f t="shared" si="198"/>
        <v>1027</v>
      </c>
      <c r="GM94">
        <f t="shared" si="199"/>
        <v>1160</v>
      </c>
      <c r="GN94">
        <f t="shared" si="200"/>
        <v>743</v>
      </c>
      <c r="GO94">
        <f t="shared" si="201"/>
        <v>803</v>
      </c>
      <c r="GP94">
        <f t="shared" si="202"/>
        <v>856</v>
      </c>
      <c r="GQ94">
        <f t="shared" si="203"/>
        <v>1364</v>
      </c>
      <c r="GR94">
        <f t="shared" si="204"/>
        <v>866</v>
      </c>
      <c r="GS94">
        <f t="shared" si="205"/>
        <v>1000</v>
      </c>
      <c r="GT94">
        <f t="shared" si="206"/>
        <v>492</v>
      </c>
      <c r="GU94">
        <f t="shared" si="207"/>
        <v>1327</v>
      </c>
      <c r="GV94">
        <f t="shared" si="208"/>
        <v>876</v>
      </c>
      <c r="GW94">
        <f t="shared" si="209"/>
        <v>521</v>
      </c>
      <c r="GX94">
        <f t="shared" si="210"/>
        <v>748</v>
      </c>
      <c r="GY94">
        <f t="shared" si="211"/>
        <v>1426</v>
      </c>
      <c r="GZ94">
        <f t="shared" si="212"/>
        <v>1287</v>
      </c>
      <c r="HA94">
        <f t="shared" si="213"/>
        <v>961</v>
      </c>
      <c r="HB94">
        <f t="shared" si="214"/>
        <v>988</v>
      </c>
      <c r="HC94">
        <f t="shared" si="215"/>
        <v>1906</v>
      </c>
      <c r="HD94">
        <f t="shared" si="216"/>
        <v>1566</v>
      </c>
      <c r="HE94">
        <f t="shared" si="217"/>
        <v>808</v>
      </c>
      <c r="HF94">
        <f t="shared" si="218"/>
        <v>964</v>
      </c>
      <c r="HG94">
        <f t="shared" si="219"/>
        <v>1892</v>
      </c>
      <c r="HH94">
        <f t="shared" si="220"/>
        <v>1162</v>
      </c>
      <c r="HI94">
        <f t="shared" si="221"/>
        <v>670</v>
      </c>
      <c r="HJ94">
        <f t="shared" si="222"/>
        <v>3571</v>
      </c>
      <c r="HK94">
        <f t="shared" si="223"/>
        <v>4907</v>
      </c>
      <c r="HL94">
        <f t="shared" si="224"/>
        <v>1315</v>
      </c>
      <c r="HM94">
        <f t="shared" si="225"/>
        <v>1822</v>
      </c>
      <c r="HN94">
        <f t="shared" si="125"/>
        <v>3571</v>
      </c>
      <c r="HO94">
        <f t="shared" si="126"/>
        <v>4907</v>
      </c>
      <c r="HP94">
        <f t="shared" si="127"/>
        <v>1315</v>
      </c>
      <c r="HQ94">
        <f t="shared" si="128"/>
        <v>1822</v>
      </c>
      <c r="HR94">
        <f t="shared" si="226"/>
        <v>1042</v>
      </c>
      <c r="HS94">
        <f t="shared" si="122"/>
        <v>2003</v>
      </c>
      <c r="HT94">
        <f t="shared" si="227"/>
        <v>1390</v>
      </c>
      <c r="HU94">
        <f t="shared" si="228"/>
        <v>1430</v>
      </c>
      <c r="HV94">
        <f t="shared" si="229"/>
        <v>1025</v>
      </c>
      <c r="HW94">
        <f t="shared" si="230"/>
        <v>1726</v>
      </c>
      <c r="HX94">
        <f t="shared" si="231"/>
        <v>1273</v>
      </c>
      <c r="IB94">
        <f t="shared" si="232"/>
        <v>975</v>
      </c>
      <c r="IC94">
        <f t="shared" si="233"/>
        <v>1836</v>
      </c>
      <c r="ID94">
        <f t="shared" si="234"/>
        <v>1792</v>
      </c>
      <c r="IE94">
        <f t="shared" si="235"/>
        <v>1911</v>
      </c>
      <c r="IF94">
        <f t="shared" si="236"/>
        <v>2849</v>
      </c>
      <c r="IG94">
        <f t="shared" si="237"/>
        <v>3733</v>
      </c>
      <c r="IH94">
        <f t="shared" si="238"/>
        <v>4086</v>
      </c>
      <c r="II94">
        <f t="shared" si="239"/>
        <v>3216</v>
      </c>
      <c r="IJ94">
        <f t="shared" si="240"/>
        <v>4422</v>
      </c>
      <c r="IK94">
        <f t="shared" si="241"/>
        <v>6124</v>
      </c>
      <c r="IL94">
        <f t="shared" si="242"/>
        <v>4688</v>
      </c>
      <c r="IM94">
        <f t="shared" si="243"/>
        <v>11615</v>
      </c>
      <c r="IN94">
        <f t="shared" si="244"/>
        <v>5865</v>
      </c>
    </row>
    <row r="95" spans="1:248" outlineLevel="2" x14ac:dyDescent="0.3">
      <c r="B95" t="s">
        <v>77</v>
      </c>
      <c r="C95">
        <v>237</v>
      </c>
      <c r="D95">
        <v>427</v>
      </c>
      <c r="E95">
        <v>547</v>
      </c>
      <c r="F95">
        <v>574</v>
      </c>
      <c r="G95">
        <v>509</v>
      </c>
      <c r="H95">
        <v>171</v>
      </c>
      <c r="I95">
        <v>410</v>
      </c>
      <c r="J95">
        <v>519</v>
      </c>
      <c r="K95">
        <v>630</v>
      </c>
      <c r="L95">
        <v>670</v>
      </c>
      <c r="M95">
        <v>709</v>
      </c>
      <c r="N95">
        <v>599</v>
      </c>
      <c r="O95">
        <v>628</v>
      </c>
      <c r="P95">
        <v>192</v>
      </c>
      <c r="Q95">
        <v>442</v>
      </c>
      <c r="R95">
        <v>688</v>
      </c>
      <c r="S95">
        <v>498</v>
      </c>
      <c r="T95">
        <v>612</v>
      </c>
      <c r="U95">
        <v>677</v>
      </c>
      <c r="V95">
        <v>644</v>
      </c>
      <c r="W95">
        <v>693</v>
      </c>
      <c r="X95">
        <v>556</v>
      </c>
      <c r="Y95">
        <v>649</v>
      </c>
      <c r="Z95">
        <v>574</v>
      </c>
      <c r="AA95" s="32">
        <v>368</v>
      </c>
      <c r="AB95" s="32">
        <v>486</v>
      </c>
      <c r="AC95" s="32">
        <v>735</v>
      </c>
      <c r="AD95" s="32">
        <v>735</v>
      </c>
      <c r="AE95" s="32">
        <v>662</v>
      </c>
      <c r="AF95" s="32">
        <v>565</v>
      </c>
      <c r="AG95" s="32">
        <v>914</v>
      </c>
      <c r="AH95" s="32">
        <v>717</v>
      </c>
      <c r="AI95" s="32">
        <v>1086</v>
      </c>
      <c r="AJ95" s="32">
        <v>571</v>
      </c>
      <c r="AK95" s="32">
        <v>780</v>
      </c>
      <c r="AL95" s="32">
        <v>790</v>
      </c>
      <c r="AM95" s="32">
        <v>635</v>
      </c>
      <c r="AN95" s="32">
        <v>343</v>
      </c>
      <c r="AO95" s="32">
        <v>764</v>
      </c>
      <c r="AP95" s="32">
        <v>419</v>
      </c>
      <c r="AQ95" s="32">
        <v>237</v>
      </c>
      <c r="AR95" s="32">
        <v>1091</v>
      </c>
      <c r="AS95" s="32">
        <v>407</v>
      </c>
      <c r="AT95" s="32">
        <v>581</v>
      </c>
      <c r="AU95" s="32">
        <v>518</v>
      </c>
      <c r="AV95" s="32">
        <v>572</v>
      </c>
      <c r="AW95" s="32">
        <v>239</v>
      </c>
      <c r="AX95" s="32">
        <v>238</v>
      </c>
      <c r="AY95" s="32">
        <v>313</v>
      </c>
      <c r="AZ95" s="32">
        <v>508</v>
      </c>
      <c r="BA95" s="32">
        <v>493</v>
      </c>
      <c r="BB95" s="32">
        <v>1105</v>
      </c>
      <c r="BC95" s="32">
        <v>472</v>
      </c>
      <c r="BD95" s="32">
        <v>393</v>
      </c>
      <c r="BE95" s="32">
        <v>698</v>
      </c>
      <c r="BF95" s="32">
        <v>599</v>
      </c>
      <c r="BG95" s="32">
        <v>564</v>
      </c>
      <c r="BH95" s="32">
        <v>499</v>
      </c>
      <c r="BI95" s="32">
        <v>663</v>
      </c>
      <c r="BJ95" s="32">
        <v>710</v>
      </c>
      <c r="BK95" s="32">
        <v>339</v>
      </c>
      <c r="BL95" s="32">
        <v>412</v>
      </c>
      <c r="BM95" s="32">
        <v>387</v>
      </c>
      <c r="BN95" s="32">
        <v>394</v>
      </c>
      <c r="BO95">
        <v>486</v>
      </c>
      <c r="BP95">
        <v>860</v>
      </c>
      <c r="BQ95">
        <v>395</v>
      </c>
      <c r="BR95">
        <v>486</v>
      </c>
      <c r="BS95">
        <v>428</v>
      </c>
      <c r="BT95">
        <v>224</v>
      </c>
      <c r="BU95">
        <v>647</v>
      </c>
      <c r="BV95">
        <v>1933</v>
      </c>
      <c r="BW95">
        <v>587</v>
      </c>
      <c r="BX95">
        <v>900</v>
      </c>
      <c r="BY95">
        <v>1077</v>
      </c>
      <c r="BZ95">
        <v>272</v>
      </c>
      <c r="CA95">
        <v>911</v>
      </c>
      <c r="CB95">
        <v>756</v>
      </c>
      <c r="CC95">
        <v>494</v>
      </c>
      <c r="CD95">
        <v>509</v>
      </c>
      <c r="CE95">
        <v>480</v>
      </c>
      <c r="CF95">
        <v>1065</v>
      </c>
      <c r="CG95">
        <v>856</v>
      </c>
      <c r="CH95">
        <v>956</v>
      </c>
      <c r="CI95">
        <v>160</v>
      </c>
      <c r="CJ95">
        <v>491</v>
      </c>
      <c r="CK95">
        <v>775</v>
      </c>
      <c r="CL95">
        <v>930</v>
      </c>
      <c r="CM95">
        <v>833</v>
      </c>
      <c r="CN95">
        <v>915</v>
      </c>
      <c r="CO95">
        <v>771</v>
      </c>
      <c r="CP95">
        <v>870</v>
      </c>
      <c r="CQ95">
        <v>1069</v>
      </c>
      <c r="CR95">
        <v>1031</v>
      </c>
      <c r="CS95">
        <v>998</v>
      </c>
      <c r="CT95">
        <v>762</v>
      </c>
      <c r="CU95">
        <v>86</v>
      </c>
      <c r="CV95">
        <v>619</v>
      </c>
      <c r="CW95">
        <v>665</v>
      </c>
      <c r="CX95">
        <v>583</v>
      </c>
      <c r="CY95">
        <v>715</v>
      </c>
      <c r="CZ95">
        <v>715</v>
      </c>
      <c r="DA95">
        <v>1126</v>
      </c>
      <c r="DB95">
        <v>779</v>
      </c>
      <c r="DC95">
        <v>1243</v>
      </c>
      <c r="DD95">
        <v>977</v>
      </c>
      <c r="DE95">
        <v>1126</v>
      </c>
      <c r="DF95">
        <v>1355</v>
      </c>
      <c r="DG95">
        <v>751</v>
      </c>
      <c r="DH95">
        <v>701</v>
      </c>
      <c r="DI95" s="32">
        <v>765</v>
      </c>
      <c r="DJ95" s="32">
        <v>941</v>
      </c>
      <c r="DK95" s="32">
        <v>1549</v>
      </c>
      <c r="DL95" s="32">
        <v>1504</v>
      </c>
      <c r="DM95" s="32">
        <v>1566</v>
      </c>
      <c r="DN95" s="32">
        <v>1660</v>
      </c>
      <c r="DO95" s="32">
        <v>1718</v>
      </c>
      <c r="DP95" s="32">
        <v>1418</v>
      </c>
      <c r="DQ95" s="32">
        <v>1420</v>
      </c>
      <c r="DR95" s="32">
        <v>587</v>
      </c>
      <c r="DS95" s="32">
        <v>1065</v>
      </c>
      <c r="DT95" s="32">
        <v>1335</v>
      </c>
      <c r="DU95" s="32">
        <v>1235</v>
      </c>
      <c r="DV95" s="32">
        <v>1306</v>
      </c>
      <c r="DW95" s="32">
        <v>1364</v>
      </c>
      <c r="DX95" s="32">
        <v>1707</v>
      </c>
      <c r="DY95" s="32">
        <v>1103</v>
      </c>
      <c r="DZ95" s="32">
        <v>1701</v>
      </c>
      <c r="EA95" s="32">
        <v>1732</v>
      </c>
      <c r="EB95" s="32">
        <v>1066</v>
      </c>
      <c r="EC95" s="32">
        <v>1103</v>
      </c>
      <c r="ED95" s="32">
        <v>1603</v>
      </c>
      <c r="EE95" s="32">
        <v>57</v>
      </c>
      <c r="EF95" s="32">
        <v>27</v>
      </c>
      <c r="EG95" s="32">
        <v>55</v>
      </c>
      <c r="EH95" s="32">
        <v>155</v>
      </c>
      <c r="EI95" s="32">
        <v>187</v>
      </c>
      <c r="EJ95" s="32">
        <v>1217</v>
      </c>
      <c r="EK95" s="32">
        <v>1294</v>
      </c>
      <c r="EL95" s="32">
        <v>1170</v>
      </c>
      <c r="EM95" s="32">
        <v>962</v>
      </c>
      <c r="EN95" s="32">
        <v>1390</v>
      </c>
      <c r="EO95" s="32">
        <v>1276</v>
      </c>
      <c r="EP95" s="32">
        <v>1142</v>
      </c>
      <c r="EQ95" s="32">
        <v>933</v>
      </c>
      <c r="ER95" s="32">
        <v>817</v>
      </c>
      <c r="ES95" s="32">
        <v>979</v>
      </c>
      <c r="ET95" s="32">
        <v>974</v>
      </c>
      <c r="EU95" s="32">
        <v>1103</v>
      </c>
      <c r="EV95" s="32">
        <v>1196</v>
      </c>
      <c r="EW95" s="32">
        <v>834</v>
      </c>
      <c r="EX95" s="32">
        <v>1033</v>
      </c>
      <c r="EY95" s="32">
        <v>1362</v>
      </c>
      <c r="EZ95" s="32">
        <v>1216</v>
      </c>
      <c r="FA95" s="32">
        <v>1420</v>
      </c>
      <c r="FB95" s="32">
        <v>1399</v>
      </c>
      <c r="FC95" s="32">
        <v>923</v>
      </c>
      <c r="FD95" s="32">
        <v>1176</v>
      </c>
      <c r="FE95" s="32">
        <v>1267</v>
      </c>
      <c r="FF95" s="32">
        <v>1089</v>
      </c>
      <c r="FG95" s="32">
        <v>1211</v>
      </c>
      <c r="FH95" s="32">
        <v>1167</v>
      </c>
      <c r="FI95" s="32">
        <v>1218</v>
      </c>
      <c r="FJ95" s="32">
        <v>1562</v>
      </c>
      <c r="FK95" s="32">
        <v>1595</v>
      </c>
      <c r="FL95" s="32"/>
      <c r="FM95" s="32"/>
      <c r="FN95" s="32"/>
      <c r="FR95">
        <f t="shared" si="178"/>
        <v>1211</v>
      </c>
      <c r="FS95">
        <f t="shared" si="179"/>
        <v>1254</v>
      </c>
      <c r="FT95">
        <f t="shared" si="180"/>
        <v>1559</v>
      </c>
      <c r="FU95">
        <f t="shared" si="181"/>
        <v>1978</v>
      </c>
      <c r="FV95">
        <f t="shared" si="182"/>
        <v>1262</v>
      </c>
      <c r="FW95">
        <f t="shared" si="183"/>
        <v>1798</v>
      </c>
      <c r="FX95">
        <f t="shared" si="184"/>
        <v>2014</v>
      </c>
      <c r="FY95">
        <f t="shared" si="185"/>
        <v>1779</v>
      </c>
      <c r="FZ95">
        <f t="shared" si="186"/>
        <v>1589</v>
      </c>
      <c r="GA95">
        <f t="shared" si="187"/>
        <v>1962</v>
      </c>
      <c r="GB95">
        <f t="shared" si="188"/>
        <v>2717</v>
      </c>
      <c r="GC95">
        <f t="shared" si="189"/>
        <v>2141</v>
      </c>
      <c r="GD95">
        <f t="shared" si="190"/>
        <v>1742</v>
      </c>
      <c r="GE95">
        <f t="shared" si="191"/>
        <v>1747</v>
      </c>
      <c r="GF95">
        <f t="shared" si="192"/>
        <v>1506</v>
      </c>
      <c r="GG95">
        <f t="shared" si="193"/>
        <v>1049</v>
      </c>
      <c r="GH95">
        <f t="shared" si="194"/>
        <v>1314</v>
      </c>
      <c r="GI95">
        <f t="shared" si="195"/>
        <v>1970</v>
      </c>
      <c r="GJ95">
        <f t="shared" si="196"/>
        <v>1861</v>
      </c>
      <c r="GK95">
        <f t="shared" si="197"/>
        <v>1872</v>
      </c>
      <c r="GL95">
        <f t="shared" si="198"/>
        <v>1138</v>
      </c>
      <c r="GM95">
        <f t="shared" si="199"/>
        <v>1740</v>
      </c>
      <c r="GN95">
        <f t="shared" si="200"/>
        <v>1309</v>
      </c>
      <c r="GO95">
        <f t="shared" si="201"/>
        <v>2804</v>
      </c>
      <c r="GP95">
        <f t="shared" si="202"/>
        <v>2564</v>
      </c>
      <c r="GQ95">
        <f t="shared" si="203"/>
        <v>1939</v>
      </c>
      <c r="GR95">
        <f t="shared" si="204"/>
        <v>1483</v>
      </c>
      <c r="GS95">
        <f t="shared" si="205"/>
        <v>2877</v>
      </c>
      <c r="GT95">
        <f t="shared" si="206"/>
        <v>1426</v>
      </c>
      <c r="GU95">
        <f t="shared" si="207"/>
        <v>2678</v>
      </c>
      <c r="GV95">
        <f t="shared" si="208"/>
        <v>2710</v>
      </c>
      <c r="GW95">
        <f t="shared" si="209"/>
        <v>2791</v>
      </c>
      <c r="GX95">
        <f t="shared" si="210"/>
        <v>1370</v>
      </c>
      <c r="GY95">
        <f t="shared" si="211"/>
        <v>2013</v>
      </c>
      <c r="GZ95">
        <f t="shared" si="212"/>
        <v>3148</v>
      </c>
      <c r="HA95">
        <f t="shared" si="213"/>
        <v>3458</v>
      </c>
      <c r="HB95">
        <f t="shared" si="214"/>
        <v>1452</v>
      </c>
      <c r="HC95">
        <f t="shared" si="215"/>
        <v>3994</v>
      </c>
      <c r="HD95">
        <f t="shared" si="216"/>
        <v>4944</v>
      </c>
      <c r="HE95">
        <f t="shared" si="217"/>
        <v>3425</v>
      </c>
      <c r="HF95">
        <f t="shared" si="218"/>
        <v>3635</v>
      </c>
      <c r="HG95">
        <f t="shared" si="219"/>
        <v>4377</v>
      </c>
      <c r="HH95">
        <f t="shared" si="220"/>
        <v>4536</v>
      </c>
      <c r="HI95">
        <f t="shared" si="221"/>
        <v>3772</v>
      </c>
      <c r="HJ95">
        <f t="shared" si="222"/>
        <v>139</v>
      </c>
      <c r="HK95">
        <f t="shared" si="223"/>
        <v>1559</v>
      </c>
      <c r="HL95">
        <f t="shared" si="224"/>
        <v>3426</v>
      </c>
      <c r="HM95">
        <f t="shared" si="225"/>
        <v>3808</v>
      </c>
      <c r="HN95">
        <f t="shared" si="125"/>
        <v>139</v>
      </c>
      <c r="HO95">
        <f t="shared" si="126"/>
        <v>1559</v>
      </c>
      <c r="HP95">
        <f t="shared" si="127"/>
        <v>3426</v>
      </c>
      <c r="HQ95">
        <f t="shared" si="128"/>
        <v>3808</v>
      </c>
      <c r="HR95">
        <f t="shared" si="226"/>
        <v>2729</v>
      </c>
      <c r="HS95">
        <f t="shared" si="122"/>
        <v>3273</v>
      </c>
      <c r="HT95">
        <f t="shared" si="227"/>
        <v>3229</v>
      </c>
      <c r="HU95">
        <f t="shared" si="228"/>
        <v>4035</v>
      </c>
      <c r="HV95">
        <f t="shared" si="229"/>
        <v>3366</v>
      </c>
      <c r="HW95">
        <f t="shared" si="230"/>
        <v>3467</v>
      </c>
      <c r="HX95">
        <f t="shared" si="231"/>
        <v>4375</v>
      </c>
      <c r="IB95">
        <f t="shared" si="232"/>
        <v>6002</v>
      </c>
      <c r="IC95">
        <f t="shared" si="233"/>
        <v>6853</v>
      </c>
      <c r="ID95">
        <f t="shared" si="234"/>
        <v>8409</v>
      </c>
      <c r="IE95">
        <f t="shared" si="235"/>
        <v>6044</v>
      </c>
      <c r="IF95">
        <f t="shared" si="236"/>
        <v>7017</v>
      </c>
      <c r="IG95">
        <f t="shared" si="237"/>
        <v>6991</v>
      </c>
      <c r="IH95">
        <f t="shared" si="238"/>
        <v>8863</v>
      </c>
      <c r="II95">
        <f t="shared" si="239"/>
        <v>9605</v>
      </c>
      <c r="IJ95">
        <f t="shared" si="240"/>
        <v>9989</v>
      </c>
      <c r="IK95">
        <f t="shared" si="241"/>
        <v>14580</v>
      </c>
      <c r="IL95">
        <f t="shared" si="242"/>
        <v>16320</v>
      </c>
      <c r="IM95">
        <f t="shared" si="243"/>
        <v>8932</v>
      </c>
      <c r="IN95">
        <f t="shared" si="244"/>
        <v>13266</v>
      </c>
    </row>
    <row r="96" spans="1:248" outlineLevel="2" x14ac:dyDescent="0.3">
      <c r="B96" t="s">
        <v>78</v>
      </c>
      <c r="C96">
        <v>3</v>
      </c>
      <c r="D96">
        <v>3</v>
      </c>
      <c r="E96">
        <v>31</v>
      </c>
      <c r="F96">
        <v>18</v>
      </c>
      <c r="G96">
        <v>29</v>
      </c>
      <c r="H96">
        <v>7</v>
      </c>
      <c r="I96">
        <v>9</v>
      </c>
      <c r="J96">
        <v>19</v>
      </c>
      <c r="K96">
        <v>0</v>
      </c>
      <c r="L96">
        <v>11</v>
      </c>
      <c r="M96">
        <v>4</v>
      </c>
      <c r="N96">
        <v>22</v>
      </c>
      <c r="O96">
        <v>18</v>
      </c>
      <c r="P96">
        <v>40</v>
      </c>
      <c r="Q96">
        <v>57</v>
      </c>
      <c r="R96">
        <v>25</v>
      </c>
      <c r="S96">
        <v>74</v>
      </c>
      <c r="T96">
        <v>25</v>
      </c>
      <c r="U96">
        <v>37</v>
      </c>
      <c r="V96">
        <v>36</v>
      </c>
      <c r="W96">
        <v>49</v>
      </c>
      <c r="X96">
        <v>9</v>
      </c>
      <c r="Y96">
        <v>60</v>
      </c>
      <c r="Z96">
        <v>83</v>
      </c>
      <c r="AA96" s="32">
        <v>93</v>
      </c>
      <c r="AB96" s="32">
        <v>54</v>
      </c>
      <c r="AC96" s="32">
        <v>60</v>
      </c>
      <c r="AD96" s="32">
        <v>45</v>
      </c>
      <c r="AE96" s="32">
        <v>5</v>
      </c>
      <c r="AF96" s="32">
        <v>38</v>
      </c>
      <c r="AG96" s="32">
        <v>47</v>
      </c>
      <c r="AH96" s="32">
        <v>51</v>
      </c>
      <c r="AI96" s="32">
        <v>26</v>
      </c>
      <c r="AJ96" s="32">
        <v>68</v>
      </c>
      <c r="AK96" s="32">
        <v>54</v>
      </c>
      <c r="AL96" s="32">
        <v>161</v>
      </c>
      <c r="AM96" s="32">
        <v>79</v>
      </c>
      <c r="AN96" s="32">
        <v>122</v>
      </c>
      <c r="AO96" s="32">
        <v>53</v>
      </c>
      <c r="AP96" s="32">
        <v>166</v>
      </c>
      <c r="AQ96" s="32">
        <v>64</v>
      </c>
      <c r="AR96" s="32">
        <v>126</v>
      </c>
      <c r="AS96" s="32">
        <v>80</v>
      </c>
      <c r="AT96" s="32">
        <v>98</v>
      </c>
      <c r="AU96" s="32">
        <v>167</v>
      </c>
      <c r="AV96" s="32">
        <v>51</v>
      </c>
      <c r="AW96" s="32">
        <v>58</v>
      </c>
      <c r="AX96" s="32">
        <v>109</v>
      </c>
      <c r="AY96" s="32">
        <v>79</v>
      </c>
      <c r="AZ96" s="32">
        <v>127</v>
      </c>
      <c r="BA96" s="32">
        <v>212</v>
      </c>
      <c r="BB96" s="32">
        <v>154</v>
      </c>
      <c r="BC96" s="32">
        <v>111</v>
      </c>
      <c r="BD96" s="32">
        <v>75</v>
      </c>
      <c r="BE96" s="32">
        <v>133</v>
      </c>
      <c r="BF96" s="32">
        <v>94</v>
      </c>
      <c r="BG96" s="32">
        <v>228</v>
      </c>
      <c r="BH96" s="32">
        <v>147</v>
      </c>
      <c r="BI96" s="32">
        <v>123</v>
      </c>
      <c r="BJ96" s="32">
        <v>156</v>
      </c>
      <c r="BK96" s="32">
        <v>199</v>
      </c>
      <c r="BL96" s="32">
        <v>210</v>
      </c>
      <c r="BM96" s="32">
        <v>175</v>
      </c>
      <c r="BN96" s="32">
        <v>144</v>
      </c>
      <c r="BO96">
        <v>173</v>
      </c>
      <c r="BP96">
        <v>190</v>
      </c>
      <c r="BQ96">
        <v>75</v>
      </c>
      <c r="BR96">
        <v>263</v>
      </c>
      <c r="BS96">
        <v>132</v>
      </c>
      <c r="BT96">
        <v>278</v>
      </c>
      <c r="BU96">
        <v>238</v>
      </c>
      <c r="BV96">
        <v>489</v>
      </c>
      <c r="BW96">
        <v>109</v>
      </c>
      <c r="BX96">
        <v>443</v>
      </c>
      <c r="BY96">
        <v>599</v>
      </c>
      <c r="BZ96">
        <v>126</v>
      </c>
      <c r="CA96">
        <v>366</v>
      </c>
      <c r="CB96">
        <v>443</v>
      </c>
      <c r="CC96">
        <v>337</v>
      </c>
      <c r="CD96">
        <v>242</v>
      </c>
      <c r="CE96">
        <v>241</v>
      </c>
      <c r="CF96">
        <v>388</v>
      </c>
      <c r="CG96">
        <v>344</v>
      </c>
      <c r="CH96">
        <v>799</v>
      </c>
      <c r="CI96">
        <v>365</v>
      </c>
      <c r="CJ96">
        <v>457</v>
      </c>
      <c r="CK96">
        <v>504</v>
      </c>
      <c r="CL96">
        <v>438</v>
      </c>
      <c r="CM96">
        <v>209</v>
      </c>
      <c r="CN96">
        <v>239</v>
      </c>
      <c r="CO96">
        <v>348</v>
      </c>
      <c r="CP96">
        <v>234</v>
      </c>
      <c r="CQ96">
        <v>912</v>
      </c>
      <c r="CR96">
        <v>282</v>
      </c>
      <c r="CS96">
        <v>360</v>
      </c>
      <c r="CT96">
        <v>285</v>
      </c>
      <c r="CU96">
        <v>206</v>
      </c>
      <c r="CV96">
        <v>556</v>
      </c>
      <c r="CW96">
        <v>449</v>
      </c>
      <c r="CX96">
        <v>964</v>
      </c>
      <c r="CY96">
        <v>615</v>
      </c>
      <c r="CZ96">
        <v>480</v>
      </c>
      <c r="DA96">
        <v>635</v>
      </c>
      <c r="DB96">
        <v>529</v>
      </c>
      <c r="DC96">
        <v>1214</v>
      </c>
      <c r="DD96">
        <v>600</v>
      </c>
      <c r="DE96">
        <v>648</v>
      </c>
      <c r="DF96">
        <v>277</v>
      </c>
      <c r="DG96">
        <v>810</v>
      </c>
      <c r="DH96">
        <v>743</v>
      </c>
      <c r="DI96" s="32">
        <v>701</v>
      </c>
      <c r="DJ96" s="32">
        <v>1008</v>
      </c>
      <c r="DK96" s="32">
        <v>1159</v>
      </c>
      <c r="DL96" s="32">
        <v>1321</v>
      </c>
      <c r="DM96" s="32">
        <v>1025</v>
      </c>
      <c r="DN96" s="32">
        <v>1126</v>
      </c>
      <c r="DO96" s="32">
        <v>1102</v>
      </c>
      <c r="DP96" s="32">
        <v>1169</v>
      </c>
      <c r="DQ96" s="32">
        <v>1439</v>
      </c>
      <c r="DR96" s="32">
        <v>1115</v>
      </c>
      <c r="DS96" s="32">
        <v>764</v>
      </c>
      <c r="DT96" s="32">
        <v>1388</v>
      </c>
      <c r="DU96" s="32">
        <v>1458</v>
      </c>
      <c r="DV96" s="32">
        <v>1718</v>
      </c>
      <c r="DW96" s="32">
        <v>1558</v>
      </c>
      <c r="DX96" s="32">
        <v>1215</v>
      </c>
      <c r="DY96" s="32">
        <v>604</v>
      </c>
      <c r="DZ96" s="32">
        <v>595</v>
      </c>
      <c r="EA96" s="32">
        <v>1602</v>
      </c>
      <c r="EB96" s="32">
        <v>857</v>
      </c>
      <c r="EC96" s="32">
        <v>880</v>
      </c>
      <c r="ED96" s="32">
        <v>1310</v>
      </c>
      <c r="EE96" s="32">
        <v>1407</v>
      </c>
      <c r="EF96" s="32">
        <v>1859</v>
      </c>
      <c r="EG96" s="32">
        <v>1209</v>
      </c>
      <c r="EH96" s="32">
        <v>932</v>
      </c>
      <c r="EI96" s="32">
        <v>1307</v>
      </c>
      <c r="EJ96" s="32">
        <v>926</v>
      </c>
      <c r="EK96" s="32">
        <v>673</v>
      </c>
      <c r="EL96" s="32">
        <v>900</v>
      </c>
      <c r="EM96" s="32">
        <v>732</v>
      </c>
      <c r="EN96" s="32">
        <v>680</v>
      </c>
      <c r="EO96" s="32">
        <v>720</v>
      </c>
      <c r="EP96" s="32">
        <v>1358</v>
      </c>
      <c r="EQ96" s="32">
        <v>717</v>
      </c>
      <c r="ER96" s="32">
        <v>1104</v>
      </c>
      <c r="ES96" s="32">
        <v>1011</v>
      </c>
      <c r="ET96" s="32">
        <v>957</v>
      </c>
      <c r="EU96" s="32">
        <v>719</v>
      </c>
      <c r="EV96" s="32">
        <v>703</v>
      </c>
      <c r="EW96" s="32">
        <v>757</v>
      </c>
      <c r="EX96" s="32">
        <v>815</v>
      </c>
      <c r="EY96" s="32">
        <v>1099</v>
      </c>
      <c r="EZ96" s="32">
        <v>641</v>
      </c>
      <c r="FA96" s="32">
        <v>856</v>
      </c>
      <c r="FB96" s="32">
        <v>1052</v>
      </c>
      <c r="FC96" s="32">
        <v>712</v>
      </c>
      <c r="FD96" s="32">
        <v>816</v>
      </c>
      <c r="FE96" s="32">
        <v>839</v>
      </c>
      <c r="FF96" s="32">
        <v>898</v>
      </c>
      <c r="FG96" s="32">
        <v>732</v>
      </c>
      <c r="FH96" s="32">
        <v>946</v>
      </c>
      <c r="FI96" s="32">
        <v>632</v>
      </c>
      <c r="FJ96" s="32">
        <v>761</v>
      </c>
      <c r="FK96" s="32">
        <v>882</v>
      </c>
      <c r="FL96" s="32"/>
      <c r="FM96" s="32"/>
      <c r="FN96" s="32"/>
      <c r="FR96">
        <f t="shared" si="178"/>
        <v>37</v>
      </c>
      <c r="FS96">
        <f t="shared" si="179"/>
        <v>54</v>
      </c>
      <c r="FT96">
        <f t="shared" si="180"/>
        <v>28</v>
      </c>
      <c r="FU96">
        <f t="shared" si="181"/>
        <v>37</v>
      </c>
      <c r="FV96">
        <f t="shared" si="182"/>
        <v>115</v>
      </c>
      <c r="FW96">
        <f t="shared" si="183"/>
        <v>124</v>
      </c>
      <c r="FX96">
        <f t="shared" si="184"/>
        <v>122</v>
      </c>
      <c r="FY96">
        <f t="shared" si="185"/>
        <v>152</v>
      </c>
      <c r="FZ96">
        <f t="shared" si="186"/>
        <v>207</v>
      </c>
      <c r="GA96">
        <f t="shared" si="187"/>
        <v>88</v>
      </c>
      <c r="GB96">
        <f t="shared" si="188"/>
        <v>124</v>
      </c>
      <c r="GC96">
        <f t="shared" si="189"/>
        <v>283</v>
      </c>
      <c r="GD96">
        <f t="shared" si="190"/>
        <v>254</v>
      </c>
      <c r="GE96">
        <f t="shared" si="191"/>
        <v>356</v>
      </c>
      <c r="GF96">
        <f t="shared" si="192"/>
        <v>345</v>
      </c>
      <c r="GG96">
        <f t="shared" si="193"/>
        <v>218</v>
      </c>
      <c r="GH96">
        <f t="shared" si="194"/>
        <v>418</v>
      </c>
      <c r="GI96">
        <f t="shared" si="195"/>
        <v>340</v>
      </c>
      <c r="GJ96">
        <f t="shared" si="196"/>
        <v>455</v>
      </c>
      <c r="GK96">
        <f t="shared" si="197"/>
        <v>426</v>
      </c>
      <c r="GL96">
        <f t="shared" si="198"/>
        <v>584</v>
      </c>
      <c r="GM96">
        <f t="shared" si="199"/>
        <v>507</v>
      </c>
      <c r="GN96">
        <f t="shared" si="200"/>
        <v>470</v>
      </c>
      <c r="GO96">
        <f t="shared" si="201"/>
        <v>1005</v>
      </c>
      <c r="GP96">
        <f t="shared" si="202"/>
        <v>1151</v>
      </c>
      <c r="GQ96">
        <f t="shared" si="203"/>
        <v>935</v>
      </c>
      <c r="GR96">
        <f t="shared" si="204"/>
        <v>820</v>
      </c>
      <c r="GS96">
        <f t="shared" si="205"/>
        <v>1531</v>
      </c>
      <c r="GT96">
        <f t="shared" si="206"/>
        <v>1326</v>
      </c>
      <c r="GU96">
        <f t="shared" si="207"/>
        <v>886</v>
      </c>
      <c r="GV96">
        <f t="shared" si="208"/>
        <v>1494</v>
      </c>
      <c r="GW96">
        <f t="shared" si="209"/>
        <v>927</v>
      </c>
      <c r="GX96">
        <f t="shared" si="210"/>
        <v>1211</v>
      </c>
      <c r="GY96">
        <f t="shared" si="211"/>
        <v>2059</v>
      </c>
      <c r="GZ96">
        <f t="shared" si="212"/>
        <v>2378</v>
      </c>
      <c r="HA96">
        <f t="shared" si="213"/>
        <v>1525</v>
      </c>
      <c r="HB96">
        <f t="shared" si="214"/>
        <v>1553</v>
      </c>
      <c r="HC96">
        <f t="shared" si="215"/>
        <v>3488</v>
      </c>
      <c r="HD96">
        <f t="shared" si="216"/>
        <v>3253</v>
      </c>
      <c r="HE96">
        <f t="shared" si="217"/>
        <v>3723</v>
      </c>
      <c r="HF96">
        <f t="shared" si="218"/>
        <v>3610</v>
      </c>
      <c r="HG96">
        <f t="shared" si="219"/>
        <v>4491</v>
      </c>
      <c r="HH96">
        <f t="shared" si="220"/>
        <v>2801</v>
      </c>
      <c r="HI96">
        <f t="shared" si="221"/>
        <v>3047</v>
      </c>
      <c r="HJ96">
        <f t="shared" si="222"/>
        <v>4475</v>
      </c>
      <c r="HK96">
        <f t="shared" si="223"/>
        <v>3165</v>
      </c>
      <c r="HL96">
        <f t="shared" si="224"/>
        <v>2305</v>
      </c>
      <c r="HM96">
        <f t="shared" si="225"/>
        <v>2758</v>
      </c>
      <c r="HN96">
        <f t="shared" si="125"/>
        <v>4475</v>
      </c>
      <c r="HO96">
        <f t="shared" si="126"/>
        <v>3165</v>
      </c>
      <c r="HP96">
        <f t="shared" si="127"/>
        <v>2305</v>
      </c>
      <c r="HQ96">
        <f t="shared" si="128"/>
        <v>2758</v>
      </c>
      <c r="HR96">
        <f t="shared" si="226"/>
        <v>2832</v>
      </c>
      <c r="HS96">
        <f t="shared" si="122"/>
        <v>2379</v>
      </c>
      <c r="HT96">
        <f t="shared" si="227"/>
        <v>2671</v>
      </c>
      <c r="HU96">
        <f t="shared" si="228"/>
        <v>2549</v>
      </c>
      <c r="HV96">
        <f t="shared" si="229"/>
        <v>2367</v>
      </c>
      <c r="HW96">
        <f t="shared" si="230"/>
        <v>2576</v>
      </c>
      <c r="HX96">
        <f t="shared" si="231"/>
        <v>2275</v>
      </c>
      <c r="IB96">
        <f t="shared" si="232"/>
        <v>156</v>
      </c>
      <c r="IC96">
        <f t="shared" si="233"/>
        <v>513</v>
      </c>
      <c r="ID96">
        <f t="shared" si="234"/>
        <v>702</v>
      </c>
      <c r="IE96">
        <f t="shared" si="235"/>
        <v>1173</v>
      </c>
      <c r="IF96">
        <f t="shared" si="236"/>
        <v>1639</v>
      </c>
      <c r="IG96">
        <f t="shared" si="237"/>
        <v>2566</v>
      </c>
      <c r="IH96">
        <f t="shared" si="238"/>
        <v>4437</v>
      </c>
      <c r="II96">
        <f t="shared" si="239"/>
        <v>4633</v>
      </c>
      <c r="IJ96">
        <f t="shared" si="240"/>
        <v>7173</v>
      </c>
      <c r="IK96">
        <f t="shared" si="241"/>
        <v>12718</v>
      </c>
      <c r="IL96">
        <f t="shared" si="242"/>
        <v>13949</v>
      </c>
      <c r="IM96">
        <f t="shared" si="243"/>
        <v>12703</v>
      </c>
      <c r="IN96">
        <f t="shared" si="244"/>
        <v>10431</v>
      </c>
    </row>
    <row r="97" spans="1:248" outlineLevel="1" x14ac:dyDescent="0.3">
      <c r="A97" s="15" t="s">
        <v>85</v>
      </c>
      <c r="B97" s="15"/>
      <c r="C97" s="15">
        <v>243</v>
      </c>
      <c r="D97" s="15">
        <v>519</v>
      </c>
      <c r="E97" s="15">
        <v>690</v>
      </c>
      <c r="F97" s="15">
        <v>704</v>
      </c>
      <c r="G97" s="15">
        <v>753</v>
      </c>
      <c r="H97" s="15">
        <v>325</v>
      </c>
      <c r="I97" s="15">
        <v>511</v>
      </c>
      <c r="J97" s="15">
        <v>694</v>
      </c>
      <c r="K97" s="15">
        <v>716</v>
      </c>
      <c r="L97" s="15">
        <v>817</v>
      </c>
      <c r="M97" s="15">
        <v>850</v>
      </c>
      <c r="N97" s="15">
        <v>726</v>
      </c>
      <c r="O97" s="15">
        <v>751</v>
      </c>
      <c r="P97" s="15">
        <v>439</v>
      </c>
      <c r="Q97" s="15">
        <v>728</v>
      </c>
      <c r="R97" s="15">
        <v>815</v>
      </c>
      <c r="S97" s="15">
        <v>745</v>
      </c>
      <c r="T97" s="15">
        <v>1114</v>
      </c>
      <c r="U97" s="15">
        <v>815</v>
      </c>
      <c r="V97" s="15">
        <v>808</v>
      </c>
      <c r="W97" s="15">
        <v>848</v>
      </c>
      <c r="X97" s="15">
        <v>727</v>
      </c>
      <c r="Y97" s="15">
        <v>809</v>
      </c>
      <c r="Z97" s="15">
        <v>900</v>
      </c>
      <c r="AA97" s="33">
        <v>566</v>
      </c>
      <c r="AB97" s="33">
        <v>687</v>
      </c>
      <c r="AC97" s="33">
        <v>975</v>
      </c>
      <c r="AD97" s="33">
        <v>886</v>
      </c>
      <c r="AE97" s="33">
        <v>955</v>
      </c>
      <c r="AF97" s="33">
        <v>757</v>
      </c>
      <c r="AG97" s="33">
        <v>1266</v>
      </c>
      <c r="AH97" s="33">
        <v>907</v>
      </c>
      <c r="AI97" s="33">
        <v>1323</v>
      </c>
      <c r="AJ97" s="33">
        <v>761</v>
      </c>
      <c r="AK97" s="33">
        <v>906</v>
      </c>
      <c r="AL97" s="33">
        <v>1203</v>
      </c>
      <c r="AM97" s="33">
        <v>835</v>
      </c>
      <c r="AN97" s="33">
        <v>716</v>
      </c>
      <c r="AO97" s="33">
        <v>1039</v>
      </c>
      <c r="AP97" s="33">
        <v>683</v>
      </c>
      <c r="AQ97" s="33">
        <v>501</v>
      </c>
      <c r="AR97" s="33">
        <v>1451</v>
      </c>
      <c r="AS97" s="33">
        <v>737</v>
      </c>
      <c r="AT97" s="33">
        <v>805</v>
      </c>
      <c r="AU97" s="33">
        <v>847</v>
      </c>
      <c r="AV97" s="33">
        <v>835</v>
      </c>
      <c r="AW97" s="33">
        <v>418</v>
      </c>
      <c r="AX97" s="33">
        <v>615</v>
      </c>
      <c r="AY97" s="33">
        <v>655</v>
      </c>
      <c r="AZ97" s="33">
        <v>872</v>
      </c>
      <c r="BA97" s="33">
        <v>1014</v>
      </c>
      <c r="BB97" s="33">
        <v>1534</v>
      </c>
      <c r="BC97" s="33">
        <v>1014</v>
      </c>
      <c r="BD97" s="33">
        <v>812</v>
      </c>
      <c r="BE97" s="33">
        <v>1191</v>
      </c>
      <c r="BF97" s="33">
        <v>1042</v>
      </c>
      <c r="BG97" s="33">
        <v>1089</v>
      </c>
      <c r="BH97" s="33">
        <v>902</v>
      </c>
      <c r="BI97" s="33">
        <v>1060</v>
      </c>
      <c r="BJ97" s="33">
        <v>1056</v>
      </c>
      <c r="BK97" s="33">
        <v>862</v>
      </c>
      <c r="BL97" s="33">
        <v>1068</v>
      </c>
      <c r="BM97" s="33">
        <v>907</v>
      </c>
      <c r="BN97" s="33">
        <v>807</v>
      </c>
      <c r="BO97" s="35">
        <v>1149</v>
      </c>
      <c r="BP97" s="35">
        <v>1774</v>
      </c>
      <c r="BQ97" s="35">
        <v>649</v>
      </c>
      <c r="BR97" s="35">
        <v>1212</v>
      </c>
      <c r="BS97" s="35">
        <v>805</v>
      </c>
      <c r="BT97" s="35">
        <v>735</v>
      </c>
      <c r="BU97" s="35">
        <v>1253</v>
      </c>
      <c r="BV97" s="35">
        <v>2804</v>
      </c>
      <c r="BW97" s="35">
        <v>826</v>
      </c>
      <c r="BX97" s="35">
        <v>1614</v>
      </c>
      <c r="BY97" s="35">
        <v>2190</v>
      </c>
      <c r="BZ97" s="35">
        <v>894</v>
      </c>
      <c r="CA97" s="35">
        <v>2085</v>
      </c>
      <c r="CB97" s="35">
        <v>1569</v>
      </c>
      <c r="CC97" s="35">
        <v>1317</v>
      </c>
      <c r="CD97" s="35">
        <v>1049</v>
      </c>
      <c r="CE97" s="35">
        <v>1014</v>
      </c>
      <c r="CF97" s="35">
        <v>1694</v>
      </c>
      <c r="CG97" s="35">
        <v>1507</v>
      </c>
      <c r="CH97" s="35">
        <v>2322</v>
      </c>
      <c r="CI97" s="35">
        <v>613</v>
      </c>
      <c r="CJ97" s="35">
        <v>1222</v>
      </c>
      <c r="CK97" s="35">
        <v>1459</v>
      </c>
      <c r="CL97" s="35">
        <v>1861</v>
      </c>
      <c r="CM97" s="35">
        <v>1852</v>
      </c>
      <c r="CN97" s="35">
        <v>1552</v>
      </c>
      <c r="CO97" s="35">
        <v>1435</v>
      </c>
      <c r="CP97" s="35">
        <v>1314</v>
      </c>
      <c r="CQ97" s="35">
        <v>2358</v>
      </c>
      <c r="CR97" s="35">
        <v>1635</v>
      </c>
      <c r="CS97" s="35">
        <v>1595</v>
      </c>
      <c r="CT97" s="35">
        <v>1182</v>
      </c>
      <c r="CU97" s="35">
        <v>302</v>
      </c>
      <c r="CV97" s="35">
        <v>1537</v>
      </c>
      <c r="CW97" s="35">
        <v>1509</v>
      </c>
      <c r="CX97" s="35">
        <v>2004</v>
      </c>
      <c r="CY97" s="35">
        <v>2001</v>
      </c>
      <c r="CZ97" s="35">
        <v>1704</v>
      </c>
      <c r="DA97" s="35">
        <v>2268</v>
      </c>
      <c r="DB97" s="35">
        <v>1607</v>
      </c>
      <c r="DC97" s="35">
        <v>3002</v>
      </c>
      <c r="DD97" s="35">
        <v>2004</v>
      </c>
      <c r="DE97" s="35">
        <v>2063</v>
      </c>
      <c r="DF97" s="35">
        <v>2022</v>
      </c>
      <c r="DG97" s="35">
        <v>2008</v>
      </c>
      <c r="DH97" s="35">
        <v>2011</v>
      </c>
      <c r="DI97" s="35">
        <v>2330</v>
      </c>
      <c r="DJ97" s="35">
        <v>2641</v>
      </c>
      <c r="DK97" s="35">
        <v>3401</v>
      </c>
      <c r="DL97" s="35">
        <v>3522</v>
      </c>
      <c r="DM97" s="35">
        <v>3130</v>
      </c>
      <c r="DN97" s="35">
        <v>3225</v>
      </c>
      <c r="DO97" s="35">
        <v>3432</v>
      </c>
      <c r="DP97" s="35">
        <v>3022</v>
      </c>
      <c r="DQ97" s="35">
        <v>3231</v>
      </c>
      <c r="DR97" s="35">
        <v>1400</v>
      </c>
      <c r="DS97" s="35">
        <v>2111</v>
      </c>
      <c r="DT97" s="35">
        <v>3122</v>
      </c>
      <c r="DU97" s="35">
        <v>3014</v>
      </c>
      <c r="DV97" s="35">
        <v>3535</v>
      </c>
      <c r="DW97" s="35">
        <v>3637</v>
      </c>
      <c r="DX97" s="35">
        <v>3589</v>
      </c>
      <c r="DY97" s="35">
        <v>2329</v>
      </c>
      <c r="DZ97" s="35">
        <v>2594</v>
      </c>
      <c r="EA97" s="35">
        <v>3709</v>
      </c>
      <c r="EB97" s="35">
        <v>2160</v>
      </c>
      <c r="EC97" s="35">
        <v>2160</v>
      </c>
      <c r="ED97" s="35">
        <v>3200</v>
      </c>
      <c r="EE97" s="35">
        <v>2773</v>
      </c>
      <c r="EF97" s="35">
        <v>3125</v>
      </c>
      <c r="EG97" s="35">
        <v>2352</v>
      </c>
      <c r="EH97" s="35">
        <v>3010</v>
      </c>
      <c r="EI97" s="35">
        <v>3650</v>
      </c>
      <c r="EJ97" s="35">
        <v>3044</v>
      </c>
      <c r="EK97" s="35">
        <v>2340</v>
      </c>
      <c r="EL97" s="35">
        <v>2600</v>
      </c>
      <c r="EM97" s="35">
        <v>2173</v>
      </c>
      <c r="EN97" s="35">
        <v>2611</v>
      </c>
      <c r="EO97" s="35">
        <v>2811</v>
      </c>
      <c r="EP97" s="35">
        <v>3117</v>
      </c>
      <c r="EQ97" s="35">
        <v>2007</v>
      </c>
      <c r="ER97" s="35">
        <v>2208</v>
      </c>
      <c r="ES97" s="35">
        <v>2409</v>
      </c>
      <c r="ET97" s="35">
        <v>2310</v>
      </c>
      <c r="EU97" s="35">
        <v>2607</v>
      </c>
      <c r="EV97" s="35">
        <v>2808</v>
      </c>
      <c r="EW97" s="35">
        <v>2054</v>
      </c>
      <c r="EX97" s="35">
        <v>2377</v>
      </c>
      <c r="EY97" s="35">
        <v>3007</v>
      </c>
      <c r="EZ97" s="35">
        <v>2323</v>
      </c>
      <c r="FA97" s="35">
        <v>2824</v>
      </c>
      <c r="FB97" s="35">
        <v>3066</v>
      </c>
      <c r="FC97" s="35">
        <v>2007</v>
      </c>
      <c r="FD97" s="35">
        <v>2401</v>
      </c>
      <c r="FE97" s="35">
        <v>2428</v>
      </c>
      <c r="FF97" s="35">
        <v>2454</v>
      </c>
      <c r="FG97" s="35">
        <v>2609</v>
      </c>
      <c r="FH97" s="35">
        <v>2815</v>
      </c>
      <c r="FI97" s="35">
        <v>2247</v>
      </c>
      <c r="FJ97" s="35">
        <v>2800</v>
      </c>
      <c r="FK97" s="35">
        <v>3014</v>
      </c>
      <c r="FL97" s="36"/>
      <c r="FM97" s="36"/>
      <c r="FN97" s="36"/>
      <c r="FR97" s="35">
        <f t="shared" si="178"/>
        <v>1452</v>
      </c>
      <c r="FS97" s="35">
        <f t="shared" si="179"/>
        <v>1782</v>
      </c>
      <c r="FT97" s="35">
        <f t="shared" si="180"/>
        <v>1921</v>
      </c>
      <c r="FU97" s="35">
        <f t="shared" si="181"/>
        <v>2393</v>
      </c>
      <c r="FV97" s="35">
        <f t="shared" si="182"/>
        <v>1918</v>
      </c>
      <c r="FW97" s="35">
        <f t="shared" si="183"/>
        <v>2674</v>
      </c>
      <c r="FX97" s="35">
        <f t="shared" si="184"/>
        <v>2471</v>
      </c>
      <c r="FY97" s="35">
        <f t="shared" si="185"/>
        <v>2436</v>
      </c>
      <c r="FZ97" s="35">
        <f t="shared" si="186"/>
        <v>2228</v>
      </c>
      <c r="GA97" s="35">
        <f t="shared" si="187"/>
        <v>2598</v>
      </c>
      <c r="GB97" s="35">
        <f t="shared" si="188"/>
        <v>3496</v>
      </c>
      <c r="GC97" s="35">
        <f t="shared" si="189"/>
        <v>2870</v>
      </c>
      <c r="GD97" s="35">
        <f t="shared" si="190"/>
        <v>2590</v>
      </c>
      <c r="GE97" s="35">
        <f t="shared" si="191"/>
        <v>2635</v>
      </c>
      <c r="GF97" s="35">
        <f t="shared" si="192"/>
        <v>2389</v>
      </c>
      <c r="GG97" s="35">
        <f t="shared" si="193"/>
        <v>1868</v>
      </c>
      <c r="GH97" s="35">
        <f t="shared" si="194"/>
        <v>2541</v>
      </c>
      <c r="GI97" s="35">
        <f t="shared" si="195"/>
        <v>3360</v>
      </c>
      <c r="GJ97" s="35">
        <f t="shared" si="196"/>
        <v>3322</v>
      </c>
      <c r="GK97" s="35">
        <f t="shared" si="197"/>
        <v>3018</v>
      </c>
      <c r="GL97" s="35">
        <f t="shared" si="198"/>
        <v>2837</v>
      </c>
      <c r="GM97" s="35">
        <f t="shared" si="199"/>
        <v>3730</v>
      </c>
      <c r="GN97" s="35">
        <f t="shared" si="200"/>
        <v>2666</v>
      </c>
      <c r="GO97" s="35">
        <f t="shared" si="201"/>
        <v>4792</v>
      </c>
      <c r="GP97" s="35">
        <f t="shared" si="202"/>
        <v>4630</v>
      </c>
      <c r="GQ97" s="35">
        <f t="shared" si="203"/>
        <v>4548</v>
      </c>
      <c r="GR97" s="35">
        <f t="shared" si="204"/>
        <v>3380</v>
      </c>
      <c r="GS97" s="35">
        <f t="shared" si="205"/>
        <v>5523</v>
      </c>
      <c r="GT97" s="35">
        <f t="shared" si="206"/>
        <v>3294</v>
      </c>
      <c r="GU97" s="35">
        <f t="shared" si="207"/>
        <v>5265</v>
      </c>
      <c r="GV97" s="35">
        <f t="shared" si="208"/>
        <v>5107</v>
      </c>
      <c r="GW97" s="35">
        <f t="shared" si="209"/>
        <v>4412</v>
      </c>
      <c r="GX97" s="35">
        <f t="shared" si="210"/>
        <v>3348</v>
      </c>
      <c r="GY97" s="35">
        <f t="shared" si="211"/>
        <v>5709</v>
      </c>
      <c r="GZ97" s="35">
        <f t="shared" si="212"/>
        <v>6877</v>
      </c>
      <c r="HA97" s="35">
        <f t="shared" si="213"/>
        <v>6089</v>
      </c>
      <c r="HB97" s="35">
        <f t="shared" si="214"/>
        <v>4019</v>
      </c>
      <c r="HC97" s="35">
        <f t="shared" si="215"/>
        <v>9564</v>
      </c>
      <c r="HD97" s="35">
        <f t="shared" si="216"/>
        <v>9787</v>
      </c>
      <c r="HE97" s="35">
        <f t="shared" si="217"/>
        <v>7653</v>
      </c>
      <c r="HF97" s="35">
        <f t="shared" si="218"/>
        <v>8247</v>
      </c>
      <c r="HG97" s="35">
        <f t="shared" si="219"/>
        <v>10761</v>
      </c>
      <c r="HH97" s="35">
        <f t="shared" si="220"/>
        <v>8632</v>
      </c>
      <c r="HI97" s="35">
        <f t="shared" si="221"/>
        <v>7520</v>
      </c>
      <c r="HJ97" s="35">
        <f t="shared" si="222"/>
        <v>8250</v>
      </c>
      <c r="HK97" s="35">
        <f t="shared" si="223"/>
        <v>9704</v>
      </c>
      <c r="HL97" s="35">
        <f t="shared" si="224"/>
        <v>7113</v>
      </c>
      <c r="HM97" s="35">
        <f t="shared" si="225"/>
        <v>8539</v>
      </c>
      <c r="HN97" s="35">
        <f t="shared" si="125"/>
        <v>8250</v>
      </c>
      <c r="HO97" s="35">
        <f t="shared" si="126"/>
        <v>9704</v>
      </c>
      <c r="HP97" s="35">
        <f t="shared" si="127"/>
        <v>7113</v>
      </c>
      <c r="HQ97" s="35">
        <f t="shared" si="128"/>
        <v>8539</v>
      </c>
      <c r="HR97" s="35">
        <f t="shared" si="226"/>
        <v>6624</v>
      </c>
      <c r="HS97" s="35">
        <f t="shared" si="122"/>
        <v>7725</v>
      </c>
      <c r="HT97" s="35">
        <f t="shared" si="227"/>
        <v>7438</v>
      </c>
      <c r="HU97" s="35">
        <f t="shared" si="228"/>
        <v>8213</v>
      </c>
      <c r="HV97" s="35">
        <f t="shared" si="229"/>
        <v>6836</v>
      </c>
      <c r="HW97" s="35">
        <f t="shared" si="230"/>
        <v>7878</v>
      </c>
      <c r="HX97" s="35">
        <f t="shared" si="231"/>
        <v>8061</v>
      </c>
      <c r="IB97" s="35">
        <f t="shared" si="232"/>
        <v>7548</v>
      </c>
      <c r="IC97" s="35">
        <f t="shared" si="233"/>
        <v>9499</v>
      </c>
      <c r="ID97" s="35">
        <f t="shared" si="234"/>
        <v>11192</v>
      </c>
      <c r="IE97" s="35">
        <f t="shared" si="235"/>
        <v>9482</v>
      </c>
      <c r="IF97" s="35">
        <f t="shared" si="236"/>
        <v>12241</v>
      </c>
      <c r="IG97" s="35">
        <f t="shared" si="237"/>
        <v>14025</v>
      </c>
      <c r="IH97" s="35">
        <f t="shared" si="238"/>
        <v>18081</v>
      </c>
      <c r="II97" s="35">
        <f t="shared" si="239"/>
        <v>18078</v>
      </c>
      <c r="IJ97" s="35">
        <f t="shared" si="240"/>
        <v>22023</v>
      </c>
      <c r="IK97" s="35">
        <f t="shared" si="241"/>
        <v>33353</v>
      </c>
      <c r="IL97" s="35">
        <f t="shared" si="242"/>
        <v>35160</v>
      </c>
      <c r="IM97" s="35">
        <f t="shared" si="243"/>
        <v>33606</v>
      </c>
      <c r="IN97" s="35">
        <f t="shared" si="244"/>
        <v>30000</v>
      </c>
    </row>
    <row r="98" spans="1:248" outlineLevel="2" x14ac:dyDescent="0.3">
      <c r="A98" t="s">
        <v>86</v>
      </c>
      <c r="B98" t="s">
        <v>75</v>
      </c>
      <c r="C98">
        <v>0</v>
      </c>
      <c r="D98">
        <v>0</v>
      </c>
      <c r="E98">
        <v>0</v>
      </c>
      <c r="F98">
        <v>0</v>
      </c>
      <c r="G98">
        <v>11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32">
        <v>0</v>
      </c>
      <c r="AB98" s="32">
        <v>0</v>
      </c>
      <c r="AC98" s="32">
        <v>0</v>
      </c>
      <c r="AD98" s="32">
        <v>0</v>
      </c>
      <c r="AE98" s="32">
        <v>0</v>
      </c>
      <c r="AF98" s="32">
        <v>0</v>
      </c>
      <c r="AG98" s="32">
        <v>0</v>
      </c>
      <c r="AH98" s="32">
        <v>0</v>
      </c>
      <c r="AI98" s="32">
        <v>0</v>
      </c>
      <c r="AJ98" s="32">
        <v>0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0</v>
      </c>
      <c r="AT98" s="32">
        <v>0</v>
      </c>
      <c r="AU98" s="32">
        <v>0</v>
      </c>
      <c r="AV98" s="32">
        <v>0</v>
      </c>
      <c r="AW98" s="32">
        <v>0</v>
      </c>
      <c r="AX98" s="32">
        <v>0</v>
      </c>
      <c r="AY98" s="32">
        <v>0</v>
      </c>
      <c r="AZ98" s="32">
        <v>0</v>
      </c>
      <c r="BA98" s="32">
        <v>0</v>
      </c>
      <c r="BB98" s="32">
        <v>0</v>
      </c>
      <c r="BC98" s="32">
        <v>0</v>
      </c>
      <c r="BD98" s="32">
        <v>0</v>
      </c>
      <c r="BE98" s="32">
        <v>0</v>
      </c>
      <c r="BF98" s="32">
        <v>0</v>
      </c>
      <c r="BG98" s="32">
        <v>0</v>
      </c>
      <c r="BH98" s="32">
        <v>0</v>
      </c>
      <c r="BI98" s="32">
        <v>0</v>
      </c>
      <c r="BJ98" s="32">
        <v>0</v>
      </c>
      <c r="BK98" s="32">
        <v>0</v>
      </c>
      <c r="BL98" s="32">
        <v>0</v>
      </c>
      <c r="BM98" s="32">
        <v>0</v>
      </c>
      <c r="BN98" s="32">
        <v>0</v>
      </c>
      <c r="BO98" s="32">
        <v>0</v>
      </c>
      <c r="BP98" s="32">
        <v>0</v>
      </c>
      <c r="BQ98" s="32">
        <v>0</v>
      </c>
      <c r="BR98" s="32">
        <v>0</v>
      </c>
      <c r="BS98" s="32">
        <v>0</v>
      </c>
      <c r="BT98" s="32">
        <v>0</v>
      </c>
      <c r="BU98" s="32">
        <v>0</v>
      </c>
      <c r="BV98" s="32">
        <v>0</v>
      </c>
      <c r="BW98" s="32">
        <v>0</v>
      </c>
      <c r="BX98" s="32">
        <v>0</v>
      </c>
      <c r="BY98" s="32">
        <v>0</v>
      </c>
      <c r="BZ98" s="32">
        <v>0</v>
      </c>
      <c r="CA98" s="32">
        <v>7</v>
      </c>
      <c r="CB98" s="32">
        <v>23</v>
      </c>
      <c r="CC98" s="32">
        <v>15</v>
      </c>
      <c r="CD98" s="32">
        <v>15</v>
      </c>
      <c r="CE98" s="32">
        <v>0</v>
      </c>
      <c r="CF98" s="32">
        <v>13</v>
      </c>
      <c r="CG98" s="32">
        <v>0</v>
      </c>
      <c r="CH98" s="32">
        <v>0</v>
      </c>
      <c r="CI98" s="32">
        <v>0</v>
      </c>
      <c r="CJ98" s="32">
        <v>0</v>
      </c>
      <c r="CK98" s="32">
        <v>32</v>
      </c>
      <c r="CL98" s="32">
        <v>0</v>
      </c>
      <c r="CM98" s="32">
        <v>19</v>
      </c>
      <c r="CN98" s="32">
        <v>47</v>
      </c>
      <c r="CO98" s="32">
        <v>23</v>
      </c>
      <c r="CP98" s="32">
        <v>0</v>
      </c>
      <c r="CQ98" s="32">
        <v>0</v>
      </c>
      <c r="CR98" s="32">
        <v>0</v>
      </c>
      <c r="CS98" s="32">
        <v>8</v>
      </c>
      <c r="CT98" s="32">
        <v>0</v>
      </c>
      <c r="CU98" s="32">
        <v>0</v>
      </c>
      <c r="CV98" s="32">
        <v>0</v>
      </c>
      <c r="CW98" s="32">
        <v>5</v>
      </c>
      <c r="CX98" s="32">
        <v>0</v>
      </c>
      <c r="CY98" s="32">
        <v>5</v>
      </c>
      <c r="CZ98" s="32">
        <v>4</v>
      </c>
      <c r="DA98" s="32">
        <v>13</v>
      </c>
      <c r="DB98" s="32">
        <v>31</v>
      </c>
      <c r="DC98" s="32">
        <v>0</v>
      </c>
      <c r="DD98" s="32">
        <v>27</v>
      </c>
      <c r="DE98" s="32">
        <v>0</v>
      </c>
      <c r="DF98" s="32">
        <v>10</v>
      </c>
      <c r="DG98" s="32">
        <v>21</v>
      </c>
      <c r="DH98" s="32">
        <v>17</v>
      </c>
      <c r="DI98" s="32">
        <v>0</v>
      </c>
      <c r="DJ98" s="32">
        <v>5</v>
      </c>
      <c r="DK98" s="32">
        <v>37</v>
      </c>
      <c r="DL98" s="32">
        <v>0</v>
      </c>
      <c r="DM98" s="32">
        <v>1</v>
      </c>
      <c r="DN98" s="32">
        <v>0</v>
      </c>
      <c r="DO98" s="32">
        <v>7</v>
      </c>
      <c r="DP98" s="32">
        <v>15</v>
      </c>
      <c r="DQ98" s="32">
        <v>0</v>
      </c>
      <c r="DR98" s="32">
        <v>3103</v>
      </c>
      <c r="DS98" s="32">
        <v>0</v>
      </c>
      <c r="DT98" s="32">
        <v>0</v>
      </c>
      <c r="DU98" s="32">
        <v>0</v>
      </c>
      <c r="DV98" s="32">
        <v>0</v>
      </c>
      <c r="DW98" s="32">
        <v>0</v>
      </c>
      <c r="DX98" s="32">
        <v>0</v>
      </c>
      <c r="DY98" s="32">
        <v>0</v>
      </c>
      <c r="DZ98" s="32">
        <v>0</v>
      </c>
      <c r="EA98" s="32">
        <v>0</v>
      </c>
      <c r="EB98" s="32">
        <v>0</v>
      </c>
      <c r="EC98" s="32">
        <v>0</v>
      </c>
      <c r="ED98" s="32">
        <v>0</v>
      </c>
      <c r="EE98" s="32">
        <v>4</v>
      </c>
      <c r="EF98" s="32">
        <v>0</v>
      </c>
      <c r="EG98" s="32">
        <v>6</v>
      </c>
      <c r="EH98" s="32">
        <v>7</v>
      </c>
      <c r="EI98" s="32">
        <v>0</v>
      </c>
      <c r="EJ98" s="32">
        <v>0</v>
      </c>
      <c r="EK98" s="32">
        <v>0</v>
      </c>
      <c r="EL98" s="32">
        <v>0</v>
      </c>
      <c r="EM98" s="32">
        <v>0</v>
      </c>
      <c r="EN98" s="32">
        <v>0</v>
      </c>
      <c r="EO98" s="32">
        <v>0</v>
      </c>
      <c r="EP98" s="32">
        <v>0</v>
      </c>
      <c r="EQ98" s="32">
        <v>0</v>
      </c>
      <c r="ER98" s="32">
        <v>0</v>
      </c>
      <c r="ES98" s="32">
        <v>0</v>
      </c>
      <c r="ET98" s="32">
        <v>0</v>
      </c>
      <c r="EU98" s="32">
        <v>0</v>
      </c>
      <c r="EV98" s="32">
        <v>0</v>
      </c>
      <c r="EW98" s="32">
        <v>0</v>
      </c>
      <c r="EX98" s="32">
        <v>0</v>
      </c>
      <c r="EY98" s="32">
        <v>0</v>
      </c>
      <c r="EZ98" s="32">
        <v>164</v>
      </c>
      <c r="FA98" s="32">
        <v>150</v>
      </c>
      <c r="FB98" s="32">
        <v>236</v>
      </c>
      <c r="FC98" s="32">
        <v>180</v>
      </c>
      <c r="FD98" s="32">
        <v>173</v>
      </c>
      <c r="FE98" s="32">
        <v>81</v>
      </c>
      <c r="FF98" s="32">
        <v>132</v>
      </c>
      <c r="FG98" s="32">
        <v>131</v>
      </c>
      <c r="FH98" s="32">
        <v>127</v>
      </c>
      <c r="FI98" s="32">
        <v>129</v>
      </c>
      <c r="FJ98" s="32">
        <v>150</v>
      </c>
      <c r="FK98" s="32">
        <v>243</v>
      </c>
      <c r="FL98" s="32"/>
      <c r="FM98" s="32"/>
      <c r="FN98" s="32"/>
      <c r="FR98" s="32">
        <f t="shared" si="178"/>
        <v>0</v>
      </c>
      <c r="FS98" s="32">
        <f t="shared" si="179"/>
        <v>11</v>
      </c>
      <c r="FT98" s="32">
        <f t="shared" si="180"/>
        <v>1</v>
      </c>
      <c r="FU98" s="32">
        <f t="shared" si="181"/>
        <v>0</v>
      </c>
      <c r="FV98" s="32">
        <f t="shared" si="182"/>
        <v>0</v>
      </c>
      <c r="FW98" s="32">
        <f t="shared" si="183"/>
        <v>0</v>
      </c>
      <c r="FX98" s="32">
        <f t="shared" si="184"/>
        <v>0</v>
      </c>
      <c r="FY98" s="32">
        <f t="shared" si="185"/>
        <v>0</v>
      </c>
      <c r="FZ98" s="32">
        <f t="shared" si="186"/>
        <v>0</v>
      </c>
      <c r="GA98" s="32">
        <f t="shared" si="187"/>
        <v>0</v>
      </c>
      <c r="GB98" s="32">
        <f t="shared" si="188"/>
        <v>0</v>
      </c>
      <c r="GC98" s="32">
        <f t="shared" si="189"/>
        <v>0</v>
      </c>
      <c r="GD98" s="32">
        <f t="shared" si="190"/>
        <v>0</v>
      </c>
      <c r="GE98" s="32">
        <f t="shared" si="191"/>
        <v>0</v>
      </c>
      <c r="GF98" s="32">
        <f t="shared" si="192"/>
        <v>0</v>
      </c>
      <c r="GG98" s="32">
        <f t="shared" si="193"/>
        <v>0</v>
      </c>
      <c r="GH98" s="32">
        <f t="shared" si="194"/>
        <v>0</v>
      </c>
      <c r="GI98" s="32">
        <f t="shared" si="195"/>
        <v>0</v>
      </c>
      <c r="GJ98" s="32">
        <f t="shared" si="196"/>
        <v>0</v>
      </c>
      <c r="GK98" s="32">
        <f t="shared" si="197"/>
        <v>0</v>
      </c>
      <c r="GL98" s="32">
        <f t="shared" si="198"/>
        <v>0</v>
      </c>
      <c r="GM98" s="32">
        <f t="shared" si="199"/>
        <v>0</v>
      </c>
      <c r="GN98" s="32">
        <f t="shared" si="200"/>
        <v>0</v>
      </c>
      <c r="GO98" s="32">
        <f t="shared" si="201"/>
        <v>0</v>
      </c>
      <c r="GP98" s="32">
        <f t="shared" si="202"/>
        <v>0</v>
      </c>
      <c r="GQ98" s="32">
        <f t="shared" si="203"/>
        <v>30</v>
      </c>
      <c r="GR98" s="32">
        <f t="shared" si="204"/>
        <v>30</v>
      </c>
      <c r="GS98" s="32">
        <f t="shared" si="205"/>
        <v>13</v>
      </c>
      <c r="GT98" s="32">
        <f t="shared" si="206"/>
        <v>32</v>
      </c>
      <c r="GU98" s="32">
        <f t="shared" si="207"/>
        <v>66</v>
      </c>
      <c r="GV98" s="32">
        <f t="shared" si="208"/>
        <v>23</v>
      </c>
      <c r="GW98" s="32">
        <f t="shared" si="209"/>
        <v>8</v>
      </c>
      <c r="GX98" s="32">
        <f t="shared" si="210"/>
        <v>5</v>
      </c>
      <c r="GY98" s="32">
        <f t="shared" si="211"/>
        <v>9</v>
      </c>
      <c r="GZ98" s="32">
        <f t="shared" si="212"/>
        <v>44</v>
      </c>
      <c r="HA98" s="32">
        <f t="shared" si="213"/>
        <v>37</v>
      </c>
      <c r="HB98" s="32">
        <f t="shared" si="214"/>
        <v>38</v>
      </c>
      <c r="HC98" s="32">
        <f t="shared" si="215"/>
        <v>42</v>
      </c>
      <c r="HD98" s="32">
        <f t="shared" si="216"/>
        <v>8</v>
      </c>
      <c r="HE98" s="32">
        <f t="shared" si="217"/>
        <v>3118</v>
      </c>
      <c r="HF98" s="32">
        <f t="shared" si="218"/>
        <v>0</v>
      </c>
      <c r="HG98" s="32">
        <f t="shared" si="219"/>
        <v>0</v>
      </c>
      <c r="HH98" s="32">
        <f t="shared" si="220"/>
        <v>0</v>
      </c>
      <c r="HI98" s="32">
        <f t="shared" si="221"/>
        <v>0</v>
      </c>
      <c r="HJ98" s="32">
        <f t="shared" si="222"/>
        <v>10</v>
      </c>
      <c r="HK98" s="32">
        <f t="shared" si="223"/>
        <v>7</v>
      </c>
      <c r="HL98" s="32">
        <f t="shared" si="224"/>
        <v>0</v>
      </c>
      <c r="HM98" s="32">
        <f t="shared" si="225"/>
        <v>0</v>
      </c>
      <c r="HN98" s="32">
        <f t="shared" si="125"/>
        <v>10</v>
      </c>
      <c r="HO98" s="32">
        <f t="shared" si="126"/>
        <v>7</v>
      </c>
      <c r="HP98" s="32">
        <f t="shared" si="127"/>
        <v>0</v>
      </c>
      <c r="HQ98" s="32">
        <f t="shared" si="128"/>
        <v>0</v>
      </c>
      <c r="HR98" s="32">
        <f t="shared" si="226"/>
        <v>0</v>
      </c>
      <c r="HS98" s="32">
        <f t="shared" si="122"/>
        <v>0</v>
      </c>
      <c r="HT98" s="32">
        <f t="shared" si="227"/>
        <v>0</v>
      </c>
      <c r="HU98" s="32">
        <f t="shared" si="228"/>
        <v>550</v>
      </c>
      <c r="HV98" s="32">
        <f t="shared" si="229"/>
        <v>434</v>
      </c>
      <c r="HW98" s="32">
        <f t="shared" si="230"/>
        <v>390</v>
      </c>
      <c r="HX98" s="32">
        <f t="shared" si="231"/>
        <v>522</v>
      </c>
      <c r="IB98" s="32">
        <f t="shared" si="232"/>
        <v>12</v>
      </c>
      <c r="IC98" s="32">
        <f t="shared" si="233"/>
        <v>0</v>
      </c>
      <c r="ID98" s="32">
        <f t="shared" si="234"/>
        <v>0</v>
      </c>
      <c r="IE98" s="32">
        <f t="shared" si="235"/>
        <v>0</v>
      </c>
      <c r="IF98" s="32">
        <f t="shared" si="236"/>
        <v>0</v>
      </c>
      <c r="IG98" s="32">
        <f t="shared" si="237"/>
        <v>0</v>
      </c>
      <c r="IH98" s="32">
        <f t="shared" si="238"/>
        <v>73</v>
      </c>
      <c r="II98" s="32">
        <f t="shared" si="239"/>
        <v>129</v>
      </c>
      <c r="IJ98" s="32">
        <f t="shared" si="240"/>
        <v>95</v>
      </c>
      <c r="IK98" s="32">
        <f t="shared" si="241"/>
        <v>3206</v>
      </c>
      <c r="IL98" s="32">
        <f t="shared" si="242"/>
        <v>0</v>
      </c>
      <c r="IM98" s="32">
        <f t="shared" si="243"/>
        <v>17</v>
      </c>
      <c r="IN98" s="32">
        <f t="shared" si="244"/>
        <v>550</v>
      </c>
    </row>
    <row r="99" spans="1:248" outlineLevel="2" x14ac:dyDescent="0.3">
      <c r="B99" t="s">
        <v>76</v>
      </c>
      <c r="C99">
        <v>0</v>
      </c>
      <c r="D99">
        <v>0</v>
      </c>
      <c r="E99">
        <v>0</v>
      </c>
      <c r="F99">
        <v>395</v>
      </c>
      <c r="G99">
        <v>423</v>
      </c>
      <c r="H99">
        <v>357</v>
      </c>
      <c r="I99">
        <v>420</v>
      </c>
      <c r="J99">
        <v>6</v>
      </c>
      <c r="K99">
        <v>0</v>
      </c>
      <c r="L99">
        <v>0</v>
      </c>
      <c r="M99">
        <v>0</v>
      </c>
      <c r="N99">
        <v>0</v>
      </c>
      <c r="O99">
        <v>0</v>
      </c>
      <c r="P99">
        <v>372</v>
      </c>
      <c r="Q99">
        <v>141</v>
      </c>
      <c r="R99">
        <v>0</v>
      </c>
      <c r="S99">
        <v>0</v>
      </c>
      <c r="T99">
        <v>0</v>
      </c>
      <c r="U99">
        <v>0</v>
      </c>
      <c r="V99">
        <v>29</v>
      </c>
      <c r="W99">
        <v>45</v>
      </c>
      <c r="X99">
        <v>0</v>
      </c>
      <c r="Y99">
        <v>0</v>
      </c>
      <c r="Z99">
        <v>0</v>
      </c>
      <c r="AA99" s="32">
        <v>0</v>
      </c>
      <c r="AB99" s="32">
        <v>0</v>
      </c>
      <c r="AC99" s="32">
        <v>0</v>
      </c>
      <c r="AD99" s="32">
        <v>0</v>
      </c>
      <c r="AE99" s="32">
        <v>0</v>
      </c>
      <c r="AF99" s="32">
        <v>0</v>
      </c>
      <c r="AG99" s="32">
        <v>0</v>
      </c>
      <c r="AH99" s="32">
        <v>0</v>
      </c>
      <c r="AI99" s="32">
        <v>188</v>
      </c>
      <c r="AJ99" s="32">
        <v>202</v>
      </c>
      <c r="AK99" s="32">
        <v>0</v>
      </c>
      <c r="AL99" s="32">
        <v>0</v>
      </c>
      <c r="AM99" s="32">
        <v>0</v>
      </c>
      <c r="AN99" s="32">
        <v>0</v>
      </c>
      <c r="AO99" s="32">
        <v>0</v>
      </c>
      <c r="AP99" s="32">
        <v>0</v>
      </c>
      <c r="AQ99" s="32">
        <v>0</v>
      </c>
      <c r="AR99" s="32">
        <v>0</v>
      </c>
      <c r="AS99" s="32">
        <v>0</v>
      </c>
      <c r="AT99" s="32">
        <v>0</v>
      </c>
      <c r="AU99" s="32">
        <v>0</v>
      </c>
      <c r="AV99" s="32">
        <v>0</v>
      </c>
      <c r="AW99" s="32">
        <v>0</v>
      </c>
      <c r="AX99" s="32">
        <v>0</v>
      </c>
      <c r="AY99" s="32">
        <v>0</v>
      </c>
      <c r="AZ99" s="32">
        <v>0</v>
      </c>
      <c r="BA99" s="32">
        <v>0</v>
      </c>
      <c r="BB99" s="32">
        <v>0</v>
      </c>
      <c r="BC99" s="32">
        <v>0</v>
      </c>
      <c r="BD99" s="32">
        <v>0</v>
      </c>
      <c r="BE99" s="32">
        <v>0</v>
      </c>
      <c r="BF99" s="32">
        <v>0</v>
      </c>
      <c r="BG99" s="32">
        <v>0</v>
      </c>
      <c r="BH99" s="32">
        <v>0</v>
      </c>
      <c r="BI99" s="32">
        <v>0</v>
      </c>
      <c r="BJ99" s="32">
        <v>0</v>
      </c>
      <c r="BK99" s="32">
        <v>0</v>
      </c>
      <c r="BL99" s="32">
        <v>0</v>
      </c>
      <c r="BM99" s="32">
        <v>0</v>
      </c>
      <c r="BN99" s="32">
        <v>0</v>
      </c>
      <c r="BO99" s="32">
        <v>0</v>
      </c>
      <c r="BP99" s="32">
        <v>0</v>
      </c>
      <c r="BQ99" s="32">
        <v>0</v>
      </c>
      <c r="BR99" s="32">
        <v>0</v>
      </c>
      <c r="BS99" s="32">
        <v>0</v>
      </c>
      <c r="BT99" s="32">
        <v>0</v>
      </c>
      <c r="BU99" s="32">
        <v>0</v>
      </c>
      <c r="BV99" s="32">
        <v>0</v>
      </c>
      <c r="BW99" s="32">
        <v>0</v>
      </c>
      <c r="BX99" s="32">
        <v>0</v>
      </c>
      <c r="BY99" s="32">
        <v>0</v>
      </c>
      <c r="BZ99" s="32">
        <v>0</v>
      </c>
      <c r="CA99" s="32">
        <v>0</v>
      </c>
      <c r="CB99" s="32">
        <v>139</v>
      </c>
      <c r="CC99" s="32">
        <v>115</v>
      </c>
      <c r="CD99" s="32">
        <v>113</v>
      </c>
      <c r="CE99" s="32">
        <v>0</v>
      </c>
      <c r="CF99" s="32">
        <v>88</v>
      </c>
      <c r="CG99" s="32">
        <v>0</v>
      </c>
      <c r="CH99" s="32">
        <v>31</v>
      </c>
      <c r="CI99" s="32">
        <v>56</v>
      </c>
      <c r="CJ99" s="32">
        <v>29</v>
      </c>
      <c r="CK99" s="32">
        <v>104</v>
      </c>
      <c r="CL99" s="32">
        <v>0</v>
      </c>
      <c r="CM99" s="32">
        <v>45</v>
      </c>
      <c r="CN99" s="32">
        <v>139</v>
      </c>
      <c r="CO99" s="32">
        <v>210</v>
      </c>
      <c r="CP99" s="32">
        <v>16</v>
      </c>
      <c r="CQ99" s="32">
        <v>1393</v>
      </c>
      <c r="CR99" s="32">
        <v>0</v>
      </c>
      <c r="CS99" s="32">
        <v>8</v>
      </c>
      <c r="CT99" s="32">
        <v>0</v>
      </c>
      <c r="CU99" s="32">
        <v>0</v>
      </c>
      <c r="CV99" s="32">
        <v>0</v>
      </c>
      <c r="CW99" s="32">
        <v>5</v>
      </c>
      <c r="CX99" s="32">
        <v>40</v>
      </c>
      <c r="CY99" s="32">
        <v>117</v>
      </c>
      <c r="CZ99" s="32">
        <v>10</v>
      </c>
      <c r="DA99" s="32">
        <v>46</v>
      </c>
      <c r="DB99" s="32">
        <v>111</v>
      </c>
      <c r="DC99" s="32">
        <v>62</v>
      </c>
      <c r="DD99" s="32">
        <v>106</v>
      </c>
      <c r="DE99" s="32">
        <v>28</v>
      </c>
      <c r="DF99" s="32">
        <v>46</v>
      </c>
      <c r="DG99" s="32">
        <v>70</v>
      </c>
      <c r="DH99" s="32">
        <v>78</v>
      </c>
      <c r="DI99" s="32">
        <v>36</v>
      </c>
      <c r="DJ99" s="32">
        <v>113</v>
      </c>
      <c r="DK99" s="32">
        <v>262</v>
      </c>
      <c r="DL99" s="32">
        <v>14</v>
      </c>
      <c r="DM99" s="32">
        <v>111</v>
      </c>
      <c r="DN99" s="32">
        <v>0</v>
      </c>
      <c r="DO99" s="32">
        <v>7</v>
      </c>
      <c r="DP99" s="32">
        <v>167</v>
      </c>
      <c r="DQ99" s="32">
        <v>1898</v>
      </c>
      <c r="DR99" s="32">
        <v>0</v>
      </c>
      <c r="DS99" s="32">
        <v>0</v>
      </c>
      <c r="DT99" s="32">
        <v>0</v>
      </c>
      <c r="DU99" s="32">
        <v>0</v>
      </c>
      <c r="DV99" s="32">
        <v>10</v>
      </c>
      <c r="DW99" s="32">
        <v>0</v>
      </c>
      <c r="DX99" s="32">
        <v>56</v>
      </c>
      <c r="DY99" s="32">
        <v>36</v>
      </c>
      <c r="DZ99" s="32">
        <v>0</v>
      </c>
      <c r="EA99" s="32">
        <v>0</v>
      </c>
      <c r="EB99" s="32">
        <v>0</v>
      </c>
      <c r="EC99" s="32">
        <v>0</v>
      </c>
      <c r="ED99" s="32">
        <v>0</v>
      </c>
      <c r="EE99" s="32">
        <v>0</v>
      </c>
      <c r="EF99" s="32">
        <v>0</v>
      </c>
      <c r="EG99" s="32">
        <v>4</v>
      </c>
      <c r="EH99" s="32">
        <v>1</v>
      </c>
      <c r="EI99" s="32">
        <v>0</v>
      </c>
      <c r="EJ99" s="32">
        <v>10</v>
      </c>
      <c r="EK99" s="32">
        <v>13</v>
      </c>
      <c r="EL99" s="32">
        <v>0</v>
      </c>
      <c r="EM99" s="32">
        <v>0</v>
      </c>
      <c r="EN99" s="32">
        <v>0</v>
      </c>
      <c r="EO99" s="32">
        <v>0</v>
      </c>
      <c r="EP99" s="32">
        <v>0</v>
      </c>
      <c r="EQ99" s="32">
        <v>0</v>
      </c>
      <c r="ER99" s="32">
        <v>0</v>
      </c>
      <c r="ES99" s="32">
        <v>63</v>
      </c>
      <c r="ET99" s="32">
        <v>0</v>
      </c>
      <c r="EU99" s="32">
        <v>0</v>
      </c>
      <c r="EV99" s="32">
        <v>0</v>
      </c>
      <c r="EW99" s="32">
        <v>0</v>
      </c>
      <c r="EX99" s="32">
        <v>0</v>
      </c>
      <c r="EY99" s="32">
        <v>0</v>
      </c>
      <c r="EZ99" s="32">
        <v>56</v>
      </c>
      <c r="FA99" s="32">
        <v>96</v>
      </c>
      <c r="FB99" s="32">
        <v>105</v>
      </c>
      <c r="FC99" s="32">
        <v>17</v>
      </c>
      <c r="FD99" s="32">
        <v>160</v>
      </c>
      <c r="FE99" s="32">
        <v>159</v>
      </c>
      <c r="FF99" s="32">
        <v>109</v>
      </c>
      <c r="FG99" s="32">
        <v>334</v>
      </c>
      <c r="FH99" s="32">
        <v>25</v>
      </c>
      <c r="FI99" s="32">
        <v>100</v>
      </c>
      <c r="FJ99" s="32">
        <v>244</v>
      </c>
      <c r="FK99" s="32">
        <v>36</v>
      </c>
      <c r="FL99" s="32"/>
      <c r="FM99" s="32"/>
      <c r="FN99" s="32"/>
      <c r="FR99" s="32">
        <f t="shared" si="178"/>
        <v>0</v>
      </c>
      <c r="FS99" s="32">
        <f t="shared" si="179"/>
        <v>1175</v>
      </c>
      <c r="FT99" s="32">
        <f t="shared" si="180"/>
        <v>426</v>
      </c>
      <c r="FU99" s="32">
        <f t="shared" si="181"/>
        <v>0</v>
      </c>
      <c r="FV99" s="32">
        <f t="shared" si="182"/>
        <v>513</v>
      </c>
      <c r="FW99" s="32">
        <f t="shared" si="183"/>
        <v>0</v>
      </c>
      <c r="FX99" s="32">
        <f t="shared" si="184"/>
        <v>74</v>
      </c>
      <c r="FY99" s="32">
        <f t="shared" si="185"/>
        <v>0</v>
      </c>
      <c r="FZ99" s="32">
        <f t="shared" si="186"/>
        <v>0</v>
      </c>
      <c r="GA99" s="32">
        <f t="shared" si="187"/>
        <v>0</v>
      </c>
      <c r="GB99" s="32">
        <f t="shared" si="188"/>
        <v>188</v>
      </c>
      <c r="GC99" s="32">
        <f t="shared" si="189"/>
        <v>202</v>
      </c>
      <c r="GD99" s="32">
        <f t="shared" si="190"/>
        <v>0</v>
      </c>
      <c r="GE99" s="32">
        <f t="shared" si="191"/>
        <v>0</v>
      </c>
      <c r="GF99" s="32">
        <f t="shared" si="192"/>
        <v>0</v>
      </c>
      <c r="GG99" s="32">
        <f t="shared" si="193"/>
        <v>0</v>
      </c>
      <c r="GH99" s="32">
        <f t="shared" si="194"/>
        <v>0</v>
      </c>
      <c r="GI99" s="32">
        <f t="shared" si="195"/>
        <v>0</v>
      </c>
      <c r="GJ99" s="32">
        <f t="shared" si="196"/>
        <v>0</v>
      </c>
      <c r="GK99" s="32">
        <f t="shared" si="197"/>
        <v>0</v>
      </c>
      <c r="GL99" s="32">
        <f t="shared" si="198"/>
        <v>0</v>
      </c>
      <c r="GM99" s="32">
        <f t="shared" si="199"/>
        <v>0</v>
      </c>
      <c r="GN99" s="32">
        <f t="shared" si="200"/>
        <v>0</v>
      </c>
      <c r="GO99" s="32">
        <f t="shared" si="201"/>
        <v>0</v>
      </c>
      <c r="GP99" s="32">
        <f t="shared" si="202"/>
        <v>0</v>
      </c>
      <c r="GQ99" s="32">
        <f t="shared" si="203"/>
        <v>139</v>
      </c>
      <c r="GR99" s="32">
        <f t="shared" si="204"/>
        <v>228</v>
      </c>
      <c r="GS99" s="32">
        <f t="shared" si="205"/>
        <v>119</v>
      </c>
      <c r="GT99" s="32">
        <f t="shared" si="206"/>
        <v>189</v>
      </c>
      <c r="GU99" s="32">
        <f t="shared" si="207"/>
        <v>184</v>
      </c>
      <c r="GV99" s="32">
        <f t="shared" si="208"/>
        <v>1619</v>
      </c>
      <c r="GW99" s="32">
        <f t="shared" si="209"/>
        <v>8</v>
      </c>
      <c r="GX99" s="32">
        <f t="shared" si="210"/>
        <v>5</v>
      </c>
      <c r="GY99" s="32">
        <f t="shared" si="211"/>
        <v>167</v>
      </c>
      <c r="GZ99" s="32">
        <f t="shared" si="212"/>
        <v>219</v>
      </c>
      <c r="HA99" s="32">
        <f t="shared" si="213"/>
        <v>180</v>
      </c>
      <c r="HB99" s="32">
        <f t="shared" si="214"/>
        <v>148</v>
      </c>
      <c r="HC99" s="32">
        <f t="shared" si="215"/>
        <v>389</v>
      </c>
      <c r="HD99" s="32">
        <f t="shared" si="216"/>
        <v>118</v>
      </c>
      <c r="HE99" s="32">
        <f t="shared" si="217"/>
        <v>2065</v>
      </c>
      <c r="HF99" s="32">
        <f t="shared" si="218"/>
        <v>0</v>
      </c>
      <c r="HG99" s="32">
        <f t="shared" si="219"/>
        <v>66</v>
      </c>
      <c r="HH99" s="32">
        <f t="shared" si="220"/>
        <v>36</v>
      </c>
      <c r="HI99" s="32">
        <f t="shared" si="221"/>
        <v>0</v>
      </c>
      <c r="HJ99" s="32">
        <f t="shared" si="222"/>
        <v>4</v>
      </c>
      <c r="HK99" s="32">
        <f t="shared" si="223"/>
        <v>11</v>
      </c>
      <c r="HL99" s="32">
        <f t="shared" si="224"/>
        <v>13</v>
      </c>
      <c r="HM99" s="32">
        <f t="shared" si="225"/>
        <v>0</v>
      </c>
      <c r="HN99" s="32">
        <f t="shared" si="125"/>
        <v>4</v>
      </c>
      <c r="HO99" s="32">
        <f t="shared" si="126"/>
        <v>11</v>
      </c>
      <c r="HP99" s="32">
        <f t="shared" si="127"/>
        <v>13</v>
      </c>
      <c r="HQ99" s="32">
        <f t="shared" si="128"/>
        <v>0</v>
      </c>
      <c r="HR99" s="32">
        <f t="shared" si="226"/>
        <v>63</v>
      </c>
      <c r="HS99" s="32">
        <f t="shared" si="122"/>
        <v>0</v>
      </c>
      <c r="HT99" s="32">
        <f t="shared" si="227"/>
        <v>0</v>
      </c>
      <c r="HU99" s="32">
        <f t="shared" si="228"/>
        <v>257</v>
      </c>
      <c r="HV99" s="32">
        <f t="shared" si="229"/>
        <v>336</v>
      </c>
      <c r="HW99" s="32">
        <f t="shared" si="230"/>
        <v>468</v>
      </c>
      <c r="HX99" s="32">
        <f t="shared" si="231"/>
        <v>380</v>
      </c>
      <c r="IB99" s="32">
        <f t="shared" si="232"/>
        <v>1601</v>
      </c>
      <c r="IC99" s="32">
        <f t="shared" si="233"/>
        <v>587</v>
      </c>
      <c r="ID99" s="32">
        <f t="shared" si="234"/>
        <v>390</v>
      </c>
      <c r="IE99" s="32">
        <f t="shared" si="235"/>
        <v>0</v>
      </c>
      <c r="IF99" s="32">
        <f t="shared" si="236"/>
        <v>0</v>
      </c>
      <c r="IG99" s="32">
        <f t="shared" si="237"/>
        <v>0</v>
      </c>
      <c r="IH99" s="32">
        <f t="shared" si="238"/>
        <v>486</v>
      </c>
      <c r="II99" s="32">
        <f t="shared" si="239"/>
        <v>2000</v>
      </c>
      <c r="IJ99" s="32">
        <f t="shared" si="240"/>
        <v>571</v>
      </c>
      <c r="IK99" s="32">
        <f t="shared" si="241"/>
        <v>2756</v>
      </c>
      <c r="IL99" s="32">
        <f t="shared" si="242"/>
        <v>102</v>
      </c>
      <c r="IM99" s="32">
        <f t="shared" si="243"/>
        <v>28</v>
      </c>
      <c r="IN99" s="32">
        <f t="shared" si="244"/>
        <v>320</v>
      </c>
    </row>
    <row r="100" spans="1:248" outlineLevel="2" x14ac:dyDescent="0.3">
      <c r="B100" t="s">
        <v>77</v>
      </c>
      <c r="C100">
        <v>1290</v>
      </c>
      <c r="D100">
        <v>1167</v>
      </c>
      <c r="E100">
        <v>1418</v>
      </c>
      <c r="F100">
        <v>1424</v>
      </c>
      <c r="G100">
        <v>1235</v>
      </c>
      <c r="H100">
        <v>1360</v>
      </c>
      <c r="I100">
        <v>1864</v>
      </c>
      <c r="J100">
        <v>1096</v>
      </c>
      <c r="K100">
        <v>1639</v>
      </c>
      <c r="L100">
        <v>1285</v>
      </c>
      <c r="M100">
        <v>871</v>
      </c>
      <c r="N100">
        <v>1136</v>
      </c>
      <c r="O100">
        <v>923</v>
      </c>
      <c r="P100">
        <v>977</v>
      </c>
      <c r="Q100">
        <v>757</v>
      </c>
      <c r="R100">
        <v>1538</v>
      </c>
      <c r="S100">
        <v>1146</v>
      </c>
      <c r="T100">
        <v>991</v>
      </c>
      <c r="U100">
        <v>1292</v>
      </c>
      <c r="V100">
        <v>702</v>
      </c>
      <c r="W100">
        <v>779</v>
      </c>
      <c r="X100">
        <v>1394</v>
      </c>
      <c r="Y100">
        <v>1356</v>
      </c>
      <c r="Z100">
        <v>983</v>
      </c>
      <c r="AA100" s="32">
        <v>1899</v>
      </c>
      <c r="AB100" s="32">
        <v>1495</v>
      </c>
      <c r="AC100" s="32">
        <v>1486</v>
      </c>
      <c r="AD100" s="32">
        <v>1560</v>
      </c>
      <c r="AE100" s="32">
        <v>730</v>
      </c>
      <c r="AF100" s="32">
        <v>918</v>
      </c>
      <c r="AG100" s="32">
        <v>920</v>
      </c>
      <c r="AH100" s="32">
        <v>791</v>
      </c>
      <c r="AI100" s="32">
        <v>1367</v>
      </c>
      <c r="AJ100" s="32">
        <v>1743</v>
      </c>
      <c r="AK100" s="32">
        <v>1900</v>
      </c>
      <c r="AL100" s="32">
        <v>1791</v>
      </c>
      <c r="AM100" s="32">
        <v>2453</v>
      </c>
      <c r="AN100" s="32">
        <v>2080</v>
      </c>
      <c r="AO100" s="32">
        <v>1531</v>
      </c>
      <c r="AP100" s="32">
        <v>1888</v>
      </c>
      <c r="AQ100" s="32">
        <v>1868</v>
      </c>
      <c r="AR100" s="32">
        <v>1614</v>
      </c>
      <c r="AS100" s="32">
        <v>1423</v>
      </c>
      <c r="AT100" s="32">
        <v>548</v>
      </c>
      <c r="AU100" s="32">
        <v>1654</v>
      </c>
      <c r="AV100" s="32">
        <v>1940</v>
      </c>
      <c r="AW100" s="32">
        <v>2057</v>
      </c>
      <c r="AX100" s="32">
        <v>1725</v>
      </c>
      <c r="AY100" s="32">
        <v>943</v>
      </c>
      <c r="AZ100" s="32">
        <v>1028</v>
      </c>
      <c r="BA100" s="32">
        <v>1069</v>
      </c>
      <c r="BB100" s="32">
        <v>1173</v>
      </c>
      <c r="BC100" s="32">
        <v>1683</v>
      </c>
      <c r="BD100" s="32">
        <v>1346</v>
      </c>
      <c r="BE100" s="32">
        <v>426</v>
      </c>
      <c r="BF100" s="32">
        <v>529</v>
      </c>
      <c r="BG100" s="32">
        <v>775</v>
      </c>
      <c r="BH100" s="32">
        <v>694</v>
      </c>
      <c r="BI100" s="32">
        <v>904</v>
      </c>
      <c r="BJ100" s="32">
        <v>1181</v>
      </c>
      <c r="BK100" s="32">
        <v>1131</v>
      </c>
      <c r="BL100" s="32">
        <v>1693</v>
      </c>
      <c r="BM100" s="32">
        <v>961</v>
      </c>
      <c r="BN100" s="32">
        <v>1208</v>
      </c>
      <c r="BO100">
        <v>891</v>
      </c>
      <c r="BP100">
        <v>1076</v>
      </c>
      <c r="BQ100">
        <v>771</v>
      </c>
      <c r="BR100">
        <v>1672</v>
      </c>
      <c r="BS100">
        <v>1706</v>
      </c>
      <c r="BT100">
        <v>1469</v>
      </c>
      <c r="BU100">
        <v>1383</v>
      </c>
      <c r="BV100">
        <v>2038</v>
      </c>
      <c r="BW100">
        <v>2578</v>
      </c>
      <c r="BX100">
        <v>1859</v>
      </c>
      <c r="BY100">
        <v>963</v>
      </c>
      <c r="BZ100">
        <v>983</v>
      </c>
      <c r="CA100">
        <v>1928</v>
      </c>
      <c r="CB100">
        <v>2469</v>
      </c>
      <c r="CC100">
        <v>2305</v>
      </c>
      <c r="CD100">
        <v>1448</v>
      </c>
      <c r="CE100">
        <v>1066</v>
      </c>
      <c r="CF100">
        <v>1174</v>
      </c>
      <c r="CG100">
        <v>1425</v>
      </c>
      <c r="CH100">
        <v>1013</v>
      </c>
      <c r="CI100">
        <v>906</v>
      </c>
      <c r="CJ100">
        <v>1282</v>
      </c>
      <c r="CK100">
        <v>836</v>
      </c>
      <c r="CL100">
        <v>841</v>
      </c>
      <c r="CM100">
        <v>1442</v>
      </c>
      <c r="CN100">
        <v>1653</v>
      </c>
      <c r="CO100">
        <v>1633</v>
      </c>
      <c r="CP100">
        <v>1068</v>
      </c>
      <c r="CQ100">
        <v>0</v>
      </c>
      <c r="CR100">
        <v>1552</v>
      </c>
      <c r="CS100">
        <v>1457</v>
      </c>
      <c r="CT100">
        <v>1068</v>
      </c>
      <c r="CU100">
        <v>52</v>
      </c>
      <c r="CV100">
        <v>774</v>
      </c>
      <c r="CW100">
        <v>929</v>
      </c>
      <c r="CX100">
        <v>1347</v>
      </c>
      <c r="CY100">
        <v>1302</v>
      </c>
      <c r="CZ100">
        <v>1027</v>
      </c>
      <c r="DA100">
        <v>1733</v>
      </c>
      <c r="DB100">
        <v>1201</v>
      </c>
      <c r="DC100">
        <v>1640</v>
      </c>
      <c r="DD100">
        <v>1833</v>
      </c>
      <c r="DE100">
        <v>1879</v>
      </c>
      <c r="DF100">
        <v>1788</v>
      </c>
      <c r="DG100">
        <v>1603</v>
      </c>
      <c r="DH100">
        <v>1271</v>
      </c>
      <c r="DI100" s="32">
        <v>1966</v>
      </c>
      <c r="DJ100" s="32">
        <v>1933</v>
      </c>
      <c r="DK100" s="32">
        <v>2005</v>
      </c>
      <c r="DL100" s="32">
        <v>228</v>
      </c>
      <c r="DM100" s="32">
        <v>1895</v>
      </c>
      <c r="DN100" s="32">
        <v>1130</v>
      </c>
      <c r="DO100" s="32">
        <v>1954</v>
      </c>
      <c r="DP100" s="32">
        <v>2111</v>
      </c>
      <c r="DQ100" s="32">
        <v>0</v>
      </c>
      <c r="DR100" s="32">
        <v>1859</v>
      </c>
      <c r="DS100" s="32">
        <v>1950</v>
      </c>
      <c r="DT100" s="32">
        <v>2025</v>
      </c>
      <c r="DU100" s="32">
        <v>2152</v>
      </c>
      <c r="DV100" s="32">
        <v>2073</v>
      </c>
      <c r="DW100" s="32">
        <v>2497</v>
      </c>
      <c r="DX100" s="32">
        <v>1432</v>
      </c>
      <c r="DY100" s="32">
        <v>1963</v>
      </c>
      <c r="DZ100" s="32">
        <v>1987</v>
      </c>
      <c r="EA100" s="32">
        <v>1477</v>
      </c>
      <c r="EB100" s="32">
        <v>879</v>
      </c>
      <c r="EC100" s="32">
        <v>641</v>
      </c>
      <c r="ED100" s="32">
        <v>931</v>
      </c>
      <c r="EE100" s="32">
        <v>1150</v>
      </c>
      <c r="EF100" s="32">
        <v>1085</v>
      </c>
      <c r="EG100" s="32">
        <v>1034</v>
      </c>
      <c r="EH100" s="32">
        <v>1546</v>
      </c>
      <c r="EI100" s="32">
        <v>1099</v>
      </c>
      <c r="EJ100" s="32">
        <v>725</v>
      </c>
      <c r="EK100" s="32">
        <v>702</v>
      </c>
      <c r="EL100" s="32">
        <v>428</v>
      </c>
      <c r="EM100" s="32">
        <v>441</v>
      </c>
      <c r="EN100" s="32">
        <v>447</v>
      </c>
      <c r="EO100" s="32">
        <v>562</v>
      </c>
      <c r="EP100" s="32">
        <v>1080</v>
      </c>
      <c r="EQ100" s="32">
        <v>1430</v>
      </c>
      <c r="ER100" s="32">
        <v>1181</v>
      </c>
      <c r="ES100" s="32">
        <v>807</v>
      </c>
      <c r="ET100" s="32">
        <v>964</v>
      </c>
      <c r="EU100" s="32">
        <v>1196</v>
      </c>
      <c r="EV100" s="32">
        <v>630</v>
      </c>
      <c r="EW100" s="32">
        <v>522</v>
      </c>
      <c r="EX100" s="32">
        <v>629</v>
      </c>
      <c r="EY100" s="32">
        <v>1027</v>
      </c>
      <c r="EZ100" s="32">
        <v>738</v>
      </c>
      <c r="FA100" s="32">
        <v>745</v>
      </c>
      <c r="FB100" s="32">
        <v>782</v>
      </c>
      <c r="FC100" s="32">
        <v>267</v>
      </c>
      <c r="FD100" s="32">
        <v>446</v>
      </c>
      <c r="FE100" s="32">
        <v>883</v>
      </c>
      <c r="FF100" s="32">
        <v>555</v>
      </c>
      <c r="FG100" s="32">
        <v>493</v>
      </c>
      <c r="FH100" s="32">
        <v>485</v>
      </c>
      <c r="FI100" s="32">
        <v>503</v>
      </c>
      <c r="FJ100" s="32">
        <v>582</v>
      </c>
      <c r="FK100" s="32">
        <v>620</v>
      </c>
      <c r="FL100" s="32"/>
      <c r="FM100" s="32"/>
      <c r="FN100" s="32"/>
      <c r="FR100">
        <f t="shared" si="178"/>
        <v>3875</v>
      </c>
      <c r="FS100">
        <f t="shared" si="179"/>
        <v>4019</v>
      </c>
      <c r="FT100">
        <f t="shared" si="180"/>
        <v>4599</v>
      </c>
      <c r="FU100">
        <f t="shared" si="181"/>
        <v>3292</v>
      </c>
      <c r="FV100">
        <f t="shared" si="182"/>
        <v>2657</v>
      </c>
      <c r="FW100">
        <f t="shared" si="183"/>
        <v>3675</v>
      </c>
      <c r="FX100">
        <f t="shared" si="184"/>
        <v>2773</v>
      </c>
      <c r="FY100">
        <f t="shared" si="185"/>
        <v>3733</v>
      </c>
      <c r="FZ100">
        <f t="shared" si="186"/>
        <v>4880</v>
      </c>
      <c r="GA100">
        <f t="shared" si="187"/>
        <v>3208</v>
      </c>
      <c r="GB100">
        <f t="shared" si="188"/>
        <v>3078</v>
      </c>
      <c r="GC100">
        <f t="shared" si="189"/>
        <v>5434</v>
      </c>
      <c r="GD100">
        <f t="shared" si="190"/>
        <v>6064</v>
      </c>
      <c r="GE100">
        <f t="shared" si="191"/>
        <v>5370</v>
      </c>
      <c r="GF100">
        <f t="shared" si="192"/>
        <v>3625</v>
      </c>
      <c r="GG100">
        <f t="shared" si="193"/>
        <v>5722</v>
      </c>
      <c r="GH100">
        <f t="shared" si="194"/>
        <v>3040</v>
      </c>
      <c r="GI100">
        <f t="shared" si="195"/>
        <v>4202</v>
      </c>
      <c r="GJ100">
        <f t="shared" si="196"/>
        <v>1730</v>
      </c>
      <c r="GK100">
        <f t="shared" si="197"/>
        <v>2779</v>
      </c>
      <c r="GL100">
        <f t="shared" si="198"/>
        <v>3785</v>
      </c>
      <c r="GM100">
        <f t="shared" si="199"/>
        <v>3175</v>
      </c>
      <c r="GN100">
        <f t="shared" si="200"/>
        <v>4149</v>
      </c>
      <c r="GO100">
        <f t="shared" si="201"/>
        <v>4890</v>
      </c>
      <c r="GP100">
        <f t="shared" si="202"/>
        <v>5400</v>
      </c>
      <c r="GQ100">
        <f t="shared" si="203"/>
        <v>5380</v>
      </c>
      <c r="GR100">
        <f t="shared" si="204"/>
        <v>4819</v>
      </c>
      <c r="GS100">
        <f t="shared" si="205"/>
        <v>3612</v>
      </c>
      <c r="GT100">
        <f t="shared" si="206"/>
        <v>3024</v>
      </c>
      <c r="GU100">
        <f t="shared" si="207"/>
        <v>3936</v>
      </c>
      <c r="GV100">
        <f t="shared" si="208"/>
        <v>2701</v>
      </c>
      <c r="GW100">
        <f t="shared" si="209"/>
        <v>4077</v>
      </c>
      <c r="GX100">
        <f t="shared" si="210"/>
        <v>1755</v>
      </c>
      <c r="GY100">
        <f t="shared" si="211"/>
        <v>3676</v>
      </c>
      <c r="GZ100">
        <f t="shared" si="212"/>
        <v>4574</v>
      </c>
      <c r="HA100">
        <f t="shared" si="213"/>
        <v>5500</v>
      </c>
      <c r="HB100">
        <f t="shared" si="214"/>
        <v>2874</v>
      </c>
      <c r="HC100">
        <f t="shared" si="215"/>
        <v>4166</v>
      </c>
      <c r="HD100">
        <f t="shared" si="216"/>
        <v>4979</v>
      </c>
      <c r="HE100">
        <f t="shared" si="217"/>
        <v>3970</v>
      </c>
      <c r="HF100">
        <f t="shared" si="218"/>
        <v>6127</v>
      </c>
      <c r="HG100">
        <f t="shared" si="219"/>
        <v>6002</v>
      </c>
      <c r="HH100">
        <f t="shared" si="220"/>
        <v>5427</v>
      </c>
      <c r="HI100">
        <f t="shared" si="221"/>
        <v>2451</v>
      </c>
      <c r="HJ100">
        <f t="shared" si="222"/>
        <v>3269</v>
      </c>
      <c r="HK100">
        <f t="shared" si="223"/>
        <v>3370</v>
      </c>
      <c r="HL100">
        <f t="shared" si="224"/>
        <v>1571</v>
      </c>
      <c r="HM100">
        <f t="shared" si="225"/>
        <v>2089</v>
      </c>
      <c r="HN100">
        <f t="shared" si="125"/>
        <v>3269</v>
      </c>
      <c r="HO100">
        <f t="shared" si="126"/>
        <v>3370</v>
      </c>
      <c r="HP100">
        <f t="shared" si="127"/>
        <v>1571</v>
      </c>
      <c r="HQ100">
        <f t="shared" si="128"/>
        <v>2089</v>
      </c>
      <c r="HR100">
        <f t="shared" si="226"/>
        <v>3418</v>
      </c>
      <c r="HS100">
        <f t="shared" si="122"/>
        <v>2790</v>
      </c>
      <c r="HT100">
        <f t="shared" si="227"/>
        <v>2178</v>
      </c>
      <c r="HU100">
        <f t="shared" si="228"/>
        <v>2265</v>
      </c>
      <c r="HV100">
        <f t="shared" si="229"/>
        <v>1596</v>
      </c>
      <c r="HW100">
        <f t="shared" si="230"/>
        <v>1533</v>
      </c>
      <c r="HX100">
        <f t="shared" si="231"/>
        <v>1705</v>
      </c>
      <c r="IB100">
        <f t="shared" si="232"/>
        <v>15785</v>
      </c>
      <c r="IC100">
        <f t="shared" si="233"/>
        <v>12838</v>
      </c>
      <c r="ID100">
        <f t="shared" si="234"/>
        <v>16600</v>
      </c>
      <c r="IE100">
        <f t="shared" si="235"/>
        <v>20781</v>
      </c>
      <c r="IF100">
        <f t="shared" si="236"/>
        <v>11751</v>
      </c>
      <c r="IG100">
        <f t="shared" si="237"/>
        <v>15999</v>
      </c>
      <c r="IH100">
        <f t="shared" si="238"/>
        <v>19211</v>
      </c>
      <c r="II100">
        <f t="shared" si="239"/>
        <v>13738</v>
      </c>
      <c r="IJ100">
        <f t="shared" si="240"/>
        <v>15505</v>
      </c>
      <c r="IK100">
        <f t="shared" si="241"/>
        <v>17955</v>
      </c>
      <c r="IL100">
        <f t="shared" si="242"/>
        <v>20007</v>
      </c>
      <c r="IM100">
        <f t="shared" si="243"/>
        <v>10299</v>
      </c>
      <c r="IN100">
        <f t="shared" si="244"/>
        <v>10651</v>
      </c>
    </row>
    <row r="101" spans="1:248" outlineLevel="2" x14ac:dyDescent="0.3">
      <c r="B101" t="s">
        <v>78</v>
      </c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CH101">
        <v>2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 s="32">
        <v>0</v>
      </c>
      <c r="DJ101" s="32">
        <v>0</v>
      </c>
      <c r="DK101" s="32">
        <v>0</v>
      </c>
      <c r="DL101" s="32">
        <v>1796</v>
      </c>
      <c r="DM101" s="32">
        <v>0</v>
      </c>
      <c r="DN101" s="32">
        <v>0</v>
      </c>
      <c r="DO101" s="32">
        <v>0</v>
      </c>
      <c r="DP101" s="32">
        <v>0</v>
      </c>
      <c r="DQ101" s="32">
        <v>0</v>
      </c>
      <c r="DR101" s="32">
        <v>0</v>
      </c>
      <c r="DS101" s="32">
        <v>0</v>
      </c>
      <c r="DT101" s="32">
        <v>0</v>
      </c>
      <c r="DU101" s="32">
        <v>0</v>
      </c>
      <c r="DV101" s="32">
        <v>0</v>
      </c>
      <c r="DW101" s="32">
        <v>0</v>
      </c>
      <c r="DX101" s="32">
        <v>0</v>
      </c>
      <c r="DY101" s="32">
        <v>0</v>
      </c>
      <c r="DZ101" s="32">
        <v>0</v>
      </c>
      <c r="EA101" s="32">
        <v>0</v>
      </c>
      <c r="EB101" s="32">
        <v>0</v>
      </c>
      <c r="EC101" s="32">
        <v>0</v>
      </c>
      <c r="ED101" s="32">
        <v>0</v>
      </c>
      <c r="EE101" s="32">
        <v>0</v>
      </c>
      <c r="EF101" s="32">
        <v>0</v>
      </c>
      <c r="EG101" s="32">
        <v>0</v>
      </c>
      <c r="EH101" s="32">
        <v>0</v>
      </c>
      <c r="EI101" s="32">
        <v>0</v>
      </c>
      <c r="EJ101" s="32">
        <v>0</v>
      </c>
      <c r="EK101" s="32">
        <v>0</v>
      </c>
      <c r="EL101" s="32">
        <v>0</v>
      </c>
      <c r="EM101" s="32">
        <v>0</v>
      </c>
      <c r="EN101" s="32">
        <v>0</v>
      </c>
      <c r="EO101" s="32">
        <v>0</v>
      </c>
      <c r="EP101" s="32">
        <v>0</v>
      </c>
      <c r="EQ101" s="32">
        <v>0</v>
      </c>
      <c r="ER101" s="32">
        <v>0</v>
      </c>
      <c r="ES101" s="32">
        <v>0</v>
      </c>
      <c r="ET101" s="32">
        <v>0</v>
      </c>
      <c r="EU101" s="32">
        <v>0</v>
      </c>
      <c r="EV101" s="32">
        <v>0</v>
      </c>
      <c r="EW101" s="32">
        <v>0</v>
      </c>
      <c r="EX101" s="32">
        <v>0</v>
      </c>
      <c r="EY101" s="32">
        <v>0</v>
      </c>
      <c r="EZ101" s="32">
        <v>112</v>
      </c>
      <c r="FA101" s="32">
        <v>44</v>
      </c>
      <c r="FB101" s="32">
        <v>32</v>
      </c>
      <c r="FC101" s="32">
        <v>40</v>
      </c>
      <c r="FD101" s="32">
        <v>40</v>
      </c>
      <c r="FE101" s="32">
        <v>16</v>
      </c>
      <c r="FF101" s="32">
        <v>6</v>
      </c>
      <c r="FG101" s="32">
        <v>0</v>
      </c>
      <c r="FH101" s="32">
        <v>0</v>
      </c>
      <c r="FI101" s="32">
        <v>9</v>
      </c>
      <c r="FJ101" s="32">
        <v>4</v>
      </c>
      <c r="FK101" s="32">
        <v>0</v>
      </c>
      <c r="FL101" s="32"/>
      <c r="FM101" s="32"/>
      <c r="FN101" s="32"/>
      <c r="FR101">
        <f t="shared" si="178"/>
        <v>0</v>
      </c>
      <c r="FS101">
        <f t="shared" si="179"/>
        <v>0</v>
      </c>
      <c r="FT101">
        <f t="shared" si="180"/>
        <v>0</v>
      </c>
      <c r="FU101">
        <f t="shared" si="181"/>
        <v>0</v>
      </c>
      <c r="FV101">
        <f t="shared" si="182"/>
        <v>0</v>
      </c>
      <c r="FW101">
        <f t="shared" si="183"/>
        <v>0</v>
      </c>
      <c r="FX101">
        <f t="shared" si="184"/>
        <v>0</v>
      </c>
      <c r="FY101">
        <f t="shared" si="185"/>
        <v>0</v>
      </c>
      <c r="FZ101">
        <f t="shared" si="186"/>
        <v>0</v>
      </c>
      <c r="GA101">
        <f t="shared" si="187"/>
        <v>0</v>
      </c>
      <c r="GB101">
        <f t="shared" si="188"/>
        <v>0</v>
      </c>
      <c r="GC101">
        <f t="shared" si="189"/>
        <v>0</v>
      </c>
      <c r="GD101">
        <f t="shared" si="190"/>
        <v>0</v>
      </c>
      <c r="GE101">
        <f t="shared" si="191"/>
        <v>0</v>
      </c>
      <c r="GF101">
        <f t="shared" si="192"/>
        <v>0</v>
      </c>
      <c r="GG101">
        <f t="shared" si="193"/>
        <v>0</v>
      </c>
      <c r="GH101">
        <f t="shared" si="194"/>
        <v>0</v>
      </c>
      <c r="GI101">
        <f t="shared" si="195"/>
        <v>0</v>
      </c>
      <c r="GJ101">
        <f t="shared" si="196"/>
        <v>0</v>
      </c>
      <c r="GK101">
        <f t="shared" si="197"/>
        <v>0</v>
      </c>
      <c r="GL101">
        <f t="shared" si="198"/>
        <v>0</v>
      </c>
      <c r="GM101">
        <f t="shared" si="199"/>
        <v>0</v>
      </c>
      <c r="GN101">
        <f t="shared" si="200"/>
        <v>0</v>
      </c>
      <c r="GO101">
        <f t="shared" si="201"/>
        <v>0</v>
      </c>
      <c r="GP101">
        <f t="shared" si="202"/>
        <v>0</v>
      </c>
      <c r="GQ101">
        <f t="shared" si="203"/>
        <v>0</v>
      </c>
      <c r="GR101">
        <f t="shared" si="204"/>
        <v>0</v>
      </c>
      <c r="GS101">
        <f t="shared" si="205"/>
        <v>2</v>
      </c>
      <c r="GT101">
        <f t="shared" si="206"/>
        <v>0</v>
      </c>
      <c r="GU101">
        <f t="shared" si="207"/>
        <v>0</v>
      </c>
      <c r="GV101">
        <f t="shared" si="208"/>
        <v>0</v>
      </c>
      <c r="GW101">
        <f t="shared" si="209"/>
        <v>0</v>
      </c>
      <c r="GX101">
        <f t="shared" si="210"/>
        <v>2</v>
      </c>
      <c r="GY101">
        <f t="shared" si="211"/>
        <v>0</v>
      </c>
      <c r="GZ101">
        <f t="shared" si="212"/>
        <v>0</v>
      </c>
      <c r="HA101">
        <f t="shared" si="213"/>
        <v>0</v>
      </c>
      <c r="HB101">
        <f t="shared" si="214"/>
        <v>0</v>
      </c>
      <c r="HC101">
        <f t="shared" si="215"/>
        <v>1796</v>
      </c>
      <c r="HD101">
        <f t="shared" si="216"/>
        <v>0</v>
      </c>
      <c r="HE101">
        <f t="shared" si="217"/>
        <v>0</v>
      </c>
      <c r="HF101">
        <f t="shared" si="218"/>
        <v>0</v>
      </c>
      <c r="HG101">
        <f t="shared" si="219"/>
        <v>0</v>
      </c>
      <c r="HH101">
        <f t="shared" si="220"/>
        <v>0</v>
      </c>
      <c r="HI101">
        <f t="shared" si="221"/>
        <v>0</v>
      </c>
      <c r="HJ101">
        <f t="shared" si="222"/>
        <v>0</v>
      </c>
      <c r="HK101">
        <f t="shared" si="223"/>
        <v>0</v>
      </c>
      <c r="HL101">
        <f t="shared" si="224"/>
        <v>0</v>
      </c>
      <c r="HM101">
        <f t="shared" si="225"/>
        <v>0</v>
      </c>
      <c r="HN101">
        <f t="shared" si="125"/>
        <v>0</v>
      </c>
      <c r="HO101">
        <f t="shared" si="126"/>
        <v>0</v>
      </c>
      <c r="HP101">
        <f t="shared" si="127"/>
        <v>0</v>
      </c>
      <c r="HQ101">
        <f t="shared" si="128"/>
        <v>0</v>
      </c>
      <c r="HR101">
        <f t="shared" si="226"/>
        <v>0</v>
      </c>
      <c r="HS101">
        <f t="shared" si="122"/>
        <v>0</v>
      </c>
      <c r="HT101">
        <f t="shared" si="227"/>
        <v>0</v>
      </c>
      <c r="HU101">
        <f t="shared" si="228"/>
        <v>188</v>
      </c>
      <c r="HV101">
        <f t="shared" si="229"/>
        <v>96</v>
      </c>
      <c r="HW101">
        <f t="shared" si="230"/>
        <v>6</v>
      </c>
      <c r="HX101">
        <f t="shared" si="231"/>
        <v>13</v>
      </c>
      <c r="IB101">
        <f t="shared" si="232"/>
        <v>0</v>
      </c>
      <c r="IC101">
        <f t="shared" si="233"/>
        <v>0</v>
      </c>
      <c r="ID101">
        <f t="shared" si="234"/>
        <v>0</v>
      </c>
      <c r="IE101">
        <f t="shared" si="235"/>
        <v>0</v>
      </c>
      <c r="IF101">
        <f t="shared" si="236"/>
        <v>0</v>
      </c>
      <c r="IG101">
        <f t="shared" si="237"/>
        <v>0</v>
      </c>
      <c r="IH101">
        <f t="shared" si="238"/>
        <v>2</v>
      </c>
      <c r="II101">
        <f t="shared" si="239"/>
        <v>0</v>
      </c>
      <c r="IJ101">
        <f t="shared" si="240"/>
        <v>2</v>
      </c>
      <c r="IK101">
        <f t="shared" si="241"/>
        <v>1796</v>
      </c>
      <c r="IL101">
        <f t="shared" si="242"/>
        <v>0</v>
      </c>
      <c r="IM101">
        <f t="shared" si="243"/>
        <v>0</v>
      </c>
      <c r="IN101">
        <f t="shared" si="244"/>
        <v>188</v>
      </c>
    </row>
    <row r="102" spans="1:248" outlineLevel="1" x14ac:dyDescent="0.3">
      <c r="A102" s="15" t="s">
        <v>87</v>
      </c>
      <c r="B102" s="15"/>
      <c r="C102" s="15">
        <v>1290</v>
      </c>
      <c r="D102" s="15">
        <v>1167</v>
      </c>
      <c r="E102" s="15">
        <v>1418</v>
      </c>
      <c r="F102" s="15">
        <v>1819</v>
      </c>
      <c r="G102" s="15">
        <v>1669</v>
      </c>
      <c r="H102" s="15">
        <v>1717</v>
      </c>
      <c r="I102" s="15">
        <v>2284</v>
      </c>
      <c r="J102" s="15">
        <v>1103</v>
      </c>
      <c r="K102" s="15">
        <v>1639</v>
      </c>
      <c r="L102" s="15">
        <v>1285</v>
      </c>
      <c r="M102" s="15">
        <v>871</v>
      </c>
      <c r="N102" s="15">
        <v>1136</v>
      </c>
      <c r="O102" s="15">
        <v>923</v>
      </c>
      <c r="P102" s="15">
        <v>1349</v>
      </c>
      <c r="Q102" s="15">
        <v>898</v>
      </c>
      <c r="R102" s="15">
        <v>1538</v>
      </c>
      <c r="S102" s="15">
        <v>1146</v>
      </c>
      <c r="T102" s="15">
        <v>991</v>
      </c>
      <c r="U102" s="15">
        <v>1292</v>
      </c>
      <c r="V102" s="15">
        <v>731</v>
      </c>
      <c r="W102" s="15">
        <v>824</v>
      </c>
      <c r="X102" s="15">
        <v>1394</v>
      </c>
      <c r="Y102" s="15">
        <v>1356</v>
      </c>
      <c r="Z102" s="15">
        <v>983</v>
      </c>
      <c r="AA102" s="33">
        <v>1899</v>
      </c>
      <c r="AB102" s="33">
        <v>1495</v>
      </c>
      <c r="AC102" s="33">
        <v>1486</v>
      </c>
      <c r="AD102" s="33">
        <v>1560</v>
      </c>
      <c r="AE102" s="33">
        <v>730</v>
      </c>
      <c r="AF102" s="33">
        <v>918</v>
      </c>
      <c r="AG102" s="33">
        <v>920</v>
      </c>
      <c r="AH102" s="33">
        <v>791</v>
      </c>
      <c r="AI102" s="33">
        <v>1555</v>
      </c>
      <c r="AJ102" s="33">
        <v>1945</v>
      </c>
      <c r="AK102" s="33">
        <v>1900</v>
      </c>
      <c r="AL102" s="33">
        <v>1791</v>
      </c>
      <c r="AM102" s="33">
        <v>2453</v>
      </c>
      <c r="AN102" s="33">
        <v>2080</v>
      </c>
      <c r="AO102" s="33">
        <v>1531</v>
      </c>
      <c r="AP102" s="33">
        <v>1888</v>
      </c>
      <c r="AQ102" s="33">
        <v>1868</v>
      </c>
      <c r="AR102" s="33">
        <v>1614</v>
      </c>
      <c r="AS102" s="33">
        <v>1423</v>
      </c>
      <c r="AT102" s="33">
        <v>548</v>
      </c>
      <c r="AU102" s="33">
        <v>1654</v>
      </c>
      <c r="AV102" s="33">
        <v>1940</v>
      </c>
      <c r="AW102" s="33">
        <v>2057</v>
      </c>
      <c r="AX102" s="33">
        <v>1725</v>
      </c>
      <c r="AY102" s="33">
        <v>943</v>
      </c>
      <c r="AZ102" s="33">
        <v>1028</v>
      </c>
      <c r="BA102" s="33">
        <v>1069</v>
      </c>
      <c r="BB102" s="33">
        <v>1173</v>
      </c>
      <c r="BC102" s="33">
        <v>1683</v>
      </c>
      <c r="BD102" s="33">
        <v>1346</v>
      </c>
      <c r="BE102" s="33">
        <v>426</v>
      </c>
      <c r="BF102" s="33">
        <v>529</v>
      </c>
      <c r="BG102" s="33">
        <v>775</v>
      </c>
      <c r="BH102" s="33">
        <v>694</v>
      </c>
      <c r="BI102" s="33">
        <v>904</v>
      </c>
      <c r="BJ102" s="33">
        <v>1181</v>
      </c>
      <c r="BK102" s="33">
        <v>1131</v>
      </c>
      <c r="BL102" s="33">
        <v>1693</v>
      </c>
      <c r="BM102" s="33">
        <v>961</v>
      </c>
      <c r="BN102" s="33">
        <v>1208</v>
      </c>
      <c r="BO102" s="35">
        <v>891</v>
      </c>
      <c r="BP102" s="35">
        <v>1076</v>
      </c>
      <c r="BQ102" s="35">
        <v>771</v>
      </c>
      <c r="BR102" s="35">
        <v>1672</v>
      </c>
      <c r="BS102" s="35">
        <v>1706</v>
      </c>
      <c r="BT102" s="35">
        <v>1469</v>
      </c>
      <c r="BU102" s="35">
        <v>1383</v>
      </c>
      <c r="BV102" s="35">
        <v>2038</v>
      </c>
      <c r="BW102" s="35">
        <v>2578</v>
      </c>
      <c r="BX102" s="35">
        <v>1859</v>
      </c>
      <c r="BY102" s="35">
        <v>963</v>
      </c>
      <c r="BZ102" s="35">
        <v>983</v>
      </c>
      <c r="CA102" s="35">
        <v>1935</v>
      </c>
      <c r="CB102" s="35">
        <v>2631</v>
      </c>
      <c r="CC102" s="35">
        <v>2435</v>
      </c>
      <c r="CD102" s="35">
        <v>1576</v>
      </c>
      <c r="CE102" s="35">
        <v>1066</v>
      </c>
      <c r="CF102" s="35">
        <v>1275</v>
      </c>
      <c r="CG102" s="35">
        <v>1425</v>
      </c>
      <c r="CH102" s="35">
        <v>1046</v>
      </c>
      <c r="CI102" s="35">
        <v>962</v>
      </c>
      <c r="CJ102" s="35">
        <v>1311</v>
      </c>
      <c r="CK102" s="35">
        <v>972</v>
      </c>
      <c r="CL102" s="35">
        <v>841</v>
      </c>
      <c r="CM102" s="35">
        <v>1506</v>
      </c>
      <c r="CN102" s="35">
        <v>1839</v>
      </c>
      <c r="CO102" s="35">
        <v>1866</v>
      </c>
      <c r="CP102" s="35">
        <v>1084</v>
      </c>
      <c r="CQ102" s="35">
        <v>1393</v>
      </c>
      <c r="CR102" s="35">
        <v>1552</v>
      </c>
      <c r="CS102" s="35">
        <v>1473</v>
      </c>
      <c r="CT102" s="35">
        <v>1068</v>
      </c>
      <c r="CU102" s="35">
        <v>52</v>
      </c>
      <c r="CV102" s="35">
        <v>774</v>
      </c>
      <c r="CW102" s="35">
        <v>941</v>
      </c>
      <c r="CX102" s="35">
        <v>1387</v>
      </c>
      <c r="CY102" s="35">
        <v>1424</v>
      </c>
      <c r="CZ102" s="35">
        <v>1041</v>
      </c>
      <c r="DA102" s="35">
        <v>1792</v>
      </c>
      <c r="DB102" s="35">
        <v>1343</v>
      </c>
      <c r="DC102" s="35">
        <v>1702</v>
      </c>
      <c r="DD102" s="35">
        <v>1966</v>
      </c>
      <c r="DE102" s="35">
        <v>1907</v>
      </c>
      <c r="DF102" s="35">
        <v>1844</v>
      </c>
      <c r="DG102" s="35">
        <v>1694</v>
      </c>
      <c r="DH102" s="35">
        <v>1366</v>
      </c>
      <c r="DI102" s="35">
        <v>2002</v>
      </c>
      <c r="DJ102" s="35">
        <v>2051</v>
      </c>
      <c r="DK102" s="35">
        <v>2304</v>
      </c>
      <c r="DL102" s="35">
        <v>2038</v>
      </c>
      <c r="DM102" s="35">
        <v>2007</v>
      </c>
      <c r="DN102" s="35">
        <v>1130</v>
      </c>
      <c r="DO102" s="35">
        <v>1968</v>
      </c>
      <c r="DP102" s="35">
        <v>2293</v>
      </c>
      <c r="DQ102" s="35">
        <v>1898</v>
      </c>
      <c r="DR102" s="35">
        <v>1859</v>
      </c>
      <c r="DS102" s="35">
        <v>1950</v>
      </c>
      <c r="DT102" s="35">
        <v>2025</v>
      </c>
      <c r="DU102" s="35">
        <v>2152</v>
      </c>
      <c r="DV102" s="35">
        <v>2083</v>
      </c>
      <c r="DW102" s="35">
        <v>2497</v>
      </c>
      <c r="DX102" s="35">
        <v>1488</v>
      </c>
      <c r="DY102" s="35">
        <v>1999</v>
      </c>
      <c r="DZ102" s="35">
        <v>1987</v>
      </c>
      <c r="EA102" s="35">
        <v>1477</v>
      </c>
      <c r="EB102" s="35">
        <v>879</v>
      </c>
      <c r="EC102" s="35">
        <v>641</v>
      </c>
      <c r="ED102" s="35">
        <v>931</v>
      </c>
      <c r="EE102" s="35">
        <v>1154</v>
      </c>
      <c r="EF102" s="35">
        <v>1085</v>
      </c>
      <c r="EG102" s="35">
        <v>1044</v>
      </c>
      <c r="EH102" s="35">
        <v>1554</v>
      </c>
      <c r="EI102" s="35">
        <v>1099</v>
      </c>
      <c r="EJ102" s="35">
        <v>735</v>
      </c>
      <c r="EK102" s="35">
        <v>715</v>
      </c>
      <c r="EL102" s="35">
        <v>428</v>
      </c>
      <c r="EM102" s="35">
        <v>441</v>
      </c>
      <c r="EN102" s="35">
        <v>447</v>
      </c>
      <c r="EO102" s="35">
        <v>562</v>
      </c>
      <c r="EP102" s="35">
        <v>1080</v>
      </c>
      <c r="EQ102" s="35">
        <v>1430</v>
      </c>
      <c r="ER102" s="35">
        <v>1181</v>
      </c>
      <c r="ES102" s="35">
        <v>870</v>
      </c>
      <c r="ET102" s="35">
        <v>964</v>
      </c>
      <c r="EU102" s="35">
        <v>1196</v>
      </c>
      <c r="EV102" s="35">
        <v>630</v>
      </c>
      <c r="EW102" s="35">
        <v>522</v>
      </c>
      <c r="EX102" s="35">
        <v>629</v>
      </c>
      <c r="EY102" s="35">
        <v>1027</v>
      </c>
      <c r="EZ102" s="35">
        <v>1070</v>
      </c>
      <c r="FA102" s="35">
        <v>1035</v>
      </c>
      <c r="FB102" s="35">
        <v>1155</v>
      </c>
      <c r="FC102" s="35">
        <v>504</v>
      </c>
      <c r="FD102" s="35">
        <v>819</v>
      </c>
      <c r="FE102" s="35">
        <v>1139</v>
      </c>
      <c r="FF102" s="35">
        <v>802</v>
      </c>
      <c r="FG102" s="35">
        <v>958</v>
      </c>
      <c r="FH102" s="35">
        <v>637</v>
      </c>
      <c r="FI102" s="35">
        <v>741</v>
      </c>
      <c r="FJ102" s="35">
        <v>980</v>
      </c>
      <c r="FK102" s="35">
        <v>899</v>
      </c>
      <c r="FL102" s="36"/>
      <c r="FM102" s="36"/>
      <c r="FN102" s="36"/>
      <c r="FR102" s="35">
        <f t="shared" si="178"/>
        <v>3875</v>
      </c>
      <c r="FS102" s="35">
        <f t="shared" si="179"/>
        <v>5205</v>
      </c>
      <c r="FT102" s="35">
        <f t="shared" si="180"/>
        <v>5026</v>
      </c>
      <c r="FU102" s="35">
        <f t="shared" si="181"/>
        <v>3292</v>
      </c>
      <c r="FV102" s="35">
        <f t="shared" si="182"/>
        <v>3170</v>
      </c>
      <c r="FW102" s="35">
        <f t="shared" si="183"/>
        <v>3675</v>
      </c>
      <c r="FX102" s="35">
        <f t="shared" si="184"/>
        <v>2847</v>
      </c>
      <c r="FY102" s="35">
        <f t="shared" si="185"/>
        <v>3733</v>
      </c>
      <c r="FZ102" s="35">
        <f t="shared" si="186"/>
        <v>4880</v>
      </c>
      <c r="GA102" s="35">
        <f t="shared" si="187"/>
        <v>3208</v>
      </c>
      <c r="GB102" s="35">
        <f t="shared" si="188"/>
        <v>3266</v>
      </c>
      <c r="GC102" s="35">
        <f t="shared" si="189"/>
        <v>5636</v>
      </c>
      <c r="GD102" s="35">
        <f t="shared" si="190"/>
        <v>6064</v>
      </c>
      <c r="GE102" s="35">
        <f t="shared" si="191"/>
        <v>5370</v>
      </c>
      <c r="GF102" s="35">
        <f t="shared" si="192"/>
        <v>3625</v>
      </c>
      <c r="GG102" s="35">
        <f t="shared" si="193"/>
        <v>5722</v>
      </c>
      <c r="GH102" s="35">
        <f t="shared" si="194"/>
        <v>3040</v>
      </c>
      <c r="GI102" s="35">
        <f t="shared" si="195"/>
        <v>4202</v>
      </c>
      <c r="GJ102" s="35">
        <f t="shared" si="196"/>
        <v>1730</v>
      </c>
      <c r="GK102" s="35">
        <f t="shared" si="197"/>
        <v>2779</v>
      </c>
      <c r="GL102" s="35">
        <f t="shared" si="198"/>
        <v>3785</v>
      </c>
      <c r="GM102" s="35">
        <f t="shared" si="199"/>
        <v>3175</v>
      </c>
      <c r="GN102" s="35">
        <f t="shared" si="200"/>
        <v>4149</v>
      </c>
      <c r="GO102" s="35">
        <f t="shared" si="201"/>
        <v>4890</v>
      </c>
      <c r="GP102" s="35">
        <f t="shared" si="202"/>
        <v>5400</v>
      </c>
      <c r="GQ102" s="35">
        <f t="shared" si="203"/>
        <v>5549</v>
      </c>
      <c r="GR102" s="35">
        <f t="shared" si="204"/>
        <v>5077</v>
      </c>
      <c r="GS102" s="35">
        <f t="shared" si="205"/>
        <v>3746</v>
      </c>
      <c r="GT102" s="35">
        <f t="shared" si="206"/>
        <v>3245</v>
      </c>
      <c r="GU102" s="35">
        <f t="shared" si="207"/>
        <v>4186</v>
      </c>
      <c r="GV102" s="35">
        <f t="shared" si="208"/>
        <v>4343</v>
      </c>
      <c r="GW102" s="35">
        <f t="shared" si="209"/>
        <v>4093</v>
      </c>
      <c r="GX102" s="35">
        <f t="shared" si="210"/>
        <v>1767</v>
      </c>
      <c r="GY102" s="35">
        <f t="shared" si="211"/>
        <v>3852</v>
      </c>
      <c r="GZ102" s="35">
        <f t="shared" si="212"/>
        <v>4837</v>
      </c>
      <c r="HA102" s="35">
        <f t="shared" si="213"/>
        <v>5717</v>
      </c>
      <c r="HB102" s="35">
        <f t="shared" si="214"/>
        <v>3060</v>
      </c>
      <c r="HC102" s="35">
        <f t="shared" si="215"/>
        <v>6393</v>
      </c>
      <c r="HD102" s="35">
        <f t="shared" si="216"/>
        <v>5105</v>
      </c>
      <c r="HE102" s="35">
        <f t="shared" si="217"/>
        <v>6050</v>
      </c>
      <c r="HF102" s="35">
        <f t="shared" si="218"/>
        <v>6127</v>
      </c>
      <c r="HG102" s="35">
        <f t="shared" si="219"/>
        <v>6068</v>
      </c>
      <c r="HH102" s="35">
        <f t="shared" si="220"/>
        <v>5463</v>
      </c>
      <c r="HI102" s="35">
        <f t="shared" si="221"/>
        <v>2451</v>
      </c>
      <c r="HJ102" s="35">
        <f t="shared" si="222"/>
        <v>3283</v>
      </c>
      <c r="HK102" s="35">
        <f t="shared" si="223"/>
        <v>3388</v>
      </c>
      <c r="HL102" s="35">
        <f t="shared" si="224"/>
        <v>1584</v>
      </c>
      <c r="HM102" s="35">
        <f t="shared" si="225"/>
        <v>2089</v>
      </c>
      <c r="HN102" s="35">
        <f t="shared" si="125"/>
        <v>3283</v>
      </c>
      <c r="HO102" s="35">
        <f t="shared" si="126"/>
        <v>3388</v>
      </c>
      <c r="HP102" s="35">
        <f t="shared" si="127"/>
        <v>1584</v>
      </c>
      <c r="HQ102" s="35">
        <f t="shared" si="128"/>
        <v>2089</v>
      </c>
      <c r="HR102" s="35">
        <f t="shared" si="226"/>
        <v>3481</v>
      </c>
      <c r="HS102" s="35">
        <f t="shared" si="122"/>
        <v>2790</v>
      </c>
      <c r="HT102" s="35">
        <f t="shared" si="227"/>
        <v>2178</v>
      </c>
      <c r="HU102" s="35">
        <f t="shared" si="228"/>
        <v>3260</v>
      </c>
      <c r="HV102" s="35">
        <f t="shared" si="229"/>
        <v>2462</v>
      </c>
      <c r="HW102" s="35">
        <f t="shared" si="230"/>
        <v>2397</v>
      </c>
      <c r="HX102" s="35">
        <f t="shared" si="231"/>
        <v>2620</v>
      </c>
      <c r="IB102" s="35">
        <f t="shared" si="232"/>
        <v>17398</v>
      </c>
      <c r="IC102" s="35">
        <f t="shared" si="233"/>
        <v>13425</v>
      </c>
      <c r="ID102" s="35">
        <f t="shared" si="234"/>
        <v>16990</v>
      </c>
      <c r="IE102" s="35">
        <f t="shared" si="235"/>
        <v>20781</v>
      </c>
      <c r="IF102" s="35">
        <f t="shared" si="236"/>
        <v>11751</v>
      </c>
      <c r="IG102" s="35">
        <f t="shared" si="237"/>
        <v>15999</v>
      </c>
      <c r="IH102" s="35">
        <f t="shared" si="238"/>
        <v>19772</v>
      </c>
      <c r="II102" s="35">
        <f t="shared" si="239"/>
        <v>15867</v>
      </c>
      <c r="IJ102" s="35">
        <f t="shared" si="240"/>
        <v>16173</v>
      </c>
      <c r="IK102" s="35">
        <f t="shared" si="241"/>
        <v>22610</v>
      </c>
      <c r="IL102" s="35">
        <f t="shared" si="242"/>
        <v>20109</v>
      </c>
      <c r="IM102" s="35">
        <f t="shared" si="243"/>
        <v>10344</v>
      </c>
      <c r="IN102" s="35">
        <f t="shared" si="244"/>
        <v>11709</v>
      </c>
    </row>
    <row r="103" spans="1:248" outlineLevel="2" x14ac:dyDescent="0.3">
      <c r="A103" t="s">
        <v>88</v>
      </c>
      <c r="B103" t="s">
        <v>75</v>
      </c>
      <c r="C103">
        <v>281</v>
      </c>
      <c r="D103">
        <v>539</v>
      </c>
      <c r="E103">
        <v>438</v>
      </c>
      <c r="F103">
        <v>344</v>
      </c>
      <c r="G103">
        <v>294</v>
      </c>
      <c r="H103">
        <v>352</v>
      </c>
      <c r="I103">
        <v>195</v>
      </c>
      <c r="J103">
        <v>236</v>
      </c>
      <c r="K103">
        <v>327</v>
      </c>
      <c r="L103">
        <v>238</v>
      </c>
      <c r="M103">
        <v>322</v>
      </c>
      <c r="N103">
        <v>397</v>
      </c>
      <c r="O103">
        <v>409</v>
      </c>
      <c r="P103">
        <v>369</v>
      </c>
      <c r="Q103">
        <v>379</v>
      </c>
      <c r="R103">
        <v>248</v>
      </c>
      <c r="S103">
        <v>234</v>
      </c>
      <c r="T103">
        <v>256</v>
      </c>
      <c r="U103">
        <v>200</v>
      </c>
      <c r="V103">
        <v>159</v>
      </c>
      <c r="W103">
        <v>192</v>
      </c>
      <c r="X103">
        <v>143</v>
      </c>
      <c r="Y103">
        <v>331</v>
      </c>
      <c r="Z103">
        <v>202</v>
      </c>
      <c r="AA103" s="32">
        <v>228</v>
      </c>
      <c r="AB103" s="32">
        <v>238</v>
      </c>
      <c r="AC103" s="32">
        <v>321</v>
      </c>
      <c r="AD103" s="32">
        <v>311</v>
      </c>
      <c r="AE103" s="32">
        <v>318</v>
      </c>
      <c r="AF103" s="32">
        <v>236</v>
      </c>
      <c r="AG103" s="32">
        <v>259</v>
      </c>
      <c r="AH103" s="32">
        <v>427</v>
      </c>
      <c r="AI103" s="32">
        <v>444</v>
      </c>
      <c r="AJ103" s="32">
        <v>384</v>
      </c>
      <c r="AK103" s="32">
        <v>392</v>
      </c>
      <c r="AL103" s="32">
        <v>474</v>
      </c>
      <c r="AM103" s="32">
        <v>309</v>
      </c>
      <c r="AN103" s="32">
        <v>365</v>
      </c>
      <c r="AO103" s="32">
        <v>391</v>
      </c>
      <c r="AP103" s="32">
        <v>164</v>
      </c>
      <c r="AQ103" s="32">
        <v>226</v>
      </c>
      <c r="AR103" s="32">
        <v>399</v>
      </c>
      <c r="AS103" s="32">
        <v>176</v>
      </c>
      <c r="AT103" s="32">
        <v>329</v>
      </c>
      <c r="AU103" s="32">
        <v>307</v>
      </c>
      <c r="AV103" s="32">
        <v>177</v>
      </c>
      <c r="AW103" s="32">
        <v>108</v>
      </c>
      <c r="AX103" s="32">
        <v>168</v>
      </c>
      <c r="AY103" s="32">
        <v>109</v>
      </c>
      <c r="AZ103" s="32">
        <v>159</v>
      </c>
      <c r="BA103" s="32">
        <v>423</v>
      </c>
      <c r="BB103" s="32">
        <v>306</v>
      </c>
      <c r="BC103" s="32">
        <v>322</v>
      </c>
      <c r="BD103" s="32">
        <v>391</v>
      </c>
      <c r="BE103" s="32">
        <v>391</v>
      </c>
      <c r="BF103" s="32">
        <v>369</v>
      </c>
      <c r="BG103" s="32">
        <v>332</v>
      </c>
      <c r="BH103" s="32">
        <v>271</v>
      </c>
      <c r="BI103" s="32">
        <v>240</v>
      </c>
      <c r="BJ103" s="32">
        <v>528</v>
      </c>
      <c r="BK103" s="32">
        <v>238</v>
      </c>
      <c r="BL103" s="32">
        <v>238</v>
      </c>
      <c r="BM103" s="32">
        <v>455</v>
      </c>
      <c r="BN103" s="32">
        <v>307</v>
      </c>
      <c r="BO103" s="32">
        <v>333</v>
      </c>
      <c r="BP103" s="32">
        <v>141</v>
      </c>
      <c r="BQ103" s="32">
        <v>149</v>
      </c>
      <c r="BR103" s="32">
        <v>303</v>
      </c>
      <c r="BS103" s="32">
        <v>230</v>
      </c>
      <c r="BT103" s="32">
        <v>214</v>
      </c>
      <c r="BU103" s="32">
        <v>393</v>
      </c>
      <c r="BV103" s="32">
        <v>245</v>
      </c>
      <c r="BW103" s="32">
        <v>186</v>
      </c>
      <c r="BX103" s="32">
        <v>181</v>
      </c>
      <c r="BY103" s="32">
        <v>152</v>
      </c>
      <c r="BZ103" s="32">
        <v>108</v>
      </c>
      <c r="CA103" s="32">
        <v>188</v>
      </c>
      <c r="CB103" s="32">
        <v>256</v>
      </c>
      <c r="CC103" s="32">
        <v>203</v>
      </c>
      <c r="CD103" s="32">
        <v>79</v>
      </c>
      <c r="CE103" s="32">
        <v>131</v>
      </c>
      <c r="CF103" s="32">
        <v>293</v>
      </c>
      <c r="CG103" s="32">
        <v>200</v>
      </c>
      <c r="CH103" s="32">
        <v>338</v>
      </c>
      <c r="CI103" s="32">
        <v>272</v>
      </c>
      <c r="CJ103" s="32">
        <v>483</v>
      </c>
      <c r="CK103" s="32">
        <v>422</v>
      </c>
      <c r="CL103" s="32">
        <v>181</v>
      </c>
      <c r="CM103" s="32">
        <v>156</v>
      </c>
      <c r="CN103" s="32">
        <v>87</v>
      </c>
      <c r="CO103" s="32">
        <v>69</v>
      </c>
      <c r="CP103" s="32">
        <v>69</v>
      </c>
      <c r="CQ103" s="32">
        <v>135</v>
      </c>
      <c r="CR103" s="32">
        <v>211</v>
      </c>
      <c r="CS103" s="32">
        <v>103</v>
      </c>
      <c r="CT103" s="32">
        <v>54</v>
      </c>
      <c r="CU103" s="32">
        <v>0</v>
      </c>
      <c r="CV103" s="32">
        <v>46</v>
      </c>
      <c r="CW103" s="32">
        <v>86</v>
      </c>
      <c r="CX103" s="32">
        <v>95</v>
      </c>
      <c r="CY103" s="32">
        <v>148</v>
      </c>
      <c r="CZ103" s="32">
        <v>89</v>
      </c>
      <c r="DA103" s="32">
        <v>87</v>
      </c>
      <c r="DB103" s="32">
        <v>95</v>
      </c>
      <c r="DC103" s="32">
        <v>177</v>
      </c>
      <c r="DD103" s="32">
        <v>211</v>
      </c>
      <c r="DE103" s="32">
        <v>191</v>
      </c>
      <c r="DF103" s="32">
        <v>226</v>
      </c>
      <c r="DG103" s="32">
        <v>198</v>
      </c>
      <c r="DH103" s="32">
        <v>205</v>
      </c>
      <c r="DI103" s="32">
        <v>113</v>
      </c>
      <c r="DJ103" s="32">
        <v>182</v>
      </c>
      <c r="DK103" s="32">
        <v>270</v>
      </c>
      <c r="DL103" s="32">
        <v>201</v>
      </c>
      <c r="DM103" s="32">
        <v>345</v>
      </c>
      <c r="DN103" s="32">
        <v>274</v>
      </c>
      <c r="DO103" s="32">
        <v>250</v>
      </c>
      <c r="DP103" s="32">
        <v>404</v>
      </c>
      <c r="DQ103" s="32">
        <v>382</v>
      </c>
      <c r="DR103" s="32">
        <v>345</v>
      </c>
      <c r="DS103" s="32">
        <v>250</v>
      </c>
      <c r="DT103" s="32">
        <v>397</v>
      </c>
      <c r="DU103" s="32">
        <v>297</v>
      </c>
      <c r="DV103" s="32">
        <v>243</v>
      </c>
      <c r="DW103" s="32">
        <v>238</v>
      </c>
      <c r="DX103" s="32">
        <v>271</v>
      </c>
      <c r="DY103" s="32">
        <v>218</v>
      </c>
      <c r="DZ103" s="32">
        <v>230</v>
      </c>
      <c r="EA103" s="32">
        <v>147</v>
      </c>
      <c r="EB103" s="32">
        <v>68</v>
      </c>
      <c r="EC103" s="32">
        <v>13</v>
      </c>
      <c r="ED103" s="32">
        <v>24</v>
      </c>
      <c r="EE103" s="32">
        <v>77</v>
      </c>
      <c r="EF103" s="32">
        <v>16</v>
      </c>
      <c r="EG103" s="32">
        <v>41</v>
      </c>
      <c r="EH103" s="32">
        <v>46</v>
      </c>
      <c r="EI103" s="32">
        <v>4</v>
      </c>
      <c r="EJ103" s="32">
        <v>11</v>
      </c>
      <c r="EK103" s="32">
        <v>31</v>
      </c>
      <c r="EL103" s="32">
        <v>47</v>
      </c>
      <c r="EM103" s="32">
        <v>148</v>
      </c>
      <c r="EN103" s="32">
        <v>69</v>
      </c>
      <c r="EO103" s="32">
        <v>91</v>
      </c>
      <c r="EP103" s="32">
        <v>65</v>
      </c>
      <c r="EQ103" s="32">
        <v>109</v>
      </c>
      <c r="ER103" s="32">
        <v>102</v>
      </c>
      <c r="ES103" s="32">
        <v>82</v>
      </c>
      <c r="ET103" s="32">
        <v>82</v>
      </c>
      <c r="EU103" s="32">
        <v>68</v>
      </c>
      <c r="EV103" s="32">
        <v>35</v>
      </c>
      <c r="EW103" s="32">
        <v>13</v>
      </c>
      <c r="EX103" s="32">
        <v>97</v>
      </c>
      <c r="EY103" s="32">
        <v>101</v>
      </c>
      <c r="EZ103" s="32">
        <v>142</v>
      </c>
      <c r="FA103" s="32">
        <v>161</v>
      </c>
      <c r="FB103" s="32">
        <v>308</v>
      </c>
      <c r="FC103" s="32">
        <v>201</v>
      </c>
      <c r="FD103" s="32">
        <v>233</v>
      </c>
      <c r="FE103" s="32">
        <v>53</v>
      </c>
      <c r="FF103" s="32">
        <v>53</v>
      </c>
      <c r="FG103" s="32">
        <v>52</v>
      </c>
      <c r="FH103" s="32">
        <v>18</v>
      </c>
      <c r="FI103" s="32">
        <v>191</v>
      </c>
      <c r="FJ103" s="32">
        <v>156</v>
      </c>
      <c r="FK103" s="32">
        <v>132</v>
      </c>
      <c r="FL103" s="32"/>
      <c r="FM103" s="32"/>
      <c r="FN103" s="32"/>
      <c r="FR103" s="32">
        <f t="shared" si="178"/>
        <v>1258</v>
      </c>
      <c r="FS103" s="32">
        <f t="shared" si="179"/>
        <v>990</v>
      </c>
      <c r="FT103" s="32">
        <f t="shared" si="180"/>
        <v>758</v>
      </c>
      <c r="FU103" s="32">
        <f t="shared" si="181"/>
        <v>957</v>
      </c>
      <c r="FV103" s="32">
        <f t="shared" si="182"/>
        <v>1157</v>
      </c>
      <c r="FW103" s="32">
        <f t="shared" si="183"/>
        <v>738</v>
      </c>
      <c r="FX103" s="32">
        <f t="shared" si="184"/>
        <v>551</v>
      </c>
      <c r="FY103" s="32">
        <f t="shared" si="185"/>
        <v>676</v>
      </c>
      <c r="FZ103" s="32">
        <f t="shared" si="186"/>
        <v>787</v>
      </c>
      <c r="GA103" s="32">
        <f t="shared" si="187"/>
        <v>865</v>
      </c>
      <c r="GB103" s="32">
        <f t="shared" si="188"/>
        <v>1130</v>
      </c>
      <c r="GC103" s="32">
        <f t="shared" si="189"/>
        <v>1250</v>
      </c>
      <c r="GD103" s="32">
        <f t="shared" si="190"/>
        <v>1065</v>
      </c>
      <c r="GE103" s="32">
        <f t="shared" si="191"/>
        <v>789</v>
      </c>
      <c r="GF103" s="32">
        <f t="shared" si="192"/>
        <v>812</v>
      </c>
      <c r="GG103" s="32">
        <f t="shared" si="193"/>
        <v>453</v>
      </c>
      <c r="GH103" s="32">
        <f t="shared" si="194"/>
        <v>691</v>
      </c>
      <c r="GI103" s="32">
        <f t="shared" si="195"/>
        <v>1019</v>
      </c>
      <c r="GJ103" s="32">
        <f t="shared" si="196"/>
        <v>1092</v>
      </c>
      <c r="GK103" s="32">
        <f t="shared" si="197"/>
        <v>1039</v>
      </c>
      <c r="GL103" s="32">
        <f t="shared" si="198"/>
        <v>931</v>
      </c>
      <c r="GM103" s="32">
        <f t="shared" si="199"/>
        <v>781</v>
      </c>
      <c r="GN103" s="32">
        <f t="shared" si="200"/>
        <v>682</v>
      </c>
      <c r="GO103" s="32">
        <f t="shared" si="201"/>
        <v>852</v>
      </c>
      <c r="GP103" s="32">
        <f t="shared" si="202"/>
        <v>519</v>
      </c>
      <c r="GQ103" s="32">
        <f t="shared" si="203"/>
        <v>552</v>
      </c>
      <c r="GR103" s="32">
        <f t="shared" si="204"/>
        <v>413</v>
      </c>
      <c r="GS103" s="32">
        <f t="shared" si="205"/>
        <v>831</v>
      </c>
      <c r="GT103" s="32">
        <f t="shared" si="206"/>
        <v>1177</v>
      </c>
      <c r="GU103" s="32">
        <f t="shared" si="207"/>
        <v>424</v>
      </c>
      <c r="GV103" s="32">
        <f t="shared" si="208"/>
        <v>273</v>
      </c>
      <c r="GW103" s="32">
        <f t="shared" si="209"/>
        <v>368</v>
      </c>
      <c r="GX103" s="32">
        <f t="shared" si="210"/>
        <v>132</v>
      </c>
      <c r="GY103" s="32">
        <f t="shared" si="211"/>
        <v>332</v>
      </c>
      <c r="GZ103" s="32">
        <f t="shared" si="212"/>
        <v>359</v>
      </c>
      <c r="HA103" s="32">
        <f t="shared" si="213"/>
        <v>628</v>
      </c>
      <c r="HB103" s="32">
        <f t="shared" si="214"/>
        <v>403</v>
      </c>
      <c r="HC103" s="32">
        <f t="shared" si="215"/>
        <v>653</v>
      </c>
      <c r="HD103" s="32">
        <f t="shared" si="216"/>
        <v>869</v>
      </c>
      <c r="HE103" s="32">
        <f t="shared" si="217"/>
        <v>1131</v>
      </c>
      <c r="HF103" s="32">
        <f t="shared" si="218"/>
        <v>944</v>
      </c>
      <c r="HG103" s="32">
        <f t="shared" si="219"/>
        <v>752</v>
      </c>
      <c r="HH103" s="32">
        <f t="shared" si="220"/>
        <v>595</v>
      </c>
      <c r="HI103" s="32">
        <f t="shared" si="221"/>
        <v>105</v>
      </c>
      <c r="HJ103" s="32">
        <f t="shared" si="222"/>
        <v>134</v>
      </c>
      <c r="HK103" s="32">
        <f t="shared" si="223"/>
        <v>61</v>
      </c>
      <c r="HL103" s="32">
        <f t="shared" si="224"/>
        <v>226</v>
      </c>
      <c r="HM103" s="32">
        <f t="shared" si="225"/>
        <v>225</v>
      </c>
      <c r="HN103" s="32">
        <f t="shared" si="125"/>
        <v>134</v>
      </c>
      <c r="HO103" s="32">
        <f t="shared" si="126"/>
        <v>61</v>
      </c>
      <c r="HP103" s="32">
        <f t="shared" si="127"/>
        <v>226</v>
      </c>
      <c r="HQ103" s="32">
        <f t="shared" si="128"/>
        <v>225</v>
      </c>
      <c r="HR103" s="32">
        <f t="shared" si="226"/>
        <v>293</v>
      </c>
      <c r="HS103" s="32">
        <f t="shared" si="122"/>
        <v>185</v>
      </c>
      <c r="HT103" s="32">
        <f t="shared" si="227"/>
        <v>211</v>
      </c>
      <c r="HU103" s="32">
        <f t="shared" si="228"/>
        <v>611</v>
      </c>
      <c r="HV103" s="32">
        <f t="shared" si="229"/>
        <v>487</v>
      </c>
      <c r="HW103" s="32">
        <f t="shared" si="230"/>
        <v>123</v>
      </c>
      <c r="HX103" s="32">
        <f t="shared" si="231"/>
        <v>479</v>
      </c>
      <c r="IB103" s="32">
        <f t="shared" si="232"/>
        <v>3963</v>
      </c>
      <c r="IC103" s="32">
        <f t="shared" si="233"/>
        <v>3122</v>
      </c>
      <c r="ID103" s="32">
        <f t="shared" si="234"/>
        <v>4032</v>
      </c>
      <c r="IE103" s="32">
        <f t="shared" si="235"/>
        <v>3119</v>
      </c>
      <c r="IF103" s="32">
        <f t="shared" si="236"/>
        <v>3841</v>
      </c>
      <c r="IG103" s="32">
        <f t="shared" si="237"/>
        <v>3246</v>
      </c>
      <c r="IH103" s="32">
        <f t="shared" si="238"/>
        <v>2315</v>
      </c>
      <c r="II103" s="32">
        <f t="shared" si="239"/>
        <v>2242</v>
      </c>
      <c r="IJ103" s="32">
        <f t="shared" si="240"/>
        <v>1451</v>
      </c>
      <c r="IK103" s="32">
        <f t="shared" si="241"/>
        <v>3169</v>
      </c>
      <c r="IL103" s="32">
        <f t="shared" si="242"/>
        <v>2396</v>
      </c>
      <c r="IM103" s="32">
        <f t="shared" si="243"/>
        <v>646</v>
      </c>
      <c r="IN103" s="32">
        <f t="shared" si="244"/>
        <v>1300</v>
      </c>
    </row>
    <row r="104" spans="1:248" outlineLevel="2" x14ac:dyDescent="0.3">
      <c r="B104" t="s">
        <v>76</v>
      </c>
      <c r="C104">
        <v>143</v>
      </c>
      <c r="D104">
        <v>272</v>
      </c>
      <c r="E104">
        <v>358</v>
      </c>
      <c r="F104">
        <v>272</v>
      </c>
      <c r="G104">
        <v>312</v>
      </c>
      <c r="H104">
        <v>333</v>
      </c>
      <c r="I104">
        <v>272</v>
      </c>
      <c r="J104">
        <v>237</v>
      </c>
      <c r="K104">
        <v>265</v>
      </c>
      <c r="L104">
        <v>312</v>
      </c>
      <c r="M104">
        <v>231</v>
      </c>
      <c r="N104">
        <v>465</v>
      </c>
      <c r="O104">
        <v>219</v>
      </c>
      <c r="P104">
        <v>401</v>
      </c>
      <c r="Q104">
        <v>291</v>
      </c>
      <c r="R104">
        <v>209</v>
      </c>
      <c r="S104">
        <v>234</v>
      </c>
      <c r="T104">
        <v>262</v>
      </c>
      <c r="U104">
        <v>294</v>
      </c>
      <c r="V104">
        <v>261</v>
      </c>
      <c r="W104">
        <v>281</v>
      </c>
      <c r="X104">
        <v>197</v>
      </c>
      <c r="Y104">
        <v>232</v>
      </c>
      <c r="Z104">
        <v>282</v>
      </c>
      <c r="AA104" s="32">
        <v>310</v>
      </c>
      <c r="AB104" s="32">
        <v>329</v>
      </c>
      <c r="AC104" s="32">
        <v>339</v>
      </c>
      <c r="AD104" s="32">
        <v>347</v>
      </c>
      <c r="AE104" s="32">
        <v>561</v>
      </c>
      <c r="AF104" s="32">
        <v>632</v>
      </c>
      <c r="AG104" s="32">
        <v>511</v>
      </c>
      <c r="AH104" s="32">
        <v>437</v>
      </c>
      <c r="AI104" s="32">
        <v>500</v>
      </c>
      <c r="AJ104" s="32">
        <v>466</v>
      </c>
      <c r="AK104" s="32">
        <v>376</v>
      </c>
      <c r="AL104" s="32">
        <v>690</v>
      </c>
      <c r="AM104" s="32">
        <v>468</v>
      </c>
      <c r="AN104" s="32">
        <v>434</v>
      </c>
      <c r="AO104" s="32">
        <v>567</v>
      </c>
      <c r="AP104" s="32">
        <v>648</v>
      </c>
      <c r="AQ104" s="32">
        <v>447</v>
      </c>
      <c r="AR104" s="32">
        <v>360</v>
      </c>
      <c r="AS104" s="32">
        <v>319</v>
      </c>
      <c r="AT104" s="32">
        <v>395</v>
      </c>
      <c r="AU104" s="32">
        <v>453</v>
      </c>
      <c r="AV104" s="32">
        <v>315</v>
      </c>
      <c r="AW104" s="32">
        <v>469</v>
      </c>
      <c r="AX104" s="32">
        <v>411</v>
      </c>
      <c r="AY104" s="32">
        <v>306</v>
      </c>
      <c r="AZ104" s="32">
        <v>303</v>
      </c>
      <c r="BA104" s="32">
        <v>502</v>
      </c>
      <c r="BB104" s="32">
        <v>406</v>
      </c>
      <c r="BC104" s="32">
        <v>576</v>
      </c>
      <c r="BD104" s="32">
        <v>743</v>
      </c>
      <c r="BE104" s="32">
        <v>712</v>
      </c>
      <c r="BF104" s="32">
        <v>695</v>
      </c>
      <c r="BG104" s="32">
        <v>804</v>
      </c>
      <c r="BH104" s="32">
        <v>538</v>
      </c>
      <c r="BI104" s="32">
        <v>650</v>
      </c>
      <c r="BJ104" s="32">
        <v>503</v>
      </c>
      <c r="BK104" s="32">
        <v>414</v>
      </c>
      <c r="BL104" s="32">
        <v>542</v>
      </c>
      <c r="BM104" s="32">
        <v>555</v>
      </c>
      <c r="BN104" s="32">
        <v>528</v>
      </c>
      <c r="BO104" s="32">
        <v>636</v>
      </c>
      <c r="BP104" s="32">
        <v>846</v>
      </c>
      <c r="BQ104" s="32">
        <v>582</v>
      </c>
      <c r="BR104" s="32">
        <v>768</v>
      </c>
      <c r="BS104" s="32">
        <v>693</v>
      </c>
      <c r="BT104" s="32">
        <v>407</v>
      </c>
      <c r="BU104" s="32">
        <v>759</v>
      </c>
      <c r="BV104" s="32">
        <v>439</v>
      </c>
      <c r="BW104" s="32">
        <v>322</v>
      </c>
      <c r="BX104" s="32">
        <v>386</v>
      </c>
      <c r="BY104" s="32">
        <v>641</v>
      </c>
      <c r="BZ104" s="32">
        <v>460</v>
      </c>
      <c r="CA104" s="32">
        <v>559</v>
      </c>
      <c r="CB104" s="32">
        <v>708</v>
      </c>
      <c r="CC104" s="32">
        <v>406</v>
      </c>
      <c r="CD104" s="32">
        <v>426</v>
      </c>
      <c r="CE104" s="32">
        <v>452</v>
      </c>
      <c r="CF104" s="32">
        <v>512</v>
      </c>
      <c r="CG104" s="32">
        <v>368</v>
      </c>
      <c r="CH104" s="32">
        <v>380</v>
      </c>
      <c r="CI104" s="32">
        <v>392</v>
      </c>
      <c r="CJ104" s="32">
        <v>264</v>
      </c>
      <c r="CK104" s="32">
        <v>486</v>
      </c>
      <c r="CL104" s="32">
        <v>270</v>
      </c>
      <c r="CM104" s="32">
        <v>528</v>
      </c>
      <c r="CN104" s="32">
        <v>568</v>
      </c>
      <c r="CO104" s="32">
        <v>341</v>
      </c>
      <c r="CP104" s="32">
        <v>240</v>
      </c>
      <c r="CQ104" s="32">
        <v>393</v>
      </c>
      <c r="CR104" s="32">
        <v>208</v>
      </c>
      <c r="CS104" s="32">
        <v>210</v>
      </c>
      <c r="CT104" s="32">
        <v>71</v>
      </c>
      <c r="CU104" s="32">
        <v>8</v>
      </c>
      <c r="CV104" s="32">
        <v>87</v>
      </c>
      <c r="CW104" s="32">
        <v>302</v>
      </c>
      <c r="CX104" s="32">
        <v>478</v>
      </c>
      <c r="CY104" s="32">
        <v>374</v>
      </c>
      <c r="CZ104" s="32">
        <v>658</v>
      </c>
      <c r="DA104" s="32">
        <v>437</v>
      </c>
      <c r="DB104" s="32">
        <v>622</v>
      </c>
      <c r="DC104" s="32">
        <v>636</v>
      </c>
      <c r="DD104" s="32">
        <v>375</v>
      </c>
      <c r="DE104" s="32">
        <v>327</v>
      </c>
      <c r="DF104" s="32">
        <v>318</v>
      </c>
      <c r="DG104" s="32">
        <v>724</v>
      </c>
      <c r="DH104" s="32">
        <v>717</v>
      </c>
      <c r="DI104" s="32">
        <v>678</v>
      </c>
      <c r="DJ104" s="32">
        <v>816</v>
      </c>
      <c r="DK104" s="32">
        <v>601</v>
      </c>
      <c r="DL104" s="32">
        <v>604</v>
      </c>
      <c r="DM104" s="32">
        <v>666</v>
      </c>
      <c r="DN104" s="32">
        <v>693</v>
      </c>
      <c r="DO104" s="32">
        <v>605</v>
      </c>
      <c r="DP104" s="32">
        <v>613</v>
      </c>
      <c r="DQ104" s="32">
        <v>558</v>
      </c>
      <c r="DR104" s="32">
        <v>660</v>
      </c>
      <c r="DS104" s="32">
        <v>731</v>
      </c>
      <c r="DT104" s="32">
        <v>614</v>
      </c>
      <c r="DU104" s="32">
        <v>964</v>
      </c>
      <c r="DV104" s="32">
        <v>724</v>
      </c>
      <c r="DW104" s="32">
        <v>561</v>
      </c>
      <c r="DX104" s="32">
        <v>642</v>
      </c>
      <c r="DY104" s="32">
        <v>656</v>
      </c>
      <c r="DZ104" s="32">
        <v>583</v>
      </c>
      <c r="EA104" s="32">
        <v>465</v>
      </c>
      <c r="EB104" s="32">
        <v>237</v>
      </c>
      <c r="EC104" s="32">
        <v>220</v>
      </c>
      <c r="ED104" s="32">
        <v>442</v>
      </c>
      <c r="EE104" s="32">
        <v>349</v>
      </c>
      <c r="EF104" s="32">
        <v>375</v>
      </c>
      <c r="EG104" s="32">
        <v>381</v>
      </c>
      <c r="EH104" s="32">
        <v>314</v>
      </c>
      <c r="EI104" s="32">
        <v>584</v>
      </c>
      <c r="EJ104" s="32">
        <v>530</v>
      </c>
      <c r="EK104" s="32">
        <v>432</v>
      </c>
      <c r="EL104" s="32">
        <v>339</v>
      </c>
      <c r="EM104" s="32">
        <v>473</v>
      </c>
      <c r="EN104" s="32">
        <v>129</v>
      </c>
      <c r="EO104" s="32">
        <v>138</v>
      </c>
      <c r="EP104" s="32">
        <v>317</v>
      </c>
      <c r="EQ104" s="32">
        <v>212</v>
      </c>
      <c r="ER104" s="32">
        <v>339</v>
      </c>
      <c r="ES104" s="32">
        <v>282</v>
      </c>
      <c r="ET104" s="32">
        <v>174</v>
      </c>
      <c r="EU104" s="32">
        <v>312</v>
      </c>
      <c r="EV104" s="32">
        <v>259</v>
      </c>
      <c r="EW104" s="32">
        <v>286</v>
      </c>
      <c r="EX104" s="32">
        <v>618</v>
      </c>
      <c r="EY104" s="32">
        <v>238</v>
      </c>
      <c r="EZ104" s="32">
        <v>199</v>
      </c>
      <c r="FA104" s="32">
        <v>286</v>
      </c>
      <c r="FB104" s="32">
        <v>411</v>
      </c>
      <c r="FC104" s="32">
        <v>340</v>
      </c>
      <c r="FD104" s="32">
        <v>467</v>
      </c>
      <c r="FE104" s="32">
        <v>451</v>
      </c>
      <c r="FF104" s="32">
        <v>574</v>
      </c>
      <c r="FG104" s="32">
        <v>589</v>
      </c>
      <c r="FH104" s="32">
        <v>636</v>
      </c>
      <c r="FI104" s="32">
        <v>662</v>
      </c>
      <c r="FJ104" s="32">
        <v>538</v>
      </c>
      <c r="FK104" s="32">
        <v>255</v>
      </c>
      <c r="FL104" s="32"/>
      <c r="FM104" s="32"/>
      <c r="FN104" s="32"/>
      <c r="FR104" s="32">
        <f t="shared" si="178"/>
        <v>773</v>
      </c>
      <c r="FS104" s="32">
        <f t="shared" si="179"/>
        <v>917</v>
      </c>
      <c r="FT104" s="32">
        <f t="shared" si="180"/>
        <v>774</v>
      </c>
      <c r="FU104" s="32">
        <f t="shared" si="181"/>
        <v>1008</v>
      </c>
      <c r="FV104" s="32">
        <f t="shared" si="182"/>
        <v>911</v>
      </c>
      <c r="FW104" s="32">
        <f t="shared" si="183"/>
        <v>705</v>
      </c>
      <c r="FX104" s="32">
        <f t="shared" si="184"/>
        <v>836</v>
      </c>
      <c r="FY104" s="32">
        <f t="shared" si="185"/>
        <v>711</v>
      </c>
      <c r="FZ104" s="32">
        <f t="shared" si="186"/>
        <v>978</v>
      </c>
      <c r="GA104" s="32">
        <f t="shared" si="187"/>
        <v>1540</v>
      </c>
      <c r="GB104" s="32">
        <f t="shared" si="188"/>
        <v>1448</v>
      </c>
      <c r="GC104" s="32">
        <f t="shared" si="189"/>
        <v>1532</v>
      </c>
      <c r="GD104" s="32">
        <f t="shared" si="190"/>
        <v>1469</v>
      </c>
      <c r="GE104" s="32">
        <f t="shared" si="191"/>
        <v>1455</v>
      </c>
      <c r="GF104" s="32">
        <f t="shared" si="192"/>
        <v>1167</v>
      </c>
      <c r="GG104" s="32">
        <f t="shared" si="193"/>
        <v>1195</v>
      </c>
      <c r="GH104" s="32">
        <f t="shared" si="194"/>
        <v>1111</v>
      </c>
      <c r="GI104" s="32">
        <f t="shared" si="195"/>
        <v>1725</v>
      </c>
      <c r="GJ104" s="32">
        <f t="shared" si="196"/>
        <v>2211</v>
      </c>
      <c r="GK104" s="32">
        <f t="shared" si="197"/>
        <v>1691</v>
      </c>
      <c r="GL104" s="32">
        <f t="shared" si="198"/>
        <v>1511</v>
      </c>
      <c r="GM104" s="32">
        <f t="shared" si="199"/>
        <v>2010</v>
      </c>
      <c r="GN104" s="32">
        <f t="shared" si="200"/>
        <v>2043</v>
      </c>
      <c r="GO104" s="32">
        <f t="shared" si="201"/>
        <v>1605</v>
      </c>
      <c r="GP104" s="32">
        <f t="shared" si="202"/>
        <v>1349</v>
      </c>
      <c r="GQ104" s="32">
        <f t="shared" si="203"/>
        <v>1727</v>
      </c>
      <c r="GR104" s="32">
        <f t="shared" si="204"/>
        <v>1284</v>
      </c>
      <c r="GS104" s="32">
        <f t="shared" si="205"/>
        <v>1260</v>
      </c>
      <c r="GT104" s="32">
        <f t="shared" si="206"/>
        <v>1142</v>
      </c>
      <c r="GU104" s="32">
        <f t="shared" si="207"/>
        <v>1366</v>
      </c>
      <c r="GV104" s="32">
        <f t="shared" si="208"/>
        <v>974</v>
      </c>
      <c r="GW104" s="32">
        <f t="shared" si="209"/>
        <v>489</v>
      </c>
      <c r="GX104" s="32">
        <f t="shared" si="210"/>
        <v>397</v>
      </c>
      <c r="GY104" s="32">
        <f t="shared" si="211"/>
        <v>1510</v>
      </c>
      <c r="GZ104" s="32">
        <f t="shared" si="212"/>
        <v>1695</v>
      </c>
      <c r="HA104" s="32">
        <f t="shared" si="213"/>
        <v>1020</v>
      </c>
      <c r="HB104" s="32">
        <f t="shared" si="214"/>
        <v>1441</v>
      </c>
      <c r="HC104" s="32">
        <f t="shared" si="215"/>
        <v>2021</v>
      </c>
      <c r="HD104" s="32">
        <f t="shared" si="216"/>
        <v>1964</v>
      </c>
      <c r="HE104" s="32">
        <f t="shared" si="217"/>
        <v>1831</v>
      </c>
      <c r="HF104" s="32">
        <f t="shared" si="218"/>
        <v>2309</v>
      </c>
      <c r="HG104" s="32">
        <f t="shared" si="219"/>
        <v>1927</v>
      </c>
      <c r="HH104" s="32">
        <f t="shared" si="220"/>
        <v>1704</v>
      </c>
      <c r="HI104" s="32">
        <f t="shared" si="221"/>
        <v>899</v>
      </c>
      <c r="HJ104" s="32">
        <f t="shared" si="222"/>
        <v>1105</v>
      </c>
      <c r="HK104" s="32">
        <f t="shared" si="223"/>
        <v>1428</v>
      </c>
      <c r="HL104" s="32">
        <f t="shared" si="224"/>
        <v>1244</v>
      </c>
      <c r="HM104" s="32">
        <f t="shared" si="225"/>
        <v>584</v>
      </c>
      <c r="HN104" s="32">
        <f t="shared" si="125"/>
        <v>1105</v>
      </c>
      <c r="HO104" s="32">
        <f t="shared" si="126"/>
        <v>1428</v>
      </c>
      <c r="HP104" s="32">
        <f t="shared" si="127"/>
        <v>1244</v>
      </c>
      <c r="HQ104" s="32">
        <f t="shared" si="128"/>
        <v>584</v>
      </c>
      <c r="HR104" s="32">
        <f t="shared" si="226"/>
        <v>833</v>
      </c>
      <c r="HS104" s="32">
        <f t="shared" si="122"/>
        <v>745</v>
      </c>
      <c r="HT104" s="32">
        <f t="shared" si="227"/>
        <v>1142</v>
      </c>
      <c r="HU104" s="32">
        <f t="shared" si="228"/>
        <v>896</v>
      </c>
      <c r="HV104" s="32">
        <f t="shared" si="229"/>
        <v>1258</v>
      </c>
      <c r="HW104" s="32">
        <f t="shared" si="230"/>
        <v>1799</v>
      </c>
      <c r="HX104" s="32">
        <f t="shared" si="231"/>
        <v>1455</v>
      </c>
      <c r="IB104" s="32">
        <f t="shared" si="232"/>
        <v>3472</v>
      </c>
      <c r="IC104" s="32">
        <f t="shared" si="233"/>
        <v>3163</v>
      </c>
      <c r="ID104" s="32">
        <f t="shared" si="234"/>
        <v>5498</v>
      </c>
      <c r="IE104" s="32">
        <f t="shared" si="235"/>
        <v>5286</v>
      </c>
      <c r="IF104" s="32">
        <f t="shared" si="236"/>
        <v>6738</v>
      </c>
      <c r="IG104" s="32">
        <f t="shared" si="237"/>
        <v>7169</v>
      </c>
      <c r="IH104" s="32">
        <f t="shared" si="238"/>
        <v>5620</v>
      </c>
      <c r="II104" s="32">
        <f t="shared" si="239"/>
        <v>3971</v>
      </c>
      <c r="IJ104" s="32">
        <f t="shared" si="240"/>
        <v>4622</v>
      </c>
      <c r="IK104" s="32">
        <f t="shared" si="241"/>
        <v>7935</v>
      </c>
      <c r="IL104" s="32">
        <f t="shared" si="242"/>
        <v>6839</v>
      </c>
      <c r="IM104" s="32">
        <f t="shared" si="243"/>
        <v>4361</v>
      </c>
      <c r="IN104" s="32">
        <f t="shared" si="244"/>
        <v>3616</v>
      </c>
    </row>
    <row r="105" spans="1:248" outlineLevel="2" x14ac:dyDescent="0.3">
      <c r="B105" t="s">
        <v>77</v>
      </c>
      <c r="C105">
        <v>354</v>
      </c>
      <c r="D105">
        <v>186</v>
      </c>
      <c r="E105">
        <v>477</v>
      </c>
      <c r="F105">
        <v>408</v>
      </c>
      <c r="G105">
        <v>222</v>
      </c>
      <c r="H105">
        <v>490</v>
      </c>
      <c r="I105">
        <v>242</v>
      </c>
      <c r="J105">
        <v>270</v>
      </c>
      <c r="K105">
        <v>445</v>
      </c>
      <c r="L105">
        <v>509</v>
      </c>
      <c r="M105">
        <v>354</v>
      </c>
      <c r="N105">
        <v>903</v>
      </c>
      <c r="O105">
        <v>370</v>
      </c>
      <c r="P105">
        <v>377</v>
      </c>
      <c r="Q105">
        <v>348</v>
      </c>
      <c r="R105">
        <v>236</v>
      </c>
      <c r="S105">
        <v>164</v>
      </c>
      <c r="T105">
        <v>219</v>
      </c>
      <c r="U105">
        <v>264</v>
      </c>
      <c r="V105">
        <v>355</v>
      </c>
      <c r="W105">
        <v>323</v>
      </c>
      <c r="X105">
        <v>416</v>
      </c>
      <c r="Y105">
        <v>499</v>
      </c>
      <c r="Z105">
        <v>617</v>
      </c>
      <c r="AA105" s="32">
        <v>294</v>
      </c>
      <c r="AB105" s="32">
        <v>263</v>
      </c>
      <c r="AC105" s="32">
        <v>348</v>
      </c>
      <c r="AD105" s="32">
        <v>375</v>
      </c>
      <c r="AE105" s="32">
        <v>384</v>
      </c>
      <c r="AF105" s="32">
        <v>556</v>
      </c>
      <c r="AG105" s="32">
        <v>335</v>
      </c>
      <c r="AH105" s="32">
        <v>294</v>
      </c>
      <c r="AI105" s="32">
        <v>250</v>
      </c>
      <c r="AJ105" s="32">
        <v>232</v>
      </c>
      <c r="AK105" s="32">
        <v>406</v>
      </c>
      <c r="AL105" s="32">
        <v>702</v>
      </c>
      <c r="AM105" s="32">
        <v>222</v>
      </c>
      <c r="AN105" s="32">
        <v>234</v>
      </c>
      <c r="AO105" s="32">
        <v>245</v>
      </c>
      <c r="AP105" s="32">
        <v>374</v>
      </c>
      <c r="AQ105" s="32">
        <v>281</v>
      </c>
      <c r="AR105" s="32">
        <v>290</v>
      </c>
      <c r="AS105" s="32">
        <v>302</v>
      </c>
      <c r="AT105" s="32">
        <v>178</v>
      </c>
      <c r="AU105" s="32">
        <v>406</v>
      </c>
      <c r="AV105" s="32">
        <v>169</v>
      </c>
      <c r="AW105" s="32">
        <v>284</v>
      </c>
      <c r="AX105" s="32">
        <v>191</v>
      </c>
      <c r="AY105" s="32">
        <v>275</v>
      </c>
      <c r="AZ105" s="32">
        <v>414</v>
      </c>
      <c r="BA105" s="32">
        <v>478</v>
      </c>
      <c r="BB105" s="32">
        <v>392</v>
      </c>
      <c r="BC105" s="32">
        <v>325</v>
      </c>
      <c r="BD105" s="32">
        <v>413</v>
      </c>
      <c r="BE105" s="32">
        <v>254</v>
      </c>
      <c r="BF105" s="32">
        <v>284</v>
      </c>
      <c r="BG105" s="32">
        <v>319</v>
      </c>
      <c r="BH105" s="32">
        <v>356</v>
      </c>
      <c r="BI105" s="32">
        <v>305</v>
      </c>
      <c r="BJ105" s="32">
        <v>399</v>
      </c>
      <c r="BK105" s="32">
        <v>288</v>
      </c>
      <c r="BL105" s="32">
        <v>258</v>
      </c>
      <c r="BM105" s="32">
        <v>418</v>
      </c>
      <c r="BN105" s="32">
        <v>310</v>
      </c>
      <c r="BO105" s="32">
        <v>315</v>
      </c>
      <c r="BP105" s="32">
        <v>578</v>
      </c>
      <c r="BQ105" s="32">
        <v>315</v>
      </c>
      <c r="BR105" s="32">
        <v>636</v>
      </c>
      <c r="BS105" s="32">
        <v>708</v>
      </c>
      <c r="BT105" s="32">
        <v>611</v>
      </c>
      <c r="BU105" s="32">
        <v>46</v>
      </c>
      <c r="BV105" s="32">
        <v>615</v>
      </c>
      <c r="BW105" s="32">
        <v>521</v>
      </c>
      <c r="BX105" s="32">
        <v>562</v>
      </c>
      <c r="BY105" s="32">
        <v>452</v>
      </c>
      <c r="BZ105" s="32">
        <v>537</v>
      </c>
      <c r="CA105" s="32">
        <v>659</v>
      </c>
      <c r="CB105" s="32">
        <v>659</v>
      </c>
      <c r="CC105" s="32">
        <v>431</v>
      </c>
      <c r="CD105" s="32">
        <v>275</v>
      </c>
      <c r="CE105" s="32">
        <v>310</v>
      </c>
      <c r="CF105" s="32">
        <v>409</v>
      </c>
      <c r="CG105" s="32">
        <v>298</v>
      </c>
      <c r="CH105" s="32">
        <v>524</v>
      </c>
      <c r="CI105" s="32">
        <v>385</v>
      </c>
      <c r="CJ105" s="32">
        <v>401</v>
      </c>
      <c r="CK105" s="32">
        <v>297</v>
      </c>
      <c r="CL105" s="32">
        <v>362</v>
      </c>
      <c r="CM105" s="32">
        <v>251</v>
      </c>
      <c r="CN105" s="32">
        <v>250</v>
      </c>
      <c r="CO105" s="32">
        <v>372</v>
      </c>
      <c r="CP105" s="32">
        <v>289</v>
      </c>
      <c r="CQ105" s="32">
        <v>213</v>
      </c>
      <c r="CR105" s="32">
        <v>361</v>
      </c>
      <c r="CS105" s="32">
        <v>352</v>
      </c>
      <c r="CT105" s="32">
        <v>70</v>
      </c>
      <c r="CU105" s="32">
        <v>42</v>
      </c>
      <c r="CV105" s="32">
        <v>191</v>
      </c>
      <c r="CW105" s="32">
        <v>301</v>
      </c>
      <c r="CX105" s="32">
        <v>345</v>
      </c>
      <c r="CY105" s="32">
        <v>397</v>
      </c>
      <c r="CZ105" s="32">
        <v>270</v>
      </c>
      <c r="DA105" s="32">
        <v>442</v>
      </c>
      <c r="DB105" s="32">
        <v>353</v>
      </c>
      <c r="DC105" s="32">
        <v>421</v>
      </c>
      <c r="DD105" s="32">
        <v>614</v>
      </c>
      <c r="DE105" s="32">
        <v>439</v>
      </c>
      <c r="DF105" s="32">
        <v>589</v>
      </c>
      <c r="DG105" s="32">
        <v>461</v>
      </c>
      <c r="DH105" s="32">
        <v>394</v>
      </c>
      <c r="DI105" s="32">
        <v>519</v>
      </c>
      <c r="DJ105" s="32">
        <v>454</v>
      </c>
      <c r="DK105" s="32">
        <v>479</v>
      </c>
      <c r="DL105" s="32">
        <v>424</v>
      </c>
      <c r="DM105" s="32">
        <v>564</v>
      </c>
      <c r="DN105" s="32">
        <v>556</v>
      </c>
      <c r="DO105" s="32">
        <v>607</v>
      </c>
      <c r="DP105" s="32">
        <v>440</v>
      </c>
      <c r="DQ105" s="32">
        <v>529</v>
      </c>
      <c r="DR105" s="32">
        <v>620</v>
      </c>
      <c r="DS105" s="32">
        <v>530</v>
      </c>
      <c r="DT105" s="32">
        <v>518</v>
      </c>
      <c r="DU105" s="32">
        <v>738</v>
      </c>
      <c r="DV105" s="32">
        <v>633</v>
      </c>
      <c r="DW105" s="32">
        <v>544</v>
      </c>
      <c r="DX105" s="32">
        <v>596</v>
      </c>
      <c r="DY105" s="32">
        <v>571</v>
      </c>
      <c r="DZ105" s="32">
        <v>530</v>
      </c>
      <c r="EA105" s="32">
        <v>975</v>
      </c>
      <c r="EB105" s="32">
        <v>978</v>
      </c>
      <c r="EC105" s="32">
        <v>903</v>
      </c>
      <c r="ED105" s="32">
        <v>862</v>
      </c>
      <c r="EE105" s="32">
        <v>543</v>
      </c>
      <c r="EF105" s="32">
        <v>606</v>
      </c>
      <c r="EG105" s="32">
        <v>644</v>
      </c>
      <c r="EH105" s="32">
        <v>607</v>
      </c>
      <c r="EI105" s="32">
        <v>409</v>
      </c>
      <c r="EJ105" s="32">
        <v>598</v>
      </c>
      <c r="EK105" s="32">
        <v>613</v>
      </c>
      <c r="EL105" s="32">
        <v>562</v>
      </c>
      <c r="EM105" s="32">
        <v>405</v>
      </c>
      <c r="EN105" s="32">
        <v>380</v>
      </c>
      <c r="EO105" s="32">
        <v>421</v>
      </c>
      <c r="EP105" s="32">
        <v>346</v>
      </c>
      <c r="EQ105" s="32">
        <v>360</v>
      </c>
      <c r="ER105" s="32">
        <v>553</v>
      </c>
      <c r="ES105" s="32">
        <v>410</v>
      </c>
      <c r="ET105" s="32">
        <v>511</v>
      </c>
      <c r="EU105" s="32">
        <v>497</v>
      </c>
      <c r="EV105" s="32">
        <v>319</v>
      </c>
      <c r="EW105" s="32">
        <v>308</v>
      </c>
      <c r="EX105" s="32">
        <v>621</v>
      </c>
      <c r="EY105" s="32">
        <v>481</v>
      </c>
      <c r="EZ105" s="32">
        <v>647</v>
      </c>
      <c r="FA105" s="32">
        <v>835</v>
      </c>
      <c r="FB105" s="32">
        <v>985</v>
      </c>
      <c r="FC105" s="32">
        <v>475</v>
      </c>
      <c r="FD105" s="32">
        <v>507</v>
      </c>
      <c r="FE105" s="32">
        <v>482</v>
      </c>
      <c r="FF105" s="32">
        <v>500</v>
      </c>
      <c r="FG105" s="32">
        <v>529</v>
      </c>
      <c r="FH105" s="32">
        <v>487</v>
      </c>
      <c r="FI105" s="32">
        <v>409</v>
      </c>
      <c r="FJ105" s="32">
        <v>701</v>
      </c>
      <c r="FK105" s="32">
        <v>766</v>
      </c>
      <c r="FL105" s="32"/>
      <c r="FM105" s="32"/>
      <c r="FN105" s="32"/>
      <c r="FR105" s="32">
        <f t="shared" si="178"/>
        <v>1017</v>
      </c>
      <c r="FS105" s="32">
        <f t="shared" si="179"/>
        <v>1120</v>
      </c>
      <c r="FT105" s="32">
        <f t="shared" si="180"/>
        <v>957</v>
      </c>
      <c r="FU105" s="32">
        <f t="shared" si="181"/>
        <v>1766</v>
      </c>
      <c r="FV105" s="32">
        <f t="shared" si="182"/>
        <v>1095</v>
      </c>
      <c r="FW105" s="32">
        <f t="shared" si="183"/>
        <v>619</v>
      </c>
      <c r="FX105" s="32">
        <f t="shared" si="184"/>
        <v>942</v>
      </c>
      <c r="FY105" s="32">
        <f t="shared" si="185"/>
        <v>1532</v>
      </c>
      <c r="FZ105" s="32">
        <f t="shared" si="186"/>
        <v>905</v>
      </c>
      <c r="GA105" s="32">
        <f t="shared" si="187"/>
        <v>1315</v>
      </c>
      <c r="GB105" s="32">
        <f t="shared" si="188"/>
        <v>879</v>
      </c>
      <c r="GC105" s="32">
        <f t="shared" si="189"/>
        <v>1340</v>
      </c>
      <c r="GD105" s="32">
        <f t="shared" si="190"/>
        <v>701</v>
      </c>
      <c r="GE105" s="32">
        <f t="shared" si="191"/>
        <v>945</v>
      </c>
      <c r="GF105" s="32">
        <f t="shared" si="192"/>
        <v>886</v>
      </c>
      <c r="GG105" s="32">
        <f t="shared" si="193"/>
        <v>644</v>
      </c>
      <c r="GH105" s="32">
        <f t="shared" si="194"/>
        <v>1167</v>
      </c>
      <c r="GI105" s="32">
        <f t="shared" si="195"/>
        <v>1130</v>
      </c>
      <c r="GJ105" s="32">
        <f t="shared" si="196"/>
        <v>857</v>
      </c>
      <c r="GK105" s="32">
        <f t="shared" si="197"/>
        <v>1060</v>
      </c>
      <c r="GL105" s="32">
        <f t="shared" si="198"/>
        <v>964</v>
      </c>
      <c r="GM105" s="32">
        <f t="shared" si="199"/>
        <v>1203</v>
      </c>
      <c r="GN105" s="32">
        <f t="shared" si="200"/>
        <v>1659</v>
      </c>
      <c r="GO105" s="32">
        <f t="shared" si="201"/>
        <v>1272</v>
      </c>
      <c r="GP105" s="32">
        <f t="shared" si="202"/>
        <v>1535</v>
      </c>
      <c r="GQ105" s="32">
        <f t="shared" si="203"/>
        <v>1855</v>
      </c>
      <c r="GR105" s="32">
        <f t="shared" si="204"/>
        <v>1016</v>
      </c>
      <c r="GS105" s="32">
        <f t="shared" si="205"/>
        <v>1231</v>
      </c>
      <c r="GT105" s="32">
        <f t="shared" si="206"/>
        <v>1083</v>
      </c>
      <c r="GU105" s="32">
        <f t="shared" si="207"/>
        <v>863</v>
      </c>
      <c r="GV105" s="32">
        <f t="shared" si="208"/>
        <v>874</v>
      </c>
      <c r="GW105" s="32">
        <f t="shared" si="209"/>
        <v>783</v>
      </c>
      <c r="GX105" s="32">
        <f t="shared" si="210"/>
        <v>534</v>
      </c>
      <c r="GY105" s="32">
        <f t="shared" si="211"/>
        <v>1012</v>
      </c>
      <c r="GZ105" s="32">
        <f t="shared" si="212"/>
        <v>1216</v>
      </c>
      <c r="HA105" s="32">
        <f t="shared" si="213"/>
        <v>1642</v>
      </c>
      <c r="HB105" s="32">
        <f t="shared" si="214"/>
        <v>855</v>
      </c>
      <c r="HC105" s="32">
        <f t="shared" si="215"/>
        <v>1357</v>
      </c>
      <c r="HD105" s="32">
        <f t="shared" si="216"/>
        <v>1727</v>
      </c>
      <c r="HE105" s="32">
        <f t="shared" si="217"/>
        <v>1589</v>
      </c>
      <c r="HF105" s="32">
        <f t="shared" si="218"/>
        <v>1786</v>
      </c>
      <c r="HG105" s="32">
        <f t="shared" si="219"/>
        <v>1773</v>
      </c>
      <c r="HH105" s="32">
        <f t="shared" si="220"/>
        <v>2076</v>
      </c>
      <c r="HI105" s="32">
        <f t="shared" si="221"/>
        <v>2743</v>
      </c>
      <c r="HJ105" s="32">
        <f t="shared" si="222"/>
        <v>1793</v>
      </c>
      <c r="HK105" s="32">
        <f t="shared" si="223"/>
        <v>1614</v>
      </c>
      <c r="HL105" s="32">
        <f t="shared" si="224"/>
        <v>1580</v>
      </c>
      <c r="HM105" s="32">
        <f t="shared" si="225"/>
        <v>1147</v>
      </c>
      <c r="HN105" s="32">
        <f t="shared" si="125"/>
        <v>1793</v>
      </c>
      <c r="HO105" s="32">
        <f t="shared" si="126"/>
        <v>1614</v>
      </c>
      <c r="HP105" s="32">
        <f t="shared" si="127"/>
        <v>1580</v>
      </c>
      <c r="HQ105" s="32">
        <f t="shared" si="128"/>
        <v>1147</v>
      </c>
      <c r="HR105" s="32">
        <f t="shared" si="226"/>
        <v>1323</v>
      </c>
      <c r="HS105" s="32">
        <f t="shared" si="122"/>
        <v>1327</v>
      </c>
      <c r="HT105" s="32">
        <f t="shared" si="227"/>
        <v>1410</v>
      </c>
      <c r="HU105" s="32">
        <f t="shared" si="228"/>
        <v>2467</v>
      </c>
      <c r="HV105" s="32">
        <f t="shared" si="229"/>
        <v>1464</v>
      </c>
      <c r="HW105" s="32">
        <f t="shared" si="230"/>
        <v>1516</v>
      </c>
      <c r="HX105" s="32">
        <f t="shared" si="231"/>
        <v>1876</v>
      </c>
      <c r="IB105" s="32">
        <f t="shared" si="232"/>
        <v>4860</v>
      </c>
      <c r="IC105" s="32">
        <f t="shared" si="233"/>
        <v>4188</v>
      </c>
      <c r="ID105" s="32">
        <f t="shared" si="234"/>
        <v>4439</v>
      </c>
      <c r="IE105" s="32">
        <f t="shared" si="235"/>
        <v>3176</v>
      </c>
      <c r="IF105" s="32">
        <f t="shared" si="236"/>
        <v>4214</v>
      </c>
      <c r="IG105" s="32">
        <f t="shared" si="237"/>
        <v>5098</v>
      </c>
      <c r="IH105" s="32">
        <f t="shared" si="238"/>
        <v>5637</v>
      </c>
      <c r="II105" s="32">
        <f t="shared" si="239"/>
        <v>3603</v>
      </c>
      <c r="IJ105" s="32">
        <f t="shared" si="240"/>
        <v>4404</v>
      </c>
      <c r="IK105" s="32">
        <f t="shared" si="241"/>
        <v>6047</v>
      </c>
      <c r="IL105" s="32">
        <f t="shared" si="242"/>
        <v>8378</v>
      </c>
      <c r="IM105" s="32">
        <f t="shared" si="243"/>
        <v>6134</v>
      </c>
      <c r="IN105" s="32">
        <f t="shared" si="244"/>
        <v>6527</v>
      </c>
    </row>
    <row r="106" spans="1:248" outlineLevel="2" x14ac:dyDescent="0.3">
      <c r="B106" t="s">
        <v>78</v>
      </c>
      <c r="C106">
        <v>1</v>
      </c>
      <c r="D106">
        <v>0</v>
      </c>
      <c r="E106">
        <v>4</v>
      </c>
      <c r="F106">
        <v>2</v>
      </c>
      <c r="G106">
        <v>22</v>
      </c>
      <c r="H106">
        <v>20</v>
      </c>
      <c r="I106">
        <v>5</v>
      </c>
      <c r="J106">
        <v>20</v>
      </c>
      <c r="K106">
        <v>14</v>
      </c>
      <c r="L106">
        <v>18</v>
      </c>
      <c r="M106">
        <v>10</v>
      </c>
      <c r="N106">
        <v>24</v>
      </c>
      <c r="O106">
        <v>8</v>
      </c>
      <c r="P106">
        <v>13</v>
      </c>
      <c r="Q106">
        <v>14</v>
      </c>
      <c r="R106">
        <v>15</v>
      </c>
      <c r="S106">
        <v>8</v>
      </c>
      <c r="T106">
        <v>3</v>
      </c>
      <c r="U106">
        <v>1</v>
      </c>
      <c r="V106">
        <v>6</v>
      </c>
      <c r="W106">
        <v>0</v>
      </c>
      <c r="X106">
        <v>4</v>
      </c>
      <c r="Y106">
        <v>3</v>
      </c>
      <c r="Z106">
        <v>15</v>
      </c>
      <c r="AA106" s="32">
        <v>22</v>
      </c>
      <c r="AB106" s="32">
        <v>6</v>
      </c>
      <c r="AC106" s="32">
        <v>16</v>
      </c>
      <c r="AD106" s="32">
        <v>9</v>
      </c>
      <c r="AE106" s="32">
        <v>10</v>
      </c>
      <c r="AF106" s="32">
        <v>25</v>
      </c>
      <c r="AG106" s="32">
        <v>8</v>
      </c>
      <c r="AH106" s="32">
        <v>4</v>
      </c>
      <c r="AI106" s="32">
        <v>4</v>
      </c>
      <c r="AJ106" s="32">
        <v>4</v>
      </c>
      <c r="AK106" s="32">
        <v>13</v>
      </c>
      <c r="AL106" s="32">
        <v>2</v>
      </c>
      <c r="AM106" s="32">
        <v>6</v>
      </c>
      <c r="AN106" s="32">
        <v>4</v>
      </c>
      <c r="AO106" s="32">
        <v>1</v>
      </c>
      <c r="AP106" s="32">
        <v>10</v>
      </c>
      <c r="AQ106" s="32">
        <v>7</v>
      </c>
      <c r="AR106" s="32">
        <v>1</v>
      </c>
      <c r="AS106" s="32">
        <v>9</v>
      </c>
      <c r="AT106" s="32">
        <v>2</v>
      </c>
      <c r="AU106" s="32">
        <v>21</v>
      </c>
      <c r="AV106" s="32">
        <v>2</v>
      </c>
      <c r="AW106" s="32">
        <v>32</v>
      </c>
      <c r="AX106" s="32">
        <v>12</v>
      </c>
      <c r="AY106" s="32">
        <v>2</v>
      </c>
      <c r="AZ106" s="32">
        <v>3</v>
      </c>
      <c r="BA106" s="32">
        <v>1</v>
      </c>
      <c r="BB106" s="32">
        <v>2</v>
      </c>
      <c r="BC106" s="32">
        <v>9</v>
      </c>
      <c r="BD106" s="32">
        <v>9</v>
      </c>
      <c r="BE106" s="32">
        <v>9</v>
      </c>
      <c r="BF106" s="32">
        <v>6</v>
      </c>
      <c r="BG106" s="32">
        <v>4</v>
      </c>
      <c r="BH106" s="32">
        <v>2</v>
      </c>
      <c r="BI106" s="32">
        <v>2</v>
      </c>
      <c r="BJ106" s="32">
        <v>2</v>
      </c>
      <c r="BK106" s="32">
        <v>3</v>
      </c>
      <c r="BL106" s="32">
        <v>1</v>
      </c>
      <c r="BM106" s="32">
        <v>5</v>
      </c>
      <c r="BN106" s="32">
        <v>8</v>
      </c>
      <c r="BO106" s="32">
        <v>1</v>
      </c>
      <c r="BP106" s="32">
        <v>3</v>
      </c>
      <c r="BQ106" s="32">
        <v>0</v>
      </c>
      <c r="BR106" s="32">
        <v>16</v>
      </c>
      <c r="BS106" s="32">
        <v>2</v>
      </c>
      <c r="BT106" s="32">
        <v>11</v>
      </c>
      <c r="BU106" s="32">
        <v>18</v>
      </c>
      <c r="BV106" s="32">
        <v>23</v>
      </c>
      <c r="BW106" s="32">
        <v>12</v>
      </c>
      <c r="BX106" s="32">
        <v>2</v>
      </c>
      <c r="BY106" s="32">
        <v>7</v>
      </c>
      <c r="BZ106" s="32">
        <v>0</v>
      </c>
      <c r="CA106" s="32">
        <v>4</v>
      </c>
      <c r="CB106" s="32">
        <v>5</v>
      </c>
      <c r="CC106" s="32">
        <v>24</v>
      </c>
      <c r="CD106" s="32">
        <v>10</v>
      </c>
      <c r="CE106" s="32">
        <v>1</v>
      </c>
      <c r="CF106" s="32">
        <v>50</v>
      </c>
      <c r="CG106" s="32">
        <v>7</v>
      </c>
      <c r="CH106" s="32">
        <v>0</v>
      </c>
      <c r="CI106" s="32">
        <v>8</v>
      </c>
      <c r="CJ106" s="32">
        <v>17</v>
      </c>
      <c r="CK106" s="32">
        <v>10</v>
      </c>
      <c r="CL106" s="32">
        <v>5</v>
      </c>
      <c r="CM106" s="32">
        <v>11</v>
      </c>
      <c r="CN106" s="32">
        <v>60</v>
      </c>
      <c r="CO106" s="32">
        <v>5</v>
      </c>
      <c r="CP106" s="32">
        <v>20</v>
      </c>
      <c r="CQ106" s="32">
        <v>36</v>
      </c>
      <c r="CR106" s="32">
        <v>7</v>
      </c>
      <c r="CS106" s="32">
        <v>19</v>
      </c>
      <c r="CT106" s="32">
        <v>0</v>
      </c>
      <c r="CU106" s="32">
        <v>6</v>
      </c>
      <c r="CV106" s="32">
        <v>0</v>
      </c>
      <c r="CW106" s="32">
        <v>11</v>
      </c>
      <c r="CX106" s="32">
        <v>21</v>
      </c>
      <c r="CY106" s="32">
        <v>36</v>
      </c>
      <c r="CZ106" s="32">
        <v>8</v>
      </c>
      <c r="DA106" s="32">
        <v>4</v>
      </c>
      <c r="DB106" s="32">
        <v>37</v>
      </c>
      <c r="DC106" s="32">
        <v>10</v>
      </c>
      <c r="DD106" s="32">
        <v>16</v>
      </c>
      <c r="DE106" s="32">
        <v>19</v>
      </c>
      <c r="DF106" s="32">
        <v>20</v>
      </c>
      <c r="DG106" s="32">
        <v>10</v>
      </c>
      <c r="DH106" s="32">
        <v>25</v>
      </c>
      <c r="DI106" s="32">
        <v>37</v>
      </c>
      <c r="DJ106" s="32">
        <v>8</v>
      </c>
      <c r="DK106" s="32">
        <v>13</v>
      </c>
      <c r="DL106" s="32">
        <v>49</v>
      </c>
      <c r="DM106" s="32">
        <v>22</v>
      </c>
      <c r="DN106" s="32">
        <v>64</v>
      </c>
      <c r="DO106" s="32">
        <v>120</v>
      </c>
      <c r="DP106" s="32">
        <v>63</v>
      </c>
      <c r="DQ106" s="32">
        <v>58</v>
      </c>
      <c r="DR106" s="32">
        <v>26</v>
      </c>
      <c r="DS106" s="32">
        <v>23</v>
      </c>
      <c r="DT106" s="32">
        <v>40</v>
      </c>
      <c r="DU106" s="32">
        <v>24</v>
      </c>
      <c r="DV106" s="32">
        <v>23</v>
      </c>
      <c r="DW106" s="32">
        <v>39</v>
      </c>
      <c r="DX106" s="32">
        <v>104</v>
      </c>
      <c r="DY106" s="32">
        <v>10</v>
      </c>
      <c r="DZ106" s="32">
        <v>5</v>
      </c>
      <c r="EA106" s="32">
        <v>16</v>
      </c>
      <c r="EB106" s="32">
        <v>17</v>
      </c>
      <c r="EC106" s="32">
        <v>36</v>
      </c>
      <c r="ED106" s="32">
        <v>64</v>
      </c>
      <c r="EE106" s="32">
        <v>38</v>
      </c>
      <c r="EF106" s="32">
        <v>16</v>
      </c>
      <c r="EG106" s="32">
        <v>48</v>
      </c>
      <c r="EH106" s="32">
        <v>40</v>
      </c>
      <c r="EI106" s="32">
        <v>32</v>
      </c>
      <c r="EJ106" s="32">
        <v>37</v>
      </c>
      <c r="EK106" s="32">
        <v>48</v>
      </c>
      <c r="EL106" s="32">
        <v>57</v>
      </c>
      <c r="EM106" s="32">
        <v>84</v>
      </c>
      <c r="EN106" s="32">
        <v>398</v>
      </c>
      <c r="EO106" s="32">
        <v>901</v>
      </c>
      <c r="EP106" s="32">
        <v>1020</v>
      </c>
      <c r="EQ106" s="32">
        <v>553</v>
      </c>
      <c r="ER106" s="32">
        <v>878</v>
      </c>
      <c r="ES106" s="32">
        <v>657</v>
      </c>
      <c r="ET106" s="32">
        <v>855</v>
      </c>
      <c r="EU106" s="32">
        <v>522</v>
      </c>
      <c r="EV106" s="32">
        <v>442</v>
      </c>
      <c r="EW106" s="32">
        <v>520</v>
      </c>
      <c r="EX106" s="32">
        <v>296</v>
      </c>
      <c r="EY106" s="32">
        <v>104</v>
      </c>
      <c r="EZ106" s="32">
        <v>264</v>
      </c>
      <c r="FA106" s="32">
        <v>365</v>
      </c>
      <c r="FB106" s="32">
        <v>648</v>
      </c>
      <c r="FC106" s="32">
        <v>522</v>
      </c>
      <c r="FD106" s="32">
        <v>522</v>
      </c>
      <c r="FE106" s="32">
        <v>637</v>
      </c>
      <c r="FF106" s="32">
        <v>591</v>
      </c>
      <c r="FG106" s="32">
        <v>746</v>
      </c>
      <c r="FH106" s="32">
        <v>24</v>
      </c>
      <c r="FI106" s="32">
        <v>327</v>
      </c>
      <c r="FJ106" s="32">
        <v>380</v>
      </c>
      <c r="FK106" s="32">
        <v>496</v>
      </c>
      <c r="FL106" s="32"/>
      <c r="FM106" s="32"/>
      <c r="FN106" s="32"/>
      <c r="FR106" s="32">
        <f t="shared" si="178"/>
        <v>5</v>
      </c>
      <c r="FS106" s="32">
        <f t="shared" si="179"/>
        <v>44</v>
      </c>
      <c r="FT106" s="32">
        <f t="shared" si="180"/>
        <v>39</v>
      </c>
      <c r="FU106" s="32">
        <f t="shared" si="181"/>
        <v>52</v>
      </c>
      <c r="FV106" s="32">
        <f t="shared" si="182"/>
        <v>35</v>
      </c>
      <c r="FW106" s="32">
        <f t="shared" si="183"/>
        <v>26</v>
      </c>
      <c r="FX106" s="32">
        <f t="shared" si="184"/>
        <v>7</v>
      </c>
      <c r="FY106" s="32">
        <f t="shared" si="185"/>
        <v>22</v>
      </c>
      <c r="FZ106" s="32">
        <f t="shared" si="186"/>
        <v>44</v>
      </c>
      <c r="GA106" s="32">
        <f t="shared" si="187"/>
        <v>44</v>
      </c>
      <c r="GB106" s="32">
        <f t="shared" si="188"/>
        <v>16</v>
      </c>
      <c r="GC106" s="32">
        <f t="shared" si="189"/>
        <v>19</v>
      </c>
      <c r="GD106" s="32">
        <f t="shared" si="190"/>
        <v>11</v>
      </c>
      <c r="GE106" s="32">
        <f t="shared" si="191"/>
        <v>18</v>
      </c>
      <c r="GF106" s="32">
        <f t="shared" si="192"/>
        <v>32</v>
      </c>
      <c r="GG106" s="32">
        <f t="shared" si="193"/>
        <v>46</v>
      </c>
      <c r="GH106" s="32">
        <f t="shared" si="194"/>
        <v>6</v>
      </c>
      <c r="GI106" s="32">
        <f t="shared" si="195"/>
        <v>20</v>
      </c>
      <c r="GJ106" s="32">
        <f t="shared" si="196"/>
        <v>19</v>
      </c>
      <c r="GK106" s="32">
        <f t="shared" si="197"/>
        <v>6</v>
      </c>
      <c r="GL106" s="32">
        <f t="shared" si="198"/>
        <v>9</v>
      </c>
      <c r="GM106" s="32">
        <f t="shared" si="199"/>
        <v>12</v>
      </c>
      <c r="GN106" s="32">
        <f t="shared" si="200"/>
        <v>18</v>
      </c>
      <c r="GO106" s="32">
        <f t="shared" si="201"/>
        <v>52</v>
      </c>
      <c r="GP106" s="32">
        <f t="shared" si="202"/>
        <v>21</v>
      </c>
      <c r="GQ106" s="32">
        <f t="shared" si="203"/>
        <v>9</v>
      </c>
      <c r="GR106" s="32">
        <f t="shared" si="204"/>
        <v>35</v>
      </c>
      <c r="GS106" s="32">
        <f t="shared" si="205"/>
        <v>57</v>
      </c>
      <c r="GT106" s="32">
        <f t="shared" si="206"/>
        <v>35</v>
      </c>
      <c r="GU106" s="32">
        <f t="shared" si="207"/>
        <v>76</v>
      </c>
      <c r="GV106" s="32">
        <f t="shared" si="208"/>
        <v>61</v>
      </c>
      <c r="GW106" s="32">
        <f t="shared" si="209"/>
        <v>26</v>
      </c>
      <c r="GX106" s="32">
        <f t="shared" si="210"/>
        <v>17</v>
      </c>
      <c r="GY106" s="32">
        <f t="shared" si="211"/>
        <v>65</v>
      </c>
      <c r="GZ106" s="32">
        <f t="shared" si="212"/>
        <v>51</v>
      </c>
      <c r="HA106" s="32">
        <f t="shared" si="213"/>
        <v>55</v>
      </c>
      <c r="HB106" s="32">
        <f t="shared" si="214"/>
        <v>35</v>
      </c>
      <c r="HC106" s="32">
        <f t="shared" si="215"/>
        <v>70</v>
      </c>
      <c r="HD106" s="32">
        <f t="shared" si="216"/>
        <v>206</v>
      </c>
      <c r="HE106" s="32">
        <f t="shared" si="217"/>
        <v>147</v>
      </c>
      <c r="HF106" s="32">
        <f t="shared" si="218"/>
        <v>87</v>
      </c>
      <c r="HG106" s="32">
        <f t="shared" si="219"/>
        <v>166</v>
      </c>
      <c r="HH106" s="32">
        <f t="shared" si="220"/>
        <v>31</v>
      </c>
      <c r="HI106" s="32">
        <f t="shared" si="221"/>
        <v>117</v>
      </c>
      <c r="HJ106" s="32">
        <f t="shared" si="222"/>
        <v>102</v>
      </c>
      <c r="HK106" s="32">
        <f t="shared" si="223"/>
        <v>109</v>
      </c>
      <c r="HL106" s="32">
        <f t="shared" si="224"/>
        <v>189</v>
      </c>
      <c r="HM106" s="32">
        <f t="shared" si="225"/>
        <v>2319</v>
      </c>
      <c r="HN106" s="32">
        <f t="shared" si="125"/>
        <v>102</v>
      </c>
      <c r="HO106" s="32">
        <f t="shared" si="126"/>
        <v>109</v>
      </c>
      <c r="HP106" s="32">
        <f t="shared" si="127"/>
        <v>189</v>
      </c>
      <c r="HQ106" s="32">
        <f t="shared" si="128"/>
        <v>2319</v>
      </c>
      <c r="HR106" s="32">
        <f t="shared" si="226"/>
        <v>2088</v>
      </c>
      <c r="HS106" s="32">
        <f t="shared" si="122"/>
        <v>1819</v>
      </c>
      <c r="HT106" s="32">
        <f t="shared" si="227"/>
        <v>920</v>
      </c>
      <c r="HU106" s="32">
        <f t="shared" si="228"/>
        <v>1277</v>
      </c>
      <c r="HV106" s="32">
        <f t="shared" si="229"/>
        <v>1681</v>
      </c>
      <c r="HW106" s="32">
        <f t="shared" si="230"/>
        <v>1361</v>
      </c>
      <c r="HX106" s="32">
        <f t="shared" si="231"/>
        <v>1203</v>
      </c>
      <c r="IB106" s="32">
        <f t="shared" si="232"/>
        <v>140</v>
      </c>
      <c r="IC106" s="32">
        <f t="shared" si="233"/>
        <v>90</v>
      </c>
      <c r="ID106" s="32">
        <f t="shared" si="234"/>
        <v>123</v>
      </c>
      <c r="IE106" s="32">
        <f t="shared" si="235"/>
        <v>107</v>
      </c>
      <c r="IF106" s="32">
        <f t="shared" si="236"/>
        <v>51</v>
      </c>
      <c r="IG106" s="32">
        <f t="shared" si="237"/>
        <v>91</v>
      </c>
      <c r="IH106" s="32">
        <f t="shared" si="238"/>
        <v>122</v>
      </c>
      <c r="II106" s="32">
        <f t="shared" si="239"/>
        <v>198</v>
      </c>
      <c r="IJ106" s="32">
        <f t="shared" si="240"/>
        <v>188</v>
      </c>
      <c r="IK106" s="32">
        <f t="shared" si="241"/>
        <v>495</v>
      </c>
      <c r="IL106" s="32">
        <f t="shared" si="242"/>
        <v>401</v>
      </c>
      <c r="IM106" s="32">
        <f t="shared" si="243"/>
        <v>2719</v>
      </c>
      <c r="IN106" s="32">
        <f t="shared" si="244"/>
        <v>6104</v>
      </c>
    </row>
    <row r="107" spans="1:248" outlineLevel="1" x14ac:dyDescent="0.3">
      <c r="A107" s="15" t="s">
        <v>89</v>
      </c>
      <c r="B107" s="15"/>
      <c r="C107" s="15">
        <v>779</v>
      </c>
      <c r="D107" s="15">
        <v>997</v>
      </c>
      <c r="E107" s="15">
        <v>1277</v>
      </c>
      <c r="F107" s="15">
        <v>1026</v>
      </c>
      <c r="G107" s="15">
        <v>850</v>
      </c>
      <c r="H107" s="15">
        <v>1195</v>
      </c>
      <c r="I107" s="15">
        <v>714</v>
      </c>
      <c r="J107" s="15">
        <v>763</v>
      </c>
      <c r="K107" s="15">
        <v>1051</v>
      </c>
      <c r="L107" s="15">
        <v>1077</v>
      </c>
      <c r="M107" s="15">
        <v>917</v>
      </c>
      <c r="N107" s="15">
        <v>1789</v>
      </c>
      <c r="O107" s="15">
        <v>1006</v>
      </c>
      <c r="P107" s="15">
        <v>1160</v>
      </c>
      <c r="Q107" s="15">
        <v>1032</v>
      </c>
      <c r="R107" s="15">
        <v>708</v>
      </c>
      <c r="S107" s="15">
        <v>640</v>
      </c>
      <c r="T107" s="15">
        <v>740</v>
      </c>
      <c r="U107" s="15">
        <v>759</v>
      </c>
      <c r="V107" s="15">
        <v>781</v>
      </c>
      <c r="W107" s="15">
        <v>796</v>
      </c>
      <c r="X107" s="15">
        <v>760</v>
      </c>
      <c r="Y107" s="15">
        <v>1065</v>
      </c>
      <c r="Z107" s="15">
        <v>1116</v>
      </c>
      <c r="AA107" s="33">
        <v>854</v>
      </c>
      <c r="AB107" s="33">
        <v>836</v>
      </c>
      <c r="AC107" s="33">
        <v>1024</v>
      </c>
      <c r="AD107" s="33">
        <v>1042</v>
      </c>
      <c r="AE107" s="33">
        <v>1273</v>
      </c>
      <c r="AF107" s="33">
        <v>1449</v>
      </c>
      <c r="AG107" s="33">
        <v>1113</v>
      </c>
      <c r="AH107" s="33">
        <v>1162</v>
      </c>
      <c r="AI107" s="33">
        <v>1198</v>
      </c>
      <c r="AJ107" s="33">
        <v>1086</v>
      </c>
      <c r="AK107" s="33">
        <v>1187</v>
      </c>
      <c r="AL107" s="33">
        <v>1868</v>
      </c>
      <c r="AM107" s="33">
        <v>1005</v>
      </c>
      <c r="AN107" s="33">
        <v>1037</v>
      </c>
      <c r="AO107" s="33">
        <v>1204</v>
      </c>
      <c r="AP107" s="33">
        <v>1196</v>
      </c>
      <c r="AQ107" s="33">
        <v>961</v>
      </c>
      <c r="AR107" s="33">
        <v>1050</v>
      </c>
      <c r="AS107" s="33">
        <v>806</v>
      </c>
      <c r="AT107" s="33">
        <v>904</v>
      </c>
      <c r="AU107" s="33">
        <v>1187</v>
      </c>
      <c r="AV107" s="33">
        <v>663</v>
      </c>
      <c r="AW107" s="33">
        <v>893</v>
      </c>
      <c r="AX107" s="33">
        <v>782</v>
      </c>
      <c r="AY107" s="33">
        <v>692</v>
      </c>
      <c r="AZ107" s="33">
        <v>879</v>
      </c>
      <c r="BA107" s="33">
        <v>1404</v>
      </c>
      <c r="BB107" s="33">
        <v>1106</v>
      </c>
      <c r="BC107" s="33">
        <v>1232</v>
      </c>
      <c r="BD107" s="33">
        <v>1556</v>
      </c>
      <c r="BE107" s="33">
        <v>1366</v>
      </c>
      <c r="BF107" s="33">
        <v>1354</v>
      </c>
      <c r="BG107" s="33">
        <v>1459</v>
      </c>
      <c r="BH107" s="33">
        <v>1167</v>
      </c>
      <c r="BI107" s="33">
        <v>1197</v>
      </c>
      <c r="BJ107" s="33">
        <v>1432</v>
      </c>
      <c r="BK107" s="33">
        <v>943</v>
      </c>
      <c r="BL107" s="33">
        <v>1039</v>
      </c>
      <c r="BM107" s="33">
        <v>1433</v>
      </c>
      <c r="BN107" s="33">
        <v>1153</v>
      </c>
      <c r="BO107" s="33">
        <v>1285</v>
      </c>
      <c r="BP107" s="33">
        <v>1568</v>
      </c>
      <c r="BQ107" s="33">
        <v>1046</v>
      </c>
      <c r="BR107" s="33">
        <v>1723</v>
      </c>
      <c r="BS107" s="33">
        <v>1633</v>
      </c>
      <c r="BT107" s="33">
        <v>1243</v>
      </c>
      <c r="BU107" s="33">
        <v>1216</v>
      </c>
      <c r="BV107" s="33">
        <v>1322</v>
      </c>
      <c r="BW107" s="33">
        <v>1041</v>
      </c>
      <c r="BX107" s="33">
        <v>1131</v>
      </c>
      <c r="BY107" s="33">
        <v>1252</v>
      </c>
      <c r="BZ107" s="33">
        <v>1105</v>
      </c>
      <c r="CA107" s="33">
        <v>1410</v>
      </c>
      <c r="CB107" s="33">
        <v>1628</v>
      </c>
      <c r="CC107" s="33">
        <v>1064</v>
      </c>
      <c r="CD107" s="33">
        <v>790</v>
      </c>
      <c r="CE107" s="33">
        <v>894</v>
      </c>
      <c r="CF107" s="33">
        <v>1264</v>
      </c>
      <c r="CG107" s="33">
        <v>873</v>
      </c>
      <c r="CH107" s="33">
        <v>1242</v>
      </c>
      <c r="CI107" s="33">
        <v>1057</v>
      </c>
      <c r="CJ107" s="33">
        <v>1165</v>
      </c>
      <c r="CK107" s="33">
        <v>1215</v>
      </c>
      <c r="CL107" s="33">
        <v>818</v>
      </c>
      <c r="CM107" s="33">
        <v>946</v>
      </c>
      <c r="CN107" s="33">
        <v>965</v>
      </c>
      <c r="CO107" s="33">
        <v>787</v>
      </c>
      <c r="CP107" s="33">
        <v>618</v>
      </c>
      <c r="CQ107" s="33">
        <v>777</v>
      </c>
      <c r="CR107" s="33">
        <v>787</v>
      </c>
      <c r="CS107" s="33">
        <v>684</v>
      </c>
      <c r="CT107" s="33">
        <v>195</v>
      </c>
      <c r="CU107" s="33">
        <v>56</v>
      </c>
      <c r="CV107" s="33">
        <v>324</v>
      </c>
      <c r="CW107" s="33">
        <v>700</v>
      </c>
      <c r="CX107" s="33">
        <v>939</v>
      </c>
      <c r="CY107" s="33">
        <v>955</v>
      </c>
      <c r="CZ107" s="33">
        <v>1025</v>
      </c>
      <c r="DA107" s="33">
        <v>970</v>
      </c>
      <c r="DB107" s="33">
        <v>1107</v>
      </c>
      <c r="DC107" s="33">
        <v>1244</v>
      </c>
      <c r="DD107" s="33">
        <v>1216</v>
      </c>
      <c r="DE107" s="33">
        <v>976</v>
      </c>
      <c r="DF107" s="33">
        <v>1153</v>
      </c>
      <c r="DG107" s="33">
        <v>1393</v>
      </c>
      <c r="DH107" s="33">
        <v>1341</v>
      </c>
      <c r="DI107" s="33">
        <v>1347</v>
      </c>
      <c r="DJ107" s="33">
        <v>1460</v>
      </c>
      <c r="DK107" s="33">
        <v>1363</v>
      </c>
      <c r="DL107" s="33">
        <v>1278</v>
      </c>
      <c r="DM107" s="33">
        <v>1597</v>
      </c>
      <c r="DN107" s="33">
        <v>1587</v>
      </c>
      <c r="DO107" s="33">
        <v>1582</v>
      </c>
      <c r="DP107" s="33">
        <v>1520</v>
      </c>
      <c r="DQ107" s="33">
        <v>1527</v>
      </c>
      <c r="DR107" s="33">
        <v>1651</v>
      </c>
      <c r="DS107" s="33">
        <v>1534</v>
      </c>
      <c r="DT107" s="33">
        <v>1569</v>
      </c>
      <c r="DU107" s="33">
        <v>2023</v>
      </c>
      <c r="DV107" s="33">
        <v>1623</v>
      </c>
      <c r="DW107" s="33">
        <v>1382</v>
      </c>
      <c r="DX107" s="33">
        <v>1613</v>
      </c>
      <c r="DY107" s="33">
        <v>1455</v>
      </c>
      <c r="DZ107" s="33">
        <v>1348</v>
      </c>
      <c r="EA107" s="33">
        <v>1603</v>
      </c>
      <c r="EB107" s="33">
        <v>1300</v>
      </c>
      <c r="EC107" s="33">
        <v>1172</v>
      </c>
      <c r="ED107" s="33">
        <v>1392</v>
      </c>
      <c r="EE107" s="33">
        <v>1007</v>
      </c>
      <c r="EF107" s="33">
        <v>1013</v>
      </c>
      <c r="EG107" s="33">
        <v>1114</v>
      </c>
      <c r="EH107" s="33">
        <v>1007</v>
      </c>
      <c r="EI107" s="33">
        <v>1029</v>
      </c>
      <c r="EJ107" s="33">
        <v>1176</v>
      </c>
      <c r="EK107" s="33">
        <v>1124</v>
      </c>
      <c r="EL107" s="33">
        <v>1005</v>
      </c>
      <c r="EM107" s="33">
        <v>1110</v>
      </c>
      <c r="EN107" s="33">
        <v>976</v>
      </c>
      <c r="EO107" s="33">
        <v>1551</v>
      </c>
      <c r="EP107" s="33">
        <v>1748</v>
      </c>
      <c r="EQ107" s="33">
        <v>1234</v>
      </c>
      <c r="ER107" s="33">
        <v>1872</v>
      </c>
      <c r="ES107" s="33">
        <v>1431</v>
      </c>
      <c r="ET107" s="33">
        <v>1622</v>
      </c>
      <c r="EU107" s="33">
        <v>1399</v>
      </c>
      <c r="EV107" s="33">
        <v>1055</v>
      </c>
      <c r="EW107" s="33">
        <v>1127</v>
      </c>
      <c r="EX107" s="33">
        <v>1632</v>
      </c>
      <c r="EY107" s="33">
        <v>924</v>
      </c>
      <c r="EZ107" s="33">
        <v>1252</v>
      </c>
      <c r="FA107" s="33">
        <v>1647</v>
      </c>
      <c r="FB107" s="33">
        <v>2352</v>
      </c>
      <c r="FC107" s="33">
        <v>1538</v>
      </c>
      <c r="FD107" s="33">
        <v>1729</v>
      </c>
      <c r="FE107" s="33">
        <v>1623</v>
      </c>
      <c r="FF107" s="33">
        <v>1718</v>
      </c>
      <c r="FG107" s="33">
        <v>1916</v>
      </c>
      <c r="FH107" s="33">
        <v>1165</v>
      </c>
      <c r="FI107" s="33">
        <v>1589</v>
      </c>
      <c r="FJ107" s="33">
        <v>1775</v>
      </c>
      <c r="FK107" s="33">
        <v>1649</v>
      </c>
      <c r="FL107" s="34"/>
      <c r="FM107" s="34"/>
      <c r="FN107" s="34"/>
      <c r="FR107" s="33">
        <f t="shared" si="178"/>
        <v>3053</v>
      </c>
      <c r="FS107" s="33">
        <f t="shared" si="179"/>
        <v>3071</v>
      </c>
      <c r="FT107" s="33">
        <f t="shared" si="180"/>
        <v>2528</v>
      </c>
      <c r="FU107" s="33">
        <f t="shared" si="181"/>
        <v>3783</v>
      </c>
      <c r="FV107" s="33">
        <f t="shared" si="182"/>
        <v>3198</v>
      </c>
      <c r="FW107" s="33">
        <f t="shared" si="183"/>
        <v>2088</v>
      </c>
      <c r="FX107" s="33">
        <f t="shared" si="184"/>
        <v>2336</v>
      </c>
      <c r="FY107" s="33">
        <f t="shared" si="185"/>
        <v>2941</v>
      </c>
      <c r="FZ107" s="33">
        <f t="shared" si="186"/>
        <v>2714</v>
      </c>
      <c r="GA107" s="33">
        <f t="shared" si="187"/>
        <v>3764</v>
      </c>
      <c r="GB107" s="33">
        <f t="shared" si="188"/>
        <v>3473</v>
      </c>
      <c r="GC107" s="33">
        <f t="shared" si="189"/>
        <v>4141</v>
      </c>
      <c r="GD107" s="33">
        <f t="shared" si="190"/>
        <v>3246</v>
      </c>
      <c r="GE107" s="33">
        <f t="shared" si="191"/>
        <v>3207</v>
      </c>
      <c r="GF107" s="33">
        <f t="shared" si="192"/>
        <v>2897</v>
      </c>
      <c r="GG107" s="33">
        <f t="shared" si="193"/>
        <v>2338</v>
      </c>
      <c r="GH107" s="33">
        <f t="shared" si="194"/>
        <v>2975</v>
      </c>
      <c r="GI107" s="33">
        <f t="shared" si="195"/>
        <v>3894</v>
      </c>
      <c r="GJ107" s="33">
        <f t="shared" si="196"/>
        <v>4179</v>
      </c>
      <c r="GK107" s="33">
        <f t="shared" si="197"/>
        <v>3796</v>
      </c>
      <c r="GL107" s="33">
        <f t="shared" si="198"/>
        <v>3415</v>
      </c>
      <c r="GM107" s="33">
        <f t="shared" si="199"/>
        <v>4006</v>
      </c>
      <c r="GN107" s="33">
        <f t="shared" si="200"/>
        <v>4402</v>
      </c>
      <c r="GO107" s="33">
        <f t="shared" si="201"/>
        <v>3781</v>
      </c>
      <c r="GP107" s="33">
        <f t="shared" si="202"/>
        <v>3424</v>
      </c>
      <c r="GQ107" s="33">
        <f t="shared" si="203"/>
        <v>4143</v>
      </c>
      <c r="GR107" s="33">
        <f t="shared" si="204"/>
        <v>2748</v>
      </c>
      <c r="GS107" s="33">
        <f t="shared" si="205"/>
        <v>3379</v>
      </c>
      <c r="GT107" s="33">
        <f t="shared" si="206"/>
        <v>3437</v>
      </c>
      <c r="GU107" s="33">
        <f t="shared" si="207"/>
        <v>2729</v>
      </c>
      <c r="GV107" s="33">
        <f t="shared" si="208"/>
        <v>2182</v>
      </c>
      <c r="GW107" s="33">
        <f t="shared" si="209"/>
        <v>1666</v>
      </c>
      <c r="GX107" s="33">
        <f t="shared" si="210"/>
        <v>1080</v>
      </c>
      <c r="GY107" s="33">
        <f t="shared" si="211"/>
        <v>2919</v>
      </c>
      <c r="GZ107" s="33">
        <f t="shared" si="212"/>
        <v>3321</v>
      </c>
      <c r="HA107" s="33">
        <f t="shared" si="213"/>
        <v>3345</v>
      </c>
      <c r="HB107" s="33">
        <f t="shared" si="214"/>
        <v>2734</v>
      </c>
      <c r="HC107" s="33">
        <f t="shared" si="215"/>
        <v>4101</v>
      </c>
      <c r="HD107" s="33">
        <f t="shared" si="216"/>
        <v>4766</v>
      </c>
      <c r="HE107" s="33">
        <f t="shared" si="217"/>
        <v>4698</v>
      </c>
      <c r="HF107" s="33">
        <f t="shared" si="218"/>
        <v>5126</v>
      </c>
      <c r="HG107" s="33">
        <f t="shared" si="219"/>
        <v>4618</v>
      </c>
      <c r="HH107" s="33">
        <f t="shared" si="220"/>
        <v>4406</v>
      </c>
      <c r="HI107" s="33">
        <f t="shared" si="221"/>
        <v>3864</v>
      </c>
      <c r="HJ107" s="33">
        <f t="shared" si="222"/>
        <v>3134</v>
      </c>
      <c r="HK107" s="33">
        <f t="shared" si="223"/>
        <v>3212</v>
      </c>
      <c r="HL107" s="33">
        <f t="shared" si="224"/>
        <v>3239</v>
      </c>
      <c r="HM107" s="33">
        <f t="shared" si="225"/>
        <v>4275</v>
      </c>
      <c r="HN107" s="33">
        <f t="shared" si="125"/>
        <v>3134</v>
      </c>
      <c r="HO107" s="33">
        <f t="shared" si="126"/>
        <v>3212</v>
      </c>
      <c r="HP107" s="33">
        <f t="shared" si="127"/>
        <v>3239</v>
      </c>
      <c r="HQ107" s="33">
        <f t="shared" si="128"/>
        <v>4275</v>
      </c>
      <c r="HR107" s="33">
        <f t="shared" si="226"/>
        <v>4537</v>
      </c>
      <c r="HS107" s="33">
        <f t="shared" si="122"/>
        <v>4076</v>
      </c>
      <c r="HT107" s="33">
        <f t="shared" si="227"/>
        <v>3683</v>
      </c>
      <c r="HU107" s="33">
        <f t="shared" si="228"/>
        <v>5251</v>
      </c>
      <c r="HV107" s="33">
        <f t="shared" si="229"/>
        <v>4890</v>
      </c>
      <c r="HW107" s="33">
        <f t="shared" si="230"/>
        <v>4799</v>
      </c>
      <c r="HX107" s="33">
        <f t="shared" si="231"/>
        <v>5013</v>
      </c>
      <c r="IB107" s="33">
        <f t="shared" si="232"/>
        <v>12435</v>
      </c>
      <c r="IC107" s="33">
        <f t="shared" si="233"/>
        <v>10563</v>
      </c>
      <c r="ID107" s="33">
        <f t="shared" si="234"/>
        <v>14092</v>
      </c>
      <c r="IE107" s="33">
        <f t="shared" si="235"/>
        <v>11688</v>
      </c>
      <c r="IF107" s="33">
        <f t="shared" si="236"/>
        <v>14844</v>
      </c>
      <c r="IG107" s="33">
        <f t="shared" si="237"/>
        <v>15604</v>
      </c>
      <c r="IH107" s="33">
        <f t="shared" si="238"/>
        <v>13694</v>
      </c>
      <c r="II107" s="33">
        <f t="shared" si="239"/>
        <v>10014</v>
      </c>
      <c r="IJ107" s="33">
        <f t="shared" si="240"/>
        <v>10665</v>
      </c>
      <c r="IK107" s="33">
        <f t="shared" si="241"/>
        <v>17646</v>
      </c>
      <c r="IL107" s="33">
        <f t="shared" si="242"/>
        <v>18014</v>
      </c>
      <c r="IM107" s="33">
        <f t="shared" si="243"/>
        <v>13860</v>
      </c>
      <c r="IN107" s="33">
        <f t="shared" si="244"/>
        <v>17547</v>
      </c>
    </row>
    <row r="108" spans="1:248" outlineLevel="2" x14ac:dyDescent="0.3">
      <c r="A108" t="s">
        <v>90</v>
      </c>
      <c r="B108" t="s">
        <v>75</v>
      </c>
      <c r="C108">
        <v>117</v>
      </c>
      <c r="D108">
        <v>28</v>
      </c>
      <c r="E108">
        <v>31</v>
      </c>
      <c r="F108">
        <v>23</v>
      </c>
      <c r="G108">
        <v>31</v>
      </c>
      <c r="H108">
        <v>34</v>
      </c>
      <c r="I108">
        <v>30</v>
      </c>
      <c r="J108">
        <v>32</v>
      </c>
      <c r="K108">
        <v>25</v>
      </c>
      <c r="L108">
        <v>0</v>
      </c>
      <c r="M108">
        <v>0</v>
      </c>
      <c r="N108">
        <v>8</v>
      </c>
      <c r="O108">
        <v>20</v>
      </c>
      <c r="P108">
        <v>38</v>
      </c>
      <c r="Q108">
        <v>23</v>
      </c>
      <c r="R108">
        <v>33</v>
      </c>
      <c r="S108">
        <v>22</v>
      </c>
      <c r="T108">
        <v>12</v>
      </c>
      <c r="U108">
        <v>4</v>
      </c>
      <c r="V108">
        <v>35</v>
      </c>
      <c r="W108">
        <v>9</v>
      </c>
      <c r="X108">
        <v>0</v>
      </c>
      <c r="Y108">
        <v>0</v>
      </c>
      <c r="Z108">
        <v>36</v>
      </c>
      <c r="AA108" s="32">
        <v>12</v>
      </c>
      <c r="AB108" s="32">
        <v>6</v>
      </c>
      <c r="AC108" s="32">
        <v>10</v>
      </c>
      <c r="AD108" s="32">
        <v>10</v>
      </c>
      <c r="AE108" s="32">
        <v>4</v>
      </c>
      <c r="AF108" s="32">
        <v>29</v>
      </c>
      <c r="AG108" s="32">
        <v>15</v>
      </c>
      <c r="AH108" s="32">
        <v>28</v>
      </c>
      <c r="AI108" s="32">
        <v>4</v>
      </c>
      <c r="AJ108" s="32">
        <v>0</v>
      </c>
      <c r="AK108" s="32">
        <v>30</v>
      </c>
      <c r="AL108" s="32">
        <v>24</v>
      </c>
      <c r="AM108" s="32">
        <v>6</v>
      </c>
      <c r="AN108" s="32">
        <v>16</v>
      </c>
      <c r="AO108" s="32">
        <v>12</v>
      </c>
      <c r="AP108" s="32">
        <v>2</v>
      </c>
      <c r="AQ108" s="32">
        <v>5</v>
      </c>
      <c r="AR108" s="32">
        <v>0</v>
      </c>
      <c r="AS108" s="32">
        <v>6</v>
      </c>
      <c r="AT108" s="32">
        <v>5</v>
      </c>
      <c r="AU108" s="32">
        <v>8</v>
      </c>
      <c r="AV108" s="32">
        <v>10</v>
      </c>
      <c r="AW108" s="32">
        <v>15</v>
      </c>
      <c r="AX108" s="32">
        <v>7</v>
      </c>
      <c r="AY108" s="32">
        <v>26</v>
      </c>
      <c r="AZ108" s="32">
        <v>56</v>
      </c>
      <c r="BA108" s="32">
        <v>15</v>
      </c>
      <c r="BB108" s="32">
        <v>12</v>
      </c>
      <c r="BC108" s="32">
        <v>15</v>
      </c>
      <c r="BD108" s="32">
        <v>6</v>
      </c>
      <c r="BE108" s="32">
        <v>22</v>
      </c>
      <c r="BF108" s="32">
        <v>27</v>
      </c>
      <c r="BG108" s="32">
        <v>29</v>
      </c>
      <c r="BH108" s="32">
        <v>25</v>
      </c>
      <c r="BI108" s="32">
        <v>13</v>
      </c>
      <c r="BJ108" s="32">
        <v>17</v>
      </c>
      <c r="BK108" s="32">
        <v>8</v>
      </c>
      <c r="BL108" s="32">
        <v>6</v>
      </c>
      <c r="BM108" s="32">
        <v>34</v>
      </c>
      <c r="BN108" s="32">
        <v>36</v>
      </c>
      <c r="BO108" s="32">
        <v>20</v>
      </c>
      <c r="BP108" s="32">
        <v>20</v>
      </c>
      <c r="BQ108" s="32">
        <v>49</v>
      </c>
      <c r="BR108" s="32">
        <v>16</v>
      </c>
      <c r="BS108" s="32">
        <v>53</v>
      </c>
      <c r="BT108" s="32">
        <v>7</v>
      </c>
      <c r="BU108" s="32">
        <v>5</v>
      </c>
      <c r="BV108" s="32">
        <v>18</v>
      </c>
      <c r="BW108" s="32">
        <v>58</v>
      </c>
      <c r="BX108" s="32">
        <v>16</v>
      </c>
      <c r="BY108" s="32">
        <v>27</v>
      </c>
      <c r="BZ108" s="32">
        <v>8</v>
      </c>
      <c r="CA108" s="32">
        <v>50</v>
      </c>
      <c r="CB108" s="32">
        <v>89</v>
      </c>
      <c r="CC108" s="32">
        <v>0</v>
      </c>
      <c r="CD108" s="32">
        <v>39</v>
      </c>
      <c r="CE108" s="32">
        <v>17</v>
      </c>
      <c r="CF108" s="32">
        <v>18</v>
      </c>
      <c r="CG108" s="32">
        <v>24</v>
      </c>
      <c r="CH108" s="32">
        <v>12</v>
      </c>
      <c r="CI108" s="32">
        <v>36</v>
      </c>
      <c r="CJ108" s="32">
        <v>96</v>
      </c>
      <c r="CK108" s="32">
        <v>62</v>
      </c>
      <c r="CL108" s="32">
        <v>9</v>
      </c>
      <c r="CM108" s="32">
        <v>22</v>
      </c>
      <c r="CN108" s="32">
        <v>42</v>
      </c>
      <c r="CO108" s="32">
        <v>0</v>
      </c>
      <c r="CP108" s="32">
        <v>24</v>
      </c>
      <c r="CQ108" s="32">
        <v>29</v>
      </c>
      <c r="CR108" s="32">
        <v>0</v>
      </c>
      <c r="CS108" s="32">
        <v>6</v>
      </c>
      <c r="CT108" s="32">
        <v>0</v>
      </c>
      <c r="CU108" s="32">
        <v>0</v>
      </c>
      <c r="CV108" s="32">
        <v>20</v>
      </c>
      <c r="CW108" s="32">
        <v>55</v>
      </c>
      <c r="CX108" s="32">
        <v>1</v>
      </c>
      <c r="CY108" s="32">
        <v>29</v>
      </c>
      <c r="CZ108" s="32">
        <v>23</v>
      </c>
      <c r="DA108" s="32">
        <v>40</v>
      </c>
      <c r="DB108" s="32">
        <v>69</v>
      </c>
      <c r="DC108" s="32">
        <v>29</v>
      </c>
      <c r="DD108" s="32">
        <v>24</v>
      </c>
      <c r="DE108" s="32">
        <v>1</v>
      </c>
      <c r="DF108" s="32">
        <v>26</v>
      </c>
      <c r="DG108" s="32">
        <v>12</v>
      </c>
      <c r="DH108" s="32">
        <v>0</v>
      </c>
      <c r="DI108" s="32">
        <v>24</v>
      </c>
      <c r="DJ108" s="32">
        <v>18</v>
      </c>
      <c r="DK108" s="32">
        <v>1</v>
      </c>
      <c r="DL108" s="32">
        <v>18</v>
      </c>
      <c r="DM108" s="32">
        <v>15</v>
      </c>
      <c r="DN108" s="32">
        <v>6</v>
      </c>
      <c r="DO108" s="32">
        <v>0</v>
      </c>
      <c r="DP108" s="32">
        <v>12</v>
      </c>
      <c r="DQ108" s="32">
        <v>49</v>
      </c>
      <c r="DR108" s="32">
        <v>18</v>
      </c>
      <c r="DS108" s="32">
        <v>0</v>
      </c>
      <c r="DT108" s="32">
        <v>10</v>
      </c>
      <c r="DU108" s="32">
        <v>6</v>
      </c>
      <c r="DV108" s="32">
        <v>0</v>
      </c>
      <c r="DW108" s="32">
        <v>14</v>
      </c>
      <c r="DX108" s="32">
        <v>6</v>
      </c>
      <c r="DY108" s="32">
        <v>0</v>
      </c>
      <c r="DZ108" s="32">
        <v>6</v>
      </c>
      <c r="EA108" s="32">
        <v>9</v>
      </c>
      <c r="EB108" s="32">
        <v>6</v>
      </c>
      <c r="EC108" s="32">
        <v>0</v>
      </c>
      <c r="ED108" s="32">
        <v>2</v>
      </c>
      <c r="EE108" s="32">
        <v>0</v>
      </c>
      <c r="EF108" s="32">
        <v>0</v>
      </c>
      <c r="EG108" s="32">
        <v>12</v>
      </c>
      <c r="EH108" s="32">
        <v>12</v>
      </c>
      <c r="EI108" s="32">
        <v>8</v>
      </c>
      <c r="EJ108" s="32">
        <v>8</v>
      </c>
      <c r="EK108" s="32">
        <v>18</v>
      </c>
      <c r="EL108" s="32">
        <v>2</v>
      </c>
      <c r="EM108" s="32">
        <v>18</v>
      </c>
      <c r="EN108" s="32">
        <v>0</v>
      </c>
      <c r="EO108" s="32">
        <v>36</v>
      </c>
      <c r="EP108" s="32">
        <v>0</v>
      </c>
      <c r="EQ108" s="32">
        <v>14</v>
      </c>
      <c r="ER108" s="32">
        <v>21</v>
      </c>
      <c r="ES108" s="32">
        <v>6</v>
      </c>
      <c r="ET108" s="32">
        <v>9</v>
      </c>
      <c r="EU108" s="32">
        <v>6</v>
      </c>
      <c r="EV108" s="32">
        <v>36</v>
      </c>
      <c r="EW108" s="32">
        <v>36</v>
      </c>
      <c r="EX108" s="32">
        <v>35</v>
      </c>
      <c r="EY108" s="32">
        <v>24</v>
      </c>
      <c r="EZ108" s="32">
        <v>23</v>
      </c>
      <c r="FA108" s="32">
        <v>12</v>
      </c>
      <c r="FB108" s="32">
        <v>12</v>
      </c>
      <c r="FC108" s="32">
        <v>18</v>
      </c>
      <c r="FD108" s="32">
        <v>12</v>
      </c>
      <c r="FE108" s="32">
        <v>2</v>
      </c>
      <c r="FF108" s="32">
        <v>12</v>
      </c>
      <c r="FG108" s="32">
        <v>10</v>
      </c>
      <c r="FH108" s="32">
        <v>6</v>
      </c>
      <c r="FI108" s="32">
        <v>44</v>
      </c>
      <c r="FJ108" s="32">
        <v>36</v>
      </c>
      <c r="FK108" s="32">
        <v>24</v>
      </c>
      <c r="FL108" s="32"/>
      <c r="FM108" s="32"/>
      <c r="FN108" s="32"/>
      <c r="FR108" s="32">
        <f t="shared" si="178"/>
        <v>176</v>
      </c>
      <c r="FS108" s="32">
        <f t="shared" si="179"/>
        <v>88</v>
      </c>
      <c r="FT108" s="32">
        <f t="shared" si="180"/>
        <v>87</v>
      </c>
      <c r="FU108" s="32">
        <f t="shared" si="181"/>
        <v>8</v>
      </c>
      <c r="FV108" s="32">
        <f t="shared" si="182"/>
        <v>81</v>
      </c>
      <c r="FW108" s="32">
        <f t="shared" si="183"/>
        <v>67</v>
      </c>
      <c r="FX108" s="32">
        <f t="shared" si="184"/>
        <v>48</v>
      </c>
      <c r="FY108" s="32">
        <f t="shared" si="185"/>
        <v>36</v>
      </c>
      <c r="FZ108" s="32">
        <f t="shared" si="186"/>
        <v>28</v>
      </c>
      <c r="GA108" s="32">
        <f t="shared" si="187"/>
        <v>43</v>
      </c>
      <c r="GB108" s="32">
        <f t="shared" si="188"/>
        <v>47</v>
      </c>
      <c r="GC108" s="32">
        <f t="shared" si="189"/>
        <v>54</v>
      </c>
      <c r="GD108" s="32">
        <f t="shared" si="190"/>
        <v>34</v>
      </c>
      <c r="GE108" s="32">
        <f t="shared" si="191"/>
        <v>7</v>
      </c>
      <c r="GF108" s="32">
        <f t="shared" si="192"/>
        <v>19</v>
      </c>
      <c r="GG108" s="32">
        <f t="shared" si="193"/>
        <v>32</v>
      </c>
      <c r="GH108" s="32">
        <f t="shared" si="194"/>
        <v>97</v>
      </c>
      <c r="GI108" s="32">
        <f t="shared" si="195"/>
        <v>33</v>
      </c>
      <c r="GJ108" s="32">
        <f t="shared" si="196"/>
        <v>78</v>
      </c>
      <c r="GK108" s="32">
        <f t="shared" si="197"/>
        <v>55</v>
      </c>
      <c r="GL108" s="32">
        <f t="shared" si="198"/>
        <v>48</v>
      </c>
      <c r="GM108" s="32">
        <f t="shared" si="199"/>
        <v>76</v>
      </c>
      <c r="GN108" s="32">
        <f t="shared" si="200"/>
        <v>118</v>
      </c>
      <c r="GO108" s="32">
        <f t="shared" si="201"/>
        <v>30</v>
      </c>
      <c r="GP108" s="32">
        <f t="shared" si="202"/>
        <v>101</v>
      </c>
      <c r="GQ108" s="32">
        <f t="shared" si="203"/>
        <v>147</v>
      </c>
      <c r="GR108" s="32">
        <f t="shared" si="204"/>
        <v>56</v>
      </c>
      <c r="GS108" s="32">
        <f t="shared" si="205"/>
        <v>54</v>
      </c>
      <c r="GT108" s="32">
        <f t="shared" si="206"/>
        <v>194</v>
      </c>
      <c r="GU108" s="32">
        <f t="shared" si="207"/>
        <v>73</v>
      </c>
      <c r="GV108" s="32">
        <f t="shared" si="208"/>
        <v>53</v>
      </c>
      <c r="GW108" s="32">
        <f t="shared" si="209"/>
        <v>6</v>
      </c>
      <c r="GX108" s="32">
        <f t="shared" si="210"/>
        <v>75</v>
      </c>
      <c r="GY108" s="32">
        <f t="shared" si="211"/>
        <v>53</v>
      </c>
      <c r="GZ108" s="32">
        <f t="shared" si="212"/>
        <v>138</v>
      </c>
      <c r="HA108" s="32">
        <f t="shared" si="213"/>
        <v>51</v>
      </c>
      <c r="HB108" s="32">
        <f t="shared" si="214"/>
        <v>12</v>
      </c>
      <c r="HC108" s="32">
        <f t="shared" si="215"/>
        <v>37</v>
      </c>
      <c r="HD108" s="32">
        <f t="shared" si="216"/>
        <v>21</v>
      </c>
      <c r="HE108" s="32">
        <f t="shared" si="217"/>
        <v>79</v>
      </c>
      <c r="HF108" s="32">
        <f t="shared" si="218"/>
        <v>16</v>
      </c>
      <c r="HG108" s="32">
        <f t="shared" si="219"/>
        <v>20</v>
      </c>
      <c r="HH108" s="32">
        <f t="shared" si="220"/>
        <v>15</v>
      </c>
      <c r="HI108" s="32">
        <f t="shared" si="221"/>
        <v>8</v>
      </c>
      <c r="HJ108" s="32">
        <f t="shared" si="222"/>
        <v>12</v>
      </c>
      <c r="HK108" s="32">
        <f t="shared" si="223"/>
        <v>28</v>
      </c>
      <c r="HL108" s="32">
        <f t="shared" si="224"/>
        <v>38</v>
      </c>
      <c r="HM108" s="32">
        <f t="shared" si="225"/>
        <v>36</v>
      </c>
      <c r="HN108" s="32">
        <f t="shared" si="125"/>
        <v>12</v>
      </c>
      <c r="HO108" s="32">
        <f t="shared" si="126"/>
        <v>28</v>
      </c>
      <c r="HP108" s="32">
        <f t="shared" si="127"/>
        <v>38</v>
      </c>
      <c r="HQ108" s="32">
        <f t="shared" si="128"/>
        <v>36</v>
      </c>
      <c r="HR108" s="32">
        <f t="shared" si="226"/>
        <v>41</v>
      </c>
      <c r="HS108" s="32">
        <f t="shared" si="122"/>
        <v>51</v>
      </c>
      <c r="HT108" s="32">
        <f t="shared" si="227"/>
        <v>95</v>
      </c>
      <c r="HU108" s="32">
        <f t="shared" si="228"/>
        <v>47</v>
      </c>
      <c r="HV108" s="32">
        <f t="shared" si="229"/>
        <v>32</v>
      </c>
      <c r="HW108" s="32">
        <f t="shared" si="230"/>
        <v>28</v>
      </c>
      <c r="HX108" s="32">
        <f t="shared" si="231"/>
        <v>104</v>
      </c>
      <c r="IB108" s="32">
        <f t="shared" si="232"/>
        <v>359</v>
      </c>
      <c r="IC108" s="32">
        <f t="shared" si="233"/>
        <v>232</v>
      </c>
      <c r="ID108" s="32">
        <f t="shared" si="234"/>
        <v>172</v>
      </c>
      <c r="IE108" s="32">
        <f t="shared" si="235"/>
        <v>92</v>
      </c>
      <c r="IF108" s="32">
        <f t="shared" si="236"/>
        <v>263</v>
      </c>
      <c r="IG108" s="32">
        <f t="shared" si="237"/>
        <v>272</v>
      </c>
      <c r="IH108" s="32">
        <f t="shared" si="238"/>
        <v>358</v>
      </c>
      <c r="II108" s="32">
        <f t="shared" si="239"/>
        <v>326</v>
      </c>
      <c r="IJ108" s="32">
        <f t="shared" si="240"/>
        <v>317</v>
      </c>
      <c r="IK108" s="32">
        <f t="shared" si="241"/>
        <v>173</v>
      </c>
      <c r="IL108" s="32">
        <f t="shared" si="242"/>
        <v>59</v>
      </c>
      <c r="IM108" s="32">
        <f t="shared" si="243"/>
        <v>114</v>
      </c>
      <c r="IN108" s="32">
        <f t="shared" si="244"/>
        <v>234</v>
      </c>
    </row>
    <row r="109" spans="1:248" outlineLevel="2" x14ac:dyDescent="0.3">
      <c r="B109" t="s">
        <v>76</v>
      </c>
      <c r="C109">
        <v>462</v>
      </c>
      <c r="D109">
        <v>608</v>
      </c>
      <c r="E109">
        <v>684</v>
      </c>
      <c r="F109">
        <v>90</v>
      </c>
      <c r="G109">
        <v>79</v>
      </c>
      <c r="H109">
        <v>48</v>
      </c>
      <c r="I109">
        <v>53</v>
      </c>
      <c r="J109">
        <v>43</v>
      </c>
      <c r="K109">
        <v>42</v>
      </c>
      <c r="L109">
        <v>65</v>
      </c>
      <c r="M109">
        <v>116</v>
      </c>
      <c r="N109">
        <v>81</v>
      </c>
      <c r="O109">
        <v>48</v>
      </c>
      <c r="P109">
        <v>52</v>
      </c>
      <c r="Q109">
        <v>32</v>
      </c>
      <c r="R109">
        <v>31</v>
      </c>
      <c r="S109">
        <v>61</v>
      </c>
      <c r="T109">
        <v>25</v>
      </c>
      <c r="U109">
        <v>30</v>
      </c>
      <c r="V109">
        <v>56</v>
      </c>
      <c r="W109">
        <v>23</v>
      </c>
      <c r="X109">
        <v>172</v>
      </c>
      <c r="Y109">
        <v>67</v>
      </c>
      <c r="Z109">
        <v>99</v>
      </c>
      <c r="AA109" s="32">
        <v>42</v>
      </c>
      <c r="AB109" s="32">
        <v>49</v>
      </c>
      <c r="AC109" s="32">
        <v>54</v>
      </c>
      <c r="AD109" s="32">
        <v>84</v>
      </c>
      <c r="AE109" s="32">
        <v>120</v>
      </c>
      <c r="AF109" s="32">
        <v>124</v>
      </c>
      <c r="AG109" s="32">
        <v>110</v>
      </c>
      <c r="AH109" s="32">
        <v>102</v>
      </c>
      <c r="AI109" s="32">
        <v>245</v>
      </c>
      <c r="AJ109" s="32">
        <v>46</v>
      </c>
      <c r="AK109" s="32">
        <v>35</v>
      </c>
      <c r="AL109" s="32">
        <v>61</v>
      </c>
      <c r="AM109" s="32">
        <v>28</v>
      </c>
      <c r="AN109" s="32">
        <v>66</v>
      </c>
      <c r="AO109" s="32">
        <v>83</v>
      </c>
      <c r="AP109" s="32">
        <v>109</v>
      </c>
      <c r="AQ109" s="32">
        <v>330</v>
      </c>
      <c r="AR109" s="32">
        <v>228</v>
      </c>
      <c r="AS109" s="32">
        <v>263</v>
      </c>
      <c r="AT109" s="32">
        <v>228</v>
      </c>
      <c r="AU109" s="32">
        <v>389</v>
      </c>
      <c r="AV109" s="32">
        <v>128</v>
      </c>
      <c r="AW109" s="32">
        <v>301</v>
      </c>
      <c r="AX109" s="32">
        <v>362</v>
      </c>
      <c r="AY109" s="32">
        <v>203</v>
      </c>
      <c r="AZ109" s="32">
        <v>203</v>
      </c>
      <c r="BA109" s="32">
        <v>150</v>
      </c>
      <c r="BB109" s="32">
        <v>134</v>
      </c>
      <c r="BC109" s="32">
        <v>105</v>
      </c>
      <c r="BD109" s="32">
        <v>371</v>
      </c>
      <c r="BE109" s="32">
        <v>273</v>
      </c>
      <c r="BF109" s="32">
        <v>170</v>
      </c>
      <c r="BG109" s="32">
        <v>269</v>
      </c>
      <c r="BH109" s="32">
        <v>464</v>
      </c>
      <c r="BI109" s="32">
        <v>218</v>
      </c>
      <c r="BJ109" s="32">
        <v>205</v>
      </c>
      <c r="BK109" s="32">
        <v>26</v>
      </c>
      <c r="BL109" s="32">
        <v>217</v>
      </c>
      <c r="BM109" s="32">
        <v>210</v>
      </c>
      <c r="BN109" s="32">
        <v>217</v>
      </c>
      <c r="BO109" s="32">
        <v>279</v>
      </c>
      <c r="BP109" s="32">
        <v>284</v>
      </c>
      <c r="BQ109" s="32">
        <v>164</v>
      </c>
      <c r="BR109" s="32">
        <v>189</v>
      </c>
      <c r="BS109" s="32">
        <v>183</v>
      </c>
      <c r="BT109" s="32">
        <v>147</v>
      </c>
      <c r="BU109" s="32">
        <v>321</v>
      </c>
      <c r="BV109" s="32">
        <v>209</v>
      </c>
      <c r="BW109" s="32">
        <v>171</v>
      </c>
      <c r="BX109" s="32">
        <v>73</v>
      </c>
      <c r="BY109" s="32">
        <v>59</v>
      </c>
      <c r="BZ109" s="32">
        <v>86</v>
      </c>
      <c r="CA109" s="32">
        <v>144</v>
      </c>
      <c r="CB109" s="32">
        <v>231</v>
      </c>
      <c r="CC109" s="32">
        <v>180</v>
      </c>
      <c r="CD109" s="32">
        <v>238</v>
      </c>
      <c r="CE109" s="32">
        <v>190</v>
      </c>
      <c r="CF109" s="32">
        <v>232</v>
      </c>
      <c r="CG109" s="32">
        <v>301</v>
      </c>
      <c r="CH109" s="32">
        <v>194</v>
      </c>
      <c r="CI109" s="32">
        <v>103</v>
      </c>
      <c r="CJ109" s="32">
        <v>221</v>
      </c>
      <c r="CK109" s="32">
        <v>157</v>
      </c>
      <c r="CL109" s="32">
        <v>196</v>
      </c>
      <c r="CM109" s="32">
        <v>272</v>
      </c>
      <c r="CN109" s="32">
        <v>130</v>
      </c>
      <c r="CO109" s="32">
        <v>114</v>
      </c>
      <c r="CP109" s="32">
        <v>179</v>
      </c>
      <c r="CQ109" s="32">
        <v>225</v>
      </c>
      <c r="CR109" s="32">
        <v>123</v>
      </c>
      <c r="CS109" s="32">
        <v>122</v>
      </c>
      <c r="CT109" s="32">
        <v>63</v>
      </c>
      <c r="CU109" s="32">
        <v>0</v>
      </c>
      <c r="CV109" s="32">
        <v>116</v>
      </c>
      <c r="CW109" s="32">
        <v>129</v>
      </c>
      <c r="CX109" s="32">
        <v>69</v>
      </c>
      <c r="CY109" s="32">
        <v>338</v>
      </c>
      <c r="CZ109" s="32">
        <v>209</v>
      </c>
      <c r="DA109" s="32">
        <v>233</v>
      </c>
      <c r="DB109" s="32">
        <v>123</v>
      </c>
      <c r="DC109" s="32">
        <v>144</v>
      </c>
      <c r="DD109" s="32">
        <v>113</v>
      </c>
      <c r="DE109" s="32">
        <v>290</v>
      </c>
      <c r="DF109" s="32">
        <v>202</v>
      </c>
      <c r="DG109" s="32">
        <v>192</v>
      </c>
      <c r="DH109" s="32">
        <v>177</v>
      </c>
      <c r="DI109" s="32">
        <v>271</v>
      </c>
      <c r="DJ109" s="32">
        <v>162</v>
      </c>
      <c r="DK109" s="32">
        <v>216</v>
      </c>
      <c r="DL109" s="32">
        <v>316</v>
      </c>
      <c r="DM109" s="32">
        <v>307</v>
      </c>
      <c r="DN109" s="32">
        <v>214</v>
      </c>
      <c r="DO109" s="32">
        <v>131</v>
      </c>
      <c r="DP109" s="32">
        <v>138</v>
      </c>
      <c r="DQ109" s="32">
        <v>195</v>
      </c>
      <c r="DR109" s="32">
        <v>353</v>
      </c>
      <c r="DS109" s="32">
        <v>307</v>
      </c>
      <c r="DT109" s="32">
        <v>376</v>
      </c>
      <c r="DU109" s="32">
        <v>355</v>
      </c>
      <c r="DV109" s="32">
        <v>362</v>
      </c>
      <c r="DW109" s="32">
        <v>311</v>
      </c>
      <c r="DX109" s="32">
        <v>246</v>
      </c>
      <c r="DY109" s="32">
        <v>139</v>
      </c>
      <c r="DZ109" s="32">
        <v>209</v>
      </c>
      <c r="EA109" s="32">
        <v>371</v>
      </c>
      <c r="EB109" s="32">
        <v>129</v>
      </c>
      <c r="EC109" s="32">
        <v>196</v>
      </c>
      <c r="ED109" s="32">
        <v>234</v>
      </c>
      <c r="EE109" s="32">
        <v>115</v>
      </c>
      <c r="EF109" s="32">
        <v>25</v>
      </c>
      <c r="EG109" s="32">
        <v>41</v>
      </c>
      <c r="EH109" s="32">
        <v>16</v>
      </c>
      <c r="EI109" s="32">
        <v>29</v>
      </c>
      <c r="EJ109" s="32">
        <v>183</v>
      </c>
      <c r="EK109" s="32">
        <v>226</v>
      </c>
      <c r="EL109" s="32">
        <v>181</v>
      </c>
      <c r="EM109" s="32">
        <v>143</v>
      </c>
      <c r="EN109" s="32">
        <v>118</v>
      </c>
      <c r="EO109" s="32">
        <v>101</v>
      </c>
      <c r="EP109" s="32">
        <v>242</v>
      </c>
      <c r="EQ109" s="32">
        <v>83</v>
      </c>
      <c r="ER109" s="32">
        <v>158</v>
      </c>
      <c r="ES109" s="32">
        <v>157</v>
      </c>
      <c r="ET109" s="32">
        <v>116</v>
      </c>
      <c r="EU109" s="32">
        <v>125</v>
      </c>
      <c r="EV109" s="32">
        <v>164</v>
      </c>
      <c r="EW109" s="32">
        <v>216</v>
      </c>
      <c r="EX109" s="32">
        <v>35</v>
      </c>
      <c r="EY109" s="32">
        <v>162</v>
      </c>
      <c r="EZ109" s="32">
        <v>173</v>
      </c>
      <c r="FA109" s="32">
        <v>217</v>
      </c>
      <c r="FB109" s="32">
        <v>152</v>
      </c>
      <c r="FC109" s="32">
        <v>201</v>
      </c>
      <c r="FD109" s="32">
        <v>143</v>
      </c>
      <c r="FE109" s="32">
        <v>212</v>
      </c>
      <c r="FF109" s="32">
        <v>177</v>
      </c>
      <c r="FG109" s="32">
        <v>99</v>
      </c>
      <c r="FH109" s="32">
        <v>106</v>
      </c>
      <c r="FI109" s="32">
        <v>487</v>
      </c>
      <c r="FJ109" s="32">
        <v>71</v>
      </c>
      <c r="FK109" s="32">
        <v>57</v>
      </c>
      <c r="FL109" s="32"/>
      <c r="FM109" s="32"/>
      <c r="FN109" s="32"/>
      <c r="FR109" s="32">
        <f t="shared" si="178"/>
        <v>1754</v>
      </c>
      <c r="FS109" s="32">
        <f t="shared" si="179"/>
        <v>217</v>
      </c>
      <c r="FT109" s="32">
        <f t="shared" si="180"/>
        <v>138</v>
      </c>
      <c r="FU109" s="32">
        <f t="shared" si="181"/>
        <v>262</v>
      </c>
      <c r="FV109" s="32">
        <f t="shared" si="182"/>
        <v>132</v>
      </c>
      <c r="FW109" s="32">
        <f t="shared" si="183"/>
        <v>117</v>
      </c>
      <c r="FX109" s="32">
        <f t="shared" si="184"/>
        <v>109</v>
      </c>
      <c r="FY109" s="32">
        <f t="shared" si="185"/>
        <v>338</v>
      </c>
      <c r="FZ109" s="32">
        <f t="shared" si="186"/>
        <v>145</v>
      </c>
      <c r="GA109" s="32">
        <f t="shared" si="187"/>
        <v>328</v>
      </c>
      <c r="GB109" s="32">
        <f t="shared" si="188"/>
        <v>457</v>
      </c>
      <c r="GC109" s="32">
        <f t="shared" si="189"/>
        <v>142</v>
      </c>
      <c r="GD109" s="32">
        <f t="shared" si="190"/>
        <v>177</v>
      </c>
      <c r="GE109" s="32">
        <f t="shared" si="191"/>
        <v>667</v>
      </c>
      <c r="GF109" s="32">
        <f t="shared" si="192"/>
        <v>880</v>
      </c>
      <c r="GG109" s="32">
        <f t="shared" si="193"/>
        <v>791</v>
      </c>
      <c r="GH109" s="32">
        <f t="shared" si="194"/>
        <v>556</v>
      </c>
      <c r="GI109" s="32">
        <f t="shared" si="195"/>
        <v>610</v>
      </c>
      <c r="GJ109" s="32">
        <f t="shared" si="196"/>
        <v>712</v>
      </c>
      <c r="GK109" s="32">
        <f t="shared" si="197"/>
        <v>887</v>
      </c>
      <c r="GL109" s="32">
        <f t="shared" si="198"/>
        <v>453</v>
      </c>
      <c r="GM109" s="32">
        <f t="shared" si="199"/>
        <v>780</v>
      </c>
      <c r="GN109" s="32">
        <f t="shared" si="200"/>
        <v>536</v>
      </c>
      <c r="GO109" s="32">
        <f t="shared" si="201"/>
        <v>677</v>
      </c>
      <c r="GP109" s="32">
        <f t="shared" si="202"/>
        <v>303</v>
      </c>
      <c r="GQ109" s="32">
        <f t="shared" si="203"/>
        <v>461</v>
      </c>
      <c r="GR109" s="32">
        <f t="shared" si="204"/>
        <v>608</v>
      </c>
      <c r="GS109" s="32">
        <f t="shared" si="205"/>
        <v>727</v>
      </c>
      <c r="GT109" s="32">
        <f t="shared" si="206"/>
        <v>481</v>
      </c>
      <c r="GU109" s="32">
        <f t="shared" si="207"/>
        <v>598</v>
      </c>
      <c r="GV109" s="32">
        <f t="shared" si="208"/>
        <v>518</v>
      </c>
      <c r="GW109" s="32">
        <f t="shared" si="209"/>
        <v>308</v>
      </c>
      <c r="GX109" s="32">
        <f t="shared" si="210"/>
        <v>245</v>
      </c>
      <c r="GY109" s="32">
        <f t="shared" si="211"/>
        <v>616</v>
      </c>
      <c r="GZ109" s="32">
        <f t="shared" si="212"/>
        <v>500</v>
      </c>
      <c r="HA109" s="32">
        <f t="shared" si="213"/>
        <v>605</v>
      </c>
      <c r="HB109" s="32">
        <f t="shared" si="214"/>
        <v>369</v>
      </c>
      <c r="HC109" s="32">
        <f t="shared" si="215"/>
        <v>694</v>
      </c>
      <c r="HD109" s="32">
        <f t="shared" si="216"/>
        <v>652</v>
      </c>
      <c r="HE109" s="32">
        <f t="shared" si="217"/>
        <v>686</v>
      </c>
      <c r="HF109" s="32">
        <f t="shared" si="218"/>
        <v>1038</v>
      </c>
      <c r="HG109" s="32">
        <f t="shared" si="219"/>
        <v>919</v>
      </c>
      <c r="HH109" s="32">
        <f t="shared" si="220"/>
        <v>719</v>
      </c>
      <c r="HI109" s="32">
        <f t="shared" si="221"/>
        <v>559</v>
      </c>
      <c r="HJ109" s="32">
        <f t="shared" si="222"/>
        <v>181</v>
      </c>
      <c r="HK109" s="32">
        <f t="shared" si="223"/>
        <v>228</v>
      </c>
      <c r="HL109" s="32">
        <f t="shared" si="224"/>
        <v>550</v>
      </c>
      <c r="HM109" s="32">
        <f t="shared" si="225"/>
        <v>461</v>
      </c>
      <c r="HN109" s="32">
        <f t="shared" si="125"/>
        <v>181</v>
      </c>
      <c r="HO109" s="32">
        <f t="shared" si="126"/>
        <v>228</v>
      </c>
      <c r="HP109" s="32">
        <f t="shared" si="127"/>
        <v>550</v>
      </c>
      <c r="HQ109" s="32">
        <f t="shared" si="128"/>
        <v>461</v>
      </c>
      <c r="HR109" s="32">
        <f t="shared" si="226"/>
        <v>398</v>
      </c>
      <c r="HS109" s="32">
        <f t="shared" si="122"/>
        <v>405</v>
      </c>
      <c r="HT109" s="32">
        <f t="shared" si="227"/>
        <v>413</v>
      </c>
      <c r="HU109" s="32">
        <f t="shared" si="228"/>
        <v>542</v>
      </c>
      <c r="HV109" s="32">
        <f t="shared" si="229"/>
        <v>556</v>
      </c>
      <c r="HW109" s="32">
        <f t="shared" si="230"/>
        <v>382</v>
      </c>
      <c r="HX109" s="32">
        <f t="shared" si="231"/>
        <v>615</v>
      </c>
      <c r="IB109" s="32">
        <f t="shared" si="232"/>
        <v>2371</v>
      </c>
      <c r="IC109" s="32">
        <f t="shared" si="233"/>
        <v>696</v>
      </c>
      <c r="ID109" s="32">
        <f t="shared" si="234"/>
        <v>1072</v>
      </c>
      <c r="IE109" s="32">
        <f t="shared" si="235"/>
        <v>2515</v>
      </c>
      <c r="IF109" s="32">
        <f t="shared" si="236"/>
        <v>2765</v>
      </c>
      <c r="IG109" s="32">
        <f t="shared" si="237"/>
        <v>2446</v>
      </c>
      <c r="IH109" s="32">
        <f t="shared" si="238"/>
        <v>2099</v>
      </c>
      <c r="II109" s="32">
        <f t="shared" si="239"/>
        <v>1905</v>
      </c>
      <c r="IJ109" s="32">
        <f t="shared" si="240"/>
        <v>1966</v>
      </c>
      <c r="IK109" s="32">
        <f t="shared" si="241"/>
        <v>2672</v>
      </c>
      <c r="IL109" s="32">
        <f t="shared" si="242"/>
        <v>3235</v>
      </c>
      <c r="IM109" s="32">
        <f t="shared" si="243"/>
        <v>1420</v>
      </c>
      <c r="IN109" s="32">
        <f t="shared" si="244"/>
        <v>1758</v>
      </c>
    </row>
    <row r="110" spans="1:248" outlineLevel="2" x14ac:dyDescent="0.3">
      <c r="B110" t="s">
        <v>77</v>
      </c>
      <c r="C110">
        <v>0</v>
      </c>
      <c r="D110">
        <v>0</v>
      </c>
      <c r="E110">
        <v>0</v>
      </c>
      <c r="F110">
        <v>448</v>
      </c>
      <c r="G110">
        <v>429</v>
      </c>
      <c r="H110">
        <v>455</v>
      </c>
      <c r="I110">
        <v>662</v>
      </c>
      <c r="J110">
        <v>565</v>
      </c>
      <c r="K110">
        <v>1044</v>
      </c>
      <c r="L110">
        <v>634</v>
      </c>
      <c r="M110">
        <v>710</v>
      </c>
      <c r="N110">
        <v>671</v>
      </c>
      <c r="O110">
        <v>429</v>
      </c>
      <c r="P110">
        <v>546</v>
      </c>
      <c r="Q110">
        <v>467</v>
      </c>
      <c r="R110">
        <v>501</v>
      </c>
      <c r="S110">
        <v>756</v>
      </c>
      <c r="T110">
        <v>618</v>
      </c>
      <c r="U110">
        <v>490</v>
      </c>
      <c r="V110">
        <v>590</v>
      </c>
      <c r="W110">
        <v>991</v>
      </c>
      <c r="X110">
        <v>479</v>
      </c>
      <c r="Y110">
        <v>636</v>
      </c>
      <c r="Z110">
        <v>791</v>
      </c>
      <c r="AA110" s="32">
        <v>661</v>
      </c>
      <c r="AB110" s="32">
        <v>571</v>
      </c>
      <c r="AC110" s="32">
        <v>400</v>
      </c>
      <c r="AD110" s="32">
        <v>284</v>
      </c>
      <c r="AE110" s="32">
        <v>744</v>
      </c>
      <c r="AF110" s="32">
        <v>712</v>
      </c>
      <c r="AG110" s="32">
        <v>752</v>
      </c>
      <c r="AH110" s="32">
        <v>934</v>
      </c>
      <c r="AI110" s="32">
        <v>1150</v>
      </c>
      <c r="AJ110" s="32">
        <v>183</v>
      </c>
      <c r="AK110" s="32">
        <v>215</v>
      </c>
      <c r="AL110" s="32">
        <v>349</v>
      </c>
      <c r="AM110" s="32">
        <v>400</v>
      </c>
      <c r="AN110" s="32">
        <v>704</v>
      </c>
      <c r="AO110" s="32">
        <v>366</v>
      </c>
      <c r="AP110" s="32">
        <v>325</v>
      </c>
      <c r="AQ110" s="32">
        <v>354</v>
      </c>
      <c r="AR110" s="32">
        <v>776</v>
      </c>
      <c r="AS110" s="32">
        <v>947</v>
      </c>
      <c r="AT110" s="32">
        <v>732</v>
      </c>
      <c r="AU110" s="32">
        <v>1421</v>
      </c>
      <c r="AV110" s="32">
        <v>231</v>
      </c>
      <c r="AW110" s="32">
        <v>336</v>
      </c>
      <c r="AX110" s="32">
        <v>364</v>
      </c>
      <c r="AY110" s="32">
        <v>670</v>
      </c>
      <c r="AZ110" s="32">
        <v>605</v>
      </c>
      <c r="BA110" s="32">
        <v>532</v>
      </c>
      <c r="BB110" s="32">
        <v>574</v>
      </c>
      <c r="BC110" s="32">
        <v>522</v>
      </c>
      <c r="BD110" s="32">
        <v>907</v>
      </c>
      <c r="BE110" s="32">
        <v>789</v>
      </c>
      <c r="BF110" s="32">
        <v>787</v>
      </c>
      <c r="BG110" s="32">
        <v>1089</v>
      </c>
      <c r="BH110" s="32">
        <v>713</v>
      </c>
      <c r="BI110" s="32">
        <v>715</v>
      </c>
      <c r="BJ110" s="32">
        <v>965</v>
      </c>
      <c r="BK110" s="32">
        <v>308</v>
      </c>
      <c r="BL110" s="32">
        <v>692</v>
      </c>
      <c r="BM110" s="32">
        <v>1107</v>
      </c>
      <c r="BN110" s="32">
        <v>491</v>
      </c>
      <c r="BO110" s="32">
        <v>680</v>
      </c>
      <c r="BP110" s="32">
        <v>1037</v>
      </c>
      <c r="BQ110" s="32">
        <v>775</v>
      </c>
      <c r="BR110" s="32">
        <v>783</v>
      </c>
      <c r="BS110" s="32">
        <v>1265</v>
      </c>
      <c r="BT110" s="32">
        <v>372</v>
      </c>
      <c r="BU110" s="32">
        <v>491</v>
      </c>
      <c r="BV110" s="32">
        <v>873</v>
      </c>
      <c r="BW110" s="32">
        <v>658</v>
      </c>
      <c r="BX110" s="32">
        <v>628</v>
      </c>
      <c r="BY110" s="32">
        <v>903</v>
      </c>
      <c r="BZ110" s="32">
        <v>451</v>
      </c>
      <c r="CA110" s="32">
        <v>697</v>
      </c>
      <c r="CB110" s="32">
        <v>748</v>
      </c>
      <c r="CC110" s="32">
        <v>575</v>
      </c>
      <c r="CD110" s="32">
        <v>636</v>
      </c>
      <c r="CE110" s="32">
        <v>1320</v>
      </c>
      <c r="CF110" s="32">
        <v>350</v>
      </c>
      <c r="CG110" s="32">
        <v>299</v>
      </c>
      <c r="CH110" s="32">
        <v>731</v>
      </c>
      <c r="CI110" s="32">
        <v>568</v>
      </c>
      <c r="CJ110" s="32">
        <v>471</v>
      </c>
      <c r="CK110" s="32">
        <v>523</v>
      </c>
      <c r="CL110" s="32">
        <v>604</v>
      </c>
      <c r="CM110" s="32">
        <v>534</v>
      </c>
      <c r="CN110" s="32">
        <v>562</v>
      </c>
      <c r="CO110" s="32">
        <v>593</v>
      </c>
      <c r="CP110" s="32">
        <v>835</v>
      </c>
      <c r="CQ110" s="32">
        <v>1095</v>
      </c>
      <c r="CR110" s="32">
        <v>331</v>
      </c>
      <c r="CS110" s="32">
        <v>905</v>
      </c>
      <c r="CT110" s="32">
        <v>235</v>
      </c>
      <c r="CU110" s="32">
        <v>0</v>
      </c>
      <c r="CV110" s="32">
        <v>677</v>
      </c>
      <c r="CW110" s="32">
        <v>929</v>
      </c>
      <c r="CX110" s="32">
        <v>876</v>
      </c>
      <c r="CY110" s="32">
        <v>766</v>
      </c>
      <c r="CZ110" s="32">
        <v>955</v>
      </c>
      <c r="DA110" s="32">
        <v>1098</v>
      </c>
      <c r="DB110" s="32">
        <v>667</v>
      </c>
      <c r="DC110" s="32">
        <v>1078</v>
      </c>
      <c r="DD110" s="32">
        <v>992</v>
      </c>
      <c r="DE110" s="32">
        <v>958</v>
      </c>
      <c r="DF110" s="32">
        <v>1001</v>
      </c>
      <c r="DG110" s="32">
        <v>844</v>
      </c>
      <c r="DH110" s="32">
        <v>677</v>
      </c>
      <c r="DI110" s="32">
        <v>1253</v>
      </c>
      <c r="DJ110" s="32">
        <v>1015</v>
      </c>
      <c r="DK110" s="32">
        <v>1202</v>
      </c>
      <c r="DL110" s="32">
        <v>1576</v>
      </c>
      <c r="DM110" s="32">
        <v>1414</v>
      </c>
      <c r="DN110" s="32">
        <v>1272</v>
      </c>
      <c r="DO110" s="32">
        <v>1354</v>
      </c>
      <c r="DP110" s="32">
        <v>1128</v>
      </c>
      <c r="DQ110" s="32">
        <v>850</v>
      </c>
      <c r="DR110" s="32">
        <v>1192</v>
      </c>
      <c r="DS110" s="32">
        <v>2274</v>
      </c>
      <c r="DT110" s="32">
        <v>1369</v>
      </c>
      <c r="DU110" s="32">
        <v>2133</v>
      </c>
      <c r="DV110" s="32">
        <v>1131</v>
      </c>
      <c r="DW110" s="32">
        <v>1121</v>
      </c>
      <c r="DX110" s="32">
        <v>1256</v>
      </c>
      <c r="DY110" s="32">
        <v>960</v>
      </c>
      <c r="DZ110" s="32">
        <v>803</v>
      </c>
      <c r="EA110" s="32">
        <v>586</v>
      </c>
      <c r="EB110" s="32">
        <v>713</v>
      </c>
      <c r="EC110" s="32">
        <v>806</v>
      </c>
      <c r="ED110" s="32">
        <v>922</v>
      </c>
      <c r="EE110" s="32">
        <v>983</v>
      </c>
      <c r="EF110" s="32">
        <v>994</v>
      </c>
      <c r="EG110" s="32">
        <v>964</v>
      </c>
      <c r="EH110" s="32">
        <v>373</v>
      </c>
      <c r="EI110" s="32">
        <v>595</v>
      </c>
      <c r="EJ110" s="32">
        <v>526</v>
      </c>
      <c r="EK110" s="32">
        <v>658</v>
      </c>
      <c r="EL110" s="32">
        <v>440</v>
      </c>
      <c r="EM110" s="32">
        <v>899</v>
      </c>
      <c r="EN110" s="32">
        <v>664</v>
      </c>
      <c r="EO110" s="32">
        <v>720</v>
      </c>
      <c r="EP110" s="32">
        <v>1036</v>
      </c>
      <c r="EQ110" s="32">
        <v>1184</v>
      </c>
      <c r="ER110" s="32">
        <v>775</v>
      </c>
      <c r="ES110" s="32">
        <v>737</v>
      </c>
      <c r="ET110" s="32">
        <v>680</v>
      </c>
      <c r="EU110" s="32">
        <v>809</v>
      </c>
      <c r="EV110" s="32">
        <v>514</v>
      </c>
      <c r="EW110" s="32">
        <v>663</v>
      </c>
      <c r="EX110" s="32">
        <v>462</v>
      </c>
      <c r="EY110" s="32">
        <v>481</v>
      </c>
      <c r="EZ110" s="32">
        <v>643</v>
      </c>
      <c r="FA110" s="32">
        <v>676</v>
      </c>
      <c r="FB110" s="32">
        <v>654</v>
      </c>
      <c r="FC110" s="32">
        <v>841</v>
      </c>
      <c r="FD110" s="32">
        <v>610</v>
      </c>
      <c r="FE110" s="32">
        <v>957</v>
      </c>
      <c r="FF110" s="32">
        <v>765</v>
      </c>
      <c r="FG110" s="32">
        <v>606</v>
      </c>
      <c r="FH110" s="32">
        <v>814</v>
      </c>
      <c r="FI110" s="32">
        <v>16</v>
      </c>
      <c r="FJ110" s="32">
        <v>999</v>
      </c>
      <c r="FK110" s="32">
        <v>872</v>
      </c>
      <c r="FL110" s="32"/>
      <c r="FM110" s="32"/>
      <c r="FN110" s="32"/>
      <c r="FR110" s="32">
        <f t="shared" si="178"/>
        <v>0</v>
      </c>
      <c r="FS110" s="32">
        <f t="shared" si="179"/>
        <v>1332</v>
      </c>
      <c r="FT110" s="32">
        <f t="shared" si="180"/>
        <v>2271</v>
      </c>
      <c r="FU110" s="32">
        <f t="shared" si="181"/>
        <v>2015</v>
      </c>
      <c r="FV110" s="32">
        <f t="shared" si="182"/>
        <v>1442</v>
      </c>
      <c r="FW110" s="32">
        <f t="shared" si="183"/>
        <v>1875</v>
      </c>
      <c r="FX110" s="32">
        <f t="shared" si="184"/>
        <v>2071</v>
      </c>
      <c r="FY110" s="32">
        <f t="shared" si="185"/>
        <v>1906</v>
      </c>
      <c r="FZ110" s="32">
        <f t="shared" si="186"/>
        <v>1632</v>
      </c>
      <c r="GA110" s="32">
        <f t="shared" si="187"/>
        <v>1740</v>
      </c>
      <c r="GB110" s="32">
        <f t="shared" si="188"/>
        <v>2836</v>
      </c>
      <c r="GC110" s="32">
        <f t="shared" si="189"/>
        <v>747</v>
      </c>
      <c r="GD110" s="32">
        <f t="shared" si="190"/>
        <v>1470</v>
      </c>
      <c r="GE110" s="32">
        <f t="shared" si="191"/>
        <v>1455</v>
      </c>
      <c r="GF110" s="32">
        <f t="shared" si="192"/>
        <v>3100</v>
      </c>
      <c r="GG110" s="32">
        <f t="shared" si="193"/>
        <v>931</v>
      </c>
      <c r="GH110" s="32">
        <f t="shared" si="194"/>
        <v>1807</v>
      </c>
      <c r="GI110" s="32">
        <f t="shared" si="195"/>
        <v>2003</v>
      </c>
      <c r="GJ110" s="32">
        <f t="shared" si="196"/>
        <v>2665</v>
      </c>
      <c r="GK110" s="32">
        <f t="shared" si="197"/>
        <v>2393</v>
      </c>
      <c r="GL110" s="32">
        <f t="shared" si="198"/>
        <v>2107</v>
      </c>
      <c r="GM110" s="32">
        <f t="shared" si="199"/>
        <v>2208</v>
      </c>
      <c r="GN110" s="32">
        <f t="shared" si="200"/>
        <v>2823</v>
      </c>
      <c r="GO110" s="32">
        <f t="shared" si="201"/>
        <v>1736</v>
      </c>
      <c r="GP110" s="32">
        <f t="shared" si="202"/>
        <v>2189</v>
      </c>
      <c r="GQ110" s="32">
        <f t="shared" si="203"/>
        <v>1896</v>
      </c>
      <c r="GR110" s="32">
        <f t="shared" si="204"/>
        <v>2531</v>
      </c>
      <c r="GS110" s="32">
        <f t="shared" si="205"/>
        <v>1380</v>
      </c>
      <c r="GT110" s="32">
        <f t="shared" si="206"/>
        <v>1562</v>
      </c>
      <c r="GU110" s="32">
        <f t="shared" si="207"/>
        <v>1700</v>
      </c>
      <c r="GV110" s="32">
        <f t="shared" si="208"/>
        <v>2523</v>
      </c>
      <c r="GW110" s="32">
        <f t="shared" si="209"/>
        <v>1471</v>
      </c>
      <c r="GX110" s="32">
        <f t="shared" si="210"/>
        <v>1606</v>
      </c>
      <c r="GY110" s="32">
        <f t="shared" si="211"/>
        <v>2597</v>
      </c>
      <c r="GZ110" s="32">
        <f t="shared" si="212"/>
        <v>2843</v>
      </c>
      <c r="HA110" s="32">
        <f t="shared" si="213"/>
        <v>2951</v>
      </c>
      <c r="HB110" s="32">
        <f t="shared" si="214"/>
        <v>1521</v>
      </c>
      <c r="HC110" s="32">
        <f t="shared" si="215"/>
        <v>3793</v>
      </c>
      <c r="HD110" s="32">
        <f t="shared" si="216"/>
        <v>4040</v>
      </c>
      <c r="HE110" s="32">
        <f t="shared" si="217"/>
        <v>3170</v>
      </c>
      <c r="HF110" s="32">
        <f t="shared" si="218"/>
        <v>5776</v>
      </c>
      <c r="HG110" s="32">
        <f t="shared" si="219"/>
        <v>3508</v>
      </c>
      <c r="HH110" s="32">
        <f t="shared" si="220"/>
        <v>2349</v>
      </c>
      <c r="HI110" s="32">
        <f t="shared" si="221"/>
        <v>2441</v>
      </c>
      <c r="HJ110" s="32">
        <f t="shared" si="222"/>
        <v>2941</v>
      </c>
      <c r="HK110" s="32">
        <f t="shared" si="223"/>
        <v>1494</v>
      </c>
      <c r="HL110" s="32">
        <f t="shared" si="224"/>
        <v>1997</v>
      </c>
      <c r="HM110" s="32">
        <f t="shared" si="225"/>
        <v>2420</v>
      </c>
      <c r="HN110" s="32">
        <f t="shared" si="125"/>
        <v>2941</v>
      </c>
      <c r="HO110" s="32">
        <f t="shared" si="126"/>
        <v>1494</v>
      </c>
      <c r="HP110" s="32">
        <f t="shared" si="127"/>
        <v>1997</v>
      </c>
      <c r="HQ110" s="32">
        <f t="shared" si="128"/>
        <v>2420</v>
      </c>
      <c r="HR110" s="32">
        <f t="shared" si="226"/>
        <v>2696</v>
      </c>
      <c r="HS110" s="32">
        <f t="shared" si="122"/>
        <v>2003</v>
      </c>
      <c r="HT110" s="32">
        <f t="shared" si="227"/>
        <v>1606</v>
      </c>
      <c r="HU110" s="32">
        <f t="shared" si="228"/>
        <v>1973</v>
      </c>
      <c r="HV110" s="32">
        <f t="shared" si="229"/>
        <v>2408</v>
      </c>
      <c r="HW110" s="32">
        <f t="shared" si="230"/>
        <v>2185</v>
      </c>
      <c r="HX110" s="32">
        <f t="shared" si="231"/>
        <v>1887</v>
      </c>
      <c r="IB110" s="32">
        <f t="shared" si="232"/>
        <v>5618</v>
      </c>
      <c r="IC110" s="32">
        <f t="shared" si="233"/>
        <v>7294</v>
      </c>
      <c r="ID110" s="32">
        <f t="shared" si="234"/>
        <v>6955</v>
      </c>
      <c r="IE110" s="32">
        <f t="shared" si="235"/>
        <v>6956</v>
      </c>
      <c r="IF110" s="32">
        <f t="shared" si="236"/>
        <v>8868</v>
      </c>
      <c r="IG110" s="32">
        <f t="shared" si="237"/>
        <v>8874</v>
      </c>
      <c r="IH110" s="32">
        <f t="shared" si="238"/>
        <v>7996</v>
      </c>
      <c r="II110" s="32">
        <f t="shared" si="239"/>
        <v>7256</v>
      </c>
      <c r="IJ110" s="32">
        <f t="shared" si="240"/>
        <v>9997</v>
      </c>
      <c r="IK110" s="32">
        <f t="shared" si="241"/>
        <v>13777</v>
      </c>
      <c r="IL110" s="32">
        <f t="shared" si="242"/>
        <v>14074</v>
      </c>
      <c r="IM110" s="32">
        <f t="shared" si="243"/>
        <v>8852</v>
      </c>
      <c r="IN110" s="32">
        <f t="shared" si="244"/>
        <v>8278</v>
      </c>
    </row>
    <row r="111" spans="1:248" outlineLevel="2" x14ac:dyDescent="0.3">
      <c r="B111" t="s">
        <v>78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>
        <v>8</v>
      </c>
      <c r="FL111" s="32"/>
      <c r="FM111" s="32"/>
      <c r="FN111" s="32"/>
      <c r="FR111" s="32">
        <f t="shared" ref="FR111" si="245">+SUM(C111:E111)</f>
        <v>0</v>
      </c>
      <c r="FS111" s="32">
        <f t="shared" ref="FS111" si="246">+SUM(F111:H111)</f>
        <v>0</v>
      </c>
      <c r="FT111" s="32">
        <f t="shared" si="180"/>
        <v>0</v>
      </c>
      <c r="FU111" s="32">
        <f t="shared" si="181"/>
        <v>0</v>
      </c>
      <c r="FV111" s="32">
        <f t="shared" si="182"/>
        <v>0</v>
      </c>
      <c r="FW111" s="32">
        <f t="shared" si="183"/>
        <v>0</v>
      </c>
      <c r="FX111" s="32">
        <f t="shared" si="184"/>
        <v>0</v>
      </c>
      <c r="FY111" s="32">
        <f t="shared" si="185"/>
        <v>0</v>
      </c>
      <c r="FZ111" s="32">
        <f t="shared" si="186"/>
        <v>0</v>
      </c>
      <c r="GA111" s="32">
        <f t="shared" si="187"/>
        <v>0</v>
      </c>
      <c r="GB111" s="32">
        <f t="shared" si="188"/>
        <v>0</v>
      </c>
      <c r="GC111" s="32">
        <f t="shared" si="189"/>
        <v>0</v>
      </c>
      <c r="GD111" s="32">
        <f t="shared" si="190"/>
        <v>0</v>
      </c>
      <c r="GE111" s="32">
        <f t="shared" si="191"/>
        <v>0</v>
      </c>
      <c r="GF111" s="32">
        <f t="shared" si="192"/>
        <v>0</v>
      </c>
      <c r="GG111" s="32">
        <f t="shared" si="193"/>
        <v>0</v>
      </c>
      <c r="GH111" s="32">
        <f t="shared" si="194"/>
        <v>0</v>
      </c>
      <c r="GI111" s="32">
        <f t="shared" si="195"/>
        <v>0</v>
      </c>
      <c r="GJ111" s="32">
        <f t="shared" si="196"/>
        <v>0</v>
      </c>
      <c r="GK111" s="32">
        <f t="shared" si="197"/>
        <v>0</v>
      </c>
      <c r="GL111" s="32">
        <f t="shared" si="198"/>
        <v>0</v>
      </c>
      <c r="GM111" s="32">
        <f t="shared" si="199"/>
        <v>0</v>
      </c>
      <c r="GN111" s="32">
        <f t="shared" si="200"/>
        <v>0</v>
      </c>
      <c r="GO111" s="32">
        <f t="shared" si="201"/>
        <v>0</v>
      </c>
      <c r="GP111" s="32">
        <f t="shared" si="202"/>
        <v>0</v>
      </c>
      <c r="GQ111" s="32">
        <f t="shared" si="203"/>
        <v>0</v>
      </c>
      <c r="GR111" s="32">
        <f t="shared" si="204"/>
        <v>0</v>
      </c>
      <c r="GS111" s="32">
        <f t="shared" si="205"/>
        <v>0</v>
      </c>
      <c r="GT111" s="32">
        <f t="shared" si="206"/>
        <v>0</v>
      </c>
      <c r="GU111" s="32">
        <f t="shared" si="207"/>
        <v>0</v>
      </c>
      <c r="GV111" s="32">
        <f t="shared" si="208"/>
        <v>0</v>
      </c>
      <c r="GW111" s="32">
        <f t="shared" si="209"/>
        <v>0</v>
      </c>
      <c r="GX111" s="32">
        <f t="shared" si="210"/>
        <v>0</v>
      </c>
      <c r="GY111" s="32">
        <f t="shared" si="211"/>
        <v>0</v>
      </c>
      <c r="GZ111" s="32">
        <f t="shared" si="212"/>
        <v>0</v>
      </c>
      <c r="HA111" s="32">
        <f t="shared" si="213"/>
        <v>0</v>
      </c>
      <c r="HB111" s="32">
        <f t="shared" si="214"/>
        <v>0</v>
      </c>
      <c r="HC111" s="32">
        <f t="shared" si="215"/>
        <v>0</v>
      </c>
      <c r="HD111" s="32">
        <f t="shared" si="216"/>
        <v>0</v>
      </c>
      <c r="HE111" s="32">
        <f t="shared" si="217"/>
        <v>0</v>
      </c>
      <c r="HF111" s="32">
        <f t="shared" si="218"/>
        <v>0</v>
      </c>
      <c r="HG111" s="32">
        <f t="shared" si="219"/>
        <v>0</v>
      </c>
      <c r="HH111" s="32">
        <f t="shared" si="220"/>
        <v>0</v>
      </c>
      <c r="HI111" s="32">
        <f t="shared" si="221"/>
        <v>0</v>
      </c>
      <c r="HJ111" s="32">
        <f t="shared" si="222"/>
        <v>0</v>
      </c>
      <c r="HK111" s="32">
        <f t="shared" si="223"/>
        <v>0</v>
      </c>
      <c r="HL111" s="32">
        <f t="shared" si="224"/>
        <v>0</v>
      </c>
      <c r="HM111" s="32">
        <f t="shared" si="225"/>
        <v>0</v>
      </c>
      <c r="HN111" s="32">
        <f t="shared" si="125"/>
        <v>0</v>
      </c>
      <c r="HO111" s="32">
        <f t="shared" si="126"/>
        <v>0</v>
      </c>
      <c r="HP111" s="32">
        <f t="shared" si="127"/>
        <v>0</v>
      </c>
      <c r="HQ111" s="32">
        <f t="shared" si="128"/>
        <v>0</v>
      </c>
      <c r="HR111" s="32">
        <f t="shared" si="226"/>
        <v>0</v>
      </c>
      <c r="HS111" s="32">
        <f t="shared" si="122"/>
        <v>0</v>
      </c>
      <c r="HT111" s="32">
        <f t="shared" si="227"/>
        <v>0</v>
      </c>
      <c r="HU111" s="32">
        <f t="shared" si="228"/>
        <v>0</v>
      </c>
      <c r="HV111" s="32">
        <f t="shared" si="229"/>
        <v>0</v>
      </c>
      <c r="HW111" s="32">
        <f t="shared" si="230"/>
        <v>0</v>
      </c>
      <c r="HX111" s="32">
        <f t="shared" si="231"/>
        <v>8</v>
      </c>
      <c r="IB111" s="32">
        <f t="shared" si="232"/>
        <v>0</v>
      </c>
      <c r="IC111" s="32">
        <f t="shared" si="233"/>
        <v>0</v>
      </c>
      <c r="ID111" s="32">
        <f t="shared" si="234"/>
        <v>0</v>
      </c>
      <c r="IE111" s="32">
        <f t="shared" si="235"/>
        <v>0</v>
      </c>
      <c r="IF111" s="32">
        <f t="shared" si="236"/>
        <v>0</v>
      </c>
      <c r="IG111" s="32">
        <f t="shared" si="237"/>
        <v>0</v>
      </c>
      <c r="IH111" s="32">
        <f t="shared" si="238"/>
        <v>0</v>
      </c>
      <c r="II111" s="32">
        <f t="shared" si="239"/>
        <v>0</v>
      </c>
      <c r="IJ111" s="32">
        <f t="shared" si="240"/>
        <v>0</v>
      </c>
      <c r="IK111" s="32">
        <f t="shared" si="241"/>
        <v>0</v>
      </c>
      <c r="IL111" s="32">
        <f t="shared" si="242"/>
        <v>0</v>
      </c>
      <c r="IM111" s="32">
        <f t="shared" si="243"/>
        <v>0</v>
      </c>
      <c r="IN111" s="32">
        <f t="shared" si="244"/>
        <v>0</v>
      </c>
    </row>
    <row r="112" spans="1:248" outlineLevel="1" x14ac:dyDescent="0.3">
      <c r="A112" s="15" t="s">
        <v>91</v>
      </c>
      <c r="B112" s="15"/>
      <c r="C112" s="15">
        <v>579</v>
      </c>
      <c r="D112" s="15">
        <v>636</v>
      </c>
      <c r="E112" s="15">
        <v>715</v>
      </c>
      <c r="F112" s="15">
        <v>561</v>
      </c>
      <c r="G112" s="15">
        <v>539</v>
      </c>
      <c r="H112" s="15">
        <v>537</v>
      </c>
      <c r="I112" s="15">
        <v>745</v>
      </c>
      <c r="J112" s="15">
        <v>640</v>
      </c>
      <c r="K112" s="15">
        <v>1111</v>
      </c>
      <c r="L112" s="15">
        <v>699</v>
      </c>
      <c r="M112" s="15">
        <v>826</v>
      </c>
      <c r="N112" s="15">
        <v>760</v>
      </c>
      <c r="O112" s="15">
        <v>497</v>
      </c>
      <c r="P112" s="15">
        <v>636</v>
      </c>
      <c r="Q112" s="15">
        <v>522</v>
      </c>
      <c r="R112" s="15">
        <v>565</v>
      </c>
      <c r="S112" s="15">
        <v>839</v>
      </c>
      <c r="T112" s="15">
        <v>655</v>
      </c>
      <c r="U112" s="15">
        <v>524</v>
      </c>
      <c r="V112" s="15">
        <v>681</v>
      </c>
      <c r="W112" s="15">
        <v>1023</v>
      </c>
      <c r="X112" s="15">
        <v>651</v>
      </c>
      <c r="Y112" s="15">
        <v>703</v>
      </c>
      <c r="Z112" s="15">
        <v>926</v>
      </c>
      <c r="AA112" s="33">
        <v>715</v>
      </c>
      <c r="AB112" s="33">
        <v>626</v>
      </c>
      <c r="AC112" s="33">
        <v>464</v>
      </c>
      <c r="AD112" s="33">
        <v>378</v>
      </c>
      <c r="AE112" s="33">
        <v>868</v>
      </c>
      <c r="AF112" s="33">
        <v>865</v>
      </c>
      <c r="AG112" s="33">
        <v>877</v>
      </c>
      <c r="AH112" s="33">
        <v>1064</v>
      </c>
      <c r="AI112" s="33">
        <v>1399</v>
      </c>
      <c r="AJ112" s="33">
        <v>229</v>
      </c>
      <c r="AK112" s="33">
        <v>280</v>
      </c>
      <c r="AL112" s="33">
        <v>434</v>
      </c>
      <c r="AM112" s="33">
        <v>434</v>
      </c>
      <c r="AN112" s="33">
        <v>786</v>
      </c>
      <c r="AO112" s="33">
        <v>461</v>
      </c>
      <c r="AP112" s="33">
        <v>436</v>
      </c>
      <c r="AQ112" s="33">
        <v>689</v>
      </c>
      <c r="AR112" s="33">
        <v>1004</v>
      </c>
      <c r="AS112" s="33">
        <v>1216</v>
      </c>
      <c r="AT112" s="33">
        <v>965</v>
      </c>
      <c r="AU112" s="33">
        <v>1818</v>
      </c>
      <c r="AV112" s="33">
        <v>369</v>
      </c>
      <c r="AW112" s="33">
        <v>652</v>
      </c>
      <c r="AX112" s="33">
        <v>733</v>
      </c>
      <c r="AY112" s="33">
        <v>899</v>
      </c>
      <c r="AZ112" s="33">
        <v>864</v>
      </c>
      <c r="BA112" s="33">
        <v>697</v>
      </c>
      <c r="BB112" s="33">
        <v>720</v>
      </c>
      <c r="BC112" s="33">
        <v>642</v>
      </c>
      <c r="BD112" s="33">
        <v>1284</v>
      </c>
      <c r="BE112" s="33">
        <v>1084</v>
      </c>
      <c r="BF112" s="33">
        <v>984</v>
      </c>
      <c r="BG112" s="33">
        <v>1387</v>
      </c>
      <c r="BH112" s="33">
        <v>1202</v>
      </c>
      <c r="BI112" s="33">
        <v>946</v>
      </c>
      <c r="BJ112" s="33">
        <v>1187</v>
      </c>
      <c r="BK112" s="33">
        <v>342</v>
      </c>
      <c r="BL112" s="33">
        <v>915</v>
      </c>
      <c r="BM112" s="33">
        <v>1351</v>
      </c>
      <c r="BN112" s="33">
        <v>744</v>
      </c>
      <c r="BO112" s="33">
        <v>979</v>
      </c>
      <c r="BP112" s="33">
        <v>1341</v>
      </c>
      <c r="BQ112" s="33">
        <v>988</v>
      </c>
      <c r="BR112" s="33">
        <v>988</v>
      </c>
      <c r="BS112" s="33">
        <v>1501</v>
      </c>
      <c r="BT112" s="33">
        <v>526</v>
      </c>
      <c r="BU112" s="33">
        <v>817</v>
      </c>
      <c r="BV112" s="33">
        <v>1100</v>
      </c>
      <c r="BW112" s="33">
        <v>887</v>
      </c>
      <c r="BX112" s="33">
        <v>717</v>
      </c>
      <c r="BY112" s="33">
        <v>989</v>
      </c>
      <c r="BZ112" s="33">
        <v>545</v>
      </c>
      <c r="CA112" s="33">
        <v>891</v>
      </c>
      <c r="CB112" s="33">
        <v>1068</v>
      </c>
      <c r="CC112" s="33">
        <v>755</v>
      </c>
      <c r="CD112" s="33">
        <v>913</v>
      </c>
      <c r="CE112" s="33">
        <v>1527</v>
      </c>
      <c r="CF112" s="33">
        <v>600</v>
      </c>
      <c r="CG112" s="33">
        <v>624</v>
      </c>
      <c r="CH112" s="33">
        <v>937</v>
      </c>
      <c r="CI112" s="33">
        <v>707</v>
      </c>
      <c r="CJ112" s="33">
        <v>788</v>
      </c>
      <c r="CK112" s="33">
        <v>742</v>
      </c>
      <c r="CL112" s="33">
        <v>809</v>
      </c>
      <c r="CM112" s="33">
        <v>828</v>
      </c>
      <c r="CN112" s="33">
        <v>734</v>
      </c>
      <c r="CO112" s="33">
        <v>707</v>
      </c>
      <c r="CP112" s="33">
        <v>1038</v>
      </c>
      <c r="CQ112" s="33">
        <v>1349</v>
      </c>
      <c r="CR112" s="33">
        <v>454</v>
      </c>
      <c r="CS112" s="33">
        <v>1033</v>
      </c>
      <c r="CT112" s="33">
        <v>298</v>
      </c>
      <c r="CU112" s="33">
        <v>0</v>
      </c>
      <c r="CV112" s="33">
        <v>813</v>
      </c>
      <c r="CW112" s="33">
        <v>1113</v>
      </c>
      <c r="CX112" s="33">
        <v>946</v>
      </c>
      <c r="CY112" s="33">
        <v>1133</v>
      </c>
      <c r="CZ112" s="33">
        <v>1187</v>
      </c>
      <c r="DA112" s="33">
        <v>1371</v>
      </c>
      <c r="DB112" s="33">
        <v>859</v>
      </c>
      <c r="DC112" s="33">
        <v>1251</v>
      </c>
      <c r="DD112" s="33">
        <v>1129</v>
      </c>
      <c r="DE112" s="33">
        <v>1249</v>
      </c>
      <c r="DF112" s="33">
        <v>1229</v>
      </c>
      <c r="DG112" s="33">
        <v>1048</v>
      </c>
      <c r="DH112" s="33">
        <v>854</v>
      </c>
      <c r="DI112" s="33">
        <v>1548</v>
      </c>
      <c r="DJ112" s="33">
        <v>1195</v>
      </c>
      <c r="DK112" s="33">
        <v>1419</v>
      </c>
      <c r="DL112" s="33">
        <v>1910</v>
      </c>
      <c r="DM112" s="33">
        <v>1736</v>
      </c>
      <c r="DN112" s="33">
        <v>1492</v>
      </c>
      <c r="DO112" s="33">
        <v>1485</v>
      </c>
      <c r="DP112" s="33">
        <v>1278</v>
      </c>
      <c r="DQ112" s="33">
        <v>1094</v>
      </c>
      <c r="DR112" s="33">
        <v>1563</v>
      </c>
      <c r="DS112" s="33">
        <v>2581</v>
      </c>
      <c r="DT112" s="33">
        <v>1755</v>
      </c>
      <c r="DU112" s="33">
        <v>2494</v>
      </c>
      <c r="DV112" s="33">
        <v>1493</v>
      </c>
      <c r="DW112" s="33">
        <v>1446</v>
      </c>
      <c r="DX112" s="33">
        <v>1508</v>
      </c>
      <c r="DY112" s="33">
        <v>1099</v>
      </c>
      <c r="DZ112" s="33">
        <v>1018</v>
      </c>
      <c r="EA112" s="33">
        <v>966</v>
      </c>
      <c r="EB112" s="33">
        <v>848</v>
      </c>
      <c r="EC112" s="33">
        <v>1002</v>
      </c>
      <c r="ED112" s="33">
        <v>1158</v>
      </c>
      <c r="EE112" s="33">
        <v>1098</v>
      </c>
      <c r="EF112" s="33">
        <v>1019</v>
      </c>
      <c r="EG112" s="33">
        <v>1017</v>
      </c>
      <c r="EH112" s="33">
        <v>401</v>
      </c>
      <c r="EI112" s="33">
        <v>632</v>
      </c>
      <c r="EJ112" s="33">
        <v>717</v>
      </c>
      <c r="EK112" s="33">
        <v>902</v>
      </c>
      <c r="EL112" s="33">
        <v>623</v>
      </c>
      <c r="EM112" s="33">
        <v>1060</v>
      </c>
      <c r="EN112" s="33">
        <v>782</v>
      </c>
      <c r="EO112" s="33">
        <v>857</v>
      </c>
      <c r="EP112" s="33">
        <v>1278</v>
      </c>
      <c r="EQ112" s="33">
        <v>1281</v>
      </c>
      <c r="ER112" s="33">
        <v>954</v>
      </c>
      <c r="ES112" s="33">
        <v>900</v>
      </c>
      <c r="ET112" s="33">
        <v>805</v>
      </c>
      <c r="EU112" s="33">
        <v>940</v>
      </c>
      <c r="EV112" s="33">
        <v>714</v>
      </c>
      <c r="EW112" s="33">
        <v>915</v>
      </c>
      <c r="EX112" s="33">
        <v>532</v>
      </c>
      <c r="EY112" s="33">
        <v>667</v>
      </c>
      <c r="EZ112" s="33">
        <v>839</v>
      </c>
      <c r="FA112" s="33">
        <v>905</v>
      </c>
      <c r="FB112" s="33">
        <v>818</v>
      </c>
      <c r="FC112" s="33">
        <v>1060</v>
      </c>
      <c r="FD112" s="33">
        <v>765</v>
      </c>
      <c r="FE112" s="33">
        <v>1171</v>
      </c>
      <c r="FF112" s="33">
        <v>954</v>
      </c>
      <c r="FG112" s="33">
        <v>715</v>
      </c>
      <c r="FH112" s="33">
        <v>926</v>
      </c>
      <c r="FI112" s="33">
        <v>599</v>
      </c>
      <c r="FJ112" s="33">
        <v>1106</v>
      </c>
      <c r="FK112" s="33">
        <v>961</v>
      </c>
      <c r="FL112" s="34"/>
      <c r="FM112" s="34"/>
      <c r="FN112" s="34"/>
      <c r="FR112" s="33">
        <f t="shared" si="178"/>
        <v>1930</v>
      </c>
      <c r="FS112" s="33">
        <f t="shared" si="179"/>
        <v>1637</v>
      </c>
      <c r="FT112" s="33">
        <f t="shared" si="180"/>
        <v>2496</v>
      </c>
      <c r="FU112" s="33">
        <f t="shared" si="181"/>
        <v>2285</v>
      </c>
      <c r="FV112" s="33">
        <f t="shared" si="182"/>
        <v>1655</v>
      </c>
      <c r="FW112" s="33">
        <f t="shared" si="183"/>
        <v>2059</v>
      </c>
      <c r="FX112" s="33">
        <f t="shared" si="184"/>
        <v>2228</v>
      </c>
      <c r="FY112" s="33">
        <f t="shared" si="185"/>
        <v>2280</v>
      </c>
      <c r="FZ112" s="33">
        <f t="shared" si="186"/>
        <v>1805</v>
      </c>
      <c r="GA112" s="33">
        <f t="shared" si="187"/>
        <v>2111</v>
      </c>
      <c r="GB112" s="33">
        <f t="shared" si="188"/>
        <v>3340</v>
      </c>
      <c r="GC112" s="33">
        <f t="shared" si="189"/>
        <v>943</v>
      </c>
      <c r="GD112" s="33">
        <f t="shared" si="190"/>
        <v>1681</v>
      </c>
      <c r="GE112" s="33">
        <f t="shared" si="191"/>
        <v>2129</v>
      </c>
      <c r="GF112" s="33">
        <f t="shared" si="192"/>
        <v>3999</v>
      </c>
      <c r="GG112" s="33">
        <f t="shared" si="193"/>
        <v>1754</v>
      </c>
      <c r="GH112" s="33">
        <f t="shared" si="194"/>
        <v>2460</v>
      </c>
      <c r="GI112" s="33">
        <f t="shared" si="195"/>
        <v>2646</v>
      </c>
      <c r="GJ112" s="33">
        <f t="shared" si="196"/>
        <v>3455</v>
      </c>
      <c r="GK112" s="33">
        <f t="shared" si="197"/>
        <v>3335</v>
      </c>
      <c r="GL112" s="33">
        <f t="shared" si="198"/>
        <v>2608</v>
      </c>
      <c r="GM112" s="33">
        <f t="shared" si="199"/>
        <v>3064</v>
      </c>
      <c r="GN112" s="33">
        <f t="shared" si="200"/>
        <v>3477</v>
      </c>
      <c r="GO112" s="33">
        <f t="shared" si="201"/>
        <v>2443</v>
      </c>
      <c r="GP112" s="33">
        <f t="shared" si="202"/>
        <v>2593</v>
      </c>
      <c r="GQ112" s="33">
        <f t="shared" si="203"/>
        <v>2504</v>
      </c>
      <c r="GR112" s="33">
        <f t="shared" si="204"/>
        <v>3195</v>
      </c>
      <c r="GS112" s="33">
        <f t="shared" si="205"/>
        <v>2161</v>
      </c>
      <c r="GT112" s="33">
        <f t="shared" si="206"/>
        <v>2237</v>
      </c>
      <c r="GU112" s="33">
        <f t="shared" si="207"/>
        <v>2371</v>
      </c>
      <c r="GV112" s="33">
        <f t="shared" si="208"/>
        <v>3094</v>
      </c>
      <c r="GW112" s="33">
        <f t="shared" si="209"/>
        <v>1785</v>
      </c>
      <c r="GX112" s="33">
        <f t="shared" si="210"/>
        <v>1926</v>
      </c>
      <c r="GY112" s="33">
        <f t="shared" si="211"/>
        <v>3266</v>
      </c>
      <c r="GZ112" s="33">
        <f t="shared" si="212"/>
        <v>3481</v>
      </c>
      <c r="HA112" s="33">
        <f t="shared" si="213"/>
        <v>3607</v>
      </c>
      <c r="HB112" s="33">
        <f t="shared" si="214"/>
        <v>1902</v>
      </c>
      <c r="HC112" s="33">
        <f t="shared" si="215"/>
        <v>4524</v>
      </c>
      <c r="HD112" s="33">
        <f t="shared" si="216"/>
        <v>4713</v>
      </c>
      <c r="HE112" s="33">
        <f t="shared" si="217"/>
        <v>3935</v>
      </c>
      <c r="HF112" s="33">
        <f t="shared" si="218"/>
        <v>6830</v>
      </c>
      <c r="HG112" s="33">
        <f t="shared" si="219"/>
        <v>4447</v>
      </c>
      <c r="HH112" s="33">
        <f t="shared" si="220"/>
        <v>3083</v>
      </c>
      <c r="HI112" s="33">
        <f t="shared" si="221"/>
        <v>3008</v>
      </c>
      <c r="HJ112" s="33">
        <f t="shared" si="222"/>
        <v>3134</v>
      </c>
      <c r="HK112" s="33">
        <f t="shared" si="223"/>
        <v>1750</v>
      </c>
      <c r="HL112" s="33">
        <f t="shared" si="224"/>
        <v>2585</v>
      </c>
      <c r="HM112" s="33">
        <f t="shared" si="225"/>
        <v>2917</v>
      </c>
      <c r="HN112" s="33">
        <f t="shared" si="125"/>
        <v>3134</v>
      </c>
      <c r="HO112" s="33">
        <f t="shared" si="126"/>
        <v>1750</v>
      </c>
      <c r="HP112" s="33">
        <f t="shared" si="127"/>
        <v>2585</v>
      </c>
      <c r="HQ112" s="33">
        <f t="shared" si="128"/>
        <v>2917</v>
      </c>
      <c r="HR112" s="33">
        <f t="shared" si="226"/>
        <v>3135</v>
      </c>
      <c r="HS112" s="33">
        <f t="shared" si="122"/>
        <v>2459</v>
      </c>
      <c r="HT112" s="33">
        <f t="shared" si="227"/>
        <v>2114</v>
      </c>
      <c r="HU112" s="33">
        <f t="shared" si="228"/>
        <v>2562</v>
      </c>
      <c r="HV112" s="33">
        <f t="shared" si="229"/>
        <v>2996</v>
      </c>
      <c r="HW112" s="33">
        <f t="shared" si="230"/>
        <v>2595</v>
      </c>
      <c r="HX112" s="33">
        <f t="shared" si="231"/>
        <v>2666</v>
      </c>
      <c r="IB112" s="33">
        <f t="shared" si="232"/>
        <v>8348</v>
      </c>
      <c r="IC112" s="33">
        <f t="shared" si="233"/>
        <v>8222</v>
      </c>
      <c r="ID112" s="33">
        <f t="shared" si="234"/>
        <v>8199</v>
      </c>
      <c r="IE112" s="33">
        <f t="shared" si="235"/>
        <v>9563</v>
      </c>
      <c r="IF112" s="33">
        <f t="shared" si="236"/>
        <v>11896</v>
      </c>
      <c r="IG112" s="33">
        <f t="shared" si="237"/>
        <v>11592</v>
      </c>
      <c r="IH112" s="33">
        <f t="shared" si="238"/>
        <v>10453</v>
      </c>
      <c r="II112" s="33">
        <f t="shared" si="239"/>
        <v>9487</v>
      </c>
      <c r="IJ112" s="33">
        <f t="shared" si="240"/>
        <v>12280</v>
      </c>
      <c r="IK112" s="33">
        <f t="shared" si="241"/>
        <v>16622</v>
      </c>
      <c r="IL112" s="33">
        <f t="shared" si="242"/>
        <v>17368</v>
      </c>
      <c r="IM112" s="33">
        <f t="shared" si="243"/>
        <v>10386</v>
      </c>
      <c r="IN112" s="33">
        <f t="shared" si="244"/>
        <v>10270</v>
      </c>
    </row>
    <row r="113" spans="1:248" outlineLevel="2" x14ac:dyDescent="0.3">
      <c r="A113" t="s">
        <v>92</v>
      </c>
      <c r="B113" t="s">
        <v>75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0</v>
      </c>
      <c r="U113">
        <v>5</v>
      </c>
      <c r="V113">
        <v>0</v>
      </c>
      <c r="W113">
        <v>0</v>
      </c>
      <c r="X113">
        <v>0</v>
      </c>
      <c r="Y113">
        <v>0</v>
      </c>
      <c r="Z113">
        <v>0</v>
      </c>
      <c r="AA113" s="32">
        <v>0</v>
      </c>
      <c r="AB113" s="32">
        <v>0</v>
      </c>
      <c r="AC113" s="32">
        <v>0</v>
      </c>
      <c r="AD113" s="32">
        <v>0</v>
      </c>
      <c r="AE113" s="32">
        <v>0</v>
      </c>
      <c r="AF113" s="32">
        <v>0</v>
      </c>
      <c r="AG113" s="32">
        <v>0</v>
      </c>
      <c r="AH113" s="32">
        <v>0</v>
      </c>
      <c r="AI113" s="32">
        <v>0</v>
      </c>
      <c r="AJ113" s="32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3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6</v>
      </c>
      <c r="BF113" s="32">
        <v>80</v>
      </c>
      <c r="BG113" s="32">
        <v>20</v>
      </c>
      <c r="BH113" s="32">
        <v>40</v>
      </c>
      <c r="BI113" s="32">
        <v>0</v>
      </c>
      <c r="BJ113" s="32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2">
        <v>0</v>
      </c>
      <c r="BQ113" s="32">
        <v>0</v>
      </c>
      <c r="BR113" s="32">
        <v>0</v>
      </c>
      <c r="BS113" s="32">
        <v>0</v>
      </c>
      <c r="BT113" s="32">
        <v>0</v>
      </c>
      <c r="BU113" s="32">
        <v>0</v>
      </c>
      <c r="BV113" s="32">
        <v>0</v>
      </c>
      <c r="BW113" s="32">
        <v>0</v>
      </c>
      <c r="BX113" s="32">
        <v>0</v>
      </c>
      <c r="BY113" s="32">
        <v>0</v>
      </c>
      <c r="BZ113" s="32">
        <v>0</v>
      </c>
      <c r="CA113" s="32">
        <v>0</v>
      </c>
      <c r="CB113" s="32">
        <v>0</v>
      </c>
      <c r="CC113" s="32">
        <v>0</v>
      </c>
      <c r="CD113" s="32">
        <v>0</v>
      </c>
      <c r="CE113" s="32">
        <v>0</v>
      </c>
      <c r="CF113" s="32">
        <v>0</v>
      </c>
      <c r="CG113" s="32">
        <v>0</v>
      </c>
      <c r="CH113" s="32">
        <v>0</v>
      </c>
      <c r="CI113" s="32">
        <v>0</v>
      </c>
      <c r="CJ113" s="32">
        <v>0</v>
      </c>
      <c r="CK113" s="32">
        <v>0</v>
      </c>
      <c r="CL113" s="32">
        <v>0</v>
      </c>
      <c r="CM113" s="32">
        <v>0</v>
      </c>
      <c r="CN113" s="32">
        <v>0</v>
      </c>
      <c r="CO113" s="32">
        <v>0</v>
      </c>
      <c r="CP113" s="32">
        <v>0</v>
      </c>
      <c r="CQ113" s="32">
        <v>0</v>
      </c>
      <c r="CR113" s="32">
        <v>0</v>
      </c>
      <c r="CS113" s="32">
        <v>0</v>
      </c>
      <c r="CT113" s="32">
        <v>0</v>
      </c>
      <c r="CU113" s="32">
        <v>0</v>
      </c>
      <c r="CV113" s="32">
        <v>0</v>
      </c>
      <c r="CW113" s="32">
        <v>0</v>
      </c>
      <c r="CX113" s="32">
        <v>0</v>
      </c>
      <c r="CY113" s="32">
        <v>0</v>
      </c>
      <c r="CZ113" s="32">
        <v>0</v>
      </c>
      <c r="DA113" s="32">
        <v>0</v>
      </c>
      <c r="DB113" s="32">
        <v>0</v>
      </c>
      <c r="DC113" s="32">
        <v>0</v>
      </c>
      <c r="DD113" s="32">
        <v>0</v>
      </c>
      <c r="DE113" s="32">
        <v>0</v>
      </c>
      <c r="DF113" s="32">
        <v>0</v>
      </c>
      <c r="DG113" s="32">
        <v>0</v>
      </c>
      <c r="DH113" s="32">
        <v>0</v>
      </c>
      <c r="DI113" s="32">
        <v>0</v>
      </c>
      <c r="DJ113" s="32">
        <v>0</v>
      </c>
      <c r="DK113" s="32">
        <v>0</v>
      </c>
      <c r="DL113" s="32">
        <v>0</v>
      </c>
      <c r="DM113" s="32">
        <v>0</v>
      </c>
      <c r="DN113" s="32">
        <v>0</v>
      </c>
      <c r="DO113" s="32">
        <v>0</v>
      </c>
      <c r="DP113" s="32">
        <v>0</v>
      </c>
      <c r="DQ113" s="32">
        <v>0</v>
      </c>
      <c r="DR113" s="32">
        <v>0</v>
      </c>
      <c r="DS113" s="32">
        <v>0</v>
      </c>
      <c r="DT113" s="32">
        <v>0</v>
      </c>
      <c r="DU113" s="32">
        <v>0</v>
      </c>
      <c r="DV113" s="32">
        <v>0</v>
      </c>
      <c r="DW113" s="32">
        <v>0</v>
      </c>
      <c r="DX113" s="32">
        <v>0</v>
      </c>
      <c r="DY113" s="32">
        <v>0</v>
      </c>
      <c r="DZ113" s="32">
        <v>0</v>
      </c>
      <c r="EA113" s="32">
        <v>0</v>
      </c>
      <c r="EB113" s="32">
        <v>0</v>
      </c>
      <c r="EC113" s="32">
        <v>0</v>
      </c>
      <c r="ED113" s="32">
        <v>0</v>
      </c>
      <c r="EE113" s="32">
        <v>0</v>
      </c>
      <c r="EF113" s="32">
        <v>0</v>
      </c>
      <c r="EG113" s="32">
        <v>0</v>
      </c>
      <c r="EH113" s="32">
        <v>0</v>
      </c>
      <c r="EI113" s="32">
        <v>0</v>
      </c>
      <c r="EJ113" s="32">
        <v>0</v>
      </c>
      <c r="EK113" s="32">
        <v>0</v>
      </c>
      <c r="EL113" s="32">
        <v>0</v>
      </c>
      <c r="EM113" s="32">
        <v>0</v>
      </c>
      <c r="EN113" s="32">
        <v>0</v>
      </c>
      <c r="EO113" s="32">
        <v>0</v>
      </c>
      <c r="EP113" s="32">
        <v>0</v>
      </c>
      <c r="EQ113" s="32">
        <v>0</v>
      </c>
      <c r="ER113" s="32">
        <v>0</v>
      </c>
      <c r="ES113" s="32">
        <v>0</v>
      </c>
      <c r="ET113" s="32">
        <v>0</v>
      </c>
      <c r="EU113" s="32">
        <v>0</v>
      </c>
      <c r="EV113" s="32">
        <v>0</v>
      </c>
      <c r="EW113" s="32">
        <v>0</v>
      </c>
      <c r="EX113" s="32">
        <v>0</v>
      </c>
      <c r="EY113" s="32">
        <v>0</v>
      </c>
      <c r="EZ113" s="32">
        <v>0</v>
      </c>
      <c r="FA113" s="32">
        <v>0</v>
      </c>
      <c r="FB113" s="32">
        <v>0</v>
      </c>
      <c r="FC113" s="32">
        <v>0</v>
      </c>
      <c r="FD113" s="32">
        <v>0</v>
      </c>
      <c r="FE113" s="32">
        <v>0</v>
      </c>
      <c r="FF113" s="32">
        <v>0</v>
      </c>
      <c r="FG113" s="32">
        <v>0</v>
      </c>
      <c r="FH113" s="32">
        <v>0</v>
      </c>
      <c r="FI113" s="32"/>
      <c r="FJ113" s="32">
        <v>0</v>
      </c>
      <c r="FK113" s="32">
        <v>0</v>
      </c>
      <c r="FL113" s="32"/>
      <c r="FM113" s="32"/>
      <c r="FN113" s="32"/>
      <c r="FR113" s="32">
        <f t="shared" si="178"/>
        <v>0</v>
      </c>
      <c r="FS113" s="32">
        <f t="shared" si="179"/>
        <v>15</v>
      </c>
      <c r="FT113" s="32">
        <f t="shared" si="180"/>
        <v>0</v>
      </c>
      <c r="FU113" s="32">
        <f t="shared" si="181"/>
        <v>2</v>
      </c>
      <c r="FV113" s="32">
        <f t="shared" si="182"/>
        <v>2</v>
      </c>
      <c r="FW113" s="32">
        <f t="shared" si="183"/>
        <v>0</v>
      </c>
      <c r="FX113" s="32">
        <f t="shared" si="184"/>
        <v>5</v>
      </c>
      <c r="FY113" s="32">
        <f t="shared" si="185"/>
        <v>0</v>
      </c>
      <c r="FZ113" s="32">
        <f t="shared" si="186"/>
        <v>0</v>
      </c>
      <c r="GA113" s="32">
        <f t="shared" si="187"/>
        <v>0</v>
      </c>
      <c r="GB113" s="32">
        <f t="shared" si="188"/>
        <v>0</v>
      </c>
      <c r="GC113" s="32">
        <f t="shared" si="189"/>
        <v>0</v>
      </c>
      <c r="GD113" s="32">
        <f t="shared" si="190"/>
        <v>0</v>
      </c>
      <c r="GE113" s="32">
        <f t="shared" si="191"/>
        <v>0</v>
      </c>
      <c r="GF113" s="32">
        <f t="shared" si="192"/>
        <v>3</v>
      </c>
      <c r="GG113" s="32">
        <f t="shared" si="193"/>
        <v>0</v>
      </c>
      <c r="GH113" s="32">
        <f t="shared" si="194"/>
        <v>0</v>
      </c>
      <c r="GI113" s="32">
        <f t="shared" si="195"/>
        <v>0</v>
      </c>
      <c r="GJ113" s="32">
        <f t="shared" si="196"/>
        <v>106</v>
      </c>
      <c r="GK113" s="32">
        <f t="shared" si="197"/>
        <v>40</v>
      </c>
      <c r="GL113" s="32">
        <f t="shared" si="198"/>
        <v>0</v>
      </c>
      <c r="GM113" s="32">
        <f t="shared" si="199"/>
        <v>0</v>
      </c>
      <c r="GN113" s="32">
        <f t="shared" si="200"/>
        <v>0</v>
      </c>
      <c r="GO113" s="32">
        <f t="shared" si="201"/>
        <v>0</v>
      </c>
      <c r="GP113" s="32">
        <f t="shared" si="202"/>
        <v>0</v>
      </c>
      <c r="GQ113" s="32">
        <f t="shared" si="203"/>
        <v>0</v>
      </c>
      <c r="GR113" s="32">
        <f t="shared" si="204"/>
        <v>0</v>
      </c>
      <c r="GS113" s="32">
        <f t="shared" si="205"/>
        <v>0</v>
      </c>
      <c r="GT113" s="32">
        <f t="shared" si="206"/>
        <v>0</v>
      </c>
      <c r="GU113" s="32">
        <f t="shared" si="207"/>
        <v>0</v>
      </c>
      <c r="GV113" s="32">
        <f t="shared" si="208"/>
        <v>0</v>
      </c>
      <c r="GW113" s="32">
        <f t="shared" si="209"/>
        <v>0</v>
      </c>
      <c r="GX113" s="32">
        <f t="shared" si="210"/>
        <v>0</v>
      </c>
      <c r="GY113" s="32">
        <f t="shared" si="211"/>
        <v>0</v>
      </c>
      <c r="GZ113" s="32">
        <f t="shared" si="212"/>
        <v>0</v>
      </c>
      <c r="HA113" s="32">
        <f t="shared" si="213"/>
        <v>0</v>
      </c>
      <c r="HB113" s="32">
        <f t="shared" si="214"/>
        <v>0</v>
      </c>
      <c r="HC113" s="32">
        <f t="shared" si="215"/>
        <v>0</v>
      </c>
      <c r="HD113" s="32">
        <f t="shared" si="216"/>
        <v>0</v>
      </c>
      <c r="HE113" s="32">
        <f t="shared" si="217"/>
        <v>0</v>
      </c>
      <c r="HF113" s="32">
        <f t="shared" si="218"/>
        <v>0</v>
      </c>
      <c r="HG113" s="32">
        <f t="shared" si="219"/>
        <v>0</v>
      </c>
      <c r="HH113" s="32">
        <f t="shared" si="220"/>
        <v>0</v>
      </c>
      <c r="HI113" s="32">
        <f t="shared" si="221"/>
        <v>0</v>
      </c>
      <c r="HJ113" s="32">
        <f t="shared" si="222"/>
        <v>0</v>
      </c>
      <c r="HK113" s="32">
        <f t="shared" si="223"/>
        <v>0</v>
      </c>
      <c r="HL113" s="32">
        <f t="shared" si="224"/>
        <v>0</v>
      </c>
      <c r="HM113" s="32">
        <f t="shared" si="225"/>
        <v>0</v>
      </c>
      <c r="HN113" s="32">
        <f t="shared" si="125"/>
        <v>0</v>
      </c>
      <c r="HO113" s="32">
        <f t="shared" si="126"/>
        <v>0</v>
      </c>
      <c r="HP113" s="32">
        <f t="shared" si="127"/>
        <v>0</v>
      </c>
      <c r="HQ113" s="32">
        <f t="shared" si="128"/>
        <v>0</v>
      </c>
      <c r="HR113" s="32">
        <f t="shared" si="226"/>
        <v>0</v>
      </c>
      <c r="HS113" s="32">
        <f t="shared" si="122"/>
        <v>0</v>
      </c>
      <c r="HT113" s="32">
        <f t="shared" si="227"/>
        <v>0</v>
      </c>
      <c r="HU113" s="32">
        <f t="shared" si="228"/>
        <v>0</v>
      </c>
      <c r="HV113" s="32">
        <f t="shared" si="229"/>
        <v>0</v>
      </c>
      <c r="HW113" s="32">
        <f t="shared" si="230"/>
        <v>0</v>
      </c>
      <c r="HX113" s="32">
        <f t="shared" si="231"/>
        <v>0</v>
      </c>
      <c r="IB113" s="32">
        <f t="shared" si="232"/>
        <v>17</v>
      </c>
      <c r="IC113" s="32">
        <f t="shared" si="233"/>
        <v>7</v>
      </c>
      <c r="ID113" s="32">
        <f t="shared" si="234"/>
        <v>0</v>
      </c>
      <c r="IE113" s="32">
        <f t="shared" si="235"/>
        <v>3</v>
      </c>
      <c r="IF113" s="32">
        <f t="shared" si="236"/>
        <v>146</v>
      </c>
      <c r="IG113" s="32">
        <f t="shared" si="237"/>
        <v>0</v>
      </c>
      <c r="IH113" s="32">
        <f t="shared" si="238"/>
        <v>0</v>
      </c>
      <c r="II113" s="32">
        <f t="shared" si="239"/>
        <v>0</v>
      </c>
      <c r="IJ113" s="32">
        <f t="shared" si="240"/>
        <v>0</v>
      </c>
      <c r="IK113" s="32">
        <f t="shared" si="241"/>
        <v>0</v>
      </c>
      <c r="IL113" s="32">
        <f t="shared" si="242"/>
        <v>0</v>
      </c>
      <c r="IM113" s="32">
        <f t="shared" si="243"/>
        <v>0</v>
      </c>
      <c r="IN113" s="32">
        <f t="shared" si="244"/>
        <v>0</v>
      </c>
    </row>
    <row r="114" spans="1:248" outlineLevel="2" x14ac:dyDescent="0.3">
      <c r="B114" t="s">
        <v>76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26</v>
      </c>
      <c r="I114">
        <v>12</v>
      </c>
      <c r="J114">
        <v>0</v>
      </c>
      <c r="K114">
        <v>17</v>
      </c>
      <c r="L114">
        <v>0</v>
      </c>
      <c r="M114">
        <v>0</v>
      </c>
      <c r="N114">
        <v>19</v>
      </c>
      <c r="O114">
        <v>0</v>
      </c>
      <c r="P114">
        <v>0</v>
      </c>
      <c r="Q114">
        <v>15</v>
      </c>
      <c r="R114">
        <v>4</v>
      </c>
      <c r="S114">
        <v>9</v>
      </c>
      <c r="T114">
        <v>16</v>
      </c>
      <c r="U114">
        <v>7</v>
      </c>
      <c r="V114">
        <v>26</v>
      </c>
      <c r="W114">
        <v>0</v>
      </c>
      <c r="X114">
        <v>0</v>
      </c>
      <c r="Y114">
        <v>0</v>
      </c>
      <c r="Z114">
        <v>0</v>
      </c>
      <c r="AA114" s="32">
        <v>0</v>
      </c>
      <c r="AB114" s="32">
        <v>0</v>
      </c>
      <c r="AC114" s="32">
        <v>0</v>
      </c>
      <c r="AD114" s="32">
        <v>7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>
        <v>344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75</v>
      </c>
      <c r="AU114" s="32">
        <v>158</v>
      </c>
      <c r="AV114" s="32">
        <v>96</v>
      </c>
      <c r="AW114" s="32">
        <v>96</v>
      </c>
      <c r="AX114" s="32">
        <v>0</v>
      </c>
      <c r="AY114" s="32">
        <v>176</v>
      </c>
      <c r="AZ114" s="32">
        <v>152</v>
      </c>
      <c r="BA114" s="32">
        <v>208</v>
      </c>
      <c r="BB114" s="32">
        <v>128</v>
      </c>
      <c r="BC114" s="32">
        <v>188</v>
      </c>
      <c r="BD114" s="32">
        <v>112</v>
      </c>
      <c r="BE114" s="32">
        <v>105</v>
      </c>
      <c r="BF114" s="32">
        <v>100</v>
      </c>
      <c r="BG114" s="32">
        <v>95</v>
      </c>
      <c r="BH114" s="32">
        <v>67</v>
      </c>
      <c r="BI114" s="32">
        <v>76</v>
      </c>
      <c r="BJ114" s="32">
        <v>174</v>
      </c>
      <c r="BK114" s="32">
        <v>182</v>
      </c>
      <c r="BL114" s="32">
        <v>310</v>
      </c>
      <c r="BM114" s="32">
        <v>248</v>
      </c>
      <c r="BN114" s="32">
        <v>255</v>
      </c>
      <c r="BO114" s="32">
        <v>108</v>
      </c>
      <c r="BP114" s="32">
        <v>103</v>
      </c>
      <c r="BQ114" s="32">
        <v>197</v>
      </c>
      <c r="BR114" s="32">
        <v>155</v>
      </c>
      <c r="BS114" s="32">
        <v>362</v>
      </c>
      <c r="BT114" s="32">
        <v>178</v>
      </c>
      <c r="BU114" s="32">
        <v>264</v>
      </c>
      <c r="BV114" s="32">
        <v>110</v>
      </c>
      <c r="BW114" s="32">
        <v>167</v>
      </c>
      <c r="BX114" s="32">
        <v>316</v>
      </c>
      <c r="BY114" s="32">
        <v>239</v>
      </c>
      <c r="BZ114" s="32">
        <v>178</v>
      </c>
      <c r="CA114" s="32">
        <v>133</v>
      </c>
      <c r="CB114" s="32">
        <v>40</v>
      </c>
      <c r="CC114" s="32">
        <v>134</v>
      </c>
      <c r="CD114" s="32">
        <v>0</v>
      </c>
      <c r="CE114" s="32">
        <v>100</v>
      </c>
      <c r="CF114" s="32">
        <v>0</v>
      </c>
      <c r="CG114" s="32">
        <v>0</v>
      </c>
      <c r="CH114" s="32">
        <v>0</v>
      </c>
      <c r="CI114" s="32">
        <v>0</v>
      </c>
      <c r="CJ114" s="32">
        <v>190</v>
      </c>
      <c r="CK114" s="32">
        <v>112</v>
      </c>
      <c r="CL114" s="32">
        <v>120</v>
      </c>
      <c r="CM114" s="32">
        <v>24</v>
      </c>
      <c r="CN114" s="32">
        <v>36</v>
      </c>
      <c r="CO114" s="32">
        <v>140</v>
      </c>
      <c r="CP114" s="32">
        <v>101</v>
      </c>
      <c r="CQ114" s="32">
        <v>0</v>
      </c>
      <c r="CR114" s="32">
        <v>29</v>
      </c>
      <c r="CS114" s="32">
        <v>0</v>
      </c>
      <c r="CT114" s="32">
        <v>0</v>
      </c>
      <c r="CU114" s="32">
        <v>0</v>
      </c>
      <c r="CV114" s="32">
        <v>0</v>
      </c>
      <c r="CW114" s="32">
        <v>0</v>
      </c>
      <c r="CX114" s="32">
        <v>0</v>
      </c>
      <c r="CY114" s="32">
        <v>0</v>
      </c>
      <c r="CZ114" s="32">
        <v>0</v>
      </c>
      <c r="DA114" s="32">
        <v>0</v>
      </c>
      <c r="DB114" s="32">
        <v>0</v>
      </c>
      <c r="DC114" s="32">
        <v>0</v>
      </c>
      <c r="DD114" s="32">
        <v>0</v>
      </c>
      <c r="DE114" s="32">
        <v>0</v>
      </c>
      <c r="DF114" s="32">
        <v>0</v>
      </c>
      <c r="DG114" s="32">
        <v>0</v>
      </c>
      <c r="DH114" s="32">
        <v>0</v>
      </c>
      <c r="DI114" s="32">
        <v>0</v>
      </c>
      <c r="DJ114" s="32">
        <v>0</v>
      </c>
      <c r="DK114" s="32">
        <v>0</v>
      </c>
      <c r="DL114" s="32">
        <v>0</v>
      </c>
      <c r="DM114" s="32">
        <v>0</v>
      </c>
      <c r="DN114" s="32">
        <v>0</v>
      </c>
      <c r="DO114" s="32">
        <v>0</v>
      </c>
      <c r="DP114" s="32">
        <v>0</v>
      </c>
      <c r="DQ114" s="32">
        <v>0</v>
      </c>
      <c r="DR114" s="32">
        <v>0</v>
      </c>
      <c r="DS114" s="32">
        <v>0</v>
      </c>
      <c r="DT114" s="32">
        <v>0</v>
      </c>
      <c r="DU114" s="32">
        <v>0</v>
      </c>
      <c r="DV114" s="32">
        <v>0</v>
      </c>
      <c r="DW114" s="32">
        <v>0</v>
      </c>
      <c r="DX114" s="32">
        <v>0</v>
      </c>
      <c r="DY114" s="32">
        <v>0</v>
      </c>
      <c r="DZ114" s="32">
        <v>0</v>
      </c>
      <c r="EA114" s="32">
        <v>0</v>
      </c>
      <c r="EB114" s="32">
        <v>0</v>
      </c>
      <c r="EC114" s="32">
        <v>0</v>
      </c>
      <c r="ED114" s="32">
        <v>0</v>
      </c>
      <c r="EE114" s="32">
        <v>0</v>
      </c>
      <c r="EF114" s="32">
        <v>0</v>
      </c>
      <c r="EG114" s="32">
        <v>0</v>
      </c>
      <c r="EH114" s="32">
        <v>0</v>
      </c>
      <c r="EI114" s="32">
        <v>0</v>
      </c>
      <c r="EJ114" s="32">
        <v>0</v>
      </c>
      <c r="EK114" s="32">
        <v>0</v>
      </c>
      <c r="EL114" s="32">
        <v>0</v>
      </c>
      <c r="EM114" s="32">
        <v>0</v>
      </c>
      <c r="EN114" s="32">
        <v>0</v>
      </c>
      <c r="EO114" s="32">
        <v>0</v>
      </c>
      <c r="EP114" s="32">
        <v>0</v>
      </c>
      <c r="EQ114" s="32">
        <v>0</v>
      </c>
      <c r="ER114" s="32">
        <v>0</v>
      </c>
      <c r="ES114" s="32">
        <v>0</v>
      </c>
      <c r="ET114" s="32">
        <v>0</v>
      </c>
      <c r="EU114" s="32">
        <v>0</v>
      </c>
      <c r="EV114" s="32">
        <v>0</v>
      </c>
      <c r="EW114" s="32">
        <v>0</v>
      </c>
      <c r="EX114" s="32">
        <v>0</v>
      </c>
      <c r="EY114" s="32">
        <v>0</v>
      </c>
      <c r="EZ114" s="32">
        <v>0</v>
      </c>
      <c r="FA114" s="32">
        <v>0</v>
      </c>
      <c r="FB114" s="32">
        <v>0</v>
      </c>
      <c r="FC114" s="32">
        <v>0</v>
      </c>
      <c r="FD114" s="32">
        <v>0</v>
      </c>
      <c r="FE114" s="32">
        <v>0</v>
      </c>
      <c r="FF114" s="32">
        <v>0</v>
      </c>
      <c r="FG114" s="32">
        <v>0</v>
      </c>
      <c r="FH114" s="32">
        <v>0</v>
      </c>
      <c r="FI114" s="32"/>
      <c r="FJ114" s="32">
        <v>0</v>
      </c>
      <c r="FK114" s="32">
        <v>0</v>
      </c>
      <c r="FL114" s="32"/>
      <c r="FM114" s="32"/>
      <c r="FN114" s="32"/>
      <c r="FR114" s="32">
        <f t="shared" si="178"/>
        <v>0</v>
      </c>
      <c r="FS114" s="32">
        <f t="shared" si="179"/>
        <v>26</v>
      </c>
      <c r="FT114" s="32">
        <f t="shared" si="180"/>
        <v>29</v>
      </c>
      <c r="FU114" s="32">
        <f t="shared" si="181"/>
        <v>19</v>
      </c>
      <c r="FV114" s="32">
        <f t="shared" si="182"/>
        <v>15</v>
      </c>
      <c r="FW114" s="32">
        <f t="shared" si="183"/>
        <v>29</v>
      </c>
      <c r="FX114" s="32">
        <f t="shared" si="184"/>
        <v>33</v>
      </c>
      <c r="FY114" s="32">
        <f t="shared" si="185"/>
        <v>0</v>
      </c>
      <c r="FZ114" s="32">
        <f t="shared" si="186"/>
        <v>0</v>
      </c>
      <c r="GA114" s="32">
        <f t="shared" si="187"/>
        <v>7</v>
      </c>
      <c r="GB114" s="32">
        <f t="shared" si="188"/>
        <v>0</v>
      </c>
      <c r="GC114" s="32">
        <f t="shared" si="189"/>
        <v>344</v>
      </c>
      <c r="GD114" s="32">
        <f t="shared" si="190"/>
        <v>0</v>
      </c>
      <c r="GE114" s="32">
        <f t="shared" si="191"/>
        <v>0</v>
      </c>
      <c r="GF114" s="32">
        <f t="shared" si="192"/>
        <v>233</v>
      </c>
      <c r="GG114" s="32">
        <f t="shared" si="193"/>
        <v>192</v>
      </c>
      <c r="GH114" s="32">
        <f t="shared" si="194"/>
        <v>536</v>
      </c>
      <c r="GI114" s="32">
        <f t="shared" si="195"/>
        <v>428</v>
      </c>
      <c r="GJ114" s="32">
        <f t="shared" si="196"/>
        <v>300</v>
      </c>
      <c r="GK114" s="32">
        <f t="shared" si="197"/>
        <v>317</v>
      </c>
      <c r="GL114" s="32">
        <f t="shared" si="198"/>
        <v>740</v>
      </c>
      <c r="GM114" s="32">
        <f t="shared" si="199"/>
        <v>466</v>
      </c>
      <c r="GN114" s="32">
        <f t="shared" si="200"/>
        <v>714</v>
      </c>
      <c r="GO114" s="32">
        <f t="shared" si="201"/>
        <v>552</v>
      </c>
      <c r="GP114" s="32">
        <f t="shared" si="202"/>
        <v>722</v>
      </c>
      <c r="GQ114" s="32">
        <f t="shared" si="203"/>
        <v>351</v>
      </c>
      <c r="GR114" s="32">
        <f t="shared" si="204"/>
        <v>234</v>
      </c>
      <c r="GS114" s="32">
        <f t="shared" si="205"/>
        <v>0</v>
      </c>
      <c r="GT114" s="32">
        <f t="shared" si="206"/>
        <v>302</v>
      </c>
      <c r="GU114" s="32">
        <f t="shared" si="207"/>
        <v>180</v>
      </c>
      <c r="GV114" s="32">
        <f t="shared" si="208"/>
        <v>241</v>
      </c>
      <c r="GW114" s="32">
        <f t="shared" si="209"/>
        <v>29</v>
      </c>
      <c r="GX114" s="32">
        <f t="shared" si="210"/>
        <v>0</v>
      </c>
      <c r="GY114" s="32">
        <f t="shared" si="211"/>
        <v>0</v>
      </c>
      <c r="GZ114" s="32">
        <f t="shared" si="212"/>
        <v>0</v>
      </c>
      <c r="HA114" s="32">
        <f t="shared" si="213"/>
        <v>0</v>
      </c>
      <c r="HB114" s="32">
        <f t="shared" si="214"/>
        <v>0</v>
      </c>
      <c r="HC114" s="32">
        <f t="shared" si="215"/>
        <v>0</v>
      </c>
      <c r="HD114" s="32">
        <f t="shared" si="216"/>
        <v>0</v>
      </c>
      <c r="HE114" s="32">
        <f t="shared" si="217"/>
        <v>0</v>
      </c>
      <c r="HF114" s="32">
        <f t="shared" si="218"/>
        <v>0</v>
      </c>
      <c r="HG114" s="32">
        <f t="shared" si="219"/>
        <v>0</v>
      </c>
      <c r="HH114" s="32">
        <f t="shared" si="220"/>
        <v>0</v>
      </c>
      <c r="HI114" s="32">
        <f t="shared" si="221"/>
        <v>0</v>
      </c>
      <c r="HJ114" s="32">
        <f t="shared" si="222"/>
        <v>0</v>
      </c>
      <c r="HK114" s="32">
        <f t="shared" si="223"/>
        <v>0</v>
      </c>
      <c r="HL114" s="32">
        <f t="shared" si="224"/>
        <v>0</v>
      </c>
      <c r="HM114" s="32">
        <f t="shared" si="225"/>
        <v>0</v>
      </c>
      <c r="HN114" s="32">
        <f t="shared" si="125"/>
        <v>0</v>
      </c>
      <c r="HO114" s="32">
        <f t="shared" si="126"/>
        <v>0</v>
      </c>
      <c r="HP114" s="32">
        <f t="shared" si="127"/>
        <v>0</v>
      </c>
      <c r="HQ114" s="32">
        <f t="shared" si="128"/>
        <v>0</v>
      </c>
      <c r="HR114" s="32">
        <f t="shared" si="226"/>
        <v>0</v>
      </c>
      <c r="HS114" s="32">
        <f t="shared" si="122"/>
        <v>0</v>
      </c>
      <c r="HT114" s="32">
        <f t="shared" si="227"/>
        <v>0</v>
      </c>
      <c r="HU114" s="32">
        <f t="shared" si="228"/>
        <v>0</v>
      </c>
      <c r="HV114" s="32">
        <f t="shared" si="229"/>
        <v>0</v>
      </c>
      <c r="HW114" s="32">
        <f t="shared" si="230"/>
        <v>0</v>
      </c>
      <c r="HX114" s="32">
        <f t="shared" si="231"/>
        <v>0</v>
      </c>
      <c r="IB114" s="32">
        <f t="shared" si="232"/>
        <v>74</v>
      </c>
      <c r="IC114" s="32">
        <f t="shared" si="233"/>
        <v>77</v>
      </c>
      <c r="ID114" s="32">
        <f t="shared" si="234"/>
        <v>351</v>
      </c>
      <c r="IE114" s="32">
        <f t="shared" si="235"/>
        <v>425</v>
      </c>
      <c r="IF114" s="32">
        <f t="shared" si="236"/>
        <v>1581</v>
      </c>
      <c r="IG114" s="32">
        <f t="shared" si="237"/>
        <v>2472</v>
      </c>
      <c r="IH114" s="32">
        <f t="shared" si="238"/>
        <v>1307</v>
      </c>
      <c r="II114" s="32">
        <f t="shared" si="239"/>
        <v>752</v>
      </c>
      <c r="IJ114" s="32">
        <f t="shared" si="240"/>
        <v>0</v>
      </c>
      <c r="IK114" s="32">
        <f t="shared" si="241"/>
        <v>0</v>
      </c>
      <c r="IL114" s="32">
        <f t="shared" si="242"/>
        <v>0</v>
      </c>
      <c r="IM114" s="32">
        <f t="shared" si="243"/>
        <v>0</v>
      </c>
      <c r="IN114" s="32">
        <f t="shared" si="244"/>
        <v>0</v>
      </c>
    </row>
    <row r="115" spans="1:248" outlineLevel="2" x14ac:dyDescent="0.3">
      <c r="B115" t="s">
        <v>77</v>
      </c>
      <c r="C115">
        <v>499</v>
      </c>
      <c r="D115">
        <v>238</v>
      </c>
      <c r="E115">
        <v>274</v>
      </c>
      <c r="F115">
        <v>652</v>
      </c>
      <c r="G115">
        <v>261</v>
      </c>
      <c r="H115">
        <v>295</v>
      </c>
      <c r="I115">
        <v>245</v>
      </c>
      <c r="J115">
        <v>239</v>
      </c>
      <c r="K115">
        <v>345</v>
      </c>
      <c r="L115">
        <v>115</v>
      </c>
      <c r="M115">
        <v>202</v>
      </c>
      <c r="N115">
        <v>169</v>
      </c>
      <c r="O115">
        <v>322</v>
      </c>
      <c r="P115">
        <v>343</v>
      </c>
      <c r="Q115">
        <v>527</v>
      </c>
      <c r="R115">
        <v>511</v>
      </c>
      <c r="S115">
        <v>260</v>
      </c>
      <c r="T115">
        <v>262</v>
      </c>
      <c r="U115">
        <v>328</v>
      </c>
      <c r="V115">
        <v>349</v>
      </c>
      <c r="W115">
        <v>612</v>
      </c>
      <c r="X115">
        <v>323</v>
      </c>
      <c r="Y115">
        <v>463</v>
      </c>
      <c r="Z115">
        <v>392</v>
      </c>
      <c r="AA115" s="32">
        <v>454</v>
      </c>
      <c r="AB115" s="32">
        <v>526</v>
      </c>
      <c r="AC115" s="32">
        <v>524</v>
      </c>
      <c r="AD115" s="32">
        <v>704</v>
      </c>
      <c r="AE115" s="32">
        <v>652</v>
      </c>
      <c r="AF115" s="32">
        <v>576</v>
      </c>
      <c r="AG115" s="32">
        <v>365</v>
      </c>
      <c r="AH115" s="32">
        <v>668</v>
      </c>
      <c r="AI115" s="32">
        <v>632</v>
      </c>
      <c r="AJ115" s="32">
        <v>0</v>
      </c>
      <c r="AK115" s="32">
        <v>791</v>
      </c>
      <c r="AL115" s="32">
        <v>698</v>
      </c>
      <c r="AM115" s="32">
        <v>628</v>
      </c>
      <c r="AN115" s="32">
        <v>566</v>
      </c>
      <c r="AO115" s="32">
        <v>494</v>
      </c>
      <c r="AP115" s="32">
        <v>634</v>
      </c>
      <c r="AQ115" s="32">
        <v>622</v>
      </c>
      <c r="AR115" s="32">
        <v>558</v>
      </c>
      <c r="AS115" s="32">
        <v>533</v>
      </c>
      <c r="AT115" s="32">
        <v>504</v>
      </c>
      <c r="AU115" s="32">
        <v>599</v>
      </c>
      <c r="AV115" s="32">
        <v>587</v>
      </c>
      <c r="AW115" s="32">
        <v>630</v>
      </c>
      <c r="AX115" s="32">
        <v>998</v>
      </c>
      <c r="AY115" s="32">
        <v>745</v>
      </c>
      <c r="AZ115" s="32">
        <v>764</v>
      </c>
      <c r="BA115" s="32">
        <v>979</v>
      </c>
      <c r="BB115" s="32">
        <v>958</v>
      </c>
      <c r="BC115" s="32">
        <v>709</v>
      </c>
      <c r="BD115" s="32">
        <v>795</v>
      </c>
      <c r="BE115" s="32">
        <v>740</v>
      </c>
      <c r="BF115" s="32">
        <v>808</v>
      </c>
      <c r="BG115" s="32">
        <v>562</v>
      </c>
      <c r="BH115" s="32">
        <v>280</v>
      </c>
      <c r="BI115" s="32">
        <v>403</v>
      </c>
      <c r="BJ115" s="32">
        <v>460</v>
      </c>
      <c r="BK115" s="32">
        <v>464</v>
      </c>
      <c r="BL115" s="32">
        <v>648</v>
      </c>
      <c r="BM115" s="32">
        <v>387</v>
      </c>
      <c r="BN115" s="32">
        <v>376</v>
      </c>
      <c r="BO115" s="32">
        <v>485</v>
      </c>
      <c r="BP115" s="32">
        <v>490</v>
      </c>
      <c r="BQ115" s="32">
        <v>528</v>
      </c>
      <c r="BR115" s="32">
        <v>371</v>
      </c>
      <c r="BS115" s="32">
        <v>620</v>
      </c>
      <c r="BT115" s="32">
        <v>366</v>
      </c>
      <c r="BU115" s="32">
        <v>258</v>
      </c>
      <c r="BV115" s="32">
        <v>436</v>
      </c>
      <c r="BW115" s="32">
        <v>462</v>
      </c>
      <c r="BX115" s="32">
        <v>1483</v>
      </c>
      <c r="BY115" s="32">
        <v>878</v>
      </c>
      <c r="BZ115" s="32">
        <v>772</v>
      </c>
      <c r="CA115" s="32">
        <v>378</v>
      </c>
      <c r="CB115" s="32">
        <v>269</v>
      </c>
      <c r="CC115" s="32">
        <v>308</v>
      </c>
      <c r="CD115" s="32">
        <v>377</v>
      </c>
      <c r="CE115" s="32">
        <v>317</v>
      </c>
      <c r="CF115" s="32">
        <v>76</v>
      </c>
      <c r="CG115" s="32">
        <v>286</v>
      </c>
      <c r="CH115" s="32">
        <v>382</v>
      </c>
      <c r="CI115" s="32">
        <v>295</v>
      </c>
      <c r="CJ115" s="32">
        <v>242</v>
      </c>
      <c r="CK115" s="32">
        <v>334</v>
      </c>
      <c r="CL115" s="32">
        <v>334</v>
      </c>
      <c r="CM115" s="32">
        <v>357</v>
      </c>
      <c r="CN115" s="32">
        <v>247</v>
      </c>
      <c r="CO115" s="32">
        <v>321</v>
      </c>
      <c r="CP115" s="32">
        <v>245</v>
      </c>
      <c r="CQ115" s="32">
        <v>404</v>
      </c>
      <c r="CR115" s="32">
        <v>160</v>
      </c>
      <c r="CS115" s="32">
        <v>419</v>
      </c>
      <c r="CT115" s="32">
        <v>107</v>
      </c>
      <c r="CU115" s="32">
        <v>0</v>
      </c>
      <c r="CV115" s="32">
        <v>384</v>
      </c>
      <c r="CW115" s="32">
        <v>338</v>
      </c>
      <c r="CX115" s="32">
        <v>523</v>
      </c>
      <c r="CY115" s="32">
        <v>447</v>
      </c>
      <c r="CZ115" s="32">
        <v>502</v>
      </c>
      <c r="DA115" s="32">
        <v>456</v>
      </c>
      <c r="DB115" s="32">
        <v>445</v>
      </c>
      <c r="DC115" s="32">
        <v>790</v>
      </c>
      <c r="DD115" s="32">
        <v>442</v>
      </c>
      <c r="DE115" s="32">
        <v>573</v>
      </c>
      <c r="DF115" s="32">
        <v>740</v>
      </c>
      <c r="DG115" s="32">
        <v>511</v>
      </c>
      <c r="DH115" s="32">
        <v>393</v>
      </c>
      <c r="DI115" s="32">
        <v>506</v>
      </c>
      <c r="DJ115" s="32">
        <v>636</v>
      </c>
      <c r="DK115" s="32">
        <v>457</v>
      </c>
      <c r="DL115" s="32">
        <v>577</v>
      </c>
      <c r="DM115" s="32">
        <v>546</v>
      </c>
      <c r="DN115" s="32">
        <v>427</v>
      </c>
      <c r="DO115" s="32">
        <v>358</v>
      </c>
      <c r="DP115" s="32">
        <v>555</v>
      </c>
      <c r="DQ115" s="32">
        <v>662</v>
      </c>
      <c r="DR115" s="32">
        <v>849</v>
      </c>
      <c r="DS115" s="32">
        <v>652</v>
      </c>
      <c r="DT115" s="32">
        <v>754</v>
      </c>
      <c r="DU115" s="32">
        <v>551</v>
      </c>
      <c r="DV115" s="32">
        <v>507</v>
      </c>
      <c r="DW115" s="32">
        <v>554</v>
      </c>
      <c r="DX115" s="32">
        <v>585</v>
      </c>
      <c r="DY115" s="32">
        <v>467</v>
      </c>
      <c r="DZ115" s="32">
        <v>458</v>
      </c>
      <c r="EA115" s="32">
        <v>458</v>
      </c>
      <c r="EB115" s="32">
        <v>512</v>
      </c>
      <c r="EC115" s="32">
        <v>349</v>
      </c>
      <c r="ED115" s="32">
        <v>493</v>
      </c>
      <c r="EE115" s="32">
        <v>291</v>
      </c>
      <c r="EF115" s="32">
        <v>344</v>
      </c>
      <c r="EG115" s="32">
        <v>377</v>
      </c>
      <c r="EH115" s="32">
        <v>287</v>
      </c>
      <c r="EI115" s="32">
        <v>422</v>
      </c>
      <c r="EJ115" s="32">
        <v>665</v>
      </c>
      <c r="EK115" s="32">
        <v>506</v>
      </c>
      <c r="EL115" s="32">
        <v>319</v>
      </c>
      <c r="EM115" s="32">
        <v>497</v>
      </c>
      <c r="EN115" s="32">
        <v>388</v>
      </c>
      <c r="EO115" s="32">
        <v>440</v>
      </c>
      <c r="EP115" s="32">
        <v>262</v>
      </c>
      <c r="EQ115" s="32">
        <v>356</v>
      </c>
      <c r="ER115" s="32">
        <v>359</v>
      </c>
      <c r="ES115" s="32">
        <v>338</v>
      </c>
      <c r="ET115" s="32">
        <v>571</v>
      </c>
      <c r="EU115" s="32">
        <v>487</v>
      </c>
      <c r="EV115" s="32">
        <v>424</v>
      </c>
      <c r="EW115" s="32">
        <v>385</v>
      </c>
      <c r="EX115" s="32">
        <v>303</v>
      </c>
      <c r="EY115" s="32">
        <v>545</v>
      </c>
      <c r="EZ115" s="32">
        <v>318</v>
      </c>
      <c r="FA115" s="32">
        <v>419</v>
      </c>
      <c r="FB115" s="32">
        <v>446</v>
      </c>
      <c r="FC115" s="32">
        <v>334</v>
      </c>
      <c r="FD115" s="32">
        <v>317</v>
      </c>
      <c r="FE115" s="32">
        <v>408</v>
      </c>
      <c r="FF115" s="32">
        <v>490</v>
      </c>
      <c r="FG115" s="32">
        <v>584</v>
      </c>
      <c r="FH115" s="32">
        <v>839</v>
      </c>
      <c r="FI115" s="32">
        <v>627</v>
      </c>
      <c r="FJ115" s="32">
        <v>603</v>
      </c>
      <c r="FK115" s="32">
        <v>0</v>
      </c>
      <c r="FL115" s="32"/>
      <c r="FM115" s="32"/>
      <c r="FN115" s="32"/>
      <c r="FR115" s="32">
        <f t="shared" si="178"/>
        <v>1011</v>
      </c>
      <c r="FS115" s="32">
        <f t="shared" si="179"/>
        <v>1208</v>
      </c>
      <c r="FT115" s="32">
        <f t="shared" si="180"/>
        <v>829</v>
      </c>
      <c r="FU115" s="32">
        <f t="shared" si="181"/>
        <v>486</v>
      </c>
      <c r="FV115" s="32">
        <f t="shared" si="182"/>
        <v>1192</v>
      </c>
      <c r="FW115" s="32">
        <f t="shared" si="183"/>
        <v>1033</v>
      </c>
      <c r="FX115" s="32">
        <f t="shared" si="184"/>
        <v>1289</v>
      </c>
      <c r="FY115" s="32">
        <f t="shared" si="185"/>
        <v>1178</v>
      </c>
      <c r="FZ115" s="32">
        <f t="shared" si="186"/>
        <v>1504</v>
      </c>
      <c r="GA115" s="32">
        <f t="shared" si="187"/>
        <v>1932</v>
      </c>
      <c r="GB115" s="32">
        <f t="shared" si="188"/>
        <v>1665</v>
      </c>
      <c r="GC115" s="32">
        <f t="shared" si="189"/>
        <v>1489</v>
      </c>
      <c r="GD115" s="32">
        <f t="shared" si="190"/>
        <v>1688</v>
      </c>
      <c r="GE115" s="32">
        <f t="shared" si="191"/>
        <v>1814</v>
      </c>
      <c r="GF115" s="32">
        <f t="shared" si="192"/>
        <v>1636</v>
      </c>
      <c r="GG115" s="32">
        <f t="shared" si="193"/>
        <v>2215</v>
      </c>
      <c r="GH115" s="32">
        <f t="shared" si="194"/>
        <v>2488</v>
      </c>
      <c r="GI115" s="32">
        <f t="shared" si="195"/>
        <v>2462</v>
      </c>
      <c r="GJ115" s="32">
        <f t="shared" si="196"/>
        <v>2110</v>
      </c>
      <c r="GK115" s="32">
        <f t="shared" si="197"/>
        <v>1143</v>
      </c>
      <c r="GL115" s="32">
        <f t="shared" si="198"/>
        <v>1499</v>
      </c>
      <c r="GM115" s="32">
        <f t="shared" si="199"/>
        <v>1351</v>
      </c>
      <c r="GN115" s="32">
        <f t="shared" si="200"/>
        <v>1519</v>
      </c>
      <c r="GO115" s="32">
        <f t="shared" si="201"/>
        <v>1060</v>
      </c>
      <c r="GP115" s="32">
        <f t="shared" si="202"/>
        <v>2823</v>
      </c>
      <c r="GQ115" s="32">
        <f t="shared" si="203"/>
        <v>1419</v>
      </c>
      <c r="GR115" s="32">
        <f t="shared" si="204"/>
        <v>1002</v>
      </c>
      <c r="GS115" s="32">
        <f t="shared" si="205"/>
        <v>744</v>
      </c>
      <c r="GT115" s="32">
        <f t="shared" si="206"/>
        <v>871</v>
      </c>
      <c r="GU115" s="32">
        <f t="shared" si="207"/>
        <v>938</v>
      </c>
      <c r="GV115" s="32">
        <f t="shared" si="208"/>
        <v>970</v>
      </c>
      <c r="GW115" s="32">
        <f t="shared" si="209"/>
        <v>686</v>
      </c>
      <c r="GX115" s="32">
        <f t="shared" si="210"/>
        <v>722</v>
      </c>
      <c r="GY115" s="32">
        <f t="shared" si="211"/>
        <v>1472</v>
      </c>
      <c r="GZ115" s="32">
        <f t="shared" si="212"/>
        <v>1691</v>
      </c>
      <c r="HA115" s="32">
        <f t="shared" si="213"/>
        <v>1755</v>
      </c>
      <c r="HB115" s="32">
        <f t="shared" si="214"/>
        <v>904</v>
      </c>
      <c r="HC115" s="32">
        <f t="shared" si="215"/>
        <v>1670</v>
      </c>
      <c r="HD115" s="32">
        <f t="shared" si="216"/>
        <v>1331</v>
      </c>
      <c r="HE115" s="32">
        <f t="shared" si="217"/>
        <v>2066</v>
      </c>
      <c r="HF115" s="32">
        <f t="shared" si="218"/>
        <v>1957</v>
      </c>
      <c r="HG115" s="32">
        <f t="shared" si="219"/>
        <v>1646</v>
      </c>
      <c r="HH115" s="32">
        <f t="shared" si="220"/>
        <v>1383</v>
      </c>
      <c r="HI115" s="32">
        <f t="shared" si="221"/>
        <v>1354</v>
      </c>
      <c r="HJ115" s="32">
        <f t="shared" si="222"/>
        <v>1012</v>
      </c>
      <c r="HK115" s="32">
        <f t="shared" si="223"/>
        <v>1374</v>
      </c>
      <c r="HL115" s="32">
        <f t="shared" si="224"/>
        <v>1322</v>
      </c>
      <c r="HM115" s="32">
        <f t="shared" si="225"/>
        <v>1090</v>
      </c>
      <c r="HN115" s="32">
        <f t="shared" si="125"/>
        <v>1012</v>
      </c>
      <c r="HO115" s="32">
        <f t="shared" si="126"/>
        <v>1374</v>
      </c>
      <c r="HP115" s="32">
        <f t="shared" si="127"/>
        <v>1322</v>
      </c>
      <c r="HQ115" s="32">
        <f t="shared" si="128"/>
        <v>1090</v>
      </c>
      <c r="HR115" s="32">
        <f t="shared" si="226"/>
        <v>1053</v>
      </c>
      <c r="HS115" s="32">
        <f t="shared" si="122"/>
        <v>1482</v>
      </c>
      <c r="HT115" s="32">
        <f t="shared" si="227"/>
        <v>1233</v>
      </c>
      <c r="HU115" s="32">
        <f t="shared" si="228"/>
        <v>1183</v>
      </c>
      <c r="HV115" s="32">
        <f t="shared" si="229"/>
        <v>1059</v>
      </c>
      <c r="HW115" s="32">
        <f t="shared" si="230"/>
        <v>1913</v>
      </c>
      <c r="HX115" s="32">
        <f t="shared" si="231"/>
        <v>1230</v>
      </c>
      <c r="IB115" s="32">
        <f t="shared" si="232"/>
        <v>3534</v>
      </c>
      <c r="IC115" s="32">
        <f t="shared" si="233"/>
        <v>4692</v>
      </c>
      <c r="ID115" s="32">
        <f t="shared" si="234"/>
        <v>6590</v>
      </c>
      <c r="IE115" s="32">
        <f t="shared" si="235"/>
        <v>7353</v>
      </c>
      <c r="IF115" s="32">
        <f t="shared" si="236"/>
        <v>8203</v>
      </c>
      <c r="IG115" s="32">
        <f t="shared" si="237"/>
        <v>5429</v>
      </c>
      <c r="IH115" s="32">
        <f t="shared" si="238"/>
        <v>5988</v>
      </c>
      <c r="II115" s="32">
        <f t="shared" si="239"/>
        <v>3465</v>
      </c>
      <c r="IJ115" s="32">
        <f t="shared" si="240"/>
        <v>5640</v>
      </c>
      <c r="IK115" s="32">
        <f t="shared" si="241"/>
        <v>6477</v>
      </c>
      <c r="IL115" s="32">
        <f t="shared" si="242"/>
        <v>6340</v>
      </c>
      <c r="IM115" s="32">
        <f t="shared" si="243"/>
        <v>4798</v>
      </c>
      <c r="IN115" s="32">
        <f t="shared" si="244"/>
        <v>4951</v>
      </c>
    </row>
    <row r="116" spans="1:248" outlineLevel="1" x14ac:dyDescent="0.3">
      <c r="A116" s="15" t="s">
        <v>93</v>
      </c>
      <c r="B116" s="15"/>
      <c r="C116" s="15">
        <v>499</v>
      </c>
      <c r="D116" s="15">
        <v>238</v>
      </c>
      <c r="E116" s="15">
        <v>274</v>
      </c>
      <c r="F116" s="15">
        <v>652</v>
      </c>
      <c r="G116" s="15">
        <v>261</v>
      </c>
      <c r="H116" s="15">
        <v>336</v>
      </c>
      <c r="I116" s="15">
        <v>257</v>
      </c>
      <c r="J116" s="15">
        <v>239</v>
      </c>
      <c r="K116" s="15">
        <v>362</v>
      </c>
      <c r="L116" s="15">
        <v>115</v>
      </c>
      <c r="M116" s="15">
        <v>202</v>
      </c>
      <c r="N116" s="15">
        <v>190</v>
      </c>
      <c r="O116" s="15">
        <v>322</v>
      </c>
      <c r="P116" s="15">
        <v>343</v>
      </c>
      <c r="Q116" s="15">
        <v>544</v>
      </c>
      <c r="R116" s="15">
        <v>515</v>
      </c>
      <c r="S116" s="15">
        <v>269</v>
      </c>
      <c r="T116" s="15">
        <v>278</v>
      </c>
      <c r="U116" s="15">
        <v>340</v>
      </c>
      <c r="V116" s="15">
        <v>375</v>
      </c>
      <c r="W116" s="15">
        <v>612</v>
      </c>
      <c r="X116" s="15">
        <v>323</v>
      </c>
      <c r="Y116" s="15">
        <v>463</v>
      </c>
      <c r="Z116" s="15">
        <v>392</v>
      </c>
      <c r="AA116" s="33">
        <v>454</v>
      </c>
      <c r="AB116" s="33">
        <v>526</v>
      </c>
      <c r="AC116" s="33">
        <v>524</v>
      </c>
      <c r="AD116" s="33">
        <v>711</v>
      </c>
      <c r="AE116" s="33">
        <v>652</v>
      </c>
      <c r="AF116" s="33">
        <v>576</v>
      </c>
      <c r="AG116" s="33">
        <v>365</v>
      </c>
      <c r="AH116" s="33">
        <v>668</v>
      </c>
      <c r="AI116" s="33">
        <v>632</v>
      </c>
      <c r="AJ116" s="33">
        <v>344</v>
      </c>
      <c r="AK116" s="33">
        <v>791</v>
      </c>
      <c r="AL116" s="33">
        <v>698</v>
      </c>
      <c r="AM116" s="33">
        <v>628</v>
      </c>
      <c r="AN116" s="33">
        <v>566</v>
      </c>
      <c r="AO116" s="33">
        <v>494</v>
      </c>
      <c r="AP116" s="33">
        <v>634</v>
      </c>
      <c r="AQ116" s="33">
        <v>622</v>
      </c>
      <c r="AR116" s="33">
        <v>558</v>
      </c>
      <c r="AS116" s="33">
        <v>533</v>
      </c>
      <c r="AT116" s="33">
        <v>582</v>
      </c>
      <c r="AU116" s="33">
        <v>757</v>
      </c>
      <c r="AV116" s="33">
        <v>683</v>
      </c>
      <c r="AW116" s="33">
        <v>726</v>
      </c>
      <c r="AX116" s="33">
        <v>998</v>
      </c>
      <c r="AY116" s="33">
        <v>921</v>
      </c>
      <c r="AZ116" s="33">
        <v>916</v>
      </c>
      <c r="BA116" s="33">
        <v>1187</v>
      </c>
      <c r="BB116" s="33">
        <v>1086</v>
      </c>
      <c r="BC116" s="33">
        <v>897</v>
      </c>
      <c r="BD116" s="33">
        <v>907</v>
      </c>
      <c r="BE116" s="33">
        <v>851</v>
      </c>
      <c r="BF116" s="33">
        <v>988</v>
      </c>
      <c r="BG116" s="33">
        <v>677</v>
      </c>
      <c r="BH116" s="33">
        <v>387</v>
      </c>
      <c r="BI116" s="33">
        <v>479</v>
      </c>
      <c r="BJ116" s="33">
        <v>634</v>
      </c>
      <c r="BK116" s="33">
        <v>646</v>
      </c>
      <c r="BL116" s="33">
        <v>958</v>
      </c>
      <c r="BM116" s="33">
        <v>635</v>
      </c>
      <c r="BN116" s="33">
        <v>631</v>
      </c>
      <c r="BO116" s="33">
        <v>593</v>
      </c>
      <c r="BP116" s="33">
        <v>593</v>
      </c>
      <c r="BQ116" s="33">
        <v>725</v>
      </c>
      <c r="BR116" s="33">
        <v>526</v>
      </c>
      <c r="BS116" s="33">
        <v>982</v>
      </c>
      <c r="BT116" s="33">
        <v>544</v>
      </c>
      <c r="BU116" s="33">
        <v>522</v>
      </c>
      <c r="BV116" s="33">
        <v>546</v>
      </c>
      <c r="BW116" s="33">
        <v>629</v>
      </c>
      <c r="BX116" s="33">
        <v>1799</v>
      </c>
      <c r="BY116" s="33">
        <v>1117</v>
      </c>
      <c r="BZ116" s="33">
        <v>950</v>
      </c>
      <c r="CA116" s="33">
        <v>511</v>
      </c>
      <c r="CB116" s="33">
        <v>309</v>
      </c>
      <c r="CC116" s="33">
        <v>442</v>
      </c>
      <c r="CD116" s="33">
        <v>377</v>
      </c>
      <c r="CE116" s="33">
        <v>417</v>
      </c>
      <c r="CF116" s="33">
        <v>76</v>
      </c>
      <c r="CG116" s="33">
        <v>286</v>
      </c>
      <c r="CH116" s="33">
        <v>382</v>
      </c>
      <c r="CI116" s="33">
        <v>295</v>
      </c>
      <c r="CJ116" s="33">
        <v>432</v>
      </c>
      <c r="CK116" s="33">
        <v>446</v>
      </c>
      <c r="CL116" s="33">
        <v>454</v>
      </c>
      <c r="CM116" s="33">
        <v>381</v>
      </c>
      <c r="CN116" s="33">
        <v>283</v>
      </c>
      <c r="CO116" s="33">
        <v>461</v>
      </c>
      <c r="CP116" s="33">
        <v>346</v>
      </c>
      <c r="CQ116" s="33">
        <v>404</v>
      </c>
      <c r="CR116" s="33">
        <v>189</v>
      </c>
      <c r="CS116" s="33">
        <v>419</v>
      </c>
      <c r="CT116" s="33">
        <v>107</v>
      </c>
      <c r="CU116" s="33">
        <v>0</v>
      </c>
      <c r="CV116" s="33">
        <v>384</v>
      </c>
      <c r="CW116" s="33">
        <v>338</v>
      </c>
      <c r="CX116" s="33">
        <v>523</v>
      </c>
      <c r="CY116" s="33">
        <v>447</v>
      </c>
      <c r="CZ116" s="33">
        <v>502</v>
      </c>
      <c r="DA116" s="33">
        <v>456</v>
      </c>
      <c r="DB116" s="33">
        <v>445</v>
      </c>
      <c r="DC116" s="33">
        <v>790</v>
      </c>
      <c r="DD116" s="33">
        <v>442</v>
      </c>
      <c r="DE116" s="33">
        <v>573</v>
      </c>
      <c r="DF116" s="33">
        <v>740</v>
      </c>
      <c r="DG116" s="33">
        <v>511</v>
      </c>
      <c r="DH116" s="33">
        <v>393</v>
      </c>
      <c r="DI116" s="33">
        <v>506</v>
      </c>
      <c r="DJ116" s="33">
        <v>636</v>
      </c>
      <c r="DK116" s="33">
        <v>457</v>
      </c>
      <c r="DL116" s="33">
        <v>577</v>
      </c>
      <c r="DM116" s="33">
        <v>546</v>
      </c>
      <c r="DN116" s="33">
        <v>427</v>
      </c>
      <c r="DO116" s="33">
        <v>358</v>
      </c>
      <c r="DP116" s="33">
        <v>555</v>
      </c>
      <c r="DQ116" s="33">
        <v>662</v>
      </c>
      <c r="DR116" s="33">
        <v>849</v>
      </c>
      <c r="DS116" s="33">
        <v>652</v>
      </c>
      <c r="DT116" s="33">
        <v>754</v>
      </c>
      <c r="DU116" s="33">
        <v>551</v>
      </c>
      <c r="DV116" s="33">
        <v>507</v>
      </c>
      <c r="DW116" s="33">
        <v>554</v>
      </c>
      <c r="DX116" s="33">
        <v>585</v>
      </c>
      <c r="DY116" s="33">
        <v>467</v>
      </c>
      <c r="DZ116" s="33">
        <v>458</v>
      </c>
      <c r="EA116" s="33">
        <v>458</v>
      </c>
      <c r="EB116" s="33">
        <v>512</v>
      </c>
      <c r="EC116" s="33">
        <v>349</v>
      </c>
      <c r="ED116" s="33">
        <v>493</v>
      </c>
      <c r="EE116" s="33">
        <v>291</v>
      </c>
      <c r="EF116" s="33">
        <v>344</v>
      </c>
      <c r="EG116" s="33">
        <v>377</v>
      </c>
      <c r="EH116" s="33">
        <v>287</v>
      </c>
      <c r="EI116" s="33">
        <v>422</v>
      </c>
      <c r="EJ116" s="33">
        <v>665</v>
      </c>
      <c r="EK116" s="33">
        <v>506</v>
      </c>
      <c r="EL116" s="33">
        <v>319</v>
      </c>
      <c r="EM116" s="33">
        <v>497</v>
      </c>
      <c r="EN116" s="33">
        <v>388</v>
      </c>
      <c r="EO116" s="33">
        <v>440</v>
      </c>
      <c r="EP116" s="33">
        <v>262</v>
      </c>
      <c r="EQ116" s="33">
        <v>356</v>
      </c>
      <c r="ER116" s="33">
        <v>359</v>
      </c>
      <c r="ES116" s="33">
        <v>338</v>
      </c>
      <c r="ET116" s="33">
        <v>571</v>
      </c>
      <c r="EU116" s="33">
        <v>487</v>
      </c>
      <c r="EV116" s="33">
        <v>424</v>
      </c>
      <c r="EW116" s="33">
        <v>385</v>
      </c>
      <c r="EX116" s="33">
        <v>303</v>
      </c>
      <c r="EY116" s="33">
        <v>545</v>
      </c>
      <c r="EZ116" s="33">
        <v>318</v>
      </c>
      <c r="FA116" s="33">
        <v>419</v>
      </c>
      <c r="FB116" s="33">
        <v>446</v>
      </c>
      <c r="FC116" s="33">
        <v>334</v>
      </c>
      <c r="FD116" s="33">
        <v>317</v>
      </c>
      <c r="FE116" s="33">
        <v>408</v>
      </c>
      <c r="FF116" s="33">
        <v>490</v>
      </c>
      <c r="FG116" s="33">
        <v>584</v>
      </c>
      <c r="FH116" s="33">
        <v>839</v>
      </c>
      <c r="FI116" s="33">
        <v>627</v>
      </c>
      <c r="FJ116" s="33">
        <v>603</v>
      </c>
      <c r="FK116" s="33">
        <v>543</v>
      </c>
      <c r="FL116" s="34"/>
      <c r="FM116" s="34"/>
      <c r="FN116" s="34"/>
      <c r="FR116" s="33">
        <f t="shared" si="178"/>
        <v>1011</v>
      </c>
      <c r="FS116" s="33">
        <f t="shared" si="179"/>
        <v>1249</v>
      </c>
      <c r="FT116" s="33">
        <f t="shared" si="180"/>
        <v>858</v>
      </c>
      <c r="FU116" s="33">
        <f t="shared" si="181"/>
        <v>507</v>
      </c>
      <c r="FV116" s="33">
        <f t="shared" si="182"/>
        <v>1209</v>
      </c>
      <c r="FW116" s="33">
        <f t="shared" si="183"/>
        <v>1062</v>
      </c>
      <c r="FX116" s="33">
        <f t="shared" si="184"/>
        <v>1327</v>
      </c>
      <c r="FY116" s="33">
        <f t="shared" si="185"/>
        <v>1178</v>
      </c>
      <c r="FZ116" s="33">
        <f t="shared" si="186"/>
        <v>1504</v>
      </c>
      <c r="GA116" s="33">
        <f t="shared" si="187"/>
        <v>1939</v>
      </c>
      <c r="GB116" s="33">
        <f t="shared" si="188"/>
        <v>1665</v>
      </c>
      <c r="GC116" s="33">
        <f t="shared" si="189"/>
        <v>1833</v>
      </c>
      <c r="GD116" s="33">
        <f t="shared" si="190"/>
        <v>1688</v>
      </c>
      <c r="GE116" s="33">
        <f t="shared" si="191"/>
        <v>1814</v>
      </c>
      <c r="GF116" s="33">
        <f t="shared" si="192"/>
        <v>1872</v>
      </c>
      <c r="GG116" s="33">
        <f t="shared" si="193"/>
        <v>2407</v>
      </c>
      <c r="GH116" s="33">
        <f t="shared" si="194"/>
        <v>3024</v>
      </c>
      <c r="GI116" s="33">
        <f t="shared" si="195"/>
        <v>2890</v>
      </c>
      <c r="GJ116" s="33">
        <f t="shared" si="196"/>
        <v>2516</v>
      </c>
      <c r="GK116" s="33">
        <f t="shared" si="197"/>
        <v>1500</v>
      </c>
      <c r="GL116" s="33">
        <f t="shared" si="198"/>
        <v>2239</v>
      </c>
      <c r="GM116" s="33">
        <f t="shared" si="199"/>
        <v>1817</v>
      </c>
      <c r="GN116" s="33">
        <f t="shared" si="200"/>
        <v>2233</v>
      </c>
      <c r="GO116" s="33">
        <f t="shared" si="201"/>
        <v>1612</v>
      </c>
      <c r="GP116" s="33">
        <f t="shared" si="202"/>
        <v>3545</v>
      </c>
      <c r="GQ116" s="33">
        <f t="shared" si="203"/>
        <v>1770</v>
      </c>
      <c r="GR116" s="33">
        <f t="shared" si="204"/>
        <v>1236</v>
      </c>
      <c r="GS116" s="33">
        <f t="shared" si="205"/>
        <v>744</v>
      </c>
      <c r="GT116" s="33">
        <f t="shared" si="206"/>
        <v>1173</v>
      </c>
      <c r="GU116" s="33">
        <f t="shared" si="207"/>
        <v>1118</v>
      </c>
      <c r="GV116" s="33">
        <f t="shared" si="208"/>
        <v>1211</v>
      </c>
      <c r="GW116" s="33">
        <f t="shared" si="209"/>
        <v>715</v>
      </c>
      <c r="GX116" s="33">
        <f t="shared" si="210"/>
        <v>722</v>
      </c>
      <c r="GY116" s="33">
        <f t="shared" si="211"/>
        <v>1472</v>
      </c>
      <c r="GZ116" s="33">
        <f t="shared" si="212"/>
        <v>1691</v>
      </c>
      <c r="HA116" s="33">
        <f t="shared" si="213"/>
        <v>1755</v>
      </c>
      <c r="HB116" s="33">
        <f t="shared" si="214"/>
        <v>904</v>
      </c>
      <c r="HC116" s="33">
        <f t="shared" si="215"/>
        <v>1670</v>
      </c>
      <c r="HD116" s="33">
        <f t="shared" si="216"/>
        <v>1331</v>
      </c>
      <c r="HE116" s="33">
        <f t="shared" si="217"/>
        <v>2066</v>
      </c>
      <c r="HF116" s="33">
        <f t="shared" si="218"/>
        <v>1957</v>
      </c>
      <c r="HG116" s="33">
        <f t="shared" si="219"/>
        <v>1646</v>
      </c>
      <c r="HH116" s="33">
        <f t="shared" si="220"/>
        <v>1383</v>
      </c>
      <c r="HI116" s="33">
        <f t="shared" si="221"/>
        <v>1354</v>
      </c>
      <c r="HJ116" s="33">
        <f t="shared" si="222"/>
        <v>1012</v>
      </c>
      <c r="HK116" s="33">
        <f t="shared" si="223"/>
        <v>1374</v>
      </c>
      <c r="HL116" s="33">
        <f t="shared" si="224"/>
        <v>1322</v>
      </c>
      <c r="HM116" s="33">
        <f t="shared" si="225"/>
        <v>1090</v>
      </c>
      <c r="HN116" s="33">
        <f t="shared" si="125"/>
        <v>1012</v>
      </c>
      <c r="HO116" s="33">
        <f t="shared" si="126"/>
        <v>1374</v>
      </c>
      <c r="HP116" s="33">
        <f t="shared" si="127"/>
        <v>1322</v>
      </c>
      <c r="HQ116" s="33">
        <f t="shared" si="128"/>
        <v>1090</v>
      </c>
      <c r="HR116" s="33">
        <f t="shared" si="226"/>
        <v>1053</v>
      </c>
      <c r="HS116" s="33">
        <f t="shared" si="122"/>
        <v>1482</v>
      </c>
      <c r="HT116" s="33">
        <f t="shared" si="227"/>
        <v>1233</v>
      </c>
      <c r="HU116" s="33">
        <f t="shared" si="228"/>
        <v>1183</v>
      </c>
      <c r="HV116" s="33">
        <f t="shared" si="229"/>
        <v>1059</v>
      </c>
      <c r="HW116" s="33">
        <f t="shared" si="230"/>
        <v>1913</v>
      </c>
      <c r="HX116" s="33">
        <f t="shared" si="231"/>
        <v>1773</v>
      </c>
      <c r="IB116" s="33">
        <f t="shared" si="232"/>
        <v>3625</v>
      </c>
      <c r="IC116" s="33">
        <f t="shared" si="233"/>
        <v>4776</v>
      </c>
      <c r="ID116" s="33">
        <f t="shared" si="234"/>
        <v>6941</v>
      </c>
      <c r="IE116" s="33">
        <f t="shared" si="235"/>
        <v>7781</v>
      </c>
      <c r="IF116" s="33">
        <f t="shared" si="236"/>
        <v>9930</v>
      </c>
      <c r="IG116" s="33">
        <f t="shared" si="237"/>
        <v>7901</v>
      </c>
      <c r="IH116" s="33">
        <f t="shared" si="238"/>
        <v>7295</v>
      </c>
      <c r="II116" s="33">
        <f t="shared" si="239"/>
        <v>4217</v>
      </c>
      <c r="IJ116" s="33">
        <f t="shared" si="240"/>
        <v>5640</v>
      </c>
      <c r="IK116" s="33">
        <f t="shared" si="241"/>
        <v>6477</v>
      </c>
      <c r="IL116" s="33">
        <f t="shared" si="242"/>
        <v>6340</v>
      </c>
      <c r="IM116" s="33">
        <f t="shared" si="243"/>
        <v>4798</v>
      </c>
      <c r="IN116" s="33">
        <f t="shared" si="244"/>
        <v>4951</v>
      </c>
    </row>
    <row r="117" spans="1:248" outlineLevel="2" x14ac:dyDescent="0.3">
      <c r="A117" t="s">
        <v>94</v>
      </c>
      <c r="B117" t="s">
        <v>75</v>
      </c>
      <c r="C117">
        <v>44</v>
      </c>
      <c r="D117">
        <v>35</v>
      </c>
      <c r="E117">
        <v>50</v>
      </c>
      <c r="F117">
        <v>54</v>
      </c>
      <c r="G117">
        <v>43</v>
      </c>
      <c r="H117">
        <v>42</v>
      </c>
      <c r="I117">
        <v>89</v>
      </c>
      <c r="J117">
        <v>81</v>
      </c>
      <c r="K117">
        <v>94</v>
      </c>
      <c r="L117">
        <v>84</v>
      </c>
      <c r="M117">
        <v>110</v>
      </c>
      <c r="N117">
        <v>36</v>
      </c>
      <c r="O117">
        <v>44</v>
      </c>
      <c r="P117">
        <v>40</v>
      </c>
      <c r="Q117">
        <v>29</v>
      </c>
      <c r="R117">
        <v>63</v>
      </c>
      <c r="S117">
        <v>82</v>
      </c>
      <c r="T117">
        <v>55</v>
      </c>
      <c r="U117">
        <v>66</v>
      </c>
      <c r="V117">
        <v>18</v>
      </c>
      <c r="W117">
        <v>41</v>
      </c>
      <c r="X117">
        <v>49</v>
      </c>
      <c r="Y117">
        <v>84</v>
      </c>
      <c r="Z117">
        <v>44</v>
      </c>
      <c r="AA117" s="32">
        <v>34</v>
      </c>
      <c r="AB117" s="32">
        <v>33</v>
      </c>
      <c r="AC117" s="32">
        <v>89</v>
      </c>
      <c r="AD117" s="32">
        <v>85</v>
      </c>
      <c r="AE117" s="32">
        <v>91</v>
      </c>
      <c r="AF117" s="32">
        <v>92</v>
      </c>
      <c r="AG117" s="32">
        <v>60</v>
      </c>
      <c r="AH117" s="32">
        <v>28</v>
      </c>
      <c r="AI117" s="32">
        <v>75</v>
      </c>
      <c r="AJ117" s="32">
        <v>40</v>
      </c>
      <c r="AK117" s="32">
        <v>35</v>
      </c>
      <c r="AL117" s="32">
        <v>30</v>
      </c>
      <c r="AM117" s="32">
        <v>105</v>
      </c>
      <c r="AN117" s="32">
        <v>48</v>
      </c>
      <c r="AO117" s="32">
        <v>54</v>
      </c>
      <c r="AP117" s="32">
        <v>52</v>
      </c>
      <c r="AQ117" s="32">
        <v>29</v>
      </c>
      <c r="AR117" s="32">
        <v>18</v>
      </c>
      <c r="AS117" s="32">
        <v>34</v>
      </c>
      <c r="AT117" s="32">
        <v>29</v>
      </c>
      <c r="AU117" s="32">
        <v>65</v>
      </c>
      <c r="AV117" s="32">
        <v>89</v>
      </c>
      <c r="AW117" s="32">
        <v>63</v>
      </c>
      <c r="AX117" s="32">
        <v>66</v>
      </c>
      <c r="AY117" s="32">
        <v>18</v>
      </c>
      <c r="AZ117" s="32">
        <v>49</v>
      </c>
      <c r="BA117" s="32">
        <v>95</v>
      </c>
      <c r="BB117" s="32">
        <v>52</v>
      </c>
      <c r="BC117" s="32">
        <v>74</v>
      </c>
      <c r="BD117" s="32">
        <v>95</v>
      </c>
      <c r="BE117" s="32">
        <v>127</v>
      </c>
      <c r="BF117" s="32">
        <v>66</v>
      </c>
      <c r="BG117" s="32">
        <v>128</v>
      </c>
      <c r="BH117" s="32">
        <v>138</v>
      </c>
      <c r="BI117" s="32">
        <v>71</v>
      </c>
      <c r="BJ117" s="32">
        <v>74</v>
      </c>
      <c r="BK117" s="32">
        <v>24</v>
      </c>
      <c r="BL117" s="32">
        <v>103</v>
      </c>
      <c r="BM117" s="32">
        <v>33</v>
      </c>
      <c r="BN117" s="32">
        <v>117</v>
      </c>
      <c r="BO117" s="32">
        <v>51</v>
      </c>
      <c r="BP117" s="32">
        <v>119</v>
      </c>
      <c r="BQ117" s="32">
        <v>157</v>
      </c>
      <c r="BR117" s="32">
        <v>105</v>
      </c>
      <c r="BS117" s="32">
        <v>93</v>
      </c>
      <c r="BT117" s="32">
        <v>88</v>
      </c>
      <c r="BU117" s="32">
        <v>34</v>
      </c>
      <c r="BV117" s="32">
        <v>61</v>
      </c>
      <c r="BW117" s="32">
        <v>39</v>
      </c>
      <c r="BX117" s="32">
        <v>22</v>
      </c>
      <c r="BY117" s="32">
        <v>34</v>
      </c>
      <c r="BZ117" s="32">
        <v>32</v>
      </c>
      <c r="CA117" s="32">
        <v>21</v>
      </c>
      <c r="CB117" s="32">
        <v>38</v>
      </c>
      <c r="CC117" s="32">
        <v>72</v>
      </c>
      <c r="CD117" s="32">
        <v>105</v>
      </c>
      <c r="CE117" s="32">
        <v>56</v>
      </c>
      <c r="CF117" s="32">
        <v>31</v>
      </c>
      <c r="CG117" s="32">
        <v>35</v>
      </c>
      <c r="CH117" s="32">
        <v>62</v>
      </c>
      <c r="CI117" s="32">
        <v>42</v>
      </c>
      <c r="CJ117" s="32">
        <v>26</v>
      </c>
      <c r="CK117" s="32">
        <v>51</v>
      </c>
      <c r="CL117" s="32">
        <v>11</v>
      </c>
      <c r="CM117" s="32">
        <v>46</v>
      </c>
      <c r="CN117" s="32">
        <v>87</v>
      </c>
      <c r="CO117" s="32">
        <v>12</v>
      </c>
      <c r="CP117" s="32">
        <v>10</v>
      </c>
      <c r="CQ117" s="32">
        <v>47</v>
      </c>
      <c r="CR117" s="32">
        <v>43</v>
      </c>
      <c r="CS117" s="32">
        <v>24</v>
      </c>
      <c r="CT117" s="32">
        <v>4</v>
      </c>
      <c r="CU117" s="32">
        <v>0</v>
      </c>
      <c r="CV117" s="32">
        <v>0</v>
      </c>
      <c r="CW117" s="32">
        <v>47</v>
      </c>
      <c r="CX117" s="32">
        <v>23</v>
      </c>
      <c r="CY117" s="32">
        <v>22</v>
      </c>
      <c r="CZ117" s="32">
        <v>47</v>
      </c>
      <c r="DA117" s="32">
        <v>34</v>
      </c>
      <c r="DB117" s="32">
        <v>35</v>
      </c>
      <c r="DC117" s="32">
        <v>93</v>
      </c>
      <c r="DD117" s="32">
        <v>35</v>
      </c>
      <c r="DE117" s="32">
        <v>13</v>
      </c>
      <c r="DF117" s="32">
        <v>118</v>
      </c>
      <c r="DG117" s="32">
        <v>23</v>
      </c>
      <c r="DH117" s="32">
        <v>43</v>
      </c>
      <c r="DI117" s="32">
        <v>147</v>
      </c>
      <c r="DJ117" s="32">
        <v>23</v>
      </c>
      <c r="DK117" s="32">
        <v>98</v>
      </c>
      <c r="DL117" s="32">
        <v>87</v>
      </c>
      <c r="DM117" s="32">
        <v>33</v>
      </c>
      <c r="DN117" s="32">
        <v>49</v>
      </c>
      <c r="DO117" s="32">
        <v>41</v>
      </c>
      <c r="DP117" s="32">
        <v>28</v>
      </c>
      <c r="DQ117" s="32">
        <v>23</v>
      </c>
      <c r="DR117" s="32">
        <v>29</v>
      </c>
      <c r="DS117" s="32">
        <v>58</v>
      </c>
      <c r="DT117" s="32">
        <v>41</v>
      </c>
      <c r="DU117" s="32">
        <v>36</v>
      </c>
      <c r="DV117" s="32">
        <v>19</v>
      </c>
      <c r="DW117" s="32">
        <v>35</v>
      </c>
      <c r="DX117" s="32">
        <v>38</v>
      </c>
      <c r="DY117" s="32">
        <v>16</v>
      </c>
      <c r="DZ117" s="32">
        <v>43</v>
      </c>
      <c r="EA117" s="32">
        <v>28</v>
      </c>
      <c r="EB117" s="32">
        <v>31</v>
      </c>
      <c r="EC117" s="32">
        <v>21</v>
      </c>
      <c r="ED117" s="32">
        <v>28</v>
      </c>
      <c r="EE117" s="32">
        <v>2</v>
      </c>
      <c r="EF117" s="32">
        <v>34</v>
      </c>
      <c r="EG117" s="32">
        <v>38</v>
      </c>
      <c r="EH117" s="32">
        <v>44</v>
      </c>
      <c r="EI117" s="32">
        <v>44</v>
      </c>
      <c r="EJ117" s="32">
        <v>16</v>
      </c>
      <c r="EK117" s="32">
        <v>26</v>
      </c>
      <c r="EL117" s="32">
        <v>26</v>
      </c>
      <c r="EM117" s="32">
        <v>33</v>
      </c>
      <c r="EN117" s="32">
        <v>6</v>
      </c>
      <c r="EO117" s="32">
        <v>48</v>
      </c>
      <c r="EP117" s="32">
        <v>51</v>
      </c>
      <c r="EQ117" s="32">
        <v>30</v>
      </c>
      <c r="ER117" s="32">
        <v>22</v>
      </c>
      <c r="ES117" s="32">
        <v>22</v>
      </c>
      <c r="ET117" s="32">
        <v>36</v>
      </c>
      <c r="EU117" s="32">
        <v>8</v>
      </c>
      <c r="EV117" s="32">
        <v>25</v>
      </c>
      <c r="EW117" s="32">
        <v>20</v>
      </c>
      <c r="EX117" s="32">
        <v>1</v>
      </c>
      <c r="EY117" s="32">
        <v>15</v>
      </c>
      <c r="EZ117" s="32">
        <v>10</v>
      </c>
      <c r="FA117" s="32">
        <v>26</v>
      </c>
      <c r="FB117" s="32">
        <v>18</v>
      </c>
      <c r="FC117" s="32">
        <v>21</v>
      </c>
      <c r="FD117" s="32">
        <v>34</v>
      </c>
      <c r="FE117" s="32">
        <v>17</v>
      </c>
      <c r="FF117" s="32">
        <v>2</v>
      </c>
      <c r="FG117" s="32">
        <v>34</v>
      </c>
      <c r="FH117" s="32">
        <v>5</v>
      </c>
      <c r="FI117" s="32">
        <v>16</v>
      </c>
      <c r="FJ117" s="32">
        <v>39</v>
      </c>
      <c r="FK117" s="32">
        <v>7</v>
      </c>
      <c r="FL117" s="32"/>
      <c r="FM117" s="32"/>
      <c r="FN117" s="32"/>
      <c r="FR117" s="32">
        <f t="shared" si="178"/>
        <v>129</v>
      </c>
      <c r="FS117" s="32">
        <f t="shared" si="179"/>
        <v>139</v>
      </c>
      <c r="FT117" s="32">
        <f t="shared" si="180"/>
        <v>264</v>
      </c>
      <c r="FU117" s="32">
        <f t="shared" si="181"/>
        <v>230</v>
      </c>
      <c r="FV117" s="32">
        <f t="shared" si="182"/>
        <v>113</v>
      </c>
      <c r="FW117" s="32">
        <f t="shared" si="183"/>
        <v>200</v>
      </c>
      <c r="FX117" s="32">
        <f t="shared" si="184"/>
        <v>125</v>
      </c>
      <c r="FY117" s="32">
        <f t="shared" si="185"/>
        <v>177</v>
      </c>
      <c r="FZ117" s="32">
        <f t="shared" si="186"/>
        <v>156</v>
      </c>
      <c r="GA117" s="32">
        <f t="shared" si="187"/>
        <v>268</v>
      </c>
      <c r="GB117" s="32">
        <f t="shared" si="188"/>
        <v>163</v>
      </c>
      <c r="GC117" s="32">
        <f t="shared" si="189"/>
        <v>105</v>
      </c>
      <c r="GD117" s="32">
        <f t="shared" si="190"/>
        <v>207</v>
      </c>
      <c r="GE117" s="32">
        <f t="shared" si="191"/>
        <v>99</v>
      </c>
      <c r="GF117" s="32">
        <f t="shared" si="192"/>
        <v>128</v>
      </c>
      <c r="GG117" s="32">
        <f t="shared" si="193"/>
        <v>218</v>
      </c>
      <c r="GH117" s="32">
        <f t="shared" si="194"/>
        <v>162</v>
      </c>
      <c r="GI117" s="32">
        <f t="shared" si="195"/>
        <v>221</v>
      </c>
      <c r="GJ117" s="32">
        <f t="shared" si="196"/>
        <v>321</v>
      </c>
      <c r="GK117" s="32">
        <f t="shared" si="197"/>
        <v>283</v>
      </c>
      <c r="GL117" s="32">
        <f t="shared" si="198"/>
        <v>160</v>
      </c>
      <c r="GM117" s="32">
        <f t="shared" si="199"/>
        <v>287</v>
      </c>
      <c r="GN117" s="32">
        <f t="shared" si="200"/>
        <v>355</v>
      </c>
      <c r="GO117" s="32">
        <f t="shared" si="201"/>
        <v>183</v>
      </c>
      <c r="GP117" s="32">
        <f t="shared" si="202"/>
        <v>95</v>
      </c>
      <c r="GQ117" s="32">
        <f t="shared" si="203"/>
        <v>91</v>
      </c>
      <c r="GR117" s="32">
        <f t="shared" si="204"/>
        <v>233</v>
      </c>
      <c r="GS117" s="32">
        <f t="shared" si="205"/>
        <v>128</v>
      </c>
      <c r="GT117" s="32">
        <f t="shared" si="206"/>
        <v>119</v>
      </c>
      <c r="GU117" s="32">
        <f t="shared" si="207"/>
        <v>144</v>
      </c>
      <c r="GV117" s="32">
        <f t="shared" si="208"/>
        <v>69</v>
      </c>
      <c r="GW117" s="32">
        <f t="shared" si="209"/>
        <v>71</v>
      </c>
      <c r="GX117" s="32">
        <f t="shared" si="210"/>
        <v>47</v>
      </c>
      <c r="GY117" s="32">
        <f t="shared" si="211"/>
        <v>92</v>
      </c>
      <c r="GZ117" s="32">
        <f t="shared" si="212"/>
        <v>162</v>
      </c>
      <c r="HA117" s="32">
        <f t="shared" si="213"/>
        <v>166</v>
      </c>
      <c r="HB117" s="32">
        <f t="shared" si="214"/>
        <v>66</v>
      </c>
      <c r="HC117" s="32">
        <f t="shared" si="215"/>
        <v>208</v>
      </c>
      <c r="HD117" s="32">
        <f t="shared" si="216"/>
        <v>123</v>
      </c>
      <c r="HE117" s="32">
        <f t="shared" si="217"/>
        <v>80</v>
      </c>
      <c r="HF117" s="32">
        <f t="shared" si="218"/>
        <v>135</v>
      </c>
      <c r="HG117" s="32">
        <f t="shared" si="219"/>
        <v>92</v>
      </c>
      <c r="HH117" s="32">
        <f t="shared" si="220"/>
        <v>87</v>
      </c>
      <c r="HI117" s="32">
        <f t="shared" si="221"/>
        <v>80</v>
      </c>
      <c r="HJ117" s="32">
        <f t="shared" si="222"/>
        <v>74</v>
      </c>
      <c r="HK117" s="32">
        <f t="shared" si="223"/>
        <v>104</v>
      </c>
      <c r="HL117" s="32">
        <f t="shared" si="224"/>
        <v>85</v>
      </c>
      <c r="HM117" s="32">
        <f t="shared" si="225"/>
        <v>105</v>
      </c>
      <c r="HN117" s="32">
        <f t="shared" si="125"/>
        <v>74</v>
      </c>
      <c r="HO117" s="32">
        <f t="shared" si="126"/>
        <v>104</v>
      </c>
      <c r="HP117" s="32">
        <f t="shared" si="127"/>
        <v>85</v>
      </c>
      <c r="HQ117" s="32">
        <f t="shared" si="128"/>
        <v>105</v>
      </c>
      <c r="HR117" s="32">
        <f t="shared" si="226"/>
        <v>74</v>
      </c>
      <c r="HS117" s="32">
        <f t="shared" si="122"/>
        <v>69</v>
      </c>
      <c r="HT117" s="32">
        <f t="shared" si="227"/>
        <v>36</v>
      </c>
      <c r="HU117" s="32">
        <f t="shared" si="228"/>
        <v>54</v>
      </c>
      <c r="HV117" s="32">
        <f t="shared" si="229"/>
        <v>72</v>
      </c>
      <c r="HW117" s="32">
        <f t="shared" si="230"/>
        <v>41</v>
      </c>
      <c r="HX117" s="32">
        <f t="shared" si="231"/>
        <v>62</v>
      </c>
      <c r="IB117" s="32">
        <f t="shared" si="232"/>
        <v>762</v>
      </c>
      <c r="IC117" s="32">
        <f t="shared" si="233"/>
        <v>615</v>
      </c>
      <c r="ID117" s="32">
        <f t="shared" si="234"/>
        <v>692</v>
      </c>
      <c r="IE117" s="32">
        <f t="shared" si="235"/>
        <v>652</v>
      </c>
      <c r="IF117" s="32">
        <f t="shared" si="236"/>
        <v>987</v>
      </c>
      <c r="IG117" s="32">
        <f t="shared" si="237"/>
        <v>985</v>
      </c>
      <c r="IH117" s="32">
        <f t="shared" si="238"/>
        <v>547</v>
      </c>
      <c r="II117" s="32">
        <f t="shared" si="239"/>
        <v>403</v>
      </c>
      <c r="IJ117" s="32">
        <f t="shared" si="240"/>
        <v>467</v>
      </c>
      <c r="IK117" s="32">
        <f t="shared" si="241"/>
        <v>624</v>
      </c>
      <c r="IL117" s="32">
        <f t="shared" si="242"/>
        <v>394</v>
      </c>
      <c r="IM117" s="32">
        <f t="shared" si="243"/>
        <v>368</v>
      </c>
      <c r="IN117" s="32">
        <f t="shared" si="244"/>
        <v>233</v>
      </c>
    </row>
    <row r="118" spans="1:248" outlineLevel="2" x14ac:dyDescent="0.3">
      <c r="B118" t="s">
        <v>76</v>
      </c>
      <c r="C118">
        <v>643</v>
      </c>
      <c r="D118">
        <v>558</v>
      </c>
      <c r="E118">
        <v>765</v>
      </c>
      <c r="F118">
        <v>838</v>
      </c>
      <c r="G118">
        <v>381</v>
      </c>
      <c r="H118">
        <v>822</v>
      </c>
      <c r="I118">
        <v>140</v>
      </c>
      <c r="J118">
        <v>428</v>
      </c>
      <c r="K118">
        <v>457</v>
      </c>
      <c r="L118">
        <v>599</v>
      </c>
      <c r="M118">
        <v>525</v>
      </c>
      <c r="N118">
        <v>563</v>
      </c>
      <c r="O118">
        <v>244</v>
      </c>
      <c r="P118">
        <v>644</v>
      </c>
      <c r="Q118">
        <v>689</v>
      </c>
      <c r="R118">
        <v>669</v>
      </c>
      <c r="S118">
        <v>772</v>
      </c>
      <c r="T118">
        <v>834</v>
      </c>
      <c r="U118">
        <v>557</v>
      </c>
      <c r="V118">
        <v>568</v>
      </c>
      <c r="W118">
        <v>583</v>
      </c>
      <c r="X118">
        <v>475</v>
      </c>
      <c r="Y118">
        <v>604</v>
      </c>
      <c r="Z118">
        <v>481</v>
      </c>
      <c r="AA118" s="32">
        <v>439</v>
      </c>
      <c r="AB118" s="32">
        <v>533</v>
      </c>
      <c r="AC118" s="32">
        <v>691</v>
      </c>
      <c r="AD118" s="32">
        <v>464</v>
      </c>
      <c r="AE118" s="32">
        <v>456</v>
      </c>
      <c r="AF118" s="32">
        <v>551</v>
      </c>
      <c r="AG118" s="32">
        <v>540</v>
      </c>
      <c r="AH118" s="32">
        <v>814</v>
      </c>
      <c r="AI118" s="32">
        <v>612</v>
      </c>
      <c r="AJ118" s="32">
        <v>623</v>
      </c>
      <c r="AK118" s="32">
        <v>778</v>
      </c>
      <c r="AL118" s="32">
        <v>724</v>
      </c>
      <c r="AM118" s="32">
        <v>688</v>
      </c>
      <c r="AN118" s="32">
        <v>759</v>
      </c>
      <c r="AO118" s="32">
        <v>845</v>
      </c>
      <c r="AP118" s="32">
        <v>859</v>
      </c>
      <c r="AQ118" s="32">
        <v>628</v>
      </c>
      <c r="AR118" s="32">
        <v>664</v>
      </c>
      <c r="AS118" s="32">
        <v>717</v>
      </c>
      <c r="AT118" s="32">
        <v>971</v>
      </c>
      <c r="AU118" s="32">
        <v>782</v>
      </c>
      <c r="AV118" s="32">
        <v>859</v>
      </c>
      <c r="AW118" s="32">
        <v>828</v>
      </c>
      <c r="AX118" s="32">
        <v>865</v>
      </c>
      <c r="AY118" s="32">
        <v>551</v>
      </c>
      <c r="AZ118" s="32">
        <v>748</v>
      </c>
      <c r="BA118" s="32">
        <v>664</v>
      </c>
      <c r="BB118" s="32">
        <v>670</v>
      </c>
      <c r="BC118" s="32">
        <v>524</v>
      </c>
      <c r="BD118" s="32">
        <v>641</v>
      </c>
      <c r="BE118" s="32">
        <v>703</v>
      </c>
      <c r="BF118" s="32">
        <v>667</v>
      </c>
      <c r="BG118" s="32">
        <v>618</v>
      </c>
      <c r="BH118" s="32">
        <v>651</v>
      </c>
      <c r="BI118" s="32">
        <v>732</v>
      </c>
      <c r="BJ118" s="32">
        <v>805</v>
      </c>
      <c r="BK118" s="32">
        <v>475</v>
      </c>
      <c r="BL118" s="32">
        <v>710</v>
      </c>
      <c r="BM118" s="32">
        <v>553</v>
      </c>
      <c r="BN118" s="32">
        <v>855</v>
      </c>
      <c r="BO118" s="32">
        <v>703</v>
      </c>
      <c r="BP118" s="32">
        <v>886</v>
      </c>
      <c r="BQ118" s="32">
        <v>810</v>
      </c>
      <c r="BR118" s="32">
        <v>874</v>
      </c>
      <c r="BS118" s="32">
        <v>722</v>
      </c>
      <c r="BT118" s="32">
        <v>619</v>
      </c>
      <c r="BU118" s="32">
        <v>644</v>
      </c>
      <c r="BV118" s="32">
        <v>973</v>
      </c>
      <c r="BW118" s="32">
        <v>484</v>
      </c>
      <c r="BX118" s="32">
        <v>682</v>
      </c>
      <c r="BY118" s="32">
        <v>809</v>
      </c>
      <c r="BZ118" s="32">
        <v>915</v>
      </c>
      <c r="CA118" s="32">
        <v>747</v>
      </c>
      <c r="CB118" s="32">
        <v>532</v>
      </c>
      <c r="CC118" s="32">
        <v>591</v>
      </c>
      <c r="CD118" s="32">
        <v>589</v>
      </c>
      <c r="CE118" s="32">
        <v>786</v>
      </c>
      <c r="CF118" s="32">
        <v>646</v>
      </c>
      <c r="CG118" s="32">
        <v>775</v>
      </c>
      <c r="CH118" s="32">
        <v>753</v>
      </c>
      <c r="CI118" s="32">
        <v>533</v>
      </c>
      <c r="CJ118" s="32">
        <v>366</v>
      </c>
      <c r="CK118" s="32">
        <v>344</v>
      </c>
      <c r="CL118" s="32">
        <v>454</v>
      </c>
      <c r="CM118" s="32">
        <v>425</v>
      </c>
      <c r="CN118" s="32">
        <v>427</v>
      </c>
      <c r="CO118" s="32">
        <v>459</v>
      </c>
      <c r="CP118" s="32">
        <v>471</v>
      </c>
      <c r="CQ118" s="32">
        <v>610</v>
      </c>
      <c r="CR118" s="32">
        <v>491</v>
      </c>
      <c r="CS118" s="32">
        <v>472</v>
      </c>
      <c r="CT118" s="32">
        <v>283</v>
      </c>
      <c r="CU118" s="32">
        <v>9</v>
      </c>
      <c r="CV118" s="32">
        <v>70</v>
      </c>
      <c r="CW118" s="32">
        <v>402</v>
      </c>
      <c r="CX118" s="32">
        <v>500</v>
      </c>
      <c r="CY118" s="32">
        <v>736</v>
      </c>
      <c r="CZ118" s="32">
        <v>919</v>
      </c>
      <c r="DA118" s="32">
        <v>773</v>
      </c>
      <c r="DB118" s="32">
        <v>606</v>
      </c>
      <c r="DC118" s="32">
        <v>962</v>
      </c>
      <c r="DD118" s="32">
        <v>758</v>
      </c>
      <c r="DE118" s="32">
        <v>600</v>
      </c>
      <c r="DF118" s="32">
        <v>1015</v>
      </c>
      <c r="DG118" s="32">
        <v>663</v>
      </c>
      <c r="DH118" s="32">
        <v>531</v>
      </c>
      <c r="DI118" s="32">
        <v>793</v>
      </c>
      <c r="DJ118" s="32">
        <v>1348</v>
      </c>
      <c r="DK118" s="32">
        <v>863</v>
      </c>
      <c r="DL118" s="32">
        <v>1276</v>
      </c>
      <c r="DM118" s="32">
        <v>872</v>
      </c>
      <c r="DN118" s="32">
        <v>1174</v>
      </c>
      <c r="DO118" s="32">
        <v>611</v>
      </c>
      <c r="DP118" s="32">
        <v>412</v>
      </c>
      <c r="DQ118" s="32">
        <v>600</v>
      </c>
      <c r="DR118" s="32">
        <v>461</v>
      </c>
      <c r="DS118" s="32">
        <v>390</v>
      </c>
      <c r="DT118" s="32">
        <v>404</v>
      </c>
      <c r="DU118" s="32">
        <v>737</v>
      </c>
      <c r="DV118" s="32">
        <v>670</v>
      </c>
      <c r="DW118" s="32">
        <v>650</v>
      </c>
      <c r="DX118" s="32">
        <v>728</v>
      </c>
      <c r="DY118" s="32">
        <v>319</v>
      </c>
      <c r="DZ118" s="32">
        <v>257</v>
      </c>
      <c r="EA118" s="32">
        <v>247</v>
      </c>
      <c r="EB118" s="32">
        <v>259</v>
      </c>
      <c r="EC118" s="32">
        <v>212</v>
      </c>
      <c r="ED118" s="32">
        <v>288</v>
      </c>
      <c r="EE118" s="32">
        <v>201</v>
      </c>
      <c r="EF118" s="32">
        <v>186</v>
      </c>
      <c r="EG118" s="32">
        <v>759</v>
      </c>
      <c r="EH118" s="32">
        <v>848</v>
      </c>
      <c r="EI118" s="32">
        <v>432</v>
      </c>
      <c r="EJ118" s="32">
        <v>400</v>
      </c>
      <c r="EK118" s="32">
        <v>230</v>
      </c>
      <c r="EL118" s="32">
        <v>329</v>
      </c>
      <c r="EM118" s="32">
        <v>531</v>
      </c>
      <c r="EN118" s="32">
        <v>521</v>
      </c>
      <c r="EO118" s="32">
        <v>474</v>
      </c>
      <c r="EP118" s="32">
        <v>639</v>
      </c>
      <c r="EQ118" s="32">
        <v>102</v>
      </c>
      <c r="ER118" s="32">
        <v>643</v>
      </c>
      <c r="ES118" s="32">
        <v>743</v>
      </c>
      <c r="ET118" s="32">
        <v>482</v>
      </c>
      <c r="EU118" s="32">
        <v>432</v>
      </c>
      <c r="EV118" s="32">
        <v>433</v>
      </c>
      <c r="EW118" s="32">
        <v>602</v>
      </c>
      <c r="EX118" s="32">
        <v>402</v>
      </c>
      <c r="EY118" s="32">
        <v>284</v>
      </c>
      <c r="EZ118" s="32">
        <v>372</v>
      </c>
      <c r="FA118" s="32">
        <v>353</v>
      </c>
      <c r="FB118" s="32">
        <v>545</v>
      </c>
      <c r="FC118" s="32">
        <v>420</v>
      </c>
      <c r="FD118" s="32">
        <v>636</v>
      </c>
      <c r="FE118" s="32">
        <v>432</v>
      </c>
      <c r="FF118" s="32">
        <v>346</v>
      </c>
      <c r="FG118" s="32">
        <v>617</v>
      </c>
      <c r="FH118" s="32">
        <v>577</v>
      </c>
      <c r="FI118" s="32">
        <v>422</v>
      </c>
      <c r="FJ118" s="32">
        <v>566</v>
      </c>
      <c r="FK118" s="32">
        <v>449</v>
      </c>
      <c r="FL118" s="32"/>
      <c r="FM118" s="32"/>
      <c r="FN118" s="32"/>
      <c r="FR118" s="32">
        <f t="shared" si="178"/>
        <v>1966</v>
      </c>
      <c r="FS118" s="32">
        <f t="shared" si="179"/>
        <v>2041</v>
      </c>
      <c r="FT118" s="32">
        <f t="shared" si="180"/>
        <v>1025</v>
      </c>
      <c r="FU118" s="32">
        <f t="shared" si="181"/>
        <v>1687</v>
      </c>
      <c r="FV118" s="32">
        <f t="shared" si="182"/>
        <v>1577</v>
      </c>
      <c r="FW118" s="32">
        <f t="shared" si="183"/>
        <v>2275</v>
      </c>
      <c r="FX118" s="32">
        <f t="shared" si="184"/>
        <v>1708</v>
      </c>
      <c r="FY118" s="32">
        <f t="shared" si="185"/>
        <v>1560</v>
      </c>
      <c r="FZ118" s="32">
        <f t="shared" si="186"/>
        <v>1663</v>
      </c>
      <c r="GA118" s="32">
        <f t="shared" si="187"/>
        <v>1471</v>
      </c>
      <c r="GB118" s="32">
        <f t="shared" si="188"/>
        <v>1966</v>
      </c>
      <c r="GC118" s="32">
        <f t="shared" si="189"/>
        <v>2125</v>
      </c>
      <c r="GD118" s="32">
        <f t="shared" si="190"/>
        <v>2292</v>
      </c>
      <c r="GE118" s="32">
        <f t="shared" si="191"/>
        <v>2151</v>
      </c>
      <c r="GF118" s="32">
        <f t="shared" si="192"/>
        <v>2470</v>
      </c>
      <c r="GG118" s="32">
        <f t="shared" si="193"/>
        <v>2552</v>
      </c>
      <c r="GH118" s="32">
        <f t="shared" si="194"/>
        <v>1963</v>
      </c>
      <c r="GI118" s="32">
        <f t="shared" si="195"/>
        <v>1835</v>
      </c>
      <c r="GJ118" s="32">
        <f t="shared" si="196"/>
        <v>1988</v>
      </c>
      <c r="GK118" s="32">
        <f t="shared" si="197"/>
        <v>2188</v>
      </c>
      <c r="GL118" s="32">
        <f t="shared" si="198"/>
        <v>1738</v>
      </c>
      <c r="GM118" s="32">
        <f t="shared" si="199"/>
        <v>2444</v>
      </c>
      <c r="GN118" s="32">
        <f t="shared" si="200"/>
        <v>2406</v>
      </c>
      <c r="GO118" s="32">
        <f t="shared" si="201"/>
        <v>2236</v>
      </c>
      <c r="GP118" s="32">
        <f t="shared" si="202"/>
        <v>1975</v>
      </c>
      <c r="GQ118" s="32">
        <f t="shared" si="203"/>
        <v>2194</v>
      </c>
      <c r="GR118" s="32">
        <f t="shared" si="204"/>
        <v>1966</v>
      </c>
      <c r="GS118" s="32">
        <f t="shared" si="205"/>
        <v>2174</v>
      </c>
      <c r="GT118" s="32">
        <f t="shared" si="206"/>
        <v>1243</v>
      </c>
      <c r="GU118" s="32">
        <f t="shared" si="207"/>
        <v>1306</v>
      </c>
      <c r="GV118" s="32">
        <f t="shared" si="208"/>
        <v>1540</v>
      </c>
      <c r="GW118" s="32">
        <f t="shared" si="209"/>
        <v>1246</v>
      </c>
      <c r="GX118" s="32">
        <f t="shared" si="210"/>
        <v>481</v>
      </c>
      <c r="GY118" s="32">
        <f t="shared" si="211"/>
        <v>2155</v>
      </c>
      <c r="GZ118" s="32">
        <f t="shared" si="212"/>
        <v>2341</v>
      </c>
      <c r="HA118" s="32">
        <f t="shared" si="213"/>
        <v>2373</v>
      </c>
      <c r="HB118" s="32">
        <f t="shared" si="214"/>
        <v>1194</v>
      </c>
      <c r="HC118" s="32">
        <f t="shared" si="215"/>
        <v>3487</v>
      </c>
      <c r="HD118" s="32">
        <f t="shared" si="216"/>
        <v>2657</v>
      </c>
      <c r="HE118" s="32">
        <f t="shared" si="217"/>
        <v>1473</v>
      </c>
      <c r="HF118" s="32">
        <f t="shared" si="218"/>
        <v>1531</v>
      </c>
      <c r="HG118" s="32">
        <f t="shared" si="219"/>
        <v>2048</v>
      </c>
      <c r="HH118" s="32">
        <f t="shared" si="220"/>
        <v>823</v>
      </c>
      <c r="HI118" s="32">
        <f t="shared" si="221"/>
        <v>759</v>
      </c>
      <c r="HJ118" s="32">
        <f t="shared" si="222"/>
        <v>1146</v>
      </c>
      <c r="HK118" s="32">
        <f t="shared" si="223"/>
        <v>1680</v>
      </c>
      <c r="HL118" s="32">
        <f t="shared" si="224"/>
        <v>1090</v>
      </c>
      <c r="HM118" s="32">
        <f t="shared" si="225"/>
        <v>1634</v>
      </c>
      <c r="HN118" s="32">
        <f t="shared" si="125"/>
        <v>1146</v>
      </c>
      <c r="HO118" s="32">
        <f t="shared" si="126"/>
        <v>1680</v>
      </c>
      <c r="HP118" s="32">
        <f t="shared" si="127"/>
        <v>1090</v>
      </c>
      <c r="HQ118" s="32">
        <f t="shared" si="128"/>
        <v>1634</v>
      </c>
      <c r="HR118" s="32">
        <f t="shared" si="226"/>
        <v>1488</v>
      </c>
      <c r="HS118" s="32">
        <f t="shared" si="122"/>
        <v>1347</v>
      </c>
      <c r="HT118" s="32">
        <f t="shared" si="227"/>
        <v>1288</v>
      </c>
      <c r="HU118" s="32">
        <f t="shared" si="228"/>
        <v>1270</v>
      </c>
      <c r="HV118" s="32">
        <f t="shared" si="229"/>
        <v>1488</v>
      </c>
      <c r="HW118" s="32">
        <f t="shared" si="230"/>
        <v>1540</v>
      </c>
      <c r="HX118" s="32">
        <f t="shared" si="231"/>
        <v>1437</v>
      </c>
      <c r="IB118" s="32">
        <f t="shared" si="232"/>
        <v>6719</v>
      </c>
      <c r="IC118" s="32">
        <f t="shared" si="233"/>
        <v>7120</v>
      </c>
      <c r="ID118" s="32">
        <f t="shared" si="234"/>
        <v>7225</v>
      </c>
      <c r="IE118" s="32">
        <f t="shared" si="235"/>
        <v>9465</v>
      </c>
      <c r="IF118" s="32">
        <f t="shared" si="236"/>
        <v>7974</v>
      </c>
      <c r="IG118" s="32">
        <f t="shared" si="237"/>
        <v>8824</v>
      </c>
      <c r="IH118" s="32">
        <f t="shared" si="238"/>
        <v>8309</v>
      </c>
      <c r="II118" s="32">
        <f t="shared" si="239"/>
        <v>5335</v>
      </c>
      <c r="IJ118" s="32">
        <f t="shared" si="240"/>
        <v>7350</v>
      </c>
      <c r="IK118" s="32">
        <f t="shared" si="241"/>
        <v>9604</v>
      </c>
      <c r="IL118" s="32">
        <f t="shared" si="242"/>
        <v>5161</v>
      </c>
      <c r="IM118" s="32">
        <f t="shared" si="243"/>
        <v>5550</v>
      </c>
      <c r="IN118" s="32">
        <f t="shared" si="244"/>
        <v>5393</v>
      </c>
    </row>
    <row r="119" spans="1:248" outlineLevel="2" x14ac:dyDescent="0.3">
      <c r="B119" t="s">
        <v>77</v>
      </c>
      <c r="C119">
        <v>363</v>
      </c>
      <c r="D119">
        <v>660</v>
      </c>
      <c r="E119">
        <v>456</v>
      </c>
      <c r="F119">
        <v>523</v>
      </c>
      <c r="G119">
        <v>731</v>
      </c>
      <c r="H119">
        <v>481</v>
      </c>
      <c r="I119">
        <v>150</v>
      </c>
      <c r="J119">
        <v>305</v>
      </c>
      <c r="K119">
        <v>287</v>
      </c>
      <c r="L119">
        <v>361</v>
      </c>
      <c r="M119">
        <v>392</v>
      </c>
      <c r="N119">
        <v>412</v>
      </c>
      <c r="O119">
        <v>215</v>
      </c>
      <c r="P119">
        <v>470</v>
      </c>
      <c r="Q119">
        <v>626</v>
      </c>
      <c r="R119">
        <v>781</v>
      </c>
      <c r="S119">
        <v>663</v>
      </c>
      <c r="T119">
        <v>864</v>
      </c>
      <c r="U119">
        <v>797</v>
      </c>
      <c r="V119">
        <v>750</v>
      </c>
      <c r="W119">
        <v>568</v>
      </c>
      <c r="X119">
        <v>631</v>
      </c>
      <c r="Y119">
        <v>712</v>
      </c>
      <c r="Z119">
        <v>169</v>
      </c>
      <c r="AA119" s="32">
        <v>377</v>
      </c>
      <c r="AB119" s="32">
        <v>517</v>
      </c>
      <c r="AC119" s="32">
        <v>1167</v>
      </c>
      <c r="AD119" s="32">
        <v>723</v>
      </c>
      <c r="AE119" s="32">
        <v>601</v>
      </c>
      <c r="AF119" s="32">
        <v>676</v>
      </c>
      <c r="AG119" s="32">
        <v>653</v>
      </c>
      <c r="AH119" s="32">
        <v>705</v>
      </c>
      <c r="AI119" s="32">
        <v>477</v>
      </c>
      <c r="AJ119" s="32">
        <v>599</v>
      </c>
      <c r="AK119" s="32">
        <v>677</v>
      </c>
      <c r="AL119" s="32">
        <v>391</v>
      </c>
      <c r="AM119" s="32">
        <v>543</v>
      </c>
      <c r="AN119" s="32">
        <v>525</v>
      </c>
      <c r="AO119" s="32">
        <v>669</v>
      </c>
      <c r="AP119" s="32">
        <v>550</v>
      </c>
      <c r="AQ119" s="32">
        <v>745</v>
      </c>
      <c r="AR119" s="32">
        <v>638</v>
      </c>
      <c r="AS119" s="32">
        <v>622</v>
      </c>
      <c r="AT119" s="32">
        <v>645</v>
      </c>
      <c r="AU119" s="32">
        <v>526</v>
      </c>
      <c r="AV119" s="32">
        <v>603</v>
      </c>
      <c r="AW119" s="32">
        <v>447</v>
      </c>
      <c r="AX119" s="32">
        <v>443</v>
      </c>
      <c r="AY119" s="32">
        <v>523</v>
      </c>
      <c r="AZ119" s="32">
        <v>908</v>
      </c>
      <c r="BA119" s="32">
        <v>653</v>
      </c>
      <c r="BB119" s="32">
        <v>534</v>
      </c>
      <c r="BC119" s="32">
        <v>479</v>
      </c>
      <c r="BD119" s="32">
        <v>495</v>
      </c>
      <c r="BE119" s="32">
        <v>470</v>
      </c>
      <c r="BF119" s="32">
        <v>723</v>
      </c>
      <c r="BG119" s="32">
        <v>601</v>
      </c>
      <c r="BH119" s="32">
        <v>705</v>
      </c>
      <c r="BI119" s="32">
        <v>904</v>
      </c>
      <c r="BJ119" s="32">
        <v>452</v>
      </c>
      <c r="BK119" s="32">
        <v>654</v>
      </c>
      <c r="BL119" s="32">
        <v>568</v>
      </c>
      <c r="BM119" s="32">
        <v>828</v>
      </c>
      <c r="BN119" s="32">
        <v>1089</v>
      </c>
      <c r="BO119" s="32">
        <v>566</v>
      </c>
      <c r="BP119" s="32">
        <v>612</v>
      </c>
      <c r="BQ119" s="32">
        <v>555</v>
      </c>
      <c r="BR119" s="32">
        <v>467</v>
      </c>
      <c r="BS119" s="32">
        <v>678</v>
      </c>
      <c r="BT119" s="32">
        <v>810</v>
      </c>
      <c r="BU119" s="32">
        <v>706</v>
      </c>
      <c r="BV119" s="32">
        <v>734</v>
      </c>
      <c r="BW119" s="32">
        <v>544</v>
      </c>
      <c r="BX119" s="32">
        <v>717</v>
      </c>
      <c r="BY119" s="32">
        <v>801</v>
      </c>
      <c r="BZ119" s="32">
        <v>862</v>
      </c>
      <c r="CA119" s="32">
        <v>612</v>
      </c>
      <c r="CB119" s="32">
        <v>641</v>
      </c>
      <c r="CC119" s="32">
        <v>452</v>
      </c>
      <c r="CD119" s="32">
        <v>484</v>
      </c>
      <c r="CE119" s="32">
        <v>647</v>
      </c>
      <c r="CF119" s="32">
        <v>532</v>
      </c>
      <c r="CG119" s="32">
        <v>731</v>
      </c>
      <c r="CH119" s="32">
        <v>818</v>
      </c>
      <c r="CI119" s="32">
        <v>566</v>
      </c>
      <c r="CJ119" s="32">
        <v>636</v>
      </c>
      <c r="CK119" s="32">
        <v>485</v>
      </c>
      <c r="CL119" s="32">
        <v>599</v>
      </c>
      <c r="CM119" s="32">
        <v>574</v>
      </c>
      <c r="CN119" s="32">
        <v>558</v>
      </c>
      <c r="CO119" s="32">
        <v>446</v>
      </c>
      <c r="CP119" s="32">
        <v>576</v>
      </c>
      <c r="CQ119" s="32">
        <v>617</v>
      </c>
      <c r="CR119" s="32">
        <v>535</v>
      </c>
      <c r="CS119" s="32">
        <v>701</v>
      </c>
      <c r="CT119" s="32">
        <v>444</v>
      </c>
      <c r="CU119" s="32">
        <v>90</v>
      </c>
      <c r="CV119" s="32">
        <v>222</v>
      </c>
      <c r="CW119" s="32">
        <v>342</v>
      </c>
      <c r="CX119" s="32">
        <v>574</v>
      </c>
      <c r="CY119" s="32">
        <v>450</v>
      </c>
      <c r="CZ119" s="32">
        <v>526</v>
      </c>
      <c r="DA119" s="32">
        <v>383</v>
      </c>
      <c r="DB119" s="32">
        <v>454</v>
      </c>
      <c r="DC119" s="32">
        <v>646</v>
      </c>
      <c r="DD119" s="32">
        <v>862</v>
      </c>
      <c r="DE119" s="32">
        <v>792</v>
      </c>
      <c r="DF119" s="32">
        <v>952</v>
      </c>
      <c r="DG119" s="32">
        <v>810</v>
      </c>
      <c r="DH119" s="32">
        <v>663</v>
      </c>
      <c r="DI119" s="32">
        <v>482</v>
      </c>
      <c r="DJ119" s="32">
        <v>989</v>
      </c>
      <c r="DK119" s="32">
        <v>807</v>
      </c>
      <c r="DL119" s="32">
        <v>794</v>
      </c>
      <c r="DM119" s="32">
        <v>1156</v>
      </c>
      <c r="DN119" s="32">
        <v>877</v>
      </c>
      <c r="DO119" s="32">
        <v>823</v>
      </c>
      <c r="DP119" s="32">
        <v>475</v>
      </c>
      <c r="DQ119" s="32">
        <v>605</v>
      </c>
      <c r="DR119" s="32">
        <v>804</v>
      </c>
      <c r="DS119" s="32">
        <v>569</v>
      </c>
      <c r="DT119" s="32">
        <v>872</v>
      </c>
      <c r="DU119" s="32">
        <v>741</v>
      </c>
      <c r="DV119" s="32">
        <v>945</v>
      </c>
      <c r="DW119" s="32">
        <v>754</v>
      </c>
      <c r="DX119" s="32">
        <v>760</v>
      </c>
      <c r="DY119" s="32">
        <v>460</v>
      </c>
      <c r="DZ119" s="32">
        <v>1275</v>
      </c>
      <c r="EA119" s="32">
        <v>1038</v>
      </c>
      <c r="EB119" s="32">
        <v>937</v>
      </c>
      <c r="EC119" s="32">
        <v>702</v>
      </c>
      <c r="ED119" s="32">
        <v>923</v>
      </c>
      <c r="EE119" s="32">
        <v>509</v>
      </c>
      <c r="EF119" s="32">
        <v>670</v>
      </c>
      <c r="EG119" s="32">
        <v>392</v>
      </c>
      <c r="EH119" s="32">
        <v>387</v>
      </c>
      <c r="EI119" s="32">
        <v>659</v>
      </c>
      <c r="EJ119" s="32">
        <v>469</v>
      </c>
      <c r="EK119" s="32">
        <v>343</v>
      </c>
      <c r="EL119" s="32">
        <v>568</v>
      </c>
      <c r="EM119" s="32">
        <v>528</v>
      </c>
      <c r="EN119" s="32">
        <v>699</v>
      </c>
      <c r="EO119" s="32">
        <v>726</v>
      </c>
      <c r="EP119" s="32">
        <v>1287</v>
      </c>
      <c r="EQ119" s="32">
        <v>272</v>
      </c>
      <c r="ER119" s="32">
        <v>646</v>
      </c>
      <c r="ES119" s="32">
        <v>703</v>
      </c>
      <c r="ET119" s="32">
        <v>700</v>
      </c>
      <c r="EU119" s="32">
        <v>720</v>
      </c>
      <c r="EV119" s="32">
        <v>459</v>
      </c>
      <c r="EW119" s="32">
        <v>542</v>
      </c>
      <c r="EX119" s="32">
        <v>315</v>
      </c>
      <c r="EY119" s="32">
        <v>483</v>
      </c>
      <c r="EZ119" s="32">
        <v>574</v>
      </c>
      <c r="FA119" s="32">
        <v>601</v>
      </c>
      <c r="FB119" s="32">
        <v>887</v>
      </c>
      <c r="FC119" s="32">
        <v>461</v>
      </c>
      <c r="FD119" s="32">
        <v>924</v>
      </c>
      <c r="FE119" s="32">
        <v>506</v>
      </c>
      <c r="FF119" s="32">
        <v>375</v>
      </c>
      <c r="FG119" s="32">
        <v>243</v>
      </c>
      <c r="FH119" s="32">
        <v>223</v>
      </c>
      <c r="FI119" s="32">
        <v>229</v>
      </c>
      <c r="FJ119" s="32">
        <v>344</v>
      </c>
      <c r="FK119" s="32">
        <v>483</v>
      </c>
      <c r="FL119" s="32"/>
      <c r="FM119" s="32"/>
      <c r="FN119" s="32"/>
      <c r="FR119" s="32">
        <f t="shared" si="178"/>
        <v>1479</v>
      </c>
      <c r="FS119" s="32">
        <f t="shared" si="179"/>
        <v>1735</v>
      </c>
      <c r="FT119" s="32">
        <f t="shared" si="180"/>
        <v>742</v>
      </c>
      <c r="FU119" s="32">
        <f t="shared" si="181"/>
        <v>1165</v>
      </c>
      <c r="FV119" s="32">
        <f t="shared" si="182"/>
        <v>1311</v>
      </c>
      <c r="FW119" s="32">
        <f t="shared" si="183"/>
        <v>2308</v>
      </c>
      <c r="FX119" s="32">
        <f t="shared" si="184"/>
        <v>2115</v>
      </c>
      <c r="FY119" s="32">
        <f t="shared" si="185"/>
        <v>1512</v>
      </c>
      <c r="FZ119" s="32">
        <f t="shared" si="186"/>
        <v>2061</v>
      </c>
      <c r="GA119" s="32">
        <f t="shared" si="187"/>
        <v>2000</v>
      </c>
      <c r="GB119" s="32">
        <f t="shared" si="188"/>
        <v>1835</v>
      </c>
      <c r="GC119" s="32">
        <f t="shared" si="189"/>
        <v>1667</v>
      </c>
      <c r="GD119" s="32">
        <f t="shared" si="190"/>
        <v>1737</v>
      </c>
      <c r="GE119" s="32">
        <f t="shared" si="191"/>
        <v>1933</v>
      </c>
      <c r="GF119" s="32">
        <f t="shared" si="192"/>
        <v>1793</v>
      </c>
      <c r="GG119" s="32">
        <f t="shared" si="193"/>
        <v>1493</v>
      </c>
      <c r="GH119" s="32">
        <f t="shared" si="194"/>
        <v>2084</v>
      </c>
      <c r="GI119" s="32">
        <f t="shared" si="195"/>
        <v>1508</v>
      </c>
      <c r="GJ119" s="32">
        <f t="shared" si="196"/>
        <v>1794</v>
      </c>
      <c r="GK119" s="32">
        <f t="shared" si="197"/>
        <v>2061</v>
      </c>
      <c r="GL119" s="32">
        <f t="shared" si="198"/>
        <v>2050</v>
      </c>
      <c r="GM119" s="32">
        <f t="shared" si="199"/>
        <v>2267</v>
      </c>
      <c r="GN119" s="32">
        <f t="shared" si="200"/>
        <v>1700</v>
      </c>
      <c r="GO119" s="32">
        <f t="shared" si="201"/>
        <v>2250</v>
      </c>
      <c r="GP119" s="32">
        <f t="shared" si="202"/>
        <v>2062</v>
      </c>
      <c r="GQ119" s="32">
        <f t="shared" si="203"/>
        <v>2115</v>
      </c>
      <c r="GR119" s="32">
        <f t="shared" si="204"/>
        <v>1583</v>
      </c>
      <c r="GS119" s="32">
        <f t="shared" si="205"/>
        <v>2081</v>
      </c>
      <c r="GT119" s="32">
        <f t="shared" si="206"/>
        <v>1687</v>
      </c>
      <c r="GU119" s="32">
        <f t="shared" si="207"/>
        <v>1731</v>
      </c>
      <c r="GV119" s="32">
        <f t="shared" si="208"/>
        <v>1639</v>
      </c>
      <c r="GW119" s="32">
        <f t="shared" si="209"/>
        <v>1680</v>
      </c>
      <c r="GX119" s="32">
        <f t="shared" si="210"/>
        <v>654</v>
      </c>
      <c r="GY119" s="32">
        <f t="shared" si="211"/>
        <v>1550</v>
      </c>
      <c r="GZ119" s="32">
        <f t="shared" si="212"/>
        <v>1483</v>
      </c>
      <c r="HA119" s="32">
        <f t="shared" si="213"/>
        <v>2606</v>
      </c>
      <c r="HB119" s="32">
        <f t="shared" si="214"/>
        <v>1473</v>
      </c>
      <c r="HC119" s="32">
        <f t="shared" si="215"/>
        <v>2590</v>
      </c>
      <c r="HD119" s="32">
        <f t="shared" si="216"/>
        <v>2856</v>
      </c>
      <c r="HE119" s="32">
        <f t="shared" si="217"/>
        <v>1884</v>
      </c>
      <c r="HF119" s="32">
        <f t="shared" si="218"/>
        <v>2182</v>
      </c>
      <c r="HG119" s="32">
        <f t="shared" si="219"/>
        <v>2459</v>
      </c>
      <c r="HH119" s="32">
        <f t="shared" si="220"/>
        <v>2773</v>
      </c>
      <c r="HI119" s="32">
        <f t="shared" si="221"/>
        <v>2562</v>
      </c>
      <c r="HJ119" s="32">
        <f t="shared" si="222"/>
        <v>1571</v>
      </c>
      <c r="HK119" s="32">
        <f t="shared" si="223"/>
        <v>1515</v>
      </c>
      <c r="HL119" s="32">
        <f t="shared" si="224"/>
        <v>1439</v>
      </c>
      <c r="HM119" s="32">
        <f t="shared" si="225"/>
        <v>2712</v>
      </c>
      <c r="HN119" s="32">
        <f t="shared" si="125"/>
        <v>1571</v>
      </c>
      <c r="HO119" s="32">
        <f t="shared" si="126"/>
        <v>1515</v>
      </c>
      <c r="HP119" s="32">
        <f t="shared" si="127"/>
        <v>1439</v>
      </c>
      <c r="HQ119" s="32">
        <f t="shared" si="128"/>
        <v>2712</v>
      </c>
      <c r="HR119" s="32">
        <f t="shared" si="226"/>
        <v>1621</v>
      </c>
      <c r="HS119" s="32">
        <f t="shared" si="122"/>
        <v>1879</v>
      </c>
      <c r="HT119" s="32">
        <f t="shared" si="227"/>
        <v>1340</v>
      </c>
      <c r="HU119" s="32">
        <f t="shared" si="228"/>
        <v>2062</v>
      </c>
      <c r="HV119" s="32">
        <f t="shared" si="229"/>
        <v>1891</v>
      </c>
      <c r="HW119" s="32">
        <f t="shared" si="230"/>
        <v>841</v>
      </c>
      <c r="HX119" s="32">
        <f t="shared" si="231"/>
        <v>1056</v>
      </c>
      <c r="IB119" s="32">
        <f t="shared" si="232"/>
        <v>5121</v>
      </c>
      <c r="IC119" s="32">
        <f t="shared" si="233"/>
        <v>7246</v>
      </c>
      <c r="ID119" s="32">
        <f t="shared" si="234"/>
        <v>7563</v>
      </c>
      <c r="IE119" s="32">
        <f t="shared" si="235"/>
        <v>6956</v>
      </c>
      <c r="IF119" s="32">
        <f t="shared" si="236"/>
        <v>7447</v>
      </c>
      <c r="IG119" s="32">
        <f t="shared" si="237"/>
        <v>8267</v>
      </c>
      <c r="IH119" s="32">
        <f t="shared" si="238"/>
        <v>7841</v>
      </c>
      <c r="II119" s="32">
        <f t="shared" si="239"/>
        <v>6737</v>
      </c>
      <c r="IJ119" s="32">
        <f t="shared" si="240"/>
        <v>6293</v>
      </c>
      <c r="IK119" s="32">
        <f t="shared" si="241"/>
        <v>9285</v>
      </c>
      <c r="IL119" s="32">
        <f t="shared" si="242"/>
        <v>9976</v>
      </c>
      <c r="IM119" s="32">
        <f t="shared" si="243"/>
        <v>7237</v>
      </c>
      <c r="IN119" s="32">
        <f t="shared" si="244"/>
        <v>6902</v>
      </c>
    </row>
    <row r="120" spans="1:248" outlineLevel="2" x14ac:dyDescent="0.3">
      <c r="B120" t="s">
        <v>78</v>
      </c>
      <c r="C120">
        <v>2</v>
      </c>
      <c r="D120">
        <v>4</v>
      </c>
      <c r="E120">
        <v>8</v>
      </c>
      <c r="F120">
        <v>3</v>
      </c>
      <c r="G120">
        <v>9</v>
      </c>
      <c r="H120">
        <v>5</v>
      </c>
      <c r="I120">
        <v>9</v>
      </c>
      <c r="J120">
        <v>15</v>
      </c>
      <c r="K120">
        <v>9</v>
      </c>
      <c r="L120">
        <v>3</v>
      </c>
      <c r="M120">
        <v>8</v>
      </c>
      <c r="N120">
        <v>13</v>
      </c>
      <c r="O120">
        <v>13</v>
      </c>
      <c r="P120">
        <v>1</v>
      </c>
      <c r="Q120">
        <v>6</v>
      </c>
      <c r="R120">
        <v>3</v>
      </c>
      <c r="S120">
        <v>9</v>
      </c>
      <c r="T120">
        <v>9</v>
      </c>
      <c r="U120">
        <v>13</v>
      </c>
      <c r="V120">
        <v>4</v>
      </c>
      <c r="W120">
        <v>11</v>
      </c>
      <c r="X120">
        <v>16</v>
      </c>
      <c r="Y120">
        <v>6</v>
      </c>
      <c r="Z120">
        <v>6</v>
      </c>
      <c r="AA120" s="32">
        <v>8</v>
      </c>
      <c r="AB120" s="32">
        <v>11</v>
      </c>
      <c r="AC120" s="32">
        <v>11</v>
      </c>
      <c r="AD120" s="32">
        <v>2</v>
      </c>
      <c r="AE120" s="32">
        <v>8</v>
      </c>
      <c r="AF120" s="32">
        <v>5</v>
      </c>
      <c r="AG120" s="32">
        <v>19</v>
      </c>
      <c r="AH120" s="32">
        <v>0</v>
      </c>
      <c r="AI120" s="32">
        <v>6</v>
      </c>
      <c r="AJ120" s="32">
        <v>10</v>
      </c>
      <c r="AK120" s="32">
        <v>12</v>
      </c>
      <c r="AL120" s="32">
        <v>11</v>
      </c>
      <c r="AM120" s="32">
        <v>7</v>
      </c>
      <c r="AN120" s="32">
        <v>9</v>
      </c>
      <c r="AO120" s="32">
        <v>7</v>
      </c>
      <c r="AP120" s="32">
        <v>4</v>
      </c>
      <c r="AQ120" s="32">
        <v>2</v>
      </c>
      <c r="AR120" s="32">
        <v>0</v>
      </c>
      <c r="AS120" s="32">
        <v>0</v>
      </c>
      <c r="AT120" s="32">
        <v>0</v>
      </c>
      <c r="AU120" s="32">
        <v>2</v>
      </c>
      <c r="AV120" s="32">
        <v>4</v>
      </c>
      <c r="AW120" s="32">
        <v>10</v>
      </c>
      <c r="AX120" s="32">
        <v>4</v>
      </c>
      <c r="AY120" s="32">
        <v>13</v>
      </c>
      <c r="AZ120" s="32">
        <v>12</v>
      </c>
      <c r="BA120" s="32">
        <v>5</v>
      </c>
      <c r="BB120" s="32">
        <v>0</v>
      </c>
      <c r="BC120" s="32">
        <v>5</v>
      </c>
      <c r="BD120" s="32">
        <v>8</v>
      </c>
      <c r="BE120" s="32">
        <v>12</v>
      </c>
      <c r="BF120" s="32">
        <v>0</v>
      </c>
      <c r="BG120" s="32">
        <v>11</v>
      </c>
      <c r="BH120" s="32">
        <v>7</v>
      </c>
      <c r="BI120" s="32">
        <v>2</v>
      </c>
      <c r="BJ120" s="32">
        <v>9</v>
      </c>
      <c r="BK120" s="32">
        <v>0</v>
      </c>
      <c r="BL120" s="32">
        <v>12</v>
      </c>
      <c r="BM120" s="32">
        <v>3</v>
      </c>
      <c r="BN120" s="32">
        <v>0</v>
      </c>
      <c r="BO120" s="32">
        <v>1</v>
      </c>
      <c r="BP120" s="32">
        <v>1</v>
      </c>
      <c r="BQ120" s="32">
        <v>16</v>
      </c>
      <c r="BR120" s="32">
        <v>15</v>
      </c>
      <c r="BS120" s="32">
        <v>11</v>
      </c>
      <c r="BT120" s="32">
        <v>5</v>
      </c>
      <c r="BU120" s="32">
        <v>27</v>
      </c>
      <c r="BV120" s="32">
        <v>16</v>
      </c>
      <c r="BW120" s="32">
        <v>0</v>
      </c>
      <c r="BX120" s="32">
        <v>0</v>
      </c>
      <c r="BY120" s="32">
        <v>19</v>
      </c>
      <c r="BZ120" s="32">
        <v>3</v>
      </c>
      <c r="CA120" s="32">
        <v>8</v>
      </c>
      <c r="CB120" s="32">
        <v>8</v>
      </c>
      <c r="CC120" s="32">
        <v>6</v>
      </c>
      <c r="CD120" s="32">
        <v>5</v>
      </c>
      <c r="CE120" s="32">
        <v>13</v>
      </c>
      <c r="CF120" s="32">
        <v>10</v>
      </c>
      <c r="CG120" s="32">
        <v>0</v>
      </c>
      <c r="CH120" s="32">
        <v>11</v>
      </c>
      <c r="CI120" s="32">
        <v>11</v>
      </c>
      <c r="CJ120" s="32">
        <v>0</v>
      </c>
      <c r="CK120" s="32">
        <v>2</v>
      </c>
      <c r="CL120" s="32">
        <v>0</v>
      </c>
      <c r="CM120" s="32">
        <v>4</v>
      </c>
      <c r="CN120" s="32">
        <v>9</v>
      </c>
      <c r="CO120" s="32">
        <v>17</v>
      </c>
      <c r="CP120" s="32">
        <v>23</v>
      </c>
      <c r="CQ120" s="32">
        <v>14</v>
      </c>
      <c r="CR120" s="32">
        <v>0</v>
      </c>
      <c r="CS120" s="32">
        <v>23</v>
      </c>
      <c r="CT120" s="32">
        <v>0</v>
      </c>
      <c r="CU120" s="32">
        <v>0</v>
      </c>
      <c r="CV120" s="32">
        <v>0</v>
      </c>
      <c r="CW120" s="32">
        <v>29</v>
      </c>
      <c r="CX120" s="32">
        <v>2</v>
      </c>
      <c r="CY120" s="32">
        <v>3</v>
      </c>
      <c r="CZ120" s="32">
        <v>8</v>
      </c>
      <c r="DA120" s="32">
        <v>6</v>
      </c>
      <c r="DB120" s="32">
        <v>15</v>
      </c>
      <c r="DC120" s="32">
        <v>22</v>
      </c>
      <c r="DD120" s="32">
        <v>5</v>
      </c>
      <c r="DE120" s="32">
        <v>27</v>
      </c>
      <c r="DF120" s="32">
        <v>11</v>
      </c>
      <c r="DG120" s="32">
        <v>26</v>
      </c>
      <c r="DH120" s="32">
        <v>13</v>
      </c>
      <c r="DI120" s="32">
        <v>2</v>
      </c>
      <c r="DJ120" s="32">
        <v>5</v>
      </c>
      <c r="DK120" s="32">
        <v>8</v>
      </c>
      <c r="DL120" s="32">
        <v>44</v>
      </c>
      <c r="DM120" s="32">
        <v>0</v>
      </c>
      <c r="DN120" s="32">
        <v>26</v>
      </c>
      <c r="DO120" s="32">
        <v>0</v>
      </c>
      <c r="DP120" s="32">
        <v>5</v>
      </c>
      <c r="DQ120" s="32">
        <v>11</v>
      </c>
      <c r="DR120" s="32">
        <v>21</v>
      </c>
      <c r="DS120" s="32">
        <v>1</v>
      </c>
      <c r="DT120" s="32">
        <v>0</v>
      </c>
      <c r="DU120" s="32">
        <v>3</v>
      </c>
      <c r="DV120" s="32">
        <v>0</v>
      </c>
      <c r="DW120" s="32">
        <v>42</v>
      </c>
      <c r="DX120" s="32">
        <v>0</v>
      </c>
      <c r="DY120" s="32">
        <v>0</v>
      </c>
      <c r="DZ120" s="32">
        <v>3</v>
      </c>
      <c r="EA120" s="32">
        <v>39</v>
      </c>
      <c r="EB120" s="32">
        <v>0</v>
      </c>
      <c r="EC120" s="32">
        <v>49</v>
      </c>
      <c r="ED120" s="32">
        <v>74</v>
      </c>
      <c r="EE120" s="32">
        <v>57</v>
      </c>
      <c r="EF120" s="32">
        <v>4</v>
      </c>
      <c r="EG120" s="32">
        <v>64</v>
      </c>
      <c r="EH120" s="32">
        <v>88</v>
      </c>
      <c r="EI120" s="32">
        <v>128</v>
      </c>
      <c r="EJ120" s="32">
        <v>80</v>
      </c>
      <c r="EK120" s="32">
        <v>58</v>
      </c>
      <c r="EL120" s="32">
        <v>76</v>
      </c>
      <c r="EM120" s="32">
        <v>72</v>
      </c>
      <c r="EN120" s="32">
        <v>18</v>
      </c>
      <c r="EO120" s="32">
        <v>106</v>
      </c>
      <c r="EP120" s="32">
        <v>124</v>
      </c>
      <c r="EQ120" s="32">
        <v>31</v>
      </c>
      <c r="ER120" s="32">
        <v>62</v>
      </c>
      <c r="ES120" s="32">
        <v>70</v>
      </c>
      <c r="ET120" s="32">
        <v>108</v>
      </c>
      <c r="EU120" s="32">
        <v>0</v>
      </c>
      <c r="EV120" s="32">
        <v>57</v>
      </c>
      <c r="EW120" s="32">
        <v>87</v>
      </c>
      <c r="EX120" s="32">
        <v>88</v>
      </c>
      <c r="EY120" s="32">
        <v>82</v>
      </c>
      <c r="EZ120" s="32">
        <v>56</v>
      </c>
      <c r="FA120" s="32">
        <v>98</v>
      </c>
      <c r="FB120" s="32">
        <v>183</v>
      </c>
      <c r="FC120" s="32">
        <v>81</v>
      </c>
      <c r="FD120" s="32">
        <v>112</v>
      </c>
      <c r="FE120" s="32">
        <v>156</v>
      </c>
      <c r="FF120" s="32">
        <v>152</v>
      </c>
      <c r="FG120" s="32">
        <v>130</v>
      </c>
      <c r="FH120" s="32">
        <v>141</v>
      </c>
      <c r="FI120" s="32">
        <v>78</v>
      </c>
      <c r="FJ120" s="32">
        <v>97</v>
      </c>
      <c r="FK120" s="32">
        <v>197</v>
      </c>
      <c r="FL120" s="32"/>
      <c r="FM120" s="32"/>
      <c r="FN120" s="32"/>
      <c r="FR120" s="32">
        <f t="shared" si="178"/>
        <v>14</v>
      </c>
      <c r="FS120" s="32">
        <f t="shared" si="179"/>
        <v>17</v>
      </c>
      <c r="FT120" s="32">
        <f t="shared" si="180"/>
        <v>33</v>
      </c>
      <c r="FU120" s="32">
        <f t="shared" si="181"/>
        <v>24</v>
      </c>
      <c r="FV120" s="32">
        <f t="shared" si="182"/>
        <v>20</v>
      </c>
      <c r="FW120" s="32">
        <f t="shared" si="183"/>
        <v>21</v>
      </c>
      <c r="FX120" s="32">
        <f t="shared" si="184"/>
        <v>28</v>
      </c>
      <c r="FY120" s="32">
        <f t="shared" si="185"/>
        <v>28</v>
      </c>
      <c r="FZ120" s="32">
        <f t="shared" si="186"/>
        <v>30</v>
      </c>
      <c r="GA120" s="32">
        <f t="shared" si="187"/>
        <v>15</v>
      </c>
      <c r="GB120" s="32">
        <f t="shared" si="188"/>
        <v>25</v>
      </c>
      <c r="GC120" s="32">
        <f t="shared" si="189"/>
        <v>33</v>
      </c>
      <c r="GD120" s="32">
        <f t="shared" si="190"/>
        <v>23</v>
      </c>
      <c r="GE120" s="32">
        <f t="shared" si="191"/>
        <v>6</v>
      </c>
      <c r="GF120" s="32">
        <f t="shared" si="192"/>
        <v>2</v>
      </c>
      <c r="GG120" s="32">
        <f t="shared" si="193"/>
        <v>18</v>
      </c>
      <c r="GH120" s="32">
        <f t="shared" si="194"/>
        <v>30</v>
      </c>
      <c r="GI120" s="32">
        <f t="shared" si="195"/>
        <v>13</v>
      </c>
      <c r="GJ120" s="32">
        <f t="shared" si="196"/>
        <v>23</v>
      </c>
      <c r="GK120" s="32">
        <f t="shared" si="197"/>
        <v>18</v>
      </c>
      <c r="GL120" s="32">
        <f t="shared" si="198"/>
        <v>15</v>
      </c>
      <c r="GM120" s="32">
        <f t="shared" si="199"/>
        <v>2</v>
      </c>
      <c r="GN120" s="32">
        <f t="shared" si="200"/>
        <v>42</v>
      </c>
      <c r="GO120" s="32">
        <f t="shared" si="201"/>
        <v>48</v>
      </c>
      <c r="GP120" s="32">
        <f t="shared" si="202"/>
        <v>19</v>
      </c>
      <c r="GQ120" s="32">
        <f t="shared" si="203"/>
        <v>19</v>
      </c>
      <c r="GR120" s="32">
        <f t="shared" si="204"/>
        <v>24</v>
      </c>
      <c r="GS120" s="32">
        <f t="shared" si="205"/>
        <v>21</v>
      </c>
      <c r="GT120" s="32">
        <f t="shared" si="206"/>
        <v>13</v>
      </c>
      <c r="GU120" s="32">
        <f t="shared" si="207"/>
        <v>13</v>
      </c>
      <c r="GV120" s="32">
        <f t="shared" si="208"/>
        <v>54</v>
      </c>
      <c r="GW120" s="32">
        <f t="shared" si="209"/>
        <v>23</v>
      </c>
      <c r="GX120" s="32">
        <f t="shared" si="210"/>
        <v>29</v>
      </c>
      <c r="GY120" s="32">
        <f t="shared" si="211"/>
        <v>13</v>
      </c>
      <c r="GZ120" s="32">
        <f t="shared" si="212"/>
        <v>43</v>
      </c>
      <c r="HA120" s="32">
        <f t="shared" si="213"/>
        <v>43</v>
      </c>
      <c r="HB120" s="32">
        <f t="shared" si="214"/>
        <v>39</v>
      </c>
      <c r="HC120" s="32">
        <f t="shared" si="215"/>
        <v>57</v>
      </c>
      <c r="HD120" s="32">
        <f t="shared" si="216"/>
        <v>26</v>
      </c>
      <c r="HE120" s="32">
        <f t="shared" si="217"/>
        <v>37</v>
      </c>
      <c r="HF120" s="32">
        <f t="shared" si="218"/>
        <v>4</v>
      </c>
      <c r="HG120" s="32">
        <f t="shared" si="219"/>
        <v>42</v>
      </c>
      <c r="HH120" s="32">
        <f t="shared" si="220"/>
        <v>42</v>
      </c>
      <c r="HI120" s="32">
        <f t="shared" si="221"/>
        <v>123</v>
      </c>
      <c r="HJ120" s="32">
        <f t="shared" si="222"/>
        <v>125</v>
      </c>
      <c r="HK120" s="32">
        <f t="shared" si="223"/>
        <v>296</v>
      </c>
      <c r="HL120" s="32">
        <f t="shared" si="224"/>
        <v>206</v>
      </c>
      <c r="HM120" s="32">
        <f t="shared" si="225"/>
        <v>248</v>
      </c>
      <c r="HN120" s="32">
        <f t="shared" si="125"/>
        <v>125</v>
      </c>
      <c r="HO120" s="32">
        <f t="shared" si="126"/>
        <v>296</v>
      </c>
      <c r="HP120" s="32">
        <f t="shared" si="127"/>
        <v>206</v>
      </c>
      <c r="HQ120" s="32">
        <f t="shared" si="128"/>
        <v>248</v>
      </c>
      <c r="HR120" s="32">
        <f t="shared" si="226"/>
        <v>163</v>
      </c>
      <c r="HS120" s="32">
        <f t="shared" si="122"/>
        <v>165</v>
      </c>
      <c r="HT120" s="32">
        <f t="shared" si="227"/>
        <v>257</v>
      </c>
      <c r="HU120" s="32">
        <f t="shared" si="228"/>
        <v>337</v>
      </c>
      <c r="HV120" s="32">
        <f t="shared" si="229"/>
        <v>349</v>
      </c>
      <c r="HW120" s="32">
        <f t="shared" si="230"/>
        <v>423</v>
      </c>
      <c r="HX120" s="32">
        <f t="shared" si="231"/>
        <v>372</v>
      </c>
      <c r="IB120" s="32">
        <f t="shared" si="232"/>
        <v>88</v>
      </c>
      <c r="IC120" s="32">
        <f t="shared" si="233"/>
        <v>97</v>
      </c>
      <c r="ID120" s="32">
        <f t="shared" si="234"/>
        <v>103</v>
      </c>
      <c r="IE120" s="32">
        <f t="shared" si="235"/>
        <v>49</v>
      </c>
      <c r="IF120" s="32">
        <f t="shared" si="236"/>
        <v>84</v>
      </c>
      <c r="IG120" s="32">
        <f t="shared" si="237"/>
        <v>107</v>
      </c>
      <c r="IH120" s="32">
        <f t="shared" si="238"/>
        <v>83</v>
      </c>
      <c r="II120" s="32">
        <f t="shared" si="239"/>
        <v>103</v>
      </c>
      <c r="IJ120" s="32">
        <f t="shared" si="240"/>
        <v>128</v>
      </c>
      <c r="IK120" s="32">
        <f t="shared" si="241"/>
        <v>161</v>
      </c>
      <c r="IL120" s="32">
        <f t="shared" si="242"/>
        <v>211</v>
      </c>
      <c r="IM120" s="32">
        <f t="shared" si="243"/>
        <v>875</v>
      </c>
      <c r="IN120" s="32">
        <f t="shared" si="244"/>
        <v>922</v>
      </c>
    </row>
    <row r="121" spans="1:248" outlineLevel="1" x14ac:dyDescent="0.3">
      <c r="A121" s="15" t="s">
        <v>95</v>
      </c>
      <c r="B121" s="15"/>
      <c r="C121" s="15">
        <v>1052</v>
      </c>
      <c r="D121" s="15">
        <v>1257</v>
      </c>
      <c r="E121" s="15">
        <v>1279</v>
      </c>
      <c r="F121" s="15">
        <v>1418</v>
      </c>
      <c r="G121" s="15">
        <v>1164</v>
      </c>
      <c r="H121" s="15">
        <v>1350</v>
      </c>
      <c r="I121" s="15">
        <v>388</v>
      </c>
      <c r="J121" s="15">
        <v>829</v>
      </c>
      <c r="K121" s="15">
        <v>847</v>
      </c>
      <c r="L121" s="15">
        <v>1047</v>
      </c>
      <c r="M121" s="15">
        <v>1035</v>
      </c>
      <c r="N121" s="15">
        <v>1024</v>
      </c>
      <c r="O121" s="15">
        <v>516</v>
      </c>
      <c r="P121" s="15">
        <v>1155</v>
      </c>
      <c r="Q121" s="15">
        <v>1350</v>
      </c>
      <c r="R121" s="15">
        <v>1516</v>
      </c>
      <c r="S121" s="15">
        <v>1526</v>
      </c>
      <c r="T121" s="15">
        <v>1762</v>
      </c>
      <c r="U121" s="15">
        <v>1433</v>
      </c>
      <c r="V121" s="15">
        <v>1340</v>
      </c>
      <c r="W121" s="15">
        <v>1203</v>
      </c>
      <c r="X121" s="15">
        <v>1171</v>
      </c>
      <c r="Y121" s="15">
        <v>1406</v>
      </c>
      <c r="Z121" s="15">
        <v>700</v>
      </c>
      <c r="AA121" s="33">
        <v>858</v>
      </c>
      <c r="AB121" s="33">
        <v>1094</v>
      </c>
      <c r="AC121" s="33">
        <v>1958</v>
      </c>
      <c r="AD121" s="33">
        <v>1274</v>
      </c>
      <c r="AE121" s="33">
        <v>1156</v>
      </c>
      <c r="AF121" s="33">
        <v>1324</v>
      </c>
      <c r="AG121" s="33">
        <v>1272</v>
      </c>
      <c r="AH121" s="33">
        <v>1547</v>
      </c>
      <c r="AI121" s="33">
        <v>1170</v>
      </c>
      <c r="AJ121" s="33">
        <v>1272</v>
      </c>
      <c r="AK121" s="33">
        <v>1502</v>
      </c>
      <c r="AL121" s="33">
        <v>1156</v>
      </c>
      <c r="AM121" s="33">
        <v>1343</v>
      </c>
      <c r="AN121" s="33">
        <v>1341</v>
      </c>
      <c r="AO121" s="33">
        <v>1575</v>
      </c>
      <c r="AP121" s="33">
        <v>1465</v>
      </c>
      <c r="AQ121" s="33">
        <v>1404</v>
      </c>
      <c r="AR121" s="33">
        <v>1320</v>
      </c>
      <c r="AS121" s="33">
        <v>1373</v>
      </c>
      <c r="AT121" s="33">
        <v>1645</v>
      </c>
      <c r="AU121" s="33">
        <v>1375</v>
      </c>
      <c r="AV121" s="33">
        <v>1555</v>
      </c>
      <c r="AW121" s="33">
        <v>1348</v>
      </c>
      <c r="AX121" s="33">
        <v>1378</v>
      </c>
      <c r="AY121" s="33">
        <v>1105</v>
      </c>
      <c r="AZ121" s="33">
        <v>1717</v>
      </c>
      <c r="BA121" s="33">
        <v>1417</v>
      </c>
      <c r="BB121" s="33">
        <v>1256</v>
      </c>
      <c r="BC121" s="33">
        <v>1082</v>
      </c>
      <c r="BD121" s="33">
        <v>1239</v>
      </c>
      <c r="BE121" s="33">
        <v>1312</v>
      </c>
      <c r="BF121" s="33">
        <v>1456</v>
      </c>
      <c r="BG121" s="33">
        <v>1358</v>
      </c>
      <c r="BH121" s="33">
        <v>1501</v>
      </c>
      <c r="BI121" s="33">
        <v>1709</v>
      </c>
      <c r="BJ121" s="33">
        <v>1340</v>
      </c>
      <c r="BK121" s="33">
        <v>1153</v>
      </c>
      <c r="BL121" s="33">
        <v>1393</v>
      </c>
      <c r="BM121" s="33">
        <v>1417</v>
      </c>
      <c r="BN121" s="33">
        <v>2061</v>
      </c>
      <c r="BO121" s="33">
        <v>1321</v>
      </c>
      <c r="BP121" s="33">
        <v>1618</v>
      </c>
      <c r="BQ121" s="33">
        <v>1538</v>
      </c>
      <c r="BR121" s="33">
        <v>1461</v>
      </c>
      <c r="BS121" s="33">
        <v>1504</v>
      </c>
      <c r="BT121" s="33">
        <v>1522</v>
      </c>
      <c r="BU121" s="33">
        <v>1411</v>
      </c>
      <c r="BV121" s="33">
        <v>1784</v>
      </c>
      <c r="BW121" s="33">
        <v>1067</v>
      </c>
      <c r="BX121" s="33">
        <v>1421</v>
      </c>
      <c r="BY121" s="33">
        <v>1663</v>
      </c>
      <c r="BZ121" s="33">
        <v>1812</v>
      </c>
      <c r="CA121" s="33">
        <v>1388</v>
      </c>
      <c r="CB121" s="33">
        <v>1219</v>
      </c>
      <c r="CC121" s="33">
        <v>1121</v>
      </c>
      <c r="CD121" s="33">
        <v>1183</v>
      </c>
      <c r="CE121" s="33">
        <v>1502</v>
      </c>
      <c r="CF121" s="33">
        <v>1219</v>
      </c>
      <c r="CG121" s="33">
        <v>1541</v>
      </c>
      <c r="CH121" s="33">
        <v>1644</v>
      </c>
      <c r="CI121" s="33">
        <v>1152</v>
      </c>
      <c r="CJ121" s="33">
        <v>1028</v>
      </c>
      <c r="CK121" s="33">
        <v>882</v>
      </c>
      <c r="CL121" s="33">
        <v>1064</v>
      </c>
      <c r="CM121" s="33">
        <v>1049</v>
      </c>
      <c r="CN121" s="33">
        <v>1081</v>
      </c>
      <c r="CO121" s="33">
        <v>934</v>
      </c>
      <c r="CP121" s="33">
        <v>1080</v>
      </c>
      <c r="CQ121" s="33">
        <v>1288</v>
      </c>
      <c r="CR121" s="33">
        <v>1069</v>
      </c>
      <c r="CS121" s="33">
        <v>1220</v>
      </c>
      <c r="CT121" s="33">
        <v>731</v>
      </c>
      <c r="CU121" s="33">
        <v>99</v>
      </c>
      <c r="CV121" s="33">
        <v>292</v>
      </c>
      <c r="CW121" s="33">
        <v>820</v>
      </c>
      <c r="CX121" s="33">
        <v>1099</v>
      </c>
      <c r="CY121" s="33">
        <v>1211</v>
      </c>
      <c r="CZ121" s="33">
        <v>1500</v>
      </c>
      <c r="DA121" s="33">
        <v>1196</v>
      </c>
      <c r="DB121" s="33">
        <v>1110</v>
      </c>
      <c r="DC121" s="33">
        <v>1723</v>
      </c>
      <c r="DD121" s="33">
        <v>1660</v>
      </c>
      <c r="DE121" s="33">
        <v>1432</v>
      </c>
      <c r="DF121" s="33">
        <v>2096</v>
      </c>
      <c r="DG121" s="33">
        <v>1522</v>
      </c>
      <c r="DH121" s="33">
        <v>1250</v>
      </c>
      <c r="DI121" s="33">
        <v>1424</v>
      </c>
      <c r="DJ121" s="33">
        <v>2365</v>
      </c>
      <c r="DK121" s="33">
        <v>1776</v>
      </c>
      <c r="DL121" s="33">
        <v>2201</v>
      </c>
      <c r="DM121" s="33">
        <v>2061</v>
      </c>
      <c r="DN121" s="33">
        <v>2126</v>
      </c>
      <c r="DO121" s="33">
        <v>1475</v>
      </c>
      <c r="DP121" s="33">
        <v>920</v>
      </c>
      <c r="DQ121" s="33">
        <v>1239</v>
      </c>
      <c r="DR121" s="33">
        <v>1315</v>
      </c>
      <c r="DS121" s="33">
        <v>1018</v>
      </c>
      <c r="DT121" s="33">
        <v>1317</v>
      </c>
      <c r="DU121" s="33">
        <v>1517</v>
      </c>
      <c r="DV121" s="33">
        <v>1634</v>
      </c>
      <c r="DW121" s="33">
        <v>1481</v>
      </c>
      <c r="DX121" s="33">
        <v>1526</v>
      </c>
      <c r="DY121" s="33">
        <v>795</v>
      </c>
      <c r="DZ121" s="33">
        <v>1578</v>
      </c>
      <c r="EA121" s="33">
        <v>1352</v>
      </c>
      <c r="EB121" s="33">
        <v>1227</v>
      </c>
      <c r="EC121" s="33">
        <v>984</v>
      </c>
      <c r="ED121" s="33">
        <v>1313</v>
      </c>
      <c r="EE121" s="33">
        <v>769</v>
      </c>
      <c r="EF121" s="33">
        <v>894</v>
      </c>
      <c r="EG121" s="33">
        <v>1253</v>
      </c>
      <c r="EH121" s="33">
        <v>1367</v>
      </c>
      <c r="EI121" s="33">
        <v>1263</v>
      </c>
      <c r="EJ121" s="33">
        <v>965</v>
      </c>
      <c r="EK121" s="33">
        <v>657</v>
      </c>
      <c r="EL121" s="33">
        <v>999</v>
      </c>
      <c r="EM121" s="33">
        <v>1164</v>
      </c>
      <c r="EN121" s="33">
        <v>1244</v>
      </c>
      <c r="EO121" s="33">
        <v>1354</v>
      </c>
      <c r="EP121" s="33">
        <v>2101</v>
      </c>
      <c r="EQ121" s="33">
        <v>435</v>
      </c>
      <c r="ER121" s="33">
        <v>1373</v>
      </c>
      <c r="ES121" s="33">
        <v>1538</v>
      </c>
      <c r="ET121" s="33">
        <v>1326</v>
      </c>
      <c r="EU121" s="33">
        <v>1160</v>
      </c>
      <c r="EV121" s="33">
        <v>974</v>
      </c>
      <c r="EW121" s="33">
        <v>1251</v>
      </c>
      <c r="EX121" s="33">
        <v>806</v>
      </c>
      <c r="EY121" s="33">
        <v>864</v>
      </c>
      <c r="EZ121" s="33">
        <v>1012</v>
      </c>
      <c r="FA121" s="33">
        <v>1078</v>
      </c>
      <c r="FB121" s="33">
        <v>1633</v>
      </c>
      <c r="FC121" s="33">
        <v>983</v>
      </c>
      <c r="FD121" s="33">
        <v>1706</v>
      </c>
      <c r="FE121" s="33">
        <v>1111</v>
      </c>
      <c r="FF121" s="33">
        <v>875</v>
      </c>
      <c r="FG121" s="33">
        <v>1024</v>
      </c>
      <c r="FH121" s="33">
        <v>946</v>
      </c>
      <c r="FI121" s="33">
        <v>745</v>
      </c>
      <c r="FJ121" s="33">
        <v>1046</v>
      </c>
      <c r="FK121" s="33">
        <v>1136</v>
      </c>
      <c r="FL121" s="34"/>
      <c r="FM121" s="34"/>
      <c r="FN121" s="34"/>
      <c r="FR121" s="33">
        <f t="shared" si="178"/>
        <v>3588</v>
      </c>
      <c r="FS121" s="33">
        <f t="shared" si="179"/>
        <v>3932</v>
      </c>
      <c r="FT121" s="33">
        <f t="shared" si="180"/>
        <v>2064</v>
      </c>
      <c r="FU121" s="33">
        <f t="shared" si="181"/>
        <v>3106</v>
      </c>
      <c r="FV121" s="33">
        <f t="shared" si="182"/>
        <v>3021</v>
      </c>
      <c r="FW121" s="33">
        <f t="shared" si="183"/>
        <v>4804</v>
      </c>
      <c r="FX121" s="33">
        <f t="shared" si="184"/>
        <v>3976</v>
      </c>
      <c r="FY121" s="33">
        <f t="shared" si="185"/>
        <v>3277</v>
      </c>
      <c r="FZ121" s="33">
        <f t="shared" si="186"/>
        <v>3910</v>
      </c>
      <c r="GA121" s="33">
        <f t="shared" si="187"/>
        <v>3754</v>
      </c>
      <c r="GB121" s="33">
        <f t="shared" si="188"/>
        <v>3989</v>
      </c>
      <c r="GC121" s="33">
        <f t="shared" si="189"/>
        <v>3930</v>
      </c>
      <c r="GD121" s="33">
        <f t="shared" si="190"/>
        <v>4259</v>
      </c>
      <c r="GE121" s="33">
        <f t="shared" si="191"/>
        <v>4189</v>
      </c>
      <c r="GF121" s="33">
        <f t="shared" si="192"/>
        <v>4393</v>
      </c>
      <c r="GG121" s="33">
        <f t="shared" si="193"/>
        <v>4281</v>
      </c>
      <c r="GH121" s="33">
        <f t="shared" si="194"/>
        <v>4239</v>
      </c>
      <c r="GI121" s="33">
        <f t="shared" si="195"/>
        <v>3577</v>
      </c>
      <c r="GJ121" s="33">
        <f t="shared" si="196"/>
        <v>4126</v>
      </c>
      <c r="GK121" s="33">
        <f t="shared" si="197"/>
        <v>4550</v>
      </c>
      <c r="GL121" s="33">
        <f t="shared" si="198"/>
        <v>3963</v>
      </c>
      <c r="GM121" s="33">
        <f t="shared" si="199"/>
        <v>5000</v>
      </c>
      <c r="GN121" s="33">
        <f t="shared" si="200"/>
        <v>4503</v>
      </c>
      <c r="GO121" s="33">
        <f t="shared" si="201"/>
        <v>4717</v>
      </c>
      <c r="GP121" s="33">
        <f t="shared" si="202"/>
        <v>4151</v>
      </c>
      <c r="GQ121" s="33">
        <f t="shared" si="203"/>
        <v>4419</v>
      </c>
      <c r="GR121" s="33">
        <f t="shared" si="204"/>
        <v>3806</v>
      </c>
      <c r="GS121" s="33">
        <f t="shared" si="205"/>
        <v>4404</v>
      </c>
      <c r="GT121" s="33">
        <f t="shared" si="206"/>
        <v>3062</v>
      </c>
      <c r="GU121" s="33">
        <f t="shared" si="207"/>
        <v>3194</v>
      </c>
      <c r="GV121" s="33">
        <f t="shared" si="208"/>
        <v>3302</v>
      </c>
      <c r="GW121" s="33">
        <f t="shared" si="209"/>
        <v>3020</v>
      </c>
      <c r="GX121" s="33">
        <f t="shared" si="210"/>
        <v>1211</v>
      </c>
      <c r="GY121" s="33">
        <f t="shared" si="211"/>
        <v>3810</v>
      </c>
      <c r="GZ121" s="33">
        <f t="shared" si="212"/>
        <v>4029</v>
      </c>
      <c r="HA121" s="33">
        <f t="shared" si="213"/>
        <v>5188</v>
      </c>
      <c r="HB121" s="33">
        <f t="shared" si="214"/>
        <v>2772</v>
      </c>
      <c r="HC121" s="33">
        <f t="shared" si="215"/>
        <v>6342</v>
      </c>
      <c r="HD121" s="33">
        <f t="shared" si="216"/>
        <v>5662</v>
      </c>
      <c r="HE121" s="33">
        <f t="shared" si="217"/>
        <v>3474</v>
      </c>
      <c r="HF121" s="33">
        <f t="shared" si="218"/>
        <v>3852</v>
      </c>
      <c r="HG121" s="33">
        <f t="shared" si="219"/>
        <v>4641</v>
      </c>
      <c r="HH121" s="33">
        <f t="shared" si="220"/>
        <v>3725</v>
      </c>
      <c r="HI121" s="33">
        <f t="shared" si="221"/>
        <v>3524</v>
      </c>
      <c r="HJ121" s="33">
        <f t="shared" si="222"/>
        <v>2916</v>
      </c>
      <c r="HK121" s="33">
        <f t="shared" si="223"/>
        <v>3595</v>
      </c>
      <c r="HL121" s="33">
        <f t="shared" si="224"/>
        <v>2820</v>
      </c>
      <c r="HM121" s="33">
        <f t="shared" si="225"/>
        <v>4699</v>
      </c>
      <c r="HN121" s="33">
        <f t="shared" si="125"/>
        <v>2916</v>
      </c>
      <c r="HO121" s="33">
        <f t="shared" si="126"/>
        <v>3595</v>
      </c>
      <c r="HP121" s="33">
        <f t="shared" si="127"/>
        <v>2820</v>
      </c>
      <c r="HQ121" s="33">
        <f t="shared" si="128"/>
        <v>4699</v>
      </c>
      <c r="HR121" s="33">
        <f t="shared" si="226"/>
        <v>3346</v>
      </c>
      <c r="HS121" s="33">
        <f t="shared" si="122"/>
        <v>3460</v>
      </c>
      <c r="HT121" s="33">
        <f t="shared" si="227"/>
        <v>2921</v>
      </c>
      <c r="HU121" s="33">
        <f t="shared" si="228"/>
        <v>3723</v>
      </c>
      <c r="HV121" s="33">
        <f t="shared" si="229"/>
        <v>3800</v>
      </c>
      <c r="HW121" s="33">
        <f t="shared" si="230"/>
        <v>2845</v>
      </c>
      <c r="HX121" s="33">
        <f t="shared" si="231"/>
        <v>2927</v>
      </c>
      <c r="IB121" s="33">
        <f t="shared" si="232"/>
        <v>12690</v>
      </c>
      <c r="IC121" s="33">
        <f t="shared" si="233"/>
        <v>15078</v>
      </c>
      <c r="ID121" s="33">
        <f t="shared" si="234"/>
        <v>15583</v>
      </c>
      <c r="IE121" s="33">
        <f t="shared" si="235"/>
        <v>17122</v>
      </c>
      <c r="IF121" s="33">
        <f t="shared" si="236"/>
        <v>16492</v>
      </c>
      <c r="IG121" s="33">
        <f t="shared" si="237"/>
        <v>18183</v>
      </c>
      <c r="IH121" s="33">
        <f t="shared" si="238"/>
        <v>16780</v>
      </c>
      <c r="II121" s="33">
        <f t="shared" si="239"/>
        <v>12578</v>
      </c>
      <c r="IJ121" s="33">
        <f t="shared" si="240"/>
        <v>14238</v>
      </c>
      <c r="IK121" s="33">
        <f t="shared" si="241"/>
        <v>19674</v>
      </c>
      <c r="IL121" s="33">
        <f t="shared" si="242"/>
        <v>15742</v>
      </c>
      <c r="IM121" s="33">
        <f t="shared" si="243"/>
        <v>14030</v>
      </c>
      <c r="IN121" s="33">
        <f t="shared" si="244"/>
        <v>13450</v>
      </c>
    </row>
    <row r="122" spans="1:248" outlineLevel="1" x14ac:dyDescent="0.3">
      <c r="A122" t="s">
        <v>96</v>
      </c>
      <c r="B122" t="s">
        <v>75</v>
      </c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>
        <v>2</v>
      </c>
      <c r="FG122" s="34">
        <v>2</v>
      </c>
      <c r="FH122" s="34">
        <v>0</v>
      </c>
      <c r="FI122" s="34">
        <v>0</v>
      </c>
      <c r="FJ122" s="34">
        <v>0</v>
      </c>
      <c r="FK122" s="34">
        <v>0</v>
      </c>
      <c r="FL122" s="34"/>
      <c r="FM122" s="34"/>
      <c r="FN122" s="34"/>
      <c r="FR122" s="32">
        <f>+SUM(C124:E124)</f>
        <v>0</v>
      </c>
      <c r="FS122" s="32">
        <f>+SUM(F124:H124)</f>
        <v>0</v>
      </c>
      <c r="FT122" s="32">
        <f>+SUM(I124:K124)</f>
        <v>0</v>
      </c>
      <c r="FU122" s="32">
        <f>+SUM(L124:N124)</f>
        <v>0</v>
      </c>
      <c r="FV122" s="32">
        <f>+SUM(O124:Q124)</f>
        <v>0</v>
      </c>
      <c r="FW122" s="32">
        <f>+SUM(R124:T124)</f>
        <v>0</v>
      </c>
      <c r="FX122" s="32">
        <f>+SUM(U124:W124)</f>
        <v>0</v>
      </c>
      <c r="FY122" s="32">
        <f>+SUM(X124:Z124)</f>
        <v>0</v>
      </c>
      <c r="FZ122" s="32">
        <f>+SUM(AA124:AC124)</f>
        <v>0</v>
      </c>
      <c r="GA122" s="32">
        <f>+SUM(AD124:AF124)</f>
        <v>0</v>
      </c>
      <c r="GB122" s="32">
        <f>+SUM(AG124:AI124)</f>
        <v>0</v>
      </c>
      <c r="GC122" s="32">
        <f>+SUM(AJ124:AL124)</f>
        <v>0</v>
      </c>
      <c r="GD122" s="32">
        <f>+SUM(AM124:AO124)</f>
        <v>0</v>
      </c>
      <c r="GE122" s="32">
        <f>+SUM(AP124:AR124)</f>
        <v>0</v>
      </c>
      <c r="GF122" s="32">
        <f>+SUM(AS124:AU124)</f>
        <v>0</v>
      </c>
      <c r="GG122" s="32">
        <f>+SUM(AV124:AX124)</f>
        <v>0</v>
      </c>
      <c r="GH122" s="32">
        <f>+SUM(AY124:BA124)</f>
        <v>0</v>
      </c>
      <c r="GI122" s="32">
        <f>+SUM(BB124:BD124)</f>
        <v>0</v>
      </c>
      <c r="GJ122" s="32">
        <f>+SUM(BE124:BG124)</f>
        <v>0</v>
      </c>
      <c r="GK122" s="32">
        <f>+SUM(BH124:BJ124)</f>
        <v>0</v>
      </c>
      <c r="GL122" s="32">
        <f>+SUM(BK124:BM124)</f>
        <v>0</v>
      </c>
      <c r="GM122" s="32">
        <f>+SUM(BN124:BP124)</f>
        <v>0</v>
      </c>
      <c r="GN122" s="32">
        <f>+SUM(BQ124:BS124)</f>
        <v>0</v>
      </c>
      <c r="GO122" s="32">
        <f>+SUM(BT124:BV124)</f>
        <v>0</v>
      </c>
      <c r="GP122" s="32">
        <f>+SUM(BW124:BY124)</f>
        <v>0</v>
      </c>
      <c r="GQ122" s="32">
        <f>+SUM(BZ124:CB124)</f>
        <v>0</v>
      </c>
      <c r="GR122" s="32">
        <f>+SUM(CC124:CE124)</f>
        <v>0</v>
      </c>
      <c r="GS122" s="32">
        <f>+SUM(CF124:CH124)</f>
        <v>0</v>
      </c>
      <c r="GT122" s="32">
        <f>+SUM(CI124:CK124)</f>
        <v>0</v>
      </c>
      <c r="GU122" s="32">
        <f>+SUM(CL124:CN124)</f>
        <v>0</v>
      </c>
      <c r="GV122" s="32">
        <f>+SUM(CO124:CQ124)</f>
        <v>0</v>
      </c>
      <c r="GW122" s="32">
        <f>+SUM(CR124:CT124)</f>
        <v>0</v>
      </c>
      <c r="GX122" s="32">
        <f>+SUM(CU124:CW124)</f>
        <v>0</v>
      </c>
      <c r="GY122" s="32">
        <f>+SUM(CX122:CZ122)</f>
        <v>0</v>
      </c>
      <c r="GZ122" s="32">
        <f>+SUM(DA122:DC122)</f>
        <v>0</v>
      </c>
      <c r="HA122" s="32">
        <f>+SUM(DD122:DF122)</f>
        <v>0</v>
      </c>
      <c r="HB122" s="32">
        <f>+SUM(DG122:DH122)</f>
        <v>0</v>
      </c>
      <c r="HC122" s="32">
        <f>+SUM(DJ122:DL122)</f>
        <v>0</v>
      </c>
      <c r="HD122" s="32">
        <f>+SUM(DM122:DO122)</f>
        <v>0</v>
      </c>
      <c r="HE122" s="32">
        <f>+SUM(DP122:DR122)</f>
        <v>0</v>
      </c>
      <c r="HF122" s="32">
        <f>+SUM(DS122:DU122)</f>
        <v>0</v>
      </c>
      <c r="HG122" s="32">
        <f>+SUM(DV122:DX122)</f>
        <v>0</v>
      </c>
      <c r="HH122" s="32">
        <f>+SUM(DY122:EA122)</f>
        <v>0</v>
      </c>
      <c r="HI122" s="32">
        <f>+SUM(EB122:ED122)</f>
        <v>0</v>
      </c>
      <c r="HJ122" s="32">
        <f>+SUM(EE122:EG122)</f>
        <v>0</v>
      </c>
      <c r="HK122" s="32">
        <f>+SUM(EH122:EJ122)</f>
        <v>0</v>
      </c>
      <c r="HL122" s="32">
        <f>+SUM(EK122:EM122)</f>
        <v>0</v>
      </c>
      <c r="HM122" s="32">
        <f>+SUM(EN122:EP122)</f>
        <v>0</v>
      </c>
      <c r="HN122" s="32">
        <f>SUM(EE122:EG122)</f>
        <v>0</v>
      </c>
      <c r="HO122" s="32">
        <f>SUM(EH122:EJ122)</f>
        <v>0</v>
      </c>
      <c r="HP122" s="32">
        <f>SUM(EK122:EM122)</f>
        <v>0</v>
      </c>
      <c r="HQ122" s="32">
        <f>SUM(EN122:EP122)</f>
        <v>0</v>
      </c>
      <c r="HR122" s="32">
        <f>SUM(EQ122:ES122)</f>
        <v>0</v>
      </c>
      <c r="HS122" s="32">
        <f t="shared" si="122"/>
        <v>0</v>
      </c>
      <c r="HT122" s="32">
        <f t="shared" si="227"/>
        <v>0</v>
      </c>
      <c r="HU122" s="32">
        <f t="shared" si="228"/>
        <v>0</v>
      </c>
      <c r="HV122" s="32">
        <f t="shared" si="229"/>
        <v>0</v>
      </c>
      <c r="HW122" s="32">
        <f t="shared" si="230"/>
        <v>4</v>
      </c>
      <c r="HX122" s="32">
        <f t="shared" si="231"/>
        <v>0</v>
      </c>
      <c r="IB122" s="32">
        <f>+SUM(C124:N124)</f>
        <v>0</v>
      </c>
      <c r="IC122" s="32">
        <f>+SUM(O124:Z124)</f>
        <v>0</v>
      </c>
      <c r="ID122" s="32">
        <f>+SUM(AA124:AL124)</f>
        <v>0</v>
      </c>
      <c r="IE122" s="32">
        <f>+SUM(AM124:AX124)</f>
        <v>0</v>
      </c>
      <c r="IF122" s="32">
        <f>+SUM(AY124:BJ124)</f>
        <v>0</v>
      </c>
      <c r="IG122" s="32">
        <f>+SUM(BK124:BV124)</f>
        <v>0</v>
      </c>
      <c r="IH122" s="32">
        <f>+SUM(BW124:CH124)</f>
        <v>0</v>
      </c>
      <c r="II122" s="32">
        <f>SUM(CI124:CT124)</f>
        <v>0</v>
      </c>
      <c r="IJ122" s="32">
        <f>SUM(CU124:DF124)</f>
        <v>0</v>
      </c>
      <c r="IK122" s="32">
        <f>SUM(DG124:DR124)</f>
        <v>0</v>
      </c>
      <c r="IL122" s="32">
        <f>SUM(DS124:ED124)</f>
        <v>0</v>
      </c>
      <c r="IM122" s="32">
        <f>SUM(EE124:EP124)</f>
        <v>0</v>
      </c>
      <c r="IN122" s="32">
        <f>SUM(EQ124:FB124)</f>
        <v>0</v>
      </c>
    </row>
    <row r="123" spans="1:248" outlineLevel="2" x14ac:dyDescent="0.3">
      <c r="B123" t="s">
        <v>110</v>
      </c>
      <c r="CX123" s="32">
        <v>4</v>
      </c>
      <c r="CY123" s="32">
        <v>0</v>
      </c>
      <c r="CZ123" s="32">
        <v>0</v>
      </c>
      <c r="DA123" s="32">
        <v>0</v>
      </c>
      <c r="DB123" s="32">
        <v>0</v>
      </c>
      <c r="DC123" s="32">
        <v>2</v>
      </c>
      <c r="DD123" s="32">
        <v>0</v>
      </c>
      <c r="DE123" s="32">
        <v>0</v>
      </c>
      <c r="DF123" s="32">
        <v>0</v>
      </c>
      <c r="DG123" s="32">
        <v>0</v>
      </c>
      <c r="DH123" s="32">
        <v>0</v>
      </c>
      <c r="DI123" s="34">
        <v>0</v>
      </c>
      <c r="DJ123" s="34">
        <v>0</v>
      </c>
      <c r="DK123" s="34">
        <v>0</v>
      </c>
      <c r="DL123" s="34">
        <v>0</v>
      </c>
      <c r="DM123" s="34">
        <v>6</v>
      </c>
      <c r="DN123" s="34">
        <v>0</v>
      </c>
      <c r="DO123" s="34">
        <v>0</v>
      </c>
      <c r="DP123" s="34">
        <v>4</v>
      </c>
      <c r="DQ123" s="34">
        <v>0</v>
      </c>
      <c r="DR123" s="34">
        <v>0</v>
      </c>
      <c r="DS123" s="34">
        <v>0</v>
      </c>
      <c r="DT123" s="34">
        <v>0</v>
      </c>
      <c r="DU123" s="34">
        <v>0</v>
      </c>
      <c r="DV123" s="34">
        <v>0</v>
      </c>
      <c r="DW123" s="34">
        <v>0</v>
      </c>
      <c r="DX123" s="34">
        <v>0</v>
      </c>
      <c r="DY123" s="34">
        <v>6</v>
      </c>
      <c r="DZ123" s="34">
        <v>0</v>
      </c>
      <c r="EA123" s="34">
        <v>6</v>
      </c>
      <c r="EB123" s="34">
        <v>0</v>
      </c>
      <c r="EC123" s="34">
        <v>0</v>
      </c>
      <c r="ED123" s="34">
        <v>1</v>
      </c>
      <c r="EE123" s="34">
        <v>0</v>
      </c>
      <c r="EF123" s="34">
        <v>0</v>
      </c>
      <c r="EG123" s="34">
        <v>0</v>
      </c>
      <c r="EH123" s="34">
        <v>0</v>
      </c>
      <c r="EI123" s="34">
        <v>12</v>
      </c>
      <c r="EJ123" s="34">
        <v>22</v>
      </c>
      <c r="EK123" s="34">
        <v>12</v>
      </c>
      <c r="EL123" s="34">
        <v>0</v>
      </c>
      <c r="EM123" s="34">
        <v>0</v>
      </c>
      <c r="EN123" s="34">
        <v>0</v>
      </c>
      <c r="EO123" s="34">
        <v>0</v>
      </c>
      <c r="EP123" s="34">
        <v>0</v>
      </c>
      <c r="EQ123" s="34">
        <v>0</v>
      </c>
      <c r="ER123" s="34">
        <v>0</v>
      </c>
      <c r="ES123" s="34">
        <v>0</v>
      </c>
      <c r="ET123" s="34">
        <v>0</v>
      </c>
      <c r="EU123" s="34">
        <v>0</v>
      </c>
      <c r="EV123" s="34">
        <v>0</v>
      </c>
      <c r="EW123" s="34">
        <v>0</v>
      </c>
      <c r="EX123" s="34">
        <v>0</v>
      </c>
      <c r="EY123" s="34">
        <v>0</v>
      </c>
      <c r="EZ123" s="34">
        <v>6</v>
      </c>
      <c r="FA123" s="34">
        <v>0</v>
      </c>
      <c r="FB123" s="34">
        <v>0</v>
      </c>
      <c r="FC123" s="34">
        <v>0</v>
      </c>
      <c r="FD123" s="34">
        <v>0</v>
      </c>
      <c r="FE123" s="34">
        <v>0</v>
      </c>
      <c r="FF123" s="34">
        <v>0</v>
      </c>
      <c r="FG123" s="34">
        <v>1</v>
      </c>
      <c r="FH123" s="34">
        <v>0</v>
      </c>
      <c r="FI123" s="34">
        <v>0</v>
      </c>
      <c r="FJ123" s="34">
        <v>0</v>
      </c>
      <c r="FK123" s="34">
        <v>0</v>
      </c>
      <c r="FL123" s="34"/>
      <c r="FM123" s="34"/>
      <c r="FN123" s="34"/>
      <c r="FR123" s="32">
        <f>+SUM(C125:E125)</f>
        <v>218</v>
      </c>
      <c r="FS123" s="32">
        <f>+SUM(F125:H125)</f>
        <v>24</v>
      </c>
      <c r="FT123" s="32">
        <f>+SUM(I125:K125)</f>
        <v>58</v>
      </c>
      <c r="FU123" s="32">
        <f>+SUM(L125:N125)</f>
        <v>58</v>
      </c>
      <c r="FV123" s="32">
        <f>+SUM(O125:Q125)</f>
        <v>58</v>
      </c>
      <c r="FW123" s="32">
        <f>+SUM(R125:T125)</f>
        <v>20</v>
      </c>
      <c r="FX123" s="32">
        <f>+SUM(U125:W125)</f>
        <v>56</v>
      </c>
      <c r="FY123" s="32">
        <f>+SUM(X125:Z125)</f>
        <v>52</v>
      </c>
      <c r="FZ123" s="32">
        <f>+SUM(AA125:AC125)</f>
        <v>1</v>
      </c>
      <c r="GA123" s="32">
        <f>+SUM(AD125:AF125)</f>
        <v>32</v>
      </c>
      <c r="GB123" s="32">
        <f>+SUM(AG125:AI125)</f>
        <v>88</v>
      </c>
      <c r="GC123" s="32">
        <f>+SUM(AJ125:AL125)</f>
        <v>23</v>
      </c>
      <c r="GD123" s="32">
        <f>+SUM(AM125:AO125)</f>
        <v>39</v>
      </c>
      <c r="GE123" s="32">
        <f>+SUM(AP125:AR125)</f>
        <v>114</v>
      </c>
      <c r="GF123" s="32">
        <f>+SUM(AS125:AU125)</f>
        <v>42</v>
      </c>
      <c r="GG123" s="32">
        <f>+SUM(AV125:AX125)</f>
        <v>76</v>
      </c>
      <c r="GH123" s="32">
        <f>+SUM(AY125:BA125)</f>
        <v>24</v>
      </c>
      <c r="GI123" s="32">
        <f>+SUM(BB125:BD125)</f>
        <v>5</v>
      </c>
      <c r="GJ123" s="32">
        <f>+SUM(BE125:BG125)</f>
        <v>6</v>
      </c>
      <c r="GK123" s="32">
        <f>+SUM(BH125:BJ125)</f>
        <v>87</v>
      </c>
      <c r="GL123" s="32">
        <f>+SUM(BK125:BM125)</f>
        <v>44</v>
      </c>
      <c r="GM123" s="32">
        <f>+SUM(BN125:BP125)</f>
        <v>37</v>
      </c>
      <c r="GN123" s="32">
        <f>+SUM(BQ125:BS125)</f>
        <v>31</v>
      </c>
      <c r="GO123" s="32">
        <f>+SUM(BT125:BV125)</f>
        <v>13</v>
      </c>
      <c r="GP123" s="32">
        <f>+SUM(BW125:BY125)</f>
        <v>124</v>
      </c>
      <c r="GQ123" s="32">
        <f>+SUM(BZ125:CB125)</f>
        <v>134</v>
      </c>
      <c r="GR123" s="32">
        <f>+SUM(CC125:CE125)</f>
        <v>243</v>
      </c>
      <c r="GS123" s="32">
        <f>+SUM(CF125:CH125)</f>
        <v>128</v>
      </c>
      <c r="GT123" s="32">
        <f>+SUM(CI125:CK125)</f>
        <v>124</v>
      </c>
      <c r="GU123" s="32">
        <f>+SUM(CL125:CN125)</f>
        <v>124</v>
      </c>
      <c r="GV123" s="32">
        <f>+SUM(CO125:CQ125)</f>
        <v>112</v>
      </c>
      <c r="GW123" s="32">
        <f>+SUM(CR125:CT125)</f>
        <v>81</v>
      </c>
      <c r="GX123" s="32">
        <f>+SUM(CU125:CW125)</f>
        <v>64</v>
      </c>
      <c r="GY123" s="32">
        <f>+SUM(CX123:CZ123)</f>
        <v>4</v>
      </c>
      <c r="GZ123" s="32">
        <f>+SUM(DA123:DC123)</f>
        <v>2</v>
      </c>
      <c r="HA123" s="32">
        <f>+SUM(DD123:DF123)</f>
        <v>0</v>
      </c>
      <c r="HB123" s="32">
        <f>+SUM(DG123:DH123)</f>
        <v>0</v>
      </c>
      <c r="HC123" s="32">
        <f>+SUM(DJ123:DL123)</f>
        <v>0</v>
      </c>
      <c r="HD123" s="32">
        <f>+SUM(DM123:DO123)</f>
        <v>6</v>
      </c>
      <c r="HE123" s="32">
        <f>+SUM(DP123:DR123)</f>
        <v>4</v>
      </c>
      <c r="HF123" s="32">
        <f>+SUM(DS123:DU123)</f>
        <v>0</v>
      </c>
      <c r="HG123" s="32">
        <f>+SUM(DV123:DX123)</f>
        <v>0</v>
      </c>
      <c r="HH123" s="32">
        <f>+SUM(DY123:EA123)</f>
        <v>12</v>
      </c>
      <c r="HI123" s="32">
        <f>+SUM(EB123:ED123)</f>
        <v>1</v>
      </c>
      <c r="HJ123" s="32">
        <f>+SUM(EE123:EG123)</f>
        <v>0</v>
      </c>
      <c r="HK123" s="32">
        <f>+SUM(EH123:EJ123)</f>
        <v>34</v>
      </c>
      <c r="HL123" s="32">
        <f>+SUM(EK123:EM123)</f>
        <v>12</v>
      </c>
      <c r="HM123" s="32">
        <f>+SUM(EN123:EP123)</f>
        <v>0</v>
      </c>
      <c r="HN123" s="32">
        <f>SUM(EE123:EG123)</f>
        <v>0</v>
      </c>
      <c r="HO123" s="32">
        <f>SUM(EH123:EJ123)</f>
        <v>34</v>
      </c>
      <c r="HP123" s="32">
        <f>SUM(EK123:EM123)</f>
        <v>12</v>
      </c>
      <c r="HQ123" s="32">
        <f>SUM(EN123:EP123)</f>
        <v>0</v>
      </c>
      <c r="HR123" s="32">
        <f>SUM(EQ123:ES123)</f>
        <v>0</v>
      </c>
      <c r="HS123" s="32">
        <f t="shared" si="122"/>
        <v>0</v>
      </c>
      <c r="HT123" s="32">
        <f t="shared" si="227"/>
        <v>0</v>
      </c>
      <c r="HU123" s="32">
        <f t="shared" si="228"/>
        <v>6</v>
      </c>
      <c r="HV123" s="32">
        <f t="shared" si="229"/>
        <v>0</v>
      </c>
      <c r="HW123" s="32">
        <f t="shared" si="230"/>
        <v>1</v>
      </c>
      <c r="HX123" s="32">
        <f t="shared" si="231"/>
        <v>0</v>
      </c>
      <c r="IB123" s="32">
        <f>+SUM(C125:N125)</f>
        <v>358</v>
      </c>
      <c r="IC123" s="32">
        <f>+SUM(O125:Z125)</f>
        <v>186</v>
      </c>
      <c r="ID123" s="32">
        <f>+SUM(AA125:AL125)</f>
        <v>144</v>
      </c>
      <c r="IE123" s="32">
        <f>+SUM(AM125:AX125)</f>
        <v>271</v>
      </c>
      <c r="IF123" s="32">
        <f>+SUM(AY125:BJ125)</f>
        <v>122</v>
      </c>
      <c r="IG123" s="32">
        <f>+SUM(BK125:BV125)</f>
        <v>125</v>
      </c>
      <c r="IH123" s="32">
        <f>+SUM(BW125:CH125)</f>
        <v>629</v>
      </c>
      <c r="II123" s="32">
        <f>SUM(CI125:CT125)</f>
        <v>441</v>
      </c>
      <c r="IJ123" s="32">
        <f>SUM(CU125:DF125)</f>
        <v>669</v>
      </c>
      <c r="IK123" s="32">
        <f>SUM(DG125:DR125)</f>
        <v>1329</v>
      </c>
      <c r="IL123" s="32">
        <f>SUM(DS125:ED125)</f>
        <v>1441</v>
      </c>
      <c r="IM123" s="32">
        <f>SUM(EE125:EP125)</f>
        <v>1634</v>
      </c>
      <c r="IN123" s="32">
        <f>SUM(EQ125:FB125)</f>
        <v>1405</v>
      </c>
    </row>
    <row r="124" spans="1:248" outlineLevel="2" x14ac:dyDescent="0.3">
      <c r="B124" t="s">
        <v>77</v>
      </c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>
        <v>102</v>
      </c>
      <c r="FG124" s="34">
        <v>47</v>
      </c>
      <c r="FH124" s="34">
        <v>94</v>
      </c>
      <c r="FI124" s="34">
        <v>64</v>
      </c>
      <c r="FJ124" s="34">
        <v>40</v>
      </c>
      <c r="FK124" s="34">
        <v>210</v>
      </c>
      <c r="FL124" s="34"/>
      <c r="FM124" s="34"/>
      <c r="FN124" s="34"/>
      <c r="FR124" s="32">
        <f>+SUM(C126:E126)</f>
        <v>218</v>
      </c>
      <c r="FS124" s="32">
        <f>+SUM(F126:H126)</f>
        <v>24</v>
      </c>
      <c r="FT124" s="32">
        <f>+SUM(I126:K126)</f>
        <v>58</v>
      </c>
      <c r="FU124" s="32">
        <f>+SUM(L126:N126)</f>
        <v>58</v>
      </c>
      <c r="FV124" s="32">
        <f>+SUM(O126:Q126)</f>
        <v>58</v>
      </c>
      <c r="FW124" s="32">
        <f>+SUM(R126:T126)</f>
        <v>20</v>
      </c>
      <c r="FX124" s="32">
        <f>+SUM(U126:W126)</f>
        <v>56</v>
      </c>
      <c r="FY124" s="32">
        <f>+SUM(X126:Z126)</f>
        <v>52</v>
      </c>
      <c r="FZ124" s="32">
        <f>+SUM(AA126:AC126)</f>
        <v>1</v>
      </c>
      <c r="GA124" s="32">
        <f>+SUM(AD126:AF126)</f>
        <v>32</v>
      </c>
      <c r="GB124" s="32">
        <f>+SUM(AG126:AI126)</f>
        <v>88</v>
      </c>
      <c r="GC124" s="32">
        <f>+SUM(AJ126:AL126)</f>
        <v>23</v>
      </c>
      <c r="GD124" s="32">
        <f>+SUM(AM126:AO126)</f>
        <v>39</v>
      </c>
      <c r="GE124" s="32">
        <f>+SUM(AP126:AR126)</f>
        <v>114</v>
      </c>
      <c r="GF124" s="32">
        <f>+SUM(AS126:AU126)</f>
        <v>42</v>
      </c>
      <c r="GG124" s="32">
        <f>+SUM(AV126:AX126)</f>
        <v>76</v>
      </c>
      <c r="GH124" s="32">
        <f>+SUM(AY126:BA126)</f>
        <v>24</v>
      </c>
      <c r="GI124" s="32">
        <f>+SUM(BB126:BD126)</f>
        <v>5</v>
      </c>
      <c r="GJ124" s="32">
        <f>+SUM(BE126:BG126)</f>
        <v>6</v>
      </c>
      <c r="GK124" s="32">
        <f>+SUM(BH126:BJ126)</f>
        <v>87</v>
      </c>
      <c r="GL124" s="32">
        <f>+SUM(BK126:BM126)</f>
        <v>44</v>
      </c>
      <c r="GM124" s="32">
        <f>+SUM(BN126:BP126)</f>
        <v>37</v>
      </c>
      <c r="GN124" s="32">
        <f>+SUM(BQ126:BS126)</f>
        <v>31</v>
      </c>
      <c r="GO124" s="32">
        <f>+SUM(BT126:BV126)</f>
        <v>13</v>
      </c>
      <c r="GP124" s="32">
        <f>+SUM(BW126:BY126)</f>
        <v>124</v>
      </c>
      <c r="GQ124" s="32">
        <f>+SUM(BZ126:CB126)</f>
        <v>134</v>
      </c>
      <c r="GR124" s="32">
        <f>+SUM(CC126:CE126)</f>
        <v>243</v>
      </c>
      <c r="GS124" s="32">
        <f>+SUM(CF126:CH126)</f>
        <v>128</v>
      </c>
      <c r="GT124" s="32">
        <f>+SUM(CI126:CK126)</f>
        <v>124</v>
      </c>
      <c r="GU124" s="32">
        <f>+SUM(CL126:CN126)</f>
        <v>124</v>
      </c>
      <c r="GV124" s="32">
        <f>+SUM(CO126:CQ126)</f>
        <v>112</v>
      </c>
      <c r="GW124" s="32">
        <f>+SUM(CR126:CT126)</f>
        <v>81</v>
      </c>
      <c r="GX124" s="32">
        <f>+SUM(CU126:CW126)</f>
        <v>64</v>
      </c>
      <c r="GY124" s="32">
        <f>+SUM(CX124:CZ124)</f>
        <v>0</v>
      </c>
      <c r="GZ124" s="32">
        <f>+SUM(DA124:DC124)</f>
        <v>0</v>
      </c>
      <c r="HA124" s="32">
        <f>+SUM(DD124:DF124)</f>
        <v>0</v>
      </c>
      <c r="HB124" s="32">
        <f>+SUM(DG124:DH124)</f>
        <v>0</v>
      </c>
      <c r="HC124" s="32">
        <f>+SUM(DJ124:DL124)</f>
        <v>0</v>
      </c>
      <c r="HD124" s="32">
        <f>+SUM(DM124:DO124)</f>
        <v>0</v>
      </c>
      <c r="HE124" s="32">
        <f>+SUM(DP124:DR124)</f>
        <v>0</v>
      </c>
      <c r="HF124" s="32">
        <f>+SUM(DS124:DU124)</f>
        <v>0</v>
      </c>
      <c r="HG124" s="32">
        <f>+SUM(DV124:DX124)</f>
        <v>0</v>
      </c>
      <c r="HH124" s="32">
        <f>+SUM(DY124:EA124)</f>
        <v>0</v>
      </c>
      <c r="HI124" s="32">
        <f>+SUM(EB124:ED124)</f>
        <v>0</v>
      </c>
      <c r="HJ124" s="32">
        <f>+SUM(EE124:EG124)</f>
        <v>0</v>
      </c>
      <c r="HK124" s="32">
        <f>+SUM(EH124:EJ124)</f>
        <v>0</v>
      </c>
      <c r="HL124" s="32">
        <f>+SUM(EK124:EM124)</f>
        <v>0</v>
      </c>
      <c r="HM124" s="32">
        <f>+SUM(EN124:EP124)</f>
        <v>0</v>
      </c>
      <c r="HN124" s="32">
        <f>SUM(EE124:EG124)</f>
        <v>0</v>
      </c>
      <c r="HO124" s="32">
        <f>SUM(EH124:EJ124)</f>
        <v>0</v>
      </c>
      <c r="HP124" s="32">
        <f>SUM(EK124:EM124)</f>
        <v>0</v>
      </c>
      <c r="HQ124" s="32">
        <f>SUM(EN124:EP124)</f>
        <v>0</v>
      </c>
      <c r="HR124" s="32">
        <f>SUM(EQ124:ES124)</f>
        <v>0</v>
      </c>
      <c r="HS124" s="32">
        <f t="shared" si="122"/>
        <v>0</v>
      </c>
      <c r="HT124" s="32">
        <f t="shared" si="227"/>
        <v>0</v>
      </c>
      <c r="HU124" s="32">
        <f t="shared" si="228"/>
        <v>0</v>
      </c>
      <c r="HV124" s="32">
        <f t="shared" si="229"/>
        <v>0</v>
      </c>
      <c r="HW124" s="32">
        <f t="shared" si="230"/>
        <v>243</v>
      </c>
      <c r="HX124" s="32">
        <f t="shared" si="231"/>
        <v>314</v>
      </c>
      <c r="IB124" s="32">
        <f>+SUM(C126:N126)</f>
        <v>358</v>
      </c>
      <c r="IC124" s="32">
        <f>+SUM(O126:Z126)</f>
        <v>186</v>
      </c>
      <c r="ID124" s="32">
        <f>+SUM(AA126:AL126)</f>
        <v>144</v>
      </c>
      <c r="IE124" s="32">
        <f>+SUM(AM126:AX126)</f>
        <v>271</v>
      </c>
      <c r="IF124" s="32">
        <f>+SUM(AY126:BJ126)</f>
        <v>122</v>
      </c>
      <c r="IG124" s="32">
        <f>+SUM(BK126:BV126)</f>
        <v>125</v>
      </c>
      <c r="IH124" s="32">
        <f>+SUM(BW126:CH126)</f>
        <v>629</v>
      </c>
      <c r="II124" s="32">
        <f>SUM(CI126:CT126)</f>
        <v>441</v>
      </c>
      <c r="IJ124" s="32">
        <f>SUM(CU126:DF126)</f>
        <v>675</v>
      </c>
      <c r="IK124" s="32">
        <f>SUM(DG126:DR126)</f>
        <v>1339</v>
      </c>
      <c r="IL124" s="32">
        <f>SUM(DS126:ED126)</f>
        <v>1454</v>
      </c>
      <c r="IM124" s="32">
        <f>SUM(EE126:EP126)</f>
        <v>1680</v>
      </c>
      <c r="IN124" s="32">
        <f>SUM(EQ126:FB126)</f>
        <v>1411</v>
      </c>
    </row>
    <row r="125" spans="1:248" outlineLevel="2" x14ac:dyDescent="0.3">
      <c r="B125" t="s">
        <v>78</v>
      </c>
      <c r="C125">
        <v>56</v>
      </c>
      <c r="D125">
        <v>56</v>
      </c>
      <c r="E125">
        <v>106</v>
      </c>
      <c r="F125">
        <v>12</v>
      </c>
      <c r="G125">
        <v>6</v>
      </c>
      <c r="H125">
        <v>6</v>
      </c>
      <c r="I125">
        <v>6</v>
      </c>
      <c r="J125">
        <v>46</v>
      </c>
      <c r="K125">
        <v>6</v>
      </c>
      <c r="L125">
        <v>2</v>
      </c>
      <c r="M125">
        <v>6</v>
      </c>
      <c r="N125">
        <v>50</v>
      </c>
      <c r="O125">
        <v>50</v>
      </c>
      <c r="P125">
        <v>8</v>
      </c>
      <c r="Q125">
        <v>0</v>
      </c>
      <c r="R125">
        <v>0</v>
      </c>
      <c r="S125">
        <v>0</v>
      </c>
      <c r="T125">
        <v>20</v>
      </c>
      <c r="U125">
        <v>12</v>
      </c>
      <c r="V125">
        <v>26</v>
      </c>
      <c r="W125">
        <v>18</v>
      </c>
      <c r="X125">
        <v>4</v>
      </c>
      <c r="Y125">
        <v>18</v>
      </c>
      <c r="Z125">
        <v>30</v>
      </c>
      <c r="AA125" s="32">
        <v>0</v>
      </c>
      <c r="AB125" s="32">
        <v>1</v>
      </c>
      <c r="AC125" s="32">
        <v>0</v>
      </c>
      <c r="AD125" s="32">
        <v>0</v>
      </c>
      <c r="AE125" s="32">
        <v>0</v>
      </c>
      <c r="AF125" s="32">
        <v>32</v>
      </c>
      <c r="AG125" s="32">
        <v>0</v>
      </c>
      <c r="AH125" s="32">
        <v>74</v>
      </c>
      <c r="AI125" s="32">
        <v>14</v>
      </c>
      <c r="AJ125" s="32">
        <v>6</v>
      </c>
      <c r="AK125" s="32">
        <v>11</v>
      </c>
      <c r="AL125" s="32">
        <v>6</v>
      </c>
      <c r="AM125" s="32">
        <v>0</v>
      </c>
      <c r="AN125" s="32">
        <v>26</v>
      </c>
      <c r="AO125" s="32">
        <v>13</v>
      </c>
      <c r="AP125" s="32">
        <v>12</v>
      </c>
      <c r="AQ125" s="32">
        <v>6</v>
      </c>
      <c r="AR125" s="32">
        <v>96</v>
      </c>
      <c r="AS125" s="32">
        <v>0</v>
      </c>
      <c r="AT125" s="32">
        <v>18</v>
      </c>
      <c r="AU125" s="32">
        <v>24</v>
      </c>
      <c r="AV125" s="32">
        <v>0</v>
      </c>
      <c r="AW125" s="32">
        <v>24</v>
      </c>
      <c r="AX125" s="32">
        <v>52</v>
      </c>
      <c r="AY125" s="32">
        <v>12</v>
      </c>
      <c r="AZ125" s="32">
        <v>12</v>
      </c>
      <c r="BA125" s="32">
        <v>0</v>
      </c>
      <c r="BB125" s="32">
        <v>0</v>
      </c>
      <c r="BC125" s="32">
        <v>5</v>
      </c>
      <c r="BD125" s="32">
        <v>0</v>
      </c>
      <c r="BE125" s="32">
        <v>6</v>
      </c>
      <c r="BF125" s="32">
        <v>0</v>
      </c>
      <c r="BG125" s="32">
        <v>0</v>
      </c>
      <c r="BH125" s="32">
        <v>0</v>
      </c>
      <c r="BI125" s="32">
        <v>0</v>
      </c>
      <c r="BJ125" s="32">
        <v>87</v>
      </c>
      <c r="BK125" s="32">
        <v>0</v>
      </c>
      <c r="BL125" s="32">
        <v>30</v>
      </c>
      <c r="BM125" s="32">
        <v>14</v>
      </c>
      <c r="BN125" s="32">
        <v>8</v>
      </c>
      <c r="BO125" s="32">
        <v>28</v>
      </c>
      <c r="BP125" s="32">
        <v>1</v>
      </c>
      <c r="BQ125" s="32">
        <v>30</v>
      </c>
      <c r="BR125" s="32">
        <v>0</v>
      </c>
      <c r="BS125" s="32">
        <v>1</v>
      </c>
      <c r="BT125" s="32">
        <v>0</v>
      </c>
      <c r="BU125" s="32">
        <v>13</v>
      </c>
      <c r="BV125" s="32">
        <v>0</v>
      </c>
      <c r="BW125" s="32">
        <v>0</v>
      </c>
      <c r="BX125" s="32">
        <v>59</v>
      </c>
      <c r="BY125" s="32">
        <v>65</v>
      </c>
      <c r="BZ125" s="32">
        <v>64</v>
      </c>
      <c r="CA125" s="32">
        <v>40</v>
      </c>
      <c r="CB125" s="32">
        <v>30</v>
      </c>
      <c r="CC125" s="32">
        <v>64</v>
      </c>
      <c r="CD125" s="32">
        <v>35</v>
      </c>
      <c r="CE125" s="32">
        <v>144</v>
      </c>
      <c r="CF125" s="32">
        <v>16</v>
      </c>
      <c r="CG125" s="32">
        <v>48</v>
      </c>
      <c r="CH125" s="32">
        <v>64</v>
      </c>
      <c r="CI125" s="32">
        <v>16</v>
      </c>
      <c r="CJ125" s="32">
        <v>24</v>
      </c>
      <c r="CK125" s="32">
        <v>84</v>
      </c>
      <c r="CL125" s="32">
        <v>30</v>
      </c>
      <c r="CM125" s="32">
        <v>44</v>
      </c>
      <c r="CN125" s="32">
        <v>50</v>
      </c>
      <c r="CO125" s="32">
        <v>32</v>
      </c>
      <c r="CP125" s="32">
        <v>64</v>
      </c>
      <c r="CQ125" s="32">
        <v>16</v>
      </c>
      <c r="CR125" s="32">
        <v>0</v>
      </c>
      <c r="CS125" s="32">
        <v>65</v>
      </c>
      <c r="CT125" s="32">
        <v>16</v>
      </c>
      <c r="CU125" s="32">
        <v>16</v>
      </c>
      <c r="CV125" s="32">
        <v>32</v>
      </c>
      <c r="CW125" s="32">
        <v>16</v>
      </c>
      <c r="CX125" s="32">
        <v>40</v>
      </c>
      <c r="CY125" s="32">
        <v>36</v>
      </c>
      <c r="CZ125" s="32">
        <v>55</v>
      </c>
      <c r="DA125" s="32">
        <v>37</v>
      </c>
      <c r="DB125" s="32">
        <v>51</v>
      </c>
      <c r="DC125" s="32">
        <v>82</v>
      </c>
      <c r="DD125" s="32">
        <v>80</v>
      </c>
      <c r="DE125" s="32">
        <v>64</v>
      </c>
      <c r="DF125" s="32">
        <v>160</v>
      </c>
      <c r="DG125" s="32">
        <v>32</v>
      </c>
      <c r="DH125" s="32">
        <v>104</v>
      </c>
      <c r="DI125" s="32">
        <v>111</v>
      </c>
      <c r="DJ125" s="32">
        <v>120</v>
      </c>
      <c r="DK125" s="32">
        <v>90</v>
      </c>
      <c r="DL125" s="32">
        <v>114</v>
      </c>
      <c r="DM125" s="32">
        <v>144</v>
      </c>
      <c r="DN125" s="32">
        <v>64</v>
      </c>
      <c r="DO125" s="32">
        <v>144</v>
      </c>
      <c r="DP125" s="32">
        <v>96</v>
      </c>
      <c r="DQ125" s="32">
        <v>133</v>
      </c>
      <c r="DR125" s="32">
        <v>177</v>
      </c>
      <c r="DS125" s="32">
        <v>84</v>
      </c>
      <c r="DT125" s="32">
        <v>80</v>
      </c>
      <c r="DU125" s="32">
        <v>136</v>
      </c>
      <c r="DV125" s="32">
        <v>120</v>
      </c>
      <c r="DW125" s="32">
        <v>150</v>
      </c>
      <c r="DX125" s="32">
        <v>18</v>
      </c>
      <c r="DY125" s="32">
        <v>32</v>
      </c>
      <c r="DZ125" s="32">
        <v>104</v>
      </c>
      <c r="EA125" s="32">
        <v>96</v>
      </c>
      <c r="EB125" s="32">
        <v>164</v>
      </c>
      <c r="EC125" s="32">
        <v>160</v>
      </c>
      <c r="ED125" s="32">
        <v>297</v>
      </c>
      <c r="EE125" s="32">
        <v>112</v>
      </c>
      <c r="EF125" s="32">
        <v>112</v>
      </c>
      <c r="EG125" s="32">
        <v>162</v>
      </c>
      <c r="EH125" s="32">
        <v>130</v>
      </c>
      <c r="EI125" s="32">
        <v>111</v>
      </c>
      <c r="EJ125" s="32">
        <v>244</v>
      </c>
      <c r="EK125" s="32">
        <v>42</v>
      </c>
      <c r="EL125" s="32">
        <v>66</v>
      </c>
      <c r="EM125" s="32">
        <v>130</v>
      </c>
      <c r="EN125" s="32">
        <v>78</v>
      </c>
      <c r="EO125" s="32">
        <v>160</v>
      </c>
      <c r="EP125" s="32">
        <v>287</v>
      </c>
      <c r="EQ125" s="32">
        <v>0</v>
      </c>
      <c r="ER125" s="32">
        <v>162</v>
      </c>
      <c r="ES125" s="32">
        <v>232</v>
      </c>
      <c r="ET125" s="32">
        <v>94</v>
      </c>
      <c r="EU125" s="32">
        <v>84</v>
      </c>
      <c r="EV125" s="32">
        <v>204</v>
      </c>
      <c r="EW125" s="32">
        <v>189</v>
      </c>
      <c r="EX125" s="32">
        <v>60</v>
      </c>
      <c r="EY125" s="32">
        <v>126</v>
      </c>
      <c r="EZ125" s="32">
        <v>46</v>
      </c>
      <c r="FA125" s="32">
        <v>100</v>
      </c>
      <c r="FB125" s="32">
        <v>108</v>
      </c>
      <c r="FC125" s="32">
        <v>70</v>
      </c>
      <c r="FD125" s="32">
        <v>0</v>
      </c>
      <c r="FE125" s="32">
        <v>140</v>
      </c>
      <c r="FF125" s="32">
        <v>0</v>
      </c>
      <c r="FG125" s="32">
        <v>0</v>
      </c>
      <c r="FH125" s="32">
        <v>0</v>
      </c>
      <c r="FI125" s="32">
        <v>0</v>
      </c>
      <c r="FJ125" s="32">
        <v>0</v>
      </c>
      <c r="FK125" s="32">
        <v>0</v>
      </c>
      <c r="FL125" s="32"/>
      <c r="FM125" s="32"/>
      <c r="FN125" s="32"/>
      <c r="FR125" s="32">
        <f>+SUM(C127:E127)</f>
        <v>0</v>
      </c>
      <c r="FS125" s="32">
        <f>+SUM(F127:H127)</f>
        <v>0</v>
      </c>
      <c r="FT125" s="32">
        <f>+SUM(I127:K127)</f>
        <v>0</v>
      </c>
      <c r="FU125" s="32">
        <f>+SUM(L127:N127)</f>
        <v>0</v>
      </c>
      <c r="FV125" s="32">
        <f>+SUM(O127:Q127)</f>
        <v>0</v>
      </c>
      <c r="FW125" s="32">
        <f>+SUM(R127:T127)</f>
        <v>0</v>
      </c>
      <c r="FX125" s="32">
        <f>+SUM(U127:W127)</f>
        <v>0</v>
      </c>
      <c r="FY125" s="32">
        <f>+SUM(X127:Z127)</f>
        <v>0</v>
      </c>
      <c r="FZ125" s="32">
        <f>+SUM(AA127:AC127)</f>
        <v>0</v>
      </c>
      <c r="GA125" s="32">
        <f>+SUM(AD127:AF127)</f>
        <v>0</v>
      </c>
      <c r="GB125" s="32">
        <f>+SUM(AG127:AI127)</f>
        <v>0</v>
      </c>
      <c r="GC125" s="32">
        <f>+SUM(AJ127:AL127)</f>
        <v>0</v>
      </c>
      <c r="GD125" s="32">
        <f>+SUM(AM127:AO127)</f>
        <v>0</v>
      </c>
      <c r="GE125" s="32">
        <f>+SUM(AP127:AR127)</f>
        <v>0</v>
      </c>
      <c r="GF125" s="32">
        <f>+SUM(AS127:AU127)</f>
        <v>0</v>
      </c>
      <c r="GG125" s="32">
        <f>+SUM(AV127:AX127)</f>
        <v>0</v>
      </c>
      <c r="GH125" s="32">
        <f>+SUM(AY127:BA127)</f>
        <v>0</v>
      </c>
      <c r="GI125" s="32">
        <f>+SUM(BB127:BD127)</f>
        <v>0</v>
      </c>
      <c r="GJ125" s="32">
        <f>+SUM(BE127:BG127)</f>
        <v>0</v>
      </c>
      <c r="GK125" s="32">
        <f>+SUM(BH127:BJ127)</f>
        <v>0</v>
      </c>
      <c r="GL125" s="32">
        <f>+SUM(BK127:BM127)</f>
        <v>0</v>
      </c>
      <c r="GM125" s="32">
        <f>+SUM(BN127:BP127)</f>
        <v>0</v>
      </c>
      <c r="GN125" s="32">
        <f>+SUM(BQ127:BS127)</f>
        <v>0</v>
      </c>
      <c r="GO125" s="32">
        <f>+SUM(BT127:BV127)</f>
        <v>0</v>
      </c>
      <c r="GP125" s="32">
        <f>+SUM(BW127:BY127)</f>
        <v>0</v>
      </c>
      <c r="GQ125" s="32">
        <f>+SUM(BZ127:CB127)</f>
        <v>0</v>
      </c>
      <c r="GR125" s="32">
        <f>+SUM(CC127:CE127)</f>
        <v>0</v>
      </c>
      <c r="GS125" s="32">
        <f>+SUM(CF127:CH127)</f>
        <v>0</v>
      </c>
      <c r="GT125" s="32">
        <f>+SUM(CI127:CK127)</f>
        <v>0</v>
      </c>
      <c r="GU125" s="32">
        <f>+SUM(CL127:CN127)</f>
        <v>0</v>
      </c>
      <c r="GV125" s="32">
        <f>+SUM(CO127:CQ127)</f>
        <v>0</v>
      </c>
      <c r="GW125" s="32">
        <f>+SUM(CR127:CT127)</f>
        <v>0</v>
      </c>
      <c r="GX125" s="32">
        <f>+SUM(CU127:CW127)</f>
        <v>0</v>
      </c>
      <c r="GY125" s="32">
        <f>+SUM(CX125:CZ125)</f>
        <v>131</v>
      </c>
      <c r="GZ125" s="32">
        <f>+SUM(DA125:DC125)</f>
        <v>170</v>
      </c>
      <c r="HA125" s="32">
        <f>+SUM(DD125:DF125)</f>
        <v>304</v>
      </c>
      <c r="HB125" s="32">
        <f>+SUM(DG125:DH125)</f>
        <v>136</v>
      </c>
      <c r="HC125" s="32">
        <f>+SUM(DJ125:DL125)</f>
        <v>324</v>
      </c>
      <c r="HD125" s="32">
        <f>+SUM(DM125:DO125)</f>
        <v>352</v>
      </c>
      <c r="HE125" s="32">
        <f>+SUM(DP125:DR125)</f>
        <v>406</v>
      </c>
      <c r="HF125" s="32">
        <f>+SUM(DS125:DU125)</f>
        <v>300</v>
      </c>
      <c r="HG125" s="32">
        <f>+SUM(DV125:DX125)</f>
        <v>288</v>
      </c>
      <c r="HH125" s="32">
        <f>+SUM(DY125:EA125)</f>
        <v>232</v>
      </c>
      <c r="HI125" s="32">
        <f>+SUM(EB125:ED125)</f>
        <v>621</v>
      </c>
      <c r="HJ125" s="32">
        <f>+SUM(EE125:EG125)</f>
        <v>386</v>
      </c>
      <c r="HK125" s="32">
        <f>+SUM(EH125:EJ125)</f>
        <v>485</v>
      </c>
      <c r="HL125" s="32">
        <f>+SUM(EK125:EM125)</f>
        <v>238</v>
      </c>
      <c r="HM125" s="32">
        <f>+SUM(EN125:EP125)</f>
        <v>525</v>
      </c>
      <c r="HN125" s="32">
        <f>SUM(EE125:EG125)</f>
        <v>386</v>
      </c>
      <c r="HO125" s="32">
        <f>SUM(EH125:EJ125)</f>
        <v>485</v>
      </c>
      <c r="HP125" s="32">
        <f>SUM(EK125:EM125)</f>
        <v>238</v>
      </c>
      <c r="HQ125" s="32">
        <f>SUM(EN125:EP125)</f>
        <v>525</v>
      </c>
      <c r="HR125" s="32">
        <f>SUM(EQ125:ES125)</f>
        <v>394</v>
      </c>
      <c r="HS125" s="32">
        <f t="shared" si="122"/>
        <v>382</v>
      </c>
      <c r="HT125" s="32">
        <f t="shared" si="227"/>
        <v>375</v>
      </c>
      <c r="HU125" s="32">
        <f t="shared" si="228"/>
        <v>254</v>
      </c>
      <c r="HV125" s="32">
        <f t="shared" si="229"/>
        <v>210</v>
      </c>
      <c r="HW125" s="32">
        <f t="shared" si="230"/>
        <v>0</v>
      </c>
      <c r="HX125" s="32">
        <f t="shared" si="231"/>
        <v>0</v>
      </c>
      <c r="IB125" s="32">
        <f>+SUM(C127:N127)</f>
        <v>0</v>
      </c>
      <c r="IC125" s="32">
        <f>+SUM(O127:Z127)</f>
        <v>0</v>
      </c>
      <c r="ID125" s="32">
        <f>+SUM(AA127:AL127)</f>
        <v>0</v>
      </c>
      <c r="IE125" s="32">
        <f>+SUM(AM127:AX127)</f>
        <v>0</v>
      </c>
      <c r="IF125" s="32">
        <f>+SUM(AY127:BJ127)</f>
        <v>0</v>
      </c>
      <c r="IG125" s="32">
        <f>+SUM(BK127:BV127)</f>
        <v>0</v>
      </c>
      <c r="IH125" s="32">
        <f>+SUM(BW127:CH127)</f>
        <v>0</v>
      </c>
      <c r="II125" s="32">
        <f>SUM(CI127:CT127)</f>
        <v>0</v>
      </c>
      <c r="IJ125" s="32">
        <f>SUM(CU127:DF127)</f>
        <v>0</v>
      </c>
      <c r="IK125" s="32">
        <f>SUM(DG127:DR127)</f>
        <v>0</v>
      </c>
      <c r="IL125" s="32">
        <f>SUM(DS127:ED127)</f>
        <v>0</v>
      </c>
      <c r="IM125" s="32">
        <f>SUM(EE127:EP127)</f>
        <v>0</v>
      </c>
      <c r="IN125" s="32">
        <f>SUM(EQ127:FB127)</f>
        <v>4</v>
      </c>
    </row>
    <row r="126" spans="1:248" outlineLevel="1" x14ac:dyDescent="0.3">
      <c r="A126" s="15" t="s">
        <v>97</v>
      </c>
      <c r="B126" s="15"/>
      <c r="C126" s="15">
        <v>56</v>
      </c>
      <c r="D126" s="15">
        <v>56</v>
      </c>
      <c r="E126" s="15">
        <v>106</v>
      </c>
      <c r="F126" s="15">
        <v>12</v>
      </c>
      <c r="G126" s="15">
        <v>6</v>
      </c>
      <c r="H126" s="15">
        <v>6</v>
      </c>
      <c r="I126" s="15">
        <v>6</v>
      </c>
      <c r="J126" s="15">
        <v>46</v>
      </c>
      <c r="K126" s="15">
        <v>6</v>
      </c>
      <c r="L126" s="15">
        <v>2</v>
      </c>
      <c r="M126" s="15">
        <v>6</v>
      </c>
      <c r="N126" s="15">
        <v>50</v>
      </c>
      <c r="O126" s="15">
        <v>50</v>
      </c>
      <c r="P126" s="15">
        <v>8</v>
      </c>
      <c r="Q126" s="15">
        <v>0</v>
      </c>
      <c r="R126" s="15">
        <v>0</v>
      </c>
      <c r="S126" s="15">
        <v>0</v>
      </c>
      <c r="T126" s="15">
        <v>20</v>
      </c>
      <c r="U126" s="15">
        <v>12</v>
      </c>
      <c r="V126" s="15">
        <v>26</v>
      </c>
      <c r="W126" s="15">
        <v>18</v>
      </c>
      <c r="X126" s="15">
        <v>4</v>
      </c>
      <c r="Y126" s="15">
        <v>18</v>
      </c>
      <c r="Z126" s="15">
        <v>30</v>
      </c>
      <c r="AA126" s="33">
        <v>0</v>
      </c>
      <c r="AB126" s="33">
        <v>1</v>
      </c>
      <c r="AC126" s="33">
        <v>0</v>
      </c>
      <c r="AD126" s="33">
        <v>0</v>
      </c>
      <c r="AE126" s="33">
        <v>0</v>
      </c>
      <c r="AF126" s="33">
        <v>32</v>
      </c>
      <c r="AG126" s="33">
        <v>0</v>
      </c>
      <c r="AH126" s="33">
        <v>74</v>
      </c>
      <c r="AI126" s="33">
        <v>14</v>
      </c>
      <c r="AJ126" s="33">
        <v>6</v>
      </c>
      <c r="AK126" s="33">
        <v>11</v>
      </c>
      <c r="AL126" s="33">
        <v>6</v>
      </c>
      <c r="AM126" s="33">
        <v>0</v>
      </c>
      <c r="AN126" s="33">
        <v>26</v>
      </c>
      <c r="AO126" s="33">
        <v>13</v>
      </c>
      <c r="AP126" s="33">
        <v>12</v>
      </c>
      <c r="AQ126" s="33">
        <v>6</v>
      </c>
      <c r="AR126" s="33">
        <v>96</v>
      </c>
      <c r="AS126" s="33">
        <v>0</v>
      </c>
      <c r="AT126" s="33">
        <v>18</v>
      </c>
      <c r="AU126" s="33">
        <v>24</v>
      </c>
      <c r="AV126" s="33">
        <v>0</v>
      </c>
      <c r="AW126" s="33">
        <v>24</v>
      </c>
      <c r="AX126" s="33">
        <v>52</v>
      </c>
      <c r="AY126" s="33">
        <v>12</v>
      </c>
      <c r="AZ126" s="33">
        <v>12</v>
      </c>
      <c r="BA126" s="33">
        <v>0</v>
      </c>
      <c r="BB126" s="33">
        <v>0</v>
      </c>
      <c r="BC126" s="33">
        <v>5</v>
      </c>
      <c r="BD126" s="33">
        <v>0</v>
      </c>
      <c r="BE126" s="33">
        <v>6</v>
      </c>
      <c r="BF126" s="33">
        <v>0</v>
      </c>
      <c r="BG126" s="33">
        <v>0</v>
      </c>
      <c r="BH126" s="33">
        <v>0</v>
      </c>
      <c r="BI126" s="33">
        <v>0</v>
      </c>
      <c r="BJ126" s="33">
        <v>87</v>
      </c>
      <c r="BK126" s="33">
        <v>0</v>
      </c>
      <c r="BL126" s="33">
        <v>30</v>
      </c>
      <c r="BM126" s="33">
        <v>14</v>
      </c>
      <c r="BN126" s="33">
        <v>8</v>
      </c>
      <c r="BO126" s="33">
        <v>28</v>
      </c>
      <c r="BP126" s="33">
        <v>1</v>
      </c>
      <c r="BQ126" s="33">
        <v>30</v>
      </c>
      <c r="BR126" s="33">
        <v>0</v>
      </c>
      <c r="BS126" s="33">
        <v>1</v>
      </c>
      <c r="BT126" s="33">
        <v>0</v>
      </c>
      <c r="BU126" s="33">
        <v>13</v>
      </c>
      <c r="BV126" s="33">
        <v>0</v>
      </c>
      <c r="BW126" s="33">
        <v>0</v>
      </c>
      <c r="BX126" s="33">
        <v>59</v>
      </c>
      <c r="BY126" s="33">
        <v>65</v>
      </c>
      <c r="BZ126" s="33">
        <v>64</v>
      </c>
      <c r="CA126" s="33">
        <v>40</v>
      </c>
      <c r="CB126" s="33">
        <v>30</v>
      </c>
      <c r="CC126" s="33">
        <v>64</v>
      </c>
      <c r="CD126" s="33">
        <v>35</v>
      </c>
      <c r="CE126" s="33">
        <v>144</v>
      </c>
      <c r="CF126" s="33">
        <v>16</v>
      </c>
      <c r="CG126" s="33">
        <v>48</v>
      </c>
      <c r="CH126" s="33">
        <v>64</v>
      </c>
      <c r="CI126" s="33">
        <v>16</v>
      </c>
      <c r="CJ126" s="33">
        <v>24</v>
      </c>
      <c r="CK126" s="33">
        <v>84</v>
      </c>
      <c r="CL126" s="33">
        <v>30</v>
      </c>
      <c r="CM126" s="33">
        <v>44</v>
      </c>
      <c r="CN126" s="33">
        <v>50</v>
      </c>
      <c r="CO126" s="33">
        <v>32</v>
      </c>
      <c r="CP126" s="33">
        <v>64</v>
      </c>
      <c r="CQ126" s="33">
        <v>16</v>
      </c>
      <c r="CR126" s="33">
        <v>0</v>
      </c>
      <c r="CS126" s="33">
        <v>65</v>
      </c>
      <c r="CT126" s="33">
        <v>16</v>
      </c>
      <c r="CU126" s="33">
        <v>16</v>
      </c>
      <c r="CV126" s="33">
        <v>32</v>
      </c>
      <c r="CW126" s="33">
        <v>16</v>
      </c>
      <c r="CX126" s="33">
        <v>44</v>
      </c>
      <c r="CY126" s="33">
        <v>36</v>
      </c>
      <c r="CZ126" s="33">
        <v>55</v>
      </c>
      <c r="DA126" s="33">
        <v>37</v>
      </c>
      <c r="DB126" s="33">
        <v>51</v>
      </c>
      <c r="DC126" s="33">
        <v>84</v>
      </c>
      <c r="DD126" s="33">
        <v>80</v>
      </c>
      <c r="DE126" s="33">
        <v>64</v>
      </c>
      <c r="DF126" s="33">
        <v>160</v>
      </c>
      <c r="DG126" s="33">
        <v>32</v>
      </c>
      <c r="DH126" s="33">
        <v>104</v>
      </c>
      <c r="DI126" s="33">
        <v>111</v>
      </c>
      <c r="DJ126" s="33">
        <v>120</v>
      </c>
      <c r="DK126" s="33">
        <v>90</v>
      </c>
      <c r="DL126" s="33">
        <v>114</v>
      </c>
      <c r="DM126" s="33">
        <v>150</v>
      </c>
      <c r="DN126" s="33">
        <v>64</v>
      </c>
      <c r="DO126" s="33">
        <v>144</v>
      </c>
      <c r="DP126" s="33">
        <v>100</v>
      </c>
      <c r="DQ126" s="33">
        <v>133</v>
      </c>
      <c r="DR126" s="33">
        <v>177</v>
      </c>
      <c r="DS126" s="33">
        <v>84</v>
      </c>
      <c r="DT126" s="33">
        <v>80</v>
      </c>
      <c r="DU126" s="33">
        <v>136</v>
      </c>
      <c r="DV126" s="33">
        <v>120</v>
      </c>
      <c r="DW126" s="33">
        <v>150</v>
      </c>
      <c r="DX126" s="33">
        <v>18</v>
      </c>
      <c r="DY126" s="33">
        <v>38</v>
      </c>
      <c r="DZ126" s="33">
        <v>104</v>
      </c>
      <c r="EA126" s="33">
        <v>102</v>
      </c>
      <c r="EB126" s="33">
        <v>164</v>
      </c>
      <c r="EC126" s="33">
        <v>160</v>
      </c>
      <c r="ED126" s="33">
        <v>298</v>
      </c>
      <c r="EE126" s="33">
        <v>112</v>
      </c>
      <c r="EF126" s="33">
        <v>112</v>
      </c>
      <c r="EG126" s="33">
        <v>162</v>
      </c>
      <c r="EH126" s="33">
        <v>130</v>
      </c>
      <c r="EI126" s="33">
        <v>123</v>
      </c>
      <c r="EJ126" s="33">
        <v>266</v>
      </c>
      <c r="EK126" s="33">
        <v>54</v>
      </c>
      <c r="EL126" s="33">
        <v>66</v>
      </c>
      <c r="EM126" s="33">
        <v>130</v>
      </c>
      <c r="EN126" s="33">
        <v>78</v>
      </c>
      <c r="EO126" s="33">
        <v>160</v>
      </c>
      <c r="EP126" s="33">
        <v>287</v>
      </c>
      <c r="EQ126" s="33">
        <v>0</v>
      </c>
      <c r="ER126" s="33">
        <v>162</v>
      </c>
      <c r="ES126" s="33">
        <v>232</v>
      </c>
      <c r="ET126" s="33">
        <v>94</v>
      </c>
      <c r="EU126" s="33">
        <v>84</v>
      </c>
      <c r="EV126" s="33">
        <v>204</v>
      </c>
      <c r="EW126" s="33">
        <v>189</v>
      </c>
      <c r="EX126" s="33">
        <v>60</v>
      </c>
      <c r="EY126" s="33">
        <v>126</v>
      </c>
      <c r="EZ126" s="33">
        <v>52</v>
      </c>
      <c r="FA126" s="33">
        <v>100</v>
      </c>
      <c r="FB126" s="33">
        <v>108</v>
      </c>
      <c r="FC126" s="33">
        <v>70</v>
      </c>
      <c r="FD126" s="33">
        <v>102</v>
      </c>
      <c r="FE126" s="33">
        <v>140</v>
      </c>
      <c r="FF126" s="33">
        <v>104</v>
      </c>
      <c r="FG126" s="33">
        <v>50</v>
      </c>
      <c r="FH126" s="33">
        <v>100</v>
      </c>
      <c r="FI126" s="33">
        <v>70</v>
      </c>
      <c r="FJ126" s="33">
        <v>40</v>
      </c>
      <c r="FK126" s="33">
        <v>210</v>
      </c>
      <c r="FL126" s="34"/>
      <c r="FM126" s="34"/>
      <c r="FN126" s="34"/>
      <c r="FR126" s="33">
        <f t="shared" si="178"/>
        <v>218</v>
      </c>
      <c r="FS126" s="33">
        <f t="shared" si="179"/>
        <v>24</v>
      </c>
      <c r="FT126" s="33">
        <f t="shared" si="180"/>
        <v>58</v>
      </c>
      <c r="FU126" s="33">
        <f t="shared" si="181"/>
        <v>58</v>
      </c>
      <c r="FV126" s="33">
        <f t="shared" si="182"/>
        <v>58</v>
      </c>
      <c r="FW126" s="33">
        <f t="shared" si="183"/>
        <v>20</v>
      </c>
      <c r="FX126" s="33">
        <f t="shared" si="184"/>
        <v>56</v>
      </c>
      <c r="FY126" s="33">
        <f t="shared" si="185"/>
        <v>52</v>
      </c>
      <c r="FZ126" s="33">
        <f t="shared" si="186"/>
        <v>1</v>
      </c>
      <c r="GA126" s="33">
        <f t="shared" si="187"/>
        <v>32</v>
      </c>
      <c r="GB126" s="33">
        <f t="shared" si="188"/>
        <v>88</v>
      </c>
      <c r="GC126" s="33">
        <f t="shared" si="189"/>
        <v>23</v>
      </c>
      <c r="GD126" s="33">
        <f t="shared" si="190"/>
        <v>39</v>
      </c>
      <c r="GE126" s="33">
        <f t="shared" si="191"/>
        <v>114</v>
      </c>
      <c r="GF126" s="33">
        <f t="shared" si="192"/>
        <v>42</v>
      </c>
      <c r="GG126" s="33">
        <f t="shared" si="193"/>
        <v>76</v>
      </c>
      <c r="GH126" s="33">
        <f t="shared" si="194"/>
        <v>24</v>
      </c>
      <c r="GI126" s="33">
        <f t="shared" si="195"/>
        <v>5</v>
      </c>
      <c r="GJ126" s="33">
        <f t="shared" si="196"/>
        <v>6</v>
      </c>
      <c r="GK126" s="33">
        <f t="shared" si="197"/>
        <v>87</v>
      </c>
      <c r="GL126" s="33">
        <f t="shared" si="198"/>
        <v>44</v>
      </c>
      <c r="GM126" s="33">
        <f t="shared" si="199"/>
        <v>37</v>
      </c>
      <c r="GN126" s="33">
        <f t="shared" si="200"/>
        <v>31</v>
      </c>
      <c r="GO126" s="33">
        <f t="shared" si="201"/>
        <v>13</v>
      </c>
      <c r="GP126" s="33">
        <f t="shared" si="202"/>
        <v>124</v>
      </c>
      <c r="GQ126" s="33">
        <f t="shared" si="203"/>
        <v>134</v>
      </c>
      <c r="GR126" s="33">
        <f t="shared" si="204"/>
        <v>243</v>
      </c>
      <c r="GS126" s="33">
        <f t="shared" si="205"/>
        <v>128</v>
      </c>
      <c r="GT126" s="33">
        <f t="shared" si="206"/>
        <v>124</v>
      </c>
      <c r="GU126" s="33">
        <f t="shared" si="207"/>
        <v>124</v>
      </c>
      <c r="GV126" s="33">
        <f t="shared" si="208"/>
        <v>112</v>
      </c>
      <c r="GW126" s="33">
        <f t="shared" si="209"/>
        <v>81</v>
      </c>
      <c r="GX126" s="33">
        <f t="shared" si="210"/>
        <v>64</v>
      </c>
      <c r="GY126" s="33">
        <f t="shared" si="211"/>
        <v>135</v>
      </c>
      <c r="GZ126" s="33">
        <f t="shared" ref="GZ126:GZ152" si="247">+SUM(DA126:DC126)</f>
        <v>172</v>
      </c>
      <c r="HA126" s="33">
        <f t="shared" ref="HA126:HA152" si="248">+SUM(DD126:DF126)</f>
        <v>304</v>
      </c>
      <c r="HB126" s="33">
        <f t="shared" ref="HB126:HB152" si="249">+SUM(DG126:DH126)</f>
        <v>136</v>
      </c>
      <c r="HC126" s="33">
        <f t="shared" ref="HC126:HC152" si="250">+SUM(DJ126:DL126)</f>
        <v>324</v>
      </c>
      <c r="HD126" s="33">
        <f t="shared" ref="HD126:HD152" si="251">+SUM(DM126:DO126)</f>
        <v>358</v>
      </c>
      <c r="HE126" s="33">
        <f t="shared" ref="HE126:HE152" si="252">+SUM(DP126:DR126)</f>
        <v>410</v>
      </c>
      <c r="HF126" s="33">
        <f t="shared" ref="HF126:HF152" si="253">+SUM(DS126:DU126)</f>
        <v>300</v>
      </c>
      <c r="HG126" s="33">
        <f t="shared" ref="HG126:HG152" si="254">+SUM(DV126:DX126)</f>
        <v>288</v>
      </c>
      <c r="HH126" s="33">
        <f t="shared" ref="HH126:HH152" si="255">+SUM(DY126:EA126)</f>
        <v>244</v>
      </c>
      <c r="HI126" s="33">
        <f t="shared" ref="HI126:HI152" si="256">+SUM(EB126:ED126)</f>
        <v>622</v>
      </c>
      <c r="HJ126" s="33">
        <f t="shared" ref="HJ126:HJ152" si="257">+SUM(EE126:EG126)</f>
        <v>386</v>
      </c>
      <c r="HK126" s="33">
        <f t="shared" ref="HK126:HK152" si="258">+SUM(EH126:EJ126)</f>
        <v>519</v>
      </c>
      <c r="HL126" s="33">
        <f t="shared" ref="HL126:HL152" si="259">+SUM(EK126:EM126)</f>
        <v>250</v>
      </c>
      <c r="HM126" s="33">
        <f t="shared" ref="HM126:HM152" si="260">+SUM(EN126:EP126)</f>
        <v>525</v>
      </c>
      <c r="HN126" s="33">
        <f t="shared" si="125"/>
        <v>386</v>
      </c>
      <c r="HO126" s="33">
        <f t="shared" si="126"/>
        <v>519</v>
      </c>
      <c r="HP126" s="33">
        <f t="shared" si="127"/>
        <v>250</v>
      </c>
      <c r="HQ126" s="33">
        <f t="shared" si="128"/>
        <v>525</v>
      </c>
      <c r="HR126" s="33">
        <f t="shared" si="226"/>
        <v>394</v>
      </c>
      <c r="HS126" s="33">
        <f t="shared" si="122"/>
        <v>382</v>
      </c>
      <c r="HT126" s="33">
        <f t="shared" si="227"/>
        <v>375</v>
      </c>
      <c r="HU126" s="33">
        <f t="shared" si="228"/>
        <v>260</v>
      </c>
      <c r="HV126" s="33">
        <f t="shared" si="229"/>
        <v>312</v>
      </c>
      <c r="HW126" s="33">
        <f t="shared" si="230"/>
        <v>254</v>
      </c>
      <c r="HX126" s="33">
        <f t="shared" si="231"/>
        <v>320</v>
      </c>
      <c r="IB126" s="33">
        <f t="shared" si="232"/>
        <v>358</v>
      </c>
      <c r="IC126" s="33">
        <f t="shared" si="233"/>
        <v>186</v>
      </c>
      <c r="ID126" s="33">
        <f t="shared" si="234"/>
        <v>144</v>
      </c>
      <c r="IE126" s="33">
        <f t="shared" si="235"/>
        <v>271</v>
      </c>
      <c r="IF126" s="33">
        <f t="shared" si="236"/>
        <v>122</v>
      </c>
      <c r="IG126" s="33">
        <f t="shared" si="237"/>
        <v>125</v>
      </c>
      <c r="IH126" s="33">
        <f t="shared" si="238"/>
        <v>629</v>
      </c>
      <c r="II126" s="33">
        <f t="shared" si="239"/>
        <v>441</v>
      </c>
      <c r="IJ126" s="33">
        <f t="shared" ref="IJ126:IJ152" si="261">SUM(CU126:DF126)</f>
        <v>675</v>
      </c>
      <c r="IK126" s="33">
        <f t="shared" ref="IK126:IK152" si="262">SUM(DG126:DR126)</f>
        <v>1339</v>
      </c>
      <c r="IL126" s="33">
        <f t="shared" ref="IL126:IL152" si="263">SUM(DS126:ED126)</f>
        <v>1454</v>
      </c>
      <c r="IM126" s="33">
        <f t="shared" ref="IM126:IM152" si="264">SUM(EE126:EP126)</f>
        <v>1680</v>
      </c>
      <c r="IN126" s="33">
        <f>SUM(EQ126:FB126)</f>
        <v>1411</v>
      </c>
    </row>
    <row r="127" spans="1:248" outlineLevel="1" x14ac:dyDescent="0.3">
      <c r="A127" t="s">
        <v>98</v>
      </c>
      <c r="B127" t="s">
        <v>75</v>
      </c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>
        <v>4</v>
      </c>
      <c r="FA127" s="34">
        <v>0</v>
      </c>
      <c r="FB127" s="34">
        <v>0</v>
      </c>
      <c r="FC127" s="34">
        <v>0</v>
      </c>
      <c r="FD127" s="34">
        <v>0</v>
      </c>
      <c r="FE127" s="34">
        <v>0</v>
      </c>
      <c r="FF127" s="34">
        <v>0</v>
      </c>
      <c r="FG127" s="34">
        <v>0</v>
      </c>
      <c r="FH127" s="34">
        <v>0</v>
      </c>
      <c r="FI127" s="34">
        <v>0</v>
      </c>
      <c r="FJ127" s="34">
        <v>0</v>
      </c>
      <c r="FK127" s="34">
        <v>0</v>
      </c>
      <c r="FL127" s="34"/>
      <c r="FM127" s="34"/>
      <c r="FN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  <c r="HB127" s="34"/>
      <c r="HC127" s="34"/>
      <c r="HD127" s="34"/>
      <c r="HE127" s="34"/>
      <c r="HF127" s="34"/>
      <c r="HG127" s="34"/>
      <c r="HH127" s="34"/>
      <c r="HI127" s="34"/>
      <c r="HJ127" s="34"/>
      <c r="HK127" s="34"/>
      <c r="HL127" s="34"/>
      <c r="HM127" s="34"/>
      <c r="HN127" s="34"/>
      <c r="HO127" s="34"/>
      <c r="HP127" s="34"/>
      <c r="HQ127" s="34"/>
      <c r="HR127" s="34"/>
      <c r="HS127" s="34"/>
      <c r="HT127" s="34"/>
      <c r="HU127" s="34"/>
      <c r="HV127" s="34"/>
      <c r="HW127" s="34"/>
      <c r="HX127" s="34"/>
      <c r="IB127" s="34"/>
      <c r="IC127" s="34"/>
      <c r="ID127" s="34"/>
      <c r="IE127" s="34"/>
      <c r="IF127" s="34"/>
      <c r="IG127" s="34"/>
      <c r="IH127" s="34"/>
      <c r="II127" s="34"/>
      <c r="IJ127" s="34"/>
      <c r="IK127" s="34"/>
      <c r="IL127" s="34"/>
      <c r="IM127" s="34"/>
      <c r="IN127" s="34"/>
    </row>
    <row r="128" spans="1:248" outlineLevel="2" x14ac:dyDescent="0.3">
      <c r="B128" t="s">
        <v>76</v>
      </c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>
        <v>4</v>
      </c>
      <c r="EU128" s="32">
        <v>0</v>
      </c>
      <c r="EV128" s="32">
        <v>0</v>
      </c>
      <c r="EW128" s="32">
        <v>0</v>
      </c>
      <c r="EX128" s="32">
        <v>0</v>
      </c>
      <c r="EY128" s="32">
        <v>0</v>
      </c>
      <c r="EZ128" s="32">
        <v>2</v>
      </c>
      <c r="FA128" s="32">
        <v>0</v>
      </c>
      <c r="FB128" s="32">
        <v>0</v>
      </c>
      <c r="FC128" s="32">
        <v>2</v>
      </c>
      <c r="FD128" s="32">
        <v>2</v>
      </c>
      <c r="FE128" s="32">
        <v>2</v>
      </c>
      <c r="FF128" s="32">
        <v>0</v>
      </c>
      <c r="FG128" s="32">
        <v>0</v>
      </c>
      <c r="FH128" s="32">
        <v>0</v>
      </c>
      <c r="FI128" s="32">
        <v>0</v>
      </c>
      <c r="FJ128" s="32">
        <v>0</v>
      </c>
      <c r="FK128" s="32">
        <v>15</v>
      </c>
      <c r="FL128" s="32"/>
      <c r="FM128" s="32"/>
      <c r="FN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  <c r="GY128" s="32"/>
      <c r="GZ128" s="32"/>
      <c r="HA128" s="32"/>
      <c r="HB128" s="32"/>
      <c r="HC128" s="32"/>
      <c r="HD128" s="32"/>
      <c r="HE128" s="32"/>
      <c r="HF128" s="32"/>
      <c r="HG128" s="32"/>
      <c r="HH128" s="32"/>
      <c r="HI128" s="32"/>
      <c r="HJ128" s="32"/>
      <c r="HK128" s="32"/>
      <c r="HL128" s="32"/>
      <c r="HM128" s="32">
        <f t="shared" ref="HM128:HM130" si="265">+SUM(EN128:EP128)</f>
        <v>0</v>
      </c>
      <c r="HN128" s="32">
        <f t="shared" ref="HN128:HN130" si="266">SUM(EE128:EG128)</f>
        <v>0</v>
      </c>
      <c r="HO128" s="32">
        <f t="shared" ref="HO128:HO130" si="267">SUM(EH128:EJ128)</f>
        <v>0</v>
      </c>
      <c r="HP128" s="32">
        <f t="shared" ref="HP128:HP130" si="268">SUM(EK128:EM128)</f>
        <v>0</v>
      </c>
      <c r="HQ128" s="32">
        <f t="shared" ref="HQ128:HQ130" si="269">SUM(EN128:EP128)</f>
        <v>0</v>
      </c>
      <c r="HR128" s="32">
        <f t="shared" ref="HR128:HR130" si="270">SUM(EQ128:ES128)</f>
        <v>0</v>
      </c>
      <c r="HS128" s="32">
        <f t="shared" ref="HS128:HS130" si="271">SUM(ET128:EV128)</f>
        <v>4</v>
      </c>
      <c r="HT128" s="32">
        <f t="shared" si="227"/>
        <v>0</v>
      </c>
      <c r="HU128" s="32">
        <f t="shared" ref="HU128:HU152" si="272">SUM(EZ128:FB128)</f>
        <v>2</v>
      </c>
      <c r="HV128" s="32">
        <f t="shared" ref="HV128:HV152" si="273">SUM(FC128:FE128)</f>
        <v>6</v>
      </c>
      <c r="HW128" s="32">
        <f t="shared" ref="HW128:HW152" si="274">SUM(FF128:FH128)</f>
        <v>0</v>
      </c>
      <c r="HX128" s="32">
        <f t="shared" ref="HX128:HX152" si="275">SUM(FI128:FK128)</f>
        <v>15</v>
      </c>
      <c r="IB128" s="32"/>
      <c r="IC128" s="32"/>
      <c r="ID128" s="32"/>
      <c r="IE128" s="32"/>
      <c r="IF128" s="32"/>
      <c r="IG128" s="32"/>
      <c r="IH128" s="32"/>
      <c r="II128" s="32"/>
      <c r="IJ128" s="32"/>
      <c r="IK128" s="32"/>
      <c r="IL128" s="32"/>
      <c r="IM128" s="32"/>
      <c r="IN128" s="32"/>
    </row>
    <row r="129" spans="1:248" outlineLevel="2" x14ac:dyDescent="0.3">
      <c r="B129" t="s">
        <v>77</v>
      </c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>
        <v>7</v>
      </c>
      <c r="EU129" s="32">
        <v>22</v>
      </c>
      <c r="EV129" s="32">
        <v>2</v>
      </c>
      <c r="EW129" s="32">
        <v>0</v>
      </c>
      <c r="EX129" s="32">
        <v>0</v>
      </c>
      <c r="EY129" s="32">
        <v>6</v>
      </c>
      <c r="EZ129" s="32">
        <v>10</v>
      </c>
      <c r="FA129" s="32">
        <v>12</v>
      </c>
      <c r="FB129" s="32">
        <v>13</v>
      </c>
      <c r="FC129" s="32">
        <v>9</v>
      </c>
      <c r="FD129" s="32">
        <v>9</v>
      </c>
      <c r="FE129" s="32">
        <v>8</v>
      </c>
      <c r="FF129" s="32">
        <v>11</v>
      </c>
      <c r="FG129" s="32">
        <v>6</v>
      </c>
      <c r="FH129" s="32">
        <v>10</v>
      </c>
      <c r="FI129" s="32">
        <v>18</v>
      </c>
      <c r="FJ129" s="32">
        <v>12</v>
      </c>
      <c r="FK129" s="32">
        <v>9</v>
      </c>
      <c r="FL129" s="32"/>
      <c r="FM129" s="32"/>
      <c r="FN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2"/>
      <c r="HH129" s="32"/>
      <c r="HI129" s="32"/>
      <c r="HJ129" s="32"/>
      <c r="HK129" s="32"/>
      <c r="HL129" s="32"/>
      <c r="HM129" s="32">
        <f t="shared" si="265"/>
        <v>0</v>
      </c>
      <c r="HN129" s="32">
        <f t="shared" si="266"/>
        <v>0</v>
      </c>
      <c r="HO129" s="32">
        <f t="shared" si="267"/>
        <v>0</v>
      </c>
      <c r="HP129" s="32">
        <f t="shared" si="268"/>
        <v>0</v>
      </c>
      <c r="HQ129" s="32">
        <f t="shared" si="269"/>
        <v>0</v>
      </c>
      <c r="HR129" s="32">
        <f t="shared" si="270"/>
        <v>0</v>
      </c>
      <c r="HS129" s="32">
        <f t="shared" si="271"/>
        <v>31</v>
      </c>
      <c r="HT129" s="32">
        <f t="shared" si="227"/>
        <v>6</v>
      </c>
      <c r="HU129" s="32">
        <f t="shared" si="272"/>
        <v>35</v>
      </c>
      <c r="HV129" s="32">
        <f t="shared" si="273"/>
        <v>26</v>
      </c>
      <c r="HW129" s="32">
        <f t="shared" si="274"/>
        <v>27</v>
      </c>
      <c r="HX129" s="32">
        <f t="shared" si="275"/>
        <v>39</v>
      </c>
      <c r="IB129" s="32"/>
      <c r="IC129" s="32"/>
      <c r="ID129" s="32"/>
      <c r="IE129" s="32"/>
      <c r="IF129" s="32"/>
      <c r="IG129" s="32"/>
      <c r="IH129" s="32"/>
      <c r="II129" s="32"/>
      <c r="IJ129" s="32"/>
      <c r="IK129" s="32"/>
      <c r="IL129" s="32"/>
      <c r="IM129" s="32"/>
      <c r="IN129" s="32"/>
    </row>
    <row r="130" spans="1:248" outlineLevel="2" x14ac:dyDescent="0.3">
      <c r="B130" t="s">
        <v>78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32">
        <v>0</v>
      </c>
      <c r="AB130" s="32">
        <v>0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32">
        <v>0</v>
      </c>
      <c r="AJ130" s="32">
        <v>0</v>
      </c>
      <c r="AK130" s="32">
        <v>0</v>
      </c>
      <c r="AL130" s="32">
        <v>0</v>
      </c>
      <c r="AM130" s="32">
        <v>0</v>
      </c>
      <c r="AN130" s="32">
        <v>0</v>
      </c>
      <c r="AO130" s="32">
        <v>0</v>
      </c>
      <c r="AP130" s="32">
        <v>0</v>
      </c>
      <c r="AQ130" s="32">
        <v>0</v>
      </c>
      <c r="AR130" s="32">
        <v>0</v>
      </c>
      <c r="AS130" s="32">
        <v>0</v>
      </c>
      <c r="AT130" s="32">
        <v>0</v>
      </c>
      <c r="AU130" s="32">
        <v>0</v>
      </c>
      <c r="AV130" s="32">
        <v>0</v>
      </c>
      <c r="AW130" s="32">
        <v>0</v>
      </c>
      <c r="AX130" s="32">
        <v>0</v>
      </c>
      <c r="AY130" s="32">
        <v>0</v>
      </c>
      <c r="AZ130" s="32">
        <v>0</v>
      </c>
      <c r="BA130" s="32">
        <v>0</v>
      </c>
      <c r="BB130" s="32">
        <v>0</v>
      </c>
      <c r="BC130" s="32">
        <v>0</v>
      </c>
      <c r="BD130" s="32">
        <v>0</v>
      </c>
      <c r="BE130" s="32">
        <v>0</v>
      </c>
      <c r="BF130" s="32">
        <v>0</v>
      </c>
      <c r="BG130" s="32">
        <v>0</v>
      </c>
      <c r="BH130" s="32">
        <v>0</v>
      </c>
      <c r="BI130" s="32">
        <v>0</v>
      </c>
      <c r="BJ130" s="32">
        <v>0</v>
      </c>
      <c r="BK130" s="32">
        <v>0</v>
      </c>
      <c r="BL130" s="32">
        <v>0</v>
      </c>
      <c r="BM130" s="32">
        <v>0</v>
      </c>
      <c r="BN130" s="32">
        <v>0</v>
      </c>
      <c r="BO130" s="32">
        <v>0</v>
      </c>
      <c r="BP130" s="32">
        <v>0</v>
      </c>
      <c r="BQ130" s="32">
        <v>0</v>
      </c>
      <c r="BR130" s="32">
        <v>0</v>
      </c>
      <c r="BS130" s="32">
        <v>0</v>
      </c>
      <c r="BT130" s="32">
        <v>0</v>
      </c>
      <c r="BU130" s="32">
        <v>0</v>
      </c>
      <c r="BV130" s="32">
        <v>0</v>
      </c>
      <c r="BW130" s="32">
        <v>0</v>
      </c>
      <c r="BX130" s="32">
        <v>10</v>
      </c>
      <c r="BY130" s="32">
        <v>8</v>
      </c>
      <c r="BZ130" s="32">
        <v>13</v>
      </c>
      <c r="CA130" s="32">
        <v>18</v>
      </c>
      <c r="CB130" s="32">
        <v>0</v>
      </c>
      <c r="CC130" s="32">
        <v>6</v>
      </c>
      <c r="CD130" s="32">
        <v>5</v>
      </c>
      <c r="CE130" s="32">
        <v>6</v>
      </c>
      <c r="CF130" s="32">
        <v>3</v>
      </c>
      <c r="CG130" s="32">
        <v>0</v>
      </c>
      <c r="CH130" s="32">
        <v>29</v>
      </c>
      <c r="CI130" s="32">
        <v>0</v>
      </c>
      <c r="CJ130" s="32">
        <v>29</v>
      </c>
      <c r="CK130" s="32">
        <v>5</v>
      </c>
      <c r="CL130" s="32">
        <v>0</v>
      </c>
      <c r="CM130" s="32">
        <v>20</v>
      </c>
      <c r="CN130" s="32">
        <v>11</v>
      </c>
      <c r="CO130" s="32">
        <v>3</v>
      </c>
      <c r="CP130" s="32">
        <v>8</v>
      </c>
      <c r="CQ130" s="32">
        <v>4</v>
      </c>
      <c r="CR130" s="32">
        <v>10</v>
      </c>
      <c r="CS130" s="32">
        <v>17</v>
      </c>
      <c r="CT130" s="32">
        <v>0</v>
      </c>
      <c r="CU130" s="32">
        <v>0</v>
      </c>
      <c r="CV130" s="32">
        <v>0</v>
      </c>
      <c r="CW130" s="32">
        <v>0</v>
      </c>
      <c r="CX130" s="32">
        <v>33</v>
      </c>
      <c r="CY130" s="32">
        <v>7</v>
      </c>
      <c r="CZ130" s="32">
        <v>57</v>
      </c>
      <c r="DA130" s="32">
        <v>2</v>
      </c>
      <c r="DB130" s="32">
        <v>18</v>
      </c>
      <c r="DC130" s="32">
        <v>7</v>
      </c>
      <c r="DD130" s="32">
        <v>48</v>
      </c>
      <c r="DE130" s="32">
        <v>36</v>
      </c>
      <c r="DF130" s="32">
        <v>52</v>
      </c>
      <c r="DG130" s="32">
        <v>28</v>
      </c>
      <c r="DH130" s="32">
        <v>27</v>
      </c>
      <c r="DI130" s="32">
        <v>40</v>
      </c>
      <c r="DJ130" s="32">
        <v>86</v>
      </c>
      <c r="DK130" s="32">
        <v>101</v>
      </c>
      <c r="DL130" s="32">
        <v>106</v>
      </c>
      <c r="DM130" s="32">
        <v>86</v>
      </c>
      <c r="DN130" s="32">
        <v>48</v>
      </c>
      <c r="DO130" s="32">
        <v>62</v>
      </c>
      <c r="DP130" s="32">
        <v>100</v>
      </c>
      <c r="DQ130" s="32">
        <v>104</v>
      </c>
      <c r="DR130" s="32">
        <v>102</v>
      </c>
      <c r="DS130" s="32">
        <v>78</v>
      </c>
      <c r="DT130" s="32">
        <v>94</v>
      </c>
      <c r="DU130" s="32">
        <v>62</v>
      </c>
      <c r="DV130" s="32">
        <v>80</v>
      </c>
      <c r="DW130" s="32">
        <v>42</v>
      </c>
      <c r="DX130" s="32">
        <v>48</v>
      </c>
      <c r="DY130" s="32">
        <v>5</v>
      </c>
      <c r="DZ130" s="32">
        <v>86</v>
      </c>
      <c r="EA130" s="32">
        <v>113</v>
      </c>
      <c r="EB130" s="32">
        <v>94</v>
      </c>
      <c r="EC130" s="32">
        <v>73</v>
      </c>
      <c r="ED130" s="32">
        <v>145</v>
      </c>
      <c r="EE130" s="32">
        <v>57</v>
      </c>
      <c r="EF130" s="32">
        <v>175</v>
      </c>
      <c r="EG130" s="32">
        <v>125</v>
      </c>
      <c r="EH130" s="32">
        <v>154</v>
      </c>
      <c r="EI130" s="32">
        <v>142</v>
      </c>
      <c r="EJ130" s="32">
        <v>67</v>
      </c>
      <c r="EK130" s="32">
        <v>130</v>
      </c>
      <c r="EL130" s="32">
        <v>117</v>
      </c>
      <c r="EM130" s="32">
        <v>284</v>
      </c>
      <c r="EN130" s="32">
        <v>82</v>
      </c>
      <c r="EO130" s="32">
        <v>151</v>
      </c>
      <c r="EP130" s="32">
        <v>176</v>
      </c>
      <c r="EQ130" s="32">
        <v>201</v>
      </c>
      <c r="ER130" s="32">
        <v>180</v>
      </c>
      <c r="ES130" s="32">
        <v>241</v>
      </c>
      <c r="ET130" s="32">
        <v>149</v>
      </c>
      <c r="EU130" s="32">
        <v>114</v>
      </c>
      <c r="EV130" s="32">
        <v>112</v>
      </c>
      <c r="EW130" s="32">
        <v>168</v>
      </c>
      <c r="EX130" s="32">
        <v>167</v>
      </c>
      <c r="EY130" s="32">
        <v>266</v>
      </c>
      <c r="EZ130" s="32">
        <v>174</v>
      </c>
      <c r="FA130" s="32">
        <v>175</v>
      </c>
      <c r="FB130" s="32">
        <v>271</v>
      </c>
      <c r="FC130" s="32">
        <v>208</v>
      </c>
      <c r="FD130" s="32">
        <v>261</v>
      </c>
      <c r="FE130" s="32">
        <v>263</v>
      </c>
      <c r="FF130" s="32">
        <v>361</v>
      </c>
      <c r="FG130" s="32">
        <v>270</v>
      </c>
      <c r="FH130" s="32">
        <v>179</v>
      </c>
      <c r="FI130" s="32">
        <v>150</v>
      </c>
      <c r="FJ130" s="32">
        <v>212</v>
      </c>
      <c r="FK130" s="32">
        <v>370</v>
      </c>
      <c r="FL130" s="32"/>
      <c r="FM130" s="32"/>
      <c r="FN130" s="32"/>
      <c r="FR130" s="32">
        <f t="shared" si="178"/>
        <v>0</v>
      </c>
      <c r="FS130" s="32">
        <f t="shared" si="179"/>
        <v>0</v>
      </c>
      <c r="FT130" s="32">
        <f t="shared" si="180"/>
        <v>0</v>
      </c>
      <c r="FU130" s="32">
        <f t="shared" si="181"/>
        <v>0</v>
      </c>
      <c r="FV130" s="32">
        <f t="shared" si="182"/>
        <v>0</v>
      </c>
      <c r="FW130" s="32">
        <f t="shared" si="183"/>
        <v>0</v>
      </c>
      <c r="FX130" s="32">
        <f t="shared" si="184"/>
        <v>0</v>
      </c>
      <c r="FY130" s="32">
        <f t="shared" si="185"/>
        <v>0</v>
      </c>
      <c r="FZ130" s="32">
        <f t="shared" si="186"/>
        <v>0</v>
      </c>
      <c r="GA130" s="32">
        <f t="shared" si="187"/>
        <v>0</v>
      </c>
      <c r="GB130" s="32">
        <f t="shared" si="188"/>
        <v>0</v>
      </c>
      <c r="GC130" s="32">
        <f t="shared" si="189"/>
        <v>0</v>
      </c>
      <c r="GD130" s="32">
        <f t="shared" si="190"/>
        <v>0</v>
      </c>
      <c r="GE130" s="32">
        <f t="shared" si="191"/>
        <v>0</v>
      </c>
      <c r="GF130" s="32">
        <f t="shared" si="192"/>
        <v>0</v>
      </c>
      <c r="GG130" s="32">
        <f t="shared" si="193"/>
        <v>0</v>
      </c>
      <c r="GH130" s="32">
        <f t="shared" si="194"/>
        <v>0</v>
      </c>
      <c r="GI130" s="32">
        <f t="shared" si="195"/>
        <v>0</v>
      </c>
      <c r="GJ130" s="32">
        <f t="shared" si="196"/>
        <v>0</v>
      </c>
      <c r="GK130" s="32">
        <f t="shared" si="197"/>
        <v>0</v>
      </c>
      <c r="GL130" s="32">
        <f t="shared" si="198"/>
        <v>0</v>
      </c>
      <c r="GM130" s="32">
        <f t="shared" si="199"/>
        <v>0</v>
      </c>
      <c r="GN130" s="32">
        <f t="shared" si="200"/>
        <v>0</v>
      </c>
      <c r="GO130" s="32">
        <f t="shared" si="201"/>
        <v>0</v>
      </c>
      <c r="GP130" s="32">
        <f t="shared" si="202"/>
        <v>18</v>
      </c>
      <c r="GQ130" s="32">
        <f t="shared" si="203"/>
        <v>31</v>
      </c>
      <c r="GR130" s="32">
        <f t="shared" si="204"/>
        <v>17</v>
      </c>
      <c r="GS130" s="32">
        <f t="shared" si="205"/>
        <v>32</v>
      </c>
      <c r="GT130" s="32">
        <f t="shared" si="206"/>
        <v>34</v>
      </c>
      <c r="GU130" s="32">
        <f t="shared" si="207"/>
        <v>31</v>
      </c>
      <c r="GV130" s="32">
        <f t="shared" si="208"/>
        <v>15</v>
      </c>
      <c r="GW130" s="32">
        <f t="shared" si="209"/>
        <v>27</v>
      </c>
      <c r="GX130" s="32">
        <f t="shared" si="210"/>
        <v>0</v>
      </c>
      <c r="GY130" s="32">
        <f t="shared" si="211"/>
        <v>97</v>
      </c>
      <c r="GZ130" s="32">
        <f t="shared" si="247"/>
        <v>27</v>
      </c>
      <c r="HA130" s="32">
        <f t="shared" si="248"/>
        <v>136</v>
      </c>
      <c r="HB130" s="32">
        <f t="shared" si="249"/>
        <v>55</v>
      </c>
      <c r="HC130" s="32">
        <f t="shared" si="250"/>
        <v>293</v>
      </c>
      <c r="HD130" s="32">
        <f t="shared" si="251"/>
        <v>196</v>
      </c>
      <c r="HE130" s="32">
        <f t="shared" si="252"/>
        <v>306</v>
      </c>
      <c r="HF130" s="32">
        <f t="shared" si="253"/>
        <v>234</v>
      </c>
      <c r="HG130" s="32">
        <f t="shared" si="254"/>
        <v>170</v>
      </c>
      <c r="HH130" s="32">
        <f t="shared" si="255"/>
        <v>204</v>
      </c>
      <c r="HI130" s="32">
        <f t="shared" si="256"/>
        <v>312</v>
      </c>
      <c r="HJ130" s="32">
        <f t="shared" si="257"/>
        <v>357</v>
      </c>
      <c r="HK130" s="32">
        <f t="shared" si="258"/>
        <v>363</v>
      </c>
      <c r="HL130" s="32">
        <f t="shared" si="259"/>
        <v>531</v>
      </c>
      <c r="HM130" s="32">
        <f t="shared" si="265"/>
        <v>409</v>
      </c>
      <c r="HN130" s="32">
        <f t="shared" si="266"/>
        <v>357</v>
      </c>
      <c r="HO130" s="32">
        <f t="shared" si="267"/>
        <v>363</v>
      </c>
      <c r="HP130" s="32">
        <f t="shared" si="268"/>
        <v>531</v>
      </c>
      <c r="HQ130" s="32">
        <f t="shared" si="269"/>
        <v>409</v>
      </c>
      <c r="HR130" s="32">
        <f t="shared" si="270"/>
        <v>622</v>
      </c>
      <c r="HS130" s="32">
        <f t="shared" si="271"/>
        <v>375</v>
      </c>
      <c r="HT130" s="32">
        <f t="shared" si="227"/>
        <v>601</v>
      </c>
      <c r="HU130" s="32">
        <f t="shared" si="272"/>
        <v>620</v>
      </c>
      <c r="HV130" s="32">
        <f t="shared" si="273"/>
        <v>732</v>
      </c>
      <c r="HW130" s="32">
        <f t="shared" si="274"/>
        <v>810</v>
      </c>
      <c r="HX130" s="32">
        <f t="shared" si="275"/>
        <v>732</v>
      </c>
      <c r="IB130" s="32">
        <f t="shared" si="232"/>
        <v>0</v>
      </c>
      <c r="IC130" s="32">
        <f t="shared" si="233"/>
        <v>0</v>
      </c>
      <c r="ID130" s="32">
        <f t="shared" si="234"/>
        <v>0</v>
      </c>
      <c r="IE130" s="32">
        <f t="shared" si="235"/>
        <v>0</v>
      </c>
      <c r="IF130" s="32">
        <f t="shared" si="236"/>
        <v>0</v>
      </c>
      <c r="IG130" s="32">
        <f t="shared" si="237"/>
        <v>0</v>
      </c>
      <c r="IH130" s="32">
        <f t="shared" si="238"/>
        <v>98</v>
      </c>
      <c r="II130" s="32">
        <f t="shared" si="239"/>
        <v>107</v>
      </c>
      <c r="IJ130" s="32">
        <f t="shared" si="261"/>
        <v>260</v>
      </c>
      <c r="IK130" s="32">
        <f t="shared" si="262"/>
        <v>890</v>
      </c>
      <c r="IL130" s="32">
        <f t="shared" si="263"/>
        <v>920</v>
      </c>
      <c r="IM130" s="32">
        <f t="shared" si="264"/>
        <v>1660</v>
      </c>
      <c r="IN130" s="32">
        <f t="shared" ref="IN130:IN152" si="276">SUM(EQ130:FB130)</f>
        <v>2218</v>
      </c>
    </row>
    <row r="131" spans="1:248" outlineLevel="1" x14ac:dyDescent="0.3">
      <c r="A131" s="15" t="s">
        <v>99</v>
      </c>
      <c r="B131" s="15"/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>
        <v>0</v>
      </c>
      <c r="AJ131" s="33">
        <v>0</v>
      </c>
      <c r="AK131" s="33">
        <v>0</v>
      </c>
      <c r="AL131" s="33">
        <v>0</v>
      </c>
      <c r="AM131" s="33">
        <v>0</v>
      </c>
      <c r="AN131" s="33">
        <v>0</v>
      </c>
      <c r="AO131" s="33">
        <v>0</v>
      </c>
      <c r="AP131" s="33">
        <v>0</v>
      </c>
      <c r="AQ131" s="33">
        <v>0</v>
      </c>
      <c r="AR131" s="33">
        <v>0</v>
      </c>
      <c r="AS131" s="33">
        <v>0</v>
      </c>
      <c r="AT131" s="33">
        <v>0</v>
      </c>
      <c r="AU131" s="33">
        <v>0</v>
      </c>
      <c r="AV131" s="33">
        <v>0</v>
      </c>
      <c r="AW131" s="33">
        <v>0</v>
      </c>
      <c r="AX131" s="33">
        <v>0</v>
      </c>
      <c r="AY131" s="33">
        <v>0</v>
      </c>
      <c r="AZ131" s="33">
        <v>0</v>
      </c>
      <c r="BA131" s="33">
        <v>0</v>
      </c>
      <c r="BB131" s="33">
        <v>0</v>
      </c>
      <c r="BC131" s="33">
        <v>0</v>
      </c>
      <c r="BD131" s="33">
        <v>0</v>
      </c>
      <c r="BE131" s="33">
        <v>0</v>
      </c>
      <c r="BF131" s="33">
        <v>0</v>
      </c>
      <c r="BG131" s="33">
        <v>0</v>
      </c>
      <c r="BH131" s="33">
        <v>0</v>
      </c>
      <c r="BI131" s="33">
        <v>0</v>
      </c>
      <c r="BJ131" s="33">
        <v>0</v>
      </c>
      <c r="BK131" s="33">
        <v>0</v>
      </c>
      <c r="BL131" s="33">
        <v>0</v>
      </c>
      <c r="BM131" s="33">
        <v>0</v>
      </c>
      <c r="BN131" s="33">
        <v>0</v>
      </c>
      <c r="BO131" s="33">
        <v>0</v>
      </c>
      <c r="BP131" s="33">
        <v>0</v>
      </c>
      <c r="BQ131" s="33">
        <v>0</v>
      </c>
      <c r="BR131" s="33">
        <v>0</v>
      </c>
      <c r="BS131" s="33">
        <v>0</v>
      </c>
      <c r="BT131" s="33">
        <v>0</v>
      </c>
      <c r="BU131" s="33">
        <v>0</v>
      </c>
      <c r="BV131" s="33">
        <v>0</v>
      </c>
      <c r="BW131" s="33">
        <v>0</v>
      </c>
      <c r="BX131" s="33">
        <v>10</v>
      </c>
      <c r="BY131" s="33">
        <v>8</v>
      </c>
      <c r="BZ131" s="33">
        <v>13</v>
      </c>
      <c r="CA131" s="33">
        <v>18</v>
      </c>
      <c r="CB131" s="33">
        <v>0</v>
      </c>
      <c r="CC131" s="33">
        <v>6</v>
      </c>
      <c r="CD131" s="33">
        <v>5</v>
      </c>
      <c r="CE131" s="33">
        <v>6</v>
      </c>
      <c r="CF131" s="33">
        <v>3</v>
      </c>
      <c r="CG131" s="33">
        <v>0</v>
      </c>
      <c r="CH131" s="33">
        <v>29</v>
      </c>
      <c r="CI131" s="33">
        <v>0</v>
      </c>
      <c r="CJ131" s="33">
        <v>29</v>
      </c>
      <c r="CK131" s="33">
        <v>5</v>
      </c>
      <c r="CL131" s="33">
        <v>0</v>
      </c>
      <c r="CM131" s="33">
        <v>20</v>
      </c>
      <c r="CN131" s="33">
        <v>11</v>
      </c>
      <c r="CO131" s="33">
        <v>3</v>
      </c>
      <c r="CP131" s="33">
        <v>8</v>
      </c>
      <c r="CQ131" s="33">
        <v>4</v>
      </c>
      <c r="CR131" s="33">
        <v>10</v>
      </c>
      <c r="CS131" s="33">
        <v>17</v>
      </c>
      <c r="CT131" s="33">
        <v>0</v>
      </c>
      <c r="CU131" s="33">
        <v>0</v>
      </c>
      <c r="CV131" s="33">
        <v>0</v>
      </c>
      <c r="CW131" s="33">
        <v>0</v>
      </c>
      <c r="CX131" s="33">
        <v>33</v>
      </c>
      <c r="CY131" s="33">
        <v>7</v>
      </c>
      <c r="CZ131" s="33">
        <v>57</v>
      </c>
      <c r="DA131" s="33">
        <v>2</v>
      </c>
      <c r="DB131" s="33">
        <v>18</v>
      </c>
      <c r="DC131" s="33">
        <v>7</v>
      </c>
      <c r="DD131" s="33">
        <v>48</v>
      </c>
      <c r="DE131" s="33">
        <v>36</v>
      </c>
      <c r="DF131" s="33">
        <v>52</v>
      </c>
      <c r="DG131" s="33">
        <v>28</v>
      </c>
      <c r="DH131" s="33">
        <v>27</v>
      </c>
      <c r="DI131" s="33">
        <v>40</v>
      </c>
      <c r="DJ131" s="33">
        <v>86</v>
      </c>
      <c r="DK131" s="33">
        <v>101</v>
      </c>
      <c r="DL131" s="33">
        <v>106</v>
      </c>
      <c r="DM131" s="33">
        <v>86</v>
      </c>
      <c r="DN131" s="33">
        <v>48</v>
      </c>
      <c r="DO131" s="33">
        <v>62</v>
      </c>
      <c r="DP131" s="33">
        <v>100</v>
      </c>
      <c r="DQ131" s="33">
        <v>104</v>
      </c>
      <c r="DR131" s="33">
        <v>102</v>
      </c>
      <c r="DS131" s="33">
        <v>78</v>
      </c>
      <c r="DT131" s="33">
        <v>94</v>
      </c>
      <c r="DU131" s="33">
        <v>62</v>
      </c>
      <c r="DV131" s="33">
        <v>80</v>
      </c>
      <c r="DW131" s="33">
        <v>42</v>
      </c>
      <c r="DX131" s="33">
        <v>48</v>
      </c>
      <c r="DY131" s="33">
        <v>5</v>
      </c>
      <c r="DZ131" s="33">
        <v>86</v>
      </c>
      <c r="EA131" s="33">
        <v>113</v>
      </c>
      <c r="EB131" s="33">
        <v>94</v>
      </c>
      <c r="EC131" s="33">
        <v>73</v>
      </c>
      <c r="ED131" s="33">
        <v>145</v>
      </c>
      <c r="EE131" s="33">
        <v>57</v>
      </c>
      <c r="EF131" s="33">
        <v>175</v>
      </c>
      <c r="EG131" s="33">
        <v>125</v>
      </c>
      <c r="EH131" s="33">
        <v>154</v>
      </c>
      <c r="EI131" s="33">
        <v>142</v>
      </c>
      <c r="EJ131" s="33">
        <v>67</v>
      </c>
      <c r="EK131" s="33">
        <v>130</v>
      </c>
      <c r="EL131" s="33">
        <v>117</v>
      </c>
      <c r="EM131" s="33">
        <v>284</v>
      </c>
      <c r="EN131" s="33">
        <v>82</v>
      </c>
      <c r="EO131" s="33">
        <v>151</v>
      </c>
      <c r="EP131" s="33">
        <v>176</v>
      </c>
      <c r="EQ131" s="33">
        <v>201</v>
      </c>
      <c r="ER131" s="33">
        <v>180</v>
      </c>
      <c r="ES131" s="33">
        <v>241</v>
      </c>
      <c r="ET131" s="33">
        <v>160</v>
      </c>
      <c r="EU131" s="33">
        <v>136</v>
      </c>
      <c r="EV131" s="33">
        <v>114</v>
      </c>
      <c r="EW131" s="33">
        <v>168</v>
      </c>
      <c r="EX131" s="33">
        <v>167</v>
      </c>
      <c r="EY131" s="33">
        <v>272</v>
      </c>
      <c r="EZ131" s="33">
        <v>190</v>
      </c>
      <c r="FA131" s="33">
        <v>187</v>
      </c>
      <c r="FB131" s="33">
        <v>284</v>
      </c>
      <c r="FC131" s="33">
        <v>219</v>
      </c>
      <c r="FD131" s="33">
        <v>272</v>
      </c>
      <c r="FE131" s="33">
        <v>273</v>
      </c>
      <c r="FF131" s="33">
        <v>372</v>
      </c>
      <c r="FG131" s="33">
        <v>276</v>
      </c>
      <c r="FH131" s="33">
        <v>189</v>
      </c>
      <c r="FI131" s="33">
        <v>175</v>
      </c>
      <c r="FJ131" s="33">
        <v>224</v>
      </c>
      <c r="FK131" s="33">
        <v>394</v>
      </c>
      <c r="FL131" s="34"/>
      <c r="FM131" s="34"/>
      <c r="FN131" s="34"/>
      <c r="FR131" s="33">
        <f t="shared" si="178"/>
        <v>0</v>
      </c>
      <c r="FS131" s="33">
        <f t="shared" si="179"/>
        <v>0</v>
      </c>
      <c r="FT131" s="33">
        <f t="shared" si="180"/>
        <v>0</v>
      </c>
      <c r="FU131" s="33">
        <f t="shared" si="181"/>
        <v>0</v>
      </c>
      <c r="FV131" s="33">
        <f t="shared" si="182"/>
        <v>0</v>
      </c>
      <c r="FW131" s="33">
        <f t="shared" si="183"/>
        <v>0</v>
      </c>
      <c r="FX131" s="33">
        <f t="shared" si="184"/>
        <v>0</v>
      </c>
      <c r="FY131" s="33">
        <f t="shared" si="185"/>
        <v>0</v>
      </c>
      <c r="FZ131" s="33">
        <f t="shared" si="186"/>
        <v>0</v>
      </c>
      <c r="GA131" s="33">
        <f t="shared" si="187"/>
        <v>0</v>
      </c>
      <c r="GB131" s="33">
        <f t="shared" si="188"/>
        <v>0</v>
      </c>
      <c r="GC131" s="33">
        <f t="shared" si="189"/>
        <v>0</v>
      </c>
      <c r="GD131" s="33">
        <f t="shared" si="190"/>
        <v>0</v>
      </c>
      <c r="GE131" s="33">
        <f t="shared" si="191"/>
        <v>0</v>
      </c>
      <c r="GF131" s="33">
        <f t="shared" si="192"/>
        <v>0</v>
      </c>
      <c r="GG131" s="33">
        <f t="shared" si="193"/>
        <v>0</v>
      </c>
      <c r="GH131" s="33">
        <f t="shared" si="194"/>
        <v>0</v>
      </c>
      <c r="GI131" s="33">
        <f t="shared" si="195"/>
        <v>0</v>
      </c>
      <c r="GJ131" s="33">
        <f t="shared" si="196"/>
        <v>0</v>
      </c>
      <c r="GK131" s="33">
        <f t="shared" si="197"/>
        <v>0</v>
      </c>
      <c r="GL131" s="33">
        <f t="shared" si="198"/>
        <v>0</v>
      </c>
      <c r="GM131" s="33">
        <f t="shared" si="199"/>
        <v>0</v>
      </c>
      <c r="GN131" s="33">
        <f t="shared" si="200"/>
        <v>0</v>
      </c>
      <c r="GO131" s="33">
        <f t="shared" si="201"/>
        <v>0</v>
      </c>
      <c r="GP131" s="33">
        <f t="shared" si="202"/>
        <v>18</v>
      </c>
      <c r="GQ131" s="33">
        <f t="shared" si="203"/>
        <v>31</v>
      </c>
      <c r="GR131" s="33">
        <f t="shared" si="204"/>
        <v>17</v>
      </c>
      <c r="GS131" s="33">
        <f t="shared" si="205"/>
        <v>32</v>
      </c>
      <c r="GT131" s="33">
        <f t="shared" si="206"/>
        <v>34</v>
      </c>
      <c r="GU131" s="33">
        <f t="shared" si="207"/>
        <v>31</v>
      </c>
      <c r="GV131" s="33">
        <f t="shared" si="208"/>
        <v>15</v>
      </c>
      <c r="GW131" s="33">
        <f t="shared" si="209"/>
        <v>27</v>
      </c>
      <c r="GX131" s="33">
        <f t="shared" si="210"/>
        <v>0</v>
      </c>
      <c r="GY131" s="33">
        <f t="shared" si="211"/>
        <v>97</v>
      </c>
      <c r="GZ131" s="33">
        <f t="shared" si="247"/>
        <v>27</v>
      </c>
      <c r="HA131" s="33">
        <f t="shared" si="248"/>
        <v>136</v>
      </c>
      <c r="HB131" s="33">
        <f t="shared" si="249"/>
        <v>55</v>
      </c>
      <c r="HC131" s="33">
        <f t="shared" si="250"/>
        <v>293</v>
      </c>
      <c r="HD131" s="33">
        <f t="shared" si="251"/>
        <v>196</v>
      </c>
      <c r="HE131" s="33">
        <f t="shared" si="252"/>
        <v>306</v>
      </c>
      <c r="HF131" s="33">
        <f t="shared" si="253"/>
        <v>234</v>
      </c>
      <c r="HG131" s="33">
        <f t="shared" si="254"/>
        <v>170</v>
      </c>
      <c r="HH131" s="33">
        <f t="shared" si="255"/>
        <v>204</v>
      </c>
      <c r="HI131" s="33">
        <f t="shared" si="256"/>
        <v>312</v>
      </c>
      <c r="HJ131" s="33">
        <f t="shared" si="257"/>
        <v>357</v>
      </c>
      <c r="HK131" s="33">
        <f t="shared" si="258"/>
        <v>363</v>
      </c>
      <c r="HL131" s="33">
        <f t="shared" si="259"/>
        <v>531</v>
      </c>
      <c r="HM131" s="33">
        <f t="shared" si="260"/>
        <v>409</v>
      </c>
      <c r="HN131" s="33">
        <f t="shared" si="125"/>
        <v>357</v>
      </c>
      <c r="HO131" s="33">
        <f t="shared" si="126"/>
        <v>363</v>
      </c>
      <c r="HP131" s="33">
        <f t="shared" si="127"/>
        <v>531</v>
      </c>
      <c r="HQ131" s="33">
        <f t="shared" si="128"/>
        <v>409</v>
      </c>
      <c r="HR131" s="33">
        <f t="shared" si="226"/>
        <v>622</v>
      </c>
      <c r="HS131" s="33">
        <f t="shared" si="122"/>
        <v>410</v>
      </c>
      <c r="HT131" s="33">
        <f t="shared" si="227"/>
        <v>607</v>
      </c>
      <c r="HU131" s="33">
        <f t="shared" si="272"/>
        <v>661</v>
      </c>
      <c r="HV131" s="33">
        <f t="shared" si="273"/>
        <v>764</v>
      </c>
      <c r="HW131" s="33">
        <f t="shared" si="274"/>
        <v>837</v>
      </c>
      <c r="HX131" s="33">
        <f t="shared" si="275"/>
        <v>793</v>
      </c>
      <c r="IB131" s="33">
        <f t="shared" si="232"/>
        <v>0</v>
      </c>
      <c r="IC131" s="33">
        <f t="shared" si="233"/>
        <v>0</v>
      </c>
      <c r="ID131" s="33">
        <f t="shared" si="234"/>
        <v>0</v>
      </c>
      <c r="IE131" s="33">
        <f t="shared" si="235"/>
        <v>0</v>
      </c>
      <c r="IF131" s="33">
        <f t="shared" si="236"/>
        <v>0</v>
      </c>
      <c r="IG131" s="33">
        <f t="shared" si="237"/>
        <v>0</v>
      </c>
      <c r="IH131" s="33">
        <f t="shared" si="238"/>
        <v>98</v>
      </c>
      <c r="II131" s="33">
        <f t="shared" si="239"/>
        <v>107</v>
      </c>
      <c r="IJ131" s="33">
        <f t="shared" si="261"/>
        <v>260</v>
      </c>
      <c r="IK131" s="33">
        <f t="shared" si="262"/>
        <v>890</v>
      </c>
      <c r="IL131" s="33">
        <f t="shared" si="263"/>
        <v>920</v>
      </c>
      <c r="IM131" s="33">
        <f t="shared" si="264"/>
        <v>1660</v>
      </c>
      <c r="IN131" s="33">
        <f t="shared" si="276"/>
        <v>2300</v>
      </c>
    </row>
    <row r="132" spans="1:248" outlineLevel="2" x14ac:dyDescent="0.3">
      <c r="A132" t="s">
        <v>100</v>
      </c>
      <c r="B132" t="s">
        <v>75</v>
      </c>
      <c r="C132" s="23">
        <v>0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32">
        <v>0</v>
      </c>
      <c r="AB132" s="32">
        <v>0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 s="32">
        <v>0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2">
        <v>0</v>
      </c>
      <c r="BK132" s="32">
        <v>0</v>
      </c>
      <c r="BL132" s="32">
        <v>0</v>
      </c>
      <c r="BM132" s="32">
        <v>0</v>
      </c>
      <c r="BN132" s="32">
        <v>0</v>
      </c>
      <c r="BO132" s="32">
        <v>0</v>
      </c>
      <c r="BP132" s="32">
        <v>0</v>
      </c>
      <c r="BQ132" s="32">
        <v>0</v>
      </c>
      <c r="BR132" s="32">
        <v>0</v>
      </c>
      <c r="BS132" s="32">
        <v>0</v>
      </c>
      <c r="BT132" s="32">
        <v>0</v>
      </c>
      <c r="BU132" s="32">
        <v>0</v>
      </c>
      <c r="BV132" s="32">
        <v>0</v>
      </c>
      <c r="BW132" s="32">
        <v>0</v>
      </c>
      <c r="BX132" s="32">
        <v>4</v>
      </c>
      <c r="BY132" s="32">
        <v>1</v>
      </c>
      <c r="BZ132" s="32">
        <v>0</v>
      </c>
      <c r="CA132" s="32">
        <v>6</v>
      </c>
      <c r="CB132" s="32">
        <v>0</v>
      </c>
      <c r="CC132" s="32">
        <v>1</v>
      </c>
      <c r="CD132" s="32">
        <v>0</v>
      </c>
      <c r="CE132" s="32">
        <v>0</v>
      </c>
      <c r="CF132" s="32">
        <v>0</v>
      </c>
      <c r="CG132" s="32">
        <v>1</v>
      </c>
      <c r="CH132" s="32">
        <v>0</v>
      </c>
      <c r="CI132" s="32">
        <v>0</v>
      </c>
      <c r="CJ132" s="32">
        <v>0</v>
      </c>
      <c r="CK132" s="32">
        <v>0</v>
      </c>
      <c r="CL132" s="32">
        <v>0</v>
      </c>
      <c r="CM132" s="32">
        <v>2</v>
      </c>
      <c r="CN132" s="32">
        <v>0</v>
      </c>
      <c r="CO132" s="32">
        <v>0</v>
      </c>
      <c r="CP132" s="32">
        <v>0</v>
      </c>
      <c r="CQ132" s="32">
        <v>0</v>
      </c>
      <c r="CR132" s="32">
        <v>0</v>
      </c>
      <c r="CS132" s="32">
        <v>0</v>
      </c>
      <c r="CT132" s="32">
        <v>0</v>
      </c>
      <c r="CU132" s="32">
        <v>0</v>
      </c>
      <c r="CV132" s="32">
        <v>0</v>
      </c>
      <c r="CW132" s="32">
        <v>0</v>
      </c>
      <c r="CX132" s="32">
        <v>0</v>
      </c>
      <c r="CY132" s="32">
        <v>0</v>
      </c>
      <c r="CZ132" s="32">
        <v>0</v>
      </c>
      <c r="DA132" s="32">
        <v>0</v>
      </c>
      <c r="DB132" s="32">
        <v>1</v>
      </c>
      <c r="DC132" s="32">
        <v>2</v>
      </c>
      <c r="DD132" s="32">
        <v>0</v>
      </c>
      <c r="DE132" s="32">
        <v>0</v>
      </c>
      <c r="DF132" s="32">
        <v>0</v>
      </c>
      <c r="DG132" s="32">
        <v>0</v>
      </c>
      <c r="DH132" s="32">
        <v>0</v>
      </c>
      <c r="DI132" s="32">
        <v>0</v>
      </c>
      <c r="DJ132" s="32">
        <v>0</v>
      </c>
      <c r="DK132" s="32">
        <v>0</v>
      </c>
      <c r="DL132" s="32">
        <v>0</v>
      </c>
      <c r="DM132" s="32">
        <v>0</v>
      </c>
      <c r="DN132" s="32">
        <v>0</v>
      </c>
      <c r="DO132" s="32">
        <v>0</v>
      </c>
      <c r="DP132" s="32">
        <v>0</v>
      </c>
      <c r="DQ132" s="32">
        <v>0</v>
      </c>
      <c r="DR132" s="32">
        <v>0</v>
      </c>
      <c r="DS132" s="32">
        <v>0</v>
      </c>
      <c r="DT132" s="32">
        <v>0</v>
      </c>
      <c r="DU132" s="32">
        <v>0</v>
      </c>
      <c r="DV132" s="32">
        <v>0</v>
      </c>
      <c r="DW132" s="32">
        <v>5</v>
      </c>
      <c r="DX132" s="32">
        <v>0</v>
      </c>
      <c r="DY132" s="32">
        <v>0</v>
      </c>
      <c r="DZ132" s="32">
        <v>0</v>
      </c>
      <c r="EA132" s="32">
        <v>0</v>
      </c>
      <c r="EB132" s="32">
        <v>0</v>
      </c>
      <c r="EC132" s="32">
        <v>5</v>
      </c>
      <c r="ED132" s="32">
        <v>5</v>
      </c>
      <c r="EE132" s="32">
        <v>5</v>
      </c>
      <c r="EF132" s="32">
        <v>0</v>
      </c>
      <c r="EG132" s="32">
        <v>9</v>
      </c>
      <c r="EH132" s="32">
        <v>15</v>
      </c>
      <c r="EI132" s="32">
        <v>12</v>
      </c>
      <c r="EJ132" s="32">
        <v>21</v>
      </c>
      <c r="EK132" s="32">
        <v>19</v>
      </c>
      <c r="EL132" s="32">
        <v>19</v>
      </c>
      <c r="EM132" s="32">
        <v>15</v>
      </c>
      <c r="EN132" s="32">
        <v>19</v>
      </c>
      <c r="EO132" s="32">
        <v>0</v>
      </c>
      <c r="EP132" s="32">
        <v>0</v>
      </c>
      <c r="EQ132" s="32">
        <v>0</v>
      </c>
      <c r="ER132" s="32">
        <v>0</v>
      </c>
      <c r="ES132" s="32">
        <v>0</v>
      </c>
      <c r="ET132" s="32">
        <v>0</v>
      </c>
      <c r="EU132" s="32">
        <v>0</v>
      </c>
      <c r="EV132" s="32">
        <v>0</v>
      </c>
      <c r="EW132" s="32">
        <v>0</v>
      </c>
      <c r="EX132" s="32">
        <v>0</v>
      </c>
      <c r="EY132" s="32">
        <v>16</v>
      </c>
      <c r="EZ132" s="32">
        <v>15</v>
      </c>
      <c r="FA132" s="32">
        <v>4</v>
      </c>
      <c r="FB132" s="32">
        <v>6</v>
      </c>
      <c r="FC132" s="32">
        <v>6</v>
      </c>
      <c r="FD132" s="32">
        <v>0</v>
      </c>
      <c r="FE132" s="32">
        <v>0</v>
      </c>
      <c r="FF132" s="32">
        <v>0</v>
      </c>
      <c r="FG132" s="32">
        <v>0</v>
      </c>
      <c r="FH132" s="32">
        <v>0</v>
      </c>
      <c r="FI132" s="32">
        <v>0</v>
      </c>
      <c r="FJ132" s="32">
        <v>0</v>
      </c>
      <c r="FK132" s="32">
        <v>13</v>
      </c>
      <c r="FL132" s="32"/>
      <c r="FM132" s="32"/>
      <c r="FN132" s="32"/>
      <c r="FR132" s="32">
        <f t="shared" si="178"/>
        <v>0</v>
      </c>
      <c r="FS132" s="32">
        <f t="shared" si="179"/>
        <v>0</v>
      </c>
      <c r="FT132" s="32">
        <f t="shared" si="180"/>
        <v>0</v>
      </c>
      <c r="FU132" s="32">
        <f t="shared" si="181"/>
        <v>0</v>
      </c>
      <c r="FV132" s="32">
        <f t="shared" si="182"/>
        <v>0</v>
      </c>
      <c r="FW132" s="32">
        <f t="shared" si="183"/>
        <v>0</v>
      </c>
      <c r="FX132" s="32">
        <f t="shared" si="184"/>
        <v>0</v>
      </c>
      <c r="FY132" s="32">
        <f t="shared" si="185"/>
        <v>0</v>
      </c>
      <c r="FZ132" s="32">
        <f t="shared" si="186"/>
        <v>0</v>
      </c>
      <c r="GA132" s="32">
        <f t="shared" si="187"/>
        <v>0</v>
      </c>
      <c r="GB132" s="32">
        <f t="shared" si="188"/>
        <v>0</v>
      </c>
      <c r="GC132" s="32">
        <f t="shared" si="189"/>
        <v>0</v>
      </c>
      <c r="GD132" s="32">
        <f t="shared" si="190"/>
        <v>0</v>
      </c>
      <c r="GE132" s="32">
        <f t="shared" si="191"/>
        <v>0</v>
      </c>
      <c r="GF132" s="32">
        <f t="shared" si="192"/>
        <v>0</v>
      </c>
      <c r="GG132" s="32">
        <f t="shared" si="193"/>
        <v>0</v>
      </c>
      <c r="GH132" s="32">
        <f t="shared" si="194"/>
        <v>0</v>
      </c>
      <c r="GI132" s="32">
        <f t="shared" si="195"/>
        <v>0</v>
      </c>
      <c r="GJ132" s="32">
        <f t="shared" si="196"/>
        <v>0</v>
      </c>
      <c r="GK132" s="32">
        <f t="shared" si="197"/>
        <v>0</v>
      </c>
      <c r="GL132" s="32">
        <f t="shared" si="198"/>
        <v>0</v>
      </c>
      <c r="GM132" s="32">
        <f t="shared" si="199"/>
        <v>0</v>
      </c>
      <c r="GN132" s="32">
        <f t="shared" si="200"/>
        <v>0</v>
      </c>
      <c r="GO132" s="32">
        <f t="shared" si="201"/>
        <v>0</v>
      </c>
      <c r="GP132" s="32">
        <f t="shared" si="202"/>
        <v>5</v>
      </c>
      <c r="GQ132" s="32">
        <f t="shared" si="203"/>
        <v>6</v>
      </c>
      <c r="GR132" s="32">
        <f t="shared" si="204"/>
        <v>1</v>
      </c>
      <c r="GS132" s="32">
        <f t="shared" si="205"/>
        <v>1</v>
      </c>
      <c r="GT132" s="32">
        <f t="shared" si="206"/>
        <v>0</v>
      </c>
      <c r="GU132" s="32">
        <f t="shared" si="207"/>
        <v>2</v>
      </c>
      <c r="GV132" s="32">
        <f t="shared" si="208"/>
        <v>0</v>
      </c>
      <c r="GW132" s="32">
        <f t="shared" si="209"/>
        <v>0</v>
      </c>
      <c r="GX132" s="32">
        <f t="shared" si="210"/>
        <v>0</v>
      </c>
      <c r="GY132" s="32">
        <f t="shared" si="211"/>
        <v>0</v>
      </c>
      <c r="GZ132" s="32">
        <f t="shared" si="247"/>
        <v>3</v>
      </c>
      <c r="HA132" s="32">
        <f t="shared" si="248"/>
        <v>0</v>
      </c>
      <c r="HB132" s="32">
        <f t="shared" si="249"/>
        <v>0</v>
      </c>
      <c r="HC132" s="32">
        <f t="shared" si="250"/>
        <v>0</v>
      </c>
      <c r="HD132" s="32">
        <f t="shared" si="251"/>
        <v>0</v>
      </c>
      <c r="HE132" s="32">
        <f t="shared" si="252"/>
        <v>0</v>
      </c>
      <c r="HF132" s="32">
        <f t="shared" si="253"/>
        <v>0</v>
      </c>
      <c r="HG132" s="32">
        <f t="shared" si="254"/>
        <v>5</v>
      </c>
      <c r="HH132" s="32">
        <f t="shared" si="255"/>
        <v>0</v>
      </c>
      <c r="HI132" s="32">
        <f t="shared" si="256"/>
        <v>10</v>
      </c>
      <c r="HJ132" s="32">
        <f t="shared" si="257"/>
        <v>14</v>
      </c>
      <c r="HK132" s="32">
        <f t="shared" si="258"/>
        <v>48</v>
      </c>
      <c r="HL132" s="32">
        <f t="shared" si="259"/>
        <v>53</v>
      </c>
      <c r="HM132" s="32">
        <f t="shared" si="260"/>
        <v>19</v>
      </c>
      <c r="HN132" s="32">
        <f t="shared" si="125"/>
        <v>14</v>
      </c>
      <c r="HO132" s="32">
        <f t="shared" si="126"/>
        <v>48</v>
      </c>
      <c r="HP132" s="32">
        <f t="shared" si="127"/>
        <v>53</v>
      </c>
      <c r="HQ132" s="32">
        <f t="shared" si="128"/>
        <v>19</v>
      </c>
      <c r="HR132" s="32">
        <f t="shared" si="226"/>
        <v>0</v>
      </c>
      <c r="HS132" s="32">
        <f t="shared" si="122"/>
        <v>0</v>
      </c>
      <c r="HT132" s="32">
        <f t="shared" si="227"/>
        <v>16</v>
      </c>
      <c r="HU132" s="32">
        <f t="shared" si="272"/>
        <v>25</v>
      </c>
      <c r="HV132" s="32">
        <f t="shared" si="273"/>
        <v>6</v>
      </c>
      <c r="HW132" s="32">
        <f t="shared" si="274"/>
        <v>0</v>
      </c>
      <c r="HX132" s="32">
        <f t="shared" si="275"/>
        <v>13</v>
      </c>
      <c r="IB132" s="32">
        <f t="shared" si="232"/>
        <v>0</v>
      </c>
      <c r="IC132" s="32">
        <f t="shared" si="233"/>
        <v>0</v>
      </c>
      <c r="ID132" s="32">
        <f t="shared" si="234"/>
        <v>0</v>
      </c>
      <c r="IE132" s="32">
        <f t="shared" si="235"/>
        <v>0</v>
      </c>
      <c r="IF132" s="32">
        <f t="shared" si="236"/>
        <v>0</v>
      </c>
      <c r="IG132" s="32">
        <f t="shared" si="237"/>
        <v>0</v>
      </c>
      <c r="IH132" s="32">
        <f t="shared" si="238"/>
        <v>13</v>
      </c>
      <c r="II132" s="32">
        <f t="shared" si="239"/>
        <v>2</v>
      </c>
      <c r="IJ132" s="32">
        <f t="shared" si="261"/>
        <v>3</v>
      </c>
      <c r="IK132" s="32">
        <f t="shared" si="262"/>
        <v>0</v>
      </c>
      <c r="IL132" s="32">
        <f t="shared" si="263"/>
        <v>15</v>
      </c>
      <c r="IM132" s="32">
        <f t="shared" si="264"/>
        <v>134</v>
      </c>
      <c r="IN132" s="32">
        <f t="shared" si="276"/>
        <v>41</v>
      </c>
    </row>
    <row r="133" spans="1:248" outlineLevel="2" x14ac:dyDescent="0.3">
      <c r="B133" t="s">
        <v>76</v>
      </c>
      <c r="C133" s="23">
        <v>0</v>
      </c>
      <c r="D133" s="23">
        <v>0</v>
      </c>
      <c r="E133" s="23">
        <v>0</v>
      </c>
      <c r="F133" s="23">
        <v>0</v>
      </c>
      <c r="G133" s="23">
        <v>0</v>
      </c>
      <c r="H133" s="23">
        <v>0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  <c r="AA133" s="32">
        <v>0</v>
      </c>
      <c r="AB133" s="32">
        <v>0</v>
      </c>
      <c r="AC133" s="32">
        <v>0</v>
      </c>
      <c r="AD133" s="32">
        <v>0</v>
      </c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2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2">
        <v>0</v>
      </c>
      <c r="BA133" s="32">
        <v>0</v>
      </c>
      <c r="BB133" s="32">
        <v>0</v>
      </c>
      <c r="BC133" s="32">
        <v>0</v>
      </c>
      <c r="BD133" s="32">
        <v>0</v>
      </c>
      <c r="BE133" s="32">
        <v>0</v>
      </c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2">
        <v>0</v>
      </c>
      <c r="BP133" s="32">
        <v>0</v>
      </c>
      <c r="BQ133" s="32">
        <v>0</v>
      </c>
      <c r="BR133" s="32">
        <v>0</v>
      </c>
      <c r="BS133" s="32">
        <v>0</v>
      </c>
      <c r="BT133" s="32">
        <v>0</v>
      </c>
      <c r="BU133" s="32">
        <v>0</v>
      </c>
      <c r="BV133" s="32">
        <v>0</v>
      </c>
      <c r="BW133" s="32">
        <v>0</v>
      </c>
      <c r="BX133" s="32">
        <v>8</v>
      </c>
      <c r="BY133" s="32">
        <v>24</v>
      </c>
      <c r="BZ133" s="32">
        <v>0</v>
      </c>
      <c r="CA133" s="32">
        <v>18</v>
      </c>
      <c r="CB133" s="32">
        <v>33</v>
      </c>
      <c r="CC133" s="32">
        <v>27</v>
      </c>
      <c r="CD133" s="32">
        <v>21</v>
      </c>
      <c r="CE133" s="32">
        <v>17</v>
      </c>
      <c r="CF133" s="32">
        <v>26</v>
      </c>
      <c r="CG133" s="32">
        <v>7</v>
      </c>
      <c r="CH133" s="32">
        <v>24</v>
      </c>
      <c r="CI133" s="32">
        <v>9</v>
      </c>
      <c r="CJ133" s="32">
        <v>8</v>
      </c>
      <c r="CK133" s="32">
        <v>0</v>
      </c>
      <c r="CL133" s="32">
        <v>0</v>
      </c>
      <c r="CM133" s="32">
        <v>7</v>
      </c>
      <c r="CN133" s="32">
        <v>28</v>
      </c>
      <c r="CO133" s="32">
        <v>8</v>
      </c>
      <c r="CP133" s="32">
        <v>5</v>
      </c>
      <c r="CQ133" s="32">
        <v>11</v>
      </c>
      <c r="CR133" s="32">
        <v>0</v>
      </c>
      <c r="CS133" s="32">
        <v>0</v>
      </c>
      <c r="CT133" s="32">
        <v>0</v>
      </c>
      <c r="CU133" s="32">
        <v>0</v>
      </c>
      <c r="CV133" s="32">
        <v>8</v>
      </c>
      <c r="CW133" s="32">
        <v>4</v>
      </c>
      <c r="CX133" s="32">
        <v>4</v>
      </c>
      <c r="CY133" s="32">
        <v>20</v>
      </c>
      <c r="CZ133" s="32">
        <v>5</v>
      </c>
      <c r="DA133" s="32">
        <v>8</v>
      </c>
      <c r="DB133" s="32">
        <v>28</v>
      </c>
      <c r="DC133" s="32">
        <v>20</v>
      </c>
      <c r="DD133" s="32">
        <v>30</v>
      </c>
      <c r="DE133" s="32">
        <v>0</v>
      </c>
      <c r="DF133" s="32">
        <v>0</v>
      </c>
      <c r="DG133" s="32">
        <v>0</v>
      </c>
      <c r="DH133" s="32">
        <v>0</v>
      </c>
      <c r="DI133" s="32">
        <v>0</v>
      </c>
      <c r="DJ133" s="32">
        <v>0</v>
      </c>
      <c r="DK133" s="32">
        <v>0</v>
      </c>
      <c r="DL133" s="32">
        <v>0</v>
      </c>
      <c r="DM133" s="32">
        <v>0</v>
      </c>
      <c r="DN133" s="32">
        <v>0</v>
      </c>
      <c r="DO133" s="32">
        <v>0</v>
      </c>
      <c r="DP133" s="32">
        <v>0</v>
      </c>
      <c r="DQ133" s="32">
        <v>0</v>
      </c>
      <c r="DR133" s="32">
        <v>0</v>
      </c>
      <c r="DS133" s="32">
        <v>0</v>
      </c>
      <c r="DT133" s="32">
        <v>0</v>
      </c>
      <c r="DU133" s="32">
        <v>25</v>
      </c>
      <c r="DV133" s="32">
        <v>25</v>
      </c>
      <c r="DW133" s="32">
        <v>10</v>
      </c>
      <c r="DX133" s="32">
        <v>0</v>
      </c>
      <c r="DY133" s="32">
        <v>6</v>
      </c>
      <c r="DZ133" s="32">
        <v>10</v>
      </c>
      <c r="EA133" s="32">
        <v>10</v>
      </c>
      <c r="EB133" s="32">
        <v>11</v>
      </c>
      <c r="EC133" s="32">
        <v>13</v>
      </c>
      <c r="ED133" s="32">
        <v>13</v>
      </c>
      <c r="EE133" s="32">
        <v>11</v>
      </c>
      <c r="EF133" s="32">
        <v>11</v>
      </c>
      <c r="EG133" s="32">
        <v>11</v>
      </c>
      <c r="EH133" s="32">
        <v>10</v>
      </c>
      <c r="EI133" s="32">
        <v>10</v>
      </c>
      <c r="EJ133" s="32">
        <v>12</v>
      </c>
      <c r="EK133" s="32">
        <v>9</v>
      </c>
      <c r="EL133" s="32">
        <v>15</v>
      </c>
      <c r="EM133" s="32">
        <v>15</v>
      </c>
      <c r="EN133" s="32">
        <v>19</v>
      </c>
      <c r="EO133" s="32">
        <v>15</v>
      </c>
      <c r="EP133" s="32">
        <v>17</v>
      </c>
      <c r="EQ133" s="32">
        <v>8</v>
      </c>
      <c r="ER133" s="32">
        <v>12</v>
      </c>
      <c r="ES133" s="32">
        <v>15</v>
      </c>
      <c r="ET133" s="32">
        <v>12</v>
      </c>
      <c r="EU133" s="32">
        <v>28</v>
      </c>
      <c r="EV133" s="32">
        <v>25</v>
      </c>
      <c r="EW133" s="32">
        <v>47</v>
      </c>
      <c r="EX133" s="32">
        <v>38</v>
      </c>
      <c r="EY133" s="32">
        <v>20</v>
      </c>
      <c r="EZ133" s="32">
        <v>9</v>
      </c>
      <c r="FA133" s="32">
        <v>18</v>
      </c>
      <c r="FB133" s="32">
        <v>20</v>
      </c>
      <c r="FC133" s="32">
        <v>13</v>
      </c>
      <c r="FD133" s="32">
        <v>12</v>
      </c>
      <c r="FE133" s="32">
        <v>10</v>
      </c>
      <c r="FF133" s="32">
        <v>20</v>
      </c>
      <c r="FG133" s="32">
        <v>26</v>
      </c>
      <c r="FH133" s="32">
        <v>21</v>
      </c>
      <c r="FI133" s="32">
        <v>91</v>
      </c>
      <c r="FJ133" s="32">
        <v>61</v>
      </c>
      <c r="FK133" s="32">
        <v>62</v>
      </c>
      <c r="FL133" s="32"/>
      <c r="FM133" s="32"/>
      <c r="FN133" s="32"/>
      <c r="FR133" s="32">
        <f t="shared" si="178"/>
        <v>0</v>
      </c>
      <c r="FS133" s="32">
        <f t="shared" si="179"/>
        <v>0</v>
      </c>
      <c r="FT133" s="32">
        <f t="shared" si="180"/>
        <v>0</v>
      </c>
      <c r="FU133" s="32">
        <f t="shared" si="181"/>
        <v>0</v>
      </c>
      <c r="FV133" s="32">
        <f t="shared" si="182"/>
        <v>0</v>
      </c>
      <c r="FW133" s="32">
        <f t="shared" si="183"/>
        <v>0</v>
      </c>
      <c r="FX133" s="32">
        <f t="shared" si="184"/>
        <v>0</v>
      </c>
      <c r="FY133" s="32">
        <f t="shared" si="185"/>
        <v>0</v>
      </c>
      <c r="FZ133" s="32">
        <f t="shared" si="186"/>
        <v>0</v>
      </c>
      <c r="GA133" s="32">
        <f t="shared" si="187"/>
        <v>0</v>
      </c>
      <c r="GB133" s="32">
        <f t="shared" si="188"/>
        <v>0</v>
      </c>
      <c r="GC133" s="32">
        <f t="shared" si="189"/>
        <v>0</v>
      </c>
      <c r="GD133" s="32">
        <f t="shared" si="190"/>
        <v>0</v>
      </c>
      <c r="GE133" s="32">
        <f t="shared" si="191"/>
        <v>0</v>
      </c>
      <c r="GF133" s="32">
        <f t="shared" si="192"/>
        <v>0</v>
      </c>
      <c r="GG133" s="32">
        <f t="shared" si="193"/>
        <v>0</v>
      </c>
      <c r="GH133" s="32">
        <f t="shared" si="194"/>
        <v>0</v>
      </c>
      <c r="GI133" s="32">
        <f t="shared" si="195"/>
        <v>0</v>
      </c>
      <c r="GJ133" s="32">
        <f t="shared" si="196"/>
        <v>0</v>
      </c>
      <c r="GK133" s="32">
        <f t="shared" si="197"/>
        <v>0</v>
      </c>
      <c r="GL133" s="32">
        <f t="shared" si="198"/>
        <v>0</v>
      </c>
      <c r="GM133" s="32">
        <f t="shared" si="199"/>
        <v>0</v>
      </c>
      <c r="GN133" s="32">
        <f t="shared" si="200"/>
        <v>0</v>
      </c>
      <c r="GO133" s="32">
        <f t="shared" si="201"/>
        <v>0</v>
      </c>
      <c r="GP133" s="32">
        <f t="shared" si="202"/>
        <v>32</v>
      </c>
      <c r="GQ133" s="32">
        <f t="shared" si="203"/>
        <v>51</v>
      </c>
      <c r="GR133" s="32">
        <f t="shared" si="204"/>
        <v>65</v>
      </c>
      <c r="GS133" s="32">
        <f t="shared" si="205"/>
        <v>57</v>
      </c>
      <c r="GT133" s="32">
        <f t="shared" si="206"/>
        <v>17</v>
      </c>
      <c r="GU133" s="32">
        <f t="shared" si="207"/>
        <v>35</v>
      </c>
      <c r="GV133" s="32">
        <f t="shared" si="208"/>
        <v>24</v>
      </c>
      <c r="GW133" s="32">
        <f t="shared" si="209"/>
        <v>0</v>
      </c>
      <c r="GX133" s="32">
        <f t="shared" si="210"/>
        <v>12</v>
      </c>
      <c r="GY133" s="32">
        <f t="shared" si="211"/>
        <v>29</v>
      </c>
      <c r="GZ133" s="32">
        <f t="shared" si="247"/>
        <v>56</v>
      </c>
      <c r="HA133" s="32">
        <f t="shared" si="248"/>
        <v>30</v>
      </c>
      <c r="HB133" s="32">
        <f t="shared" si="249"/>
        <v>0</v>
      </c>
      <c r="HC133" s="32">
        <f t="shared" si="250"/>
        <v>0</v>
      </c>
      <c r="HD133" s="32">
        <f t="shared" si="251"/>
        <v>0</v>
      </c>
      <c r="HE133" s="32">
        <f t="shared" si="252"/>
        <v>0</v>
      </c>
      <c r="HF133" s="32">
        <f t="shared" si="253"/>
        <v>25</v>
      </c>
      <c r="HG133" s="32">
        <f t="shared" si="254"/>
        <v>35</v>
      </c>
      <c r="HH133" s="32">
        <f t="shared" si="255"/>
        <v>26</v>
      </c>
      <c r="HI133" s="32">
        <f t="shared" si="256"/>
        <v>37</v>
      </c>
      <c r="HJ133" s="32">
        <f t="shared" si="257"/>
        <v>33</v>
      </c>
      <c r="HK133" s="32">
        <f t="shared" si="258"/>
        <v>32</v>
      </c>
      <c r="HL133" s="32">
        <f t="shared" si="259"/>
        <v>39</v>
      </c>
      <c r="HM133" s="32">
        <f t="shared" si="260"/>
        <v>51</v>
      </c>
      <c r="HN133" s="32">
        <f t="shared" si="125"/>
        <v>33</v>
      </c>
      <c r="HO133" s="32">
        <f t="shared" si="126"/>
        <v>32</v>
      </c>
      <c r="HP133" s="32">
        <f t="shared" si="127"/>
        <v>39</v>
      </c>
      <c r="HQ133" s="32">
        <f t="shared" si="128"/>
        <v>51</v>
      </c>
      <c r="HR133" s="32">
        <f t="shared" si="226"/>
        <v>35</v>
      </c>
      <c r="HS133" s="32">
        <f t="shared" si="122"/>
        <v>65</v>
      </c>
      <c r="HT133" s="32">
        <f t="shared" si="227"/>
        <v>105</v>
      </c>
      <c r="HU133" s="32">
        <f t="shared" si="272"/>
        <v>47</v>
      </c>
      <c r="HV133" s="32">
        <f t="shared" si="273"/>
        <v>35</v>
      </c>
      <c r="HW133" s="32">
        <f t="shared" si="274"/>
        <v>67</v>
      </c>
      <c r="HX133" s="32">
        <f t="shared" si="275"/>
        <v>214</v>
      </c>
      <c r="IB133" s="32">
        <f t="shared" si="232"/>
        <v>0</v>
      </c>
      <c r="IC133" s="32">
        <f t="shared" si="233"/>
        <v>0</v>
      </c>
      <c r="ID133" s="32">
        <f t="shared" si="234"/>
        <v>0</v>
      </c>
      <c r="IE133" s="32">
        <f t="shared" si="235"/>
        <v>0</v>
      </c>
      <c r="IF133" s="32">
        <f t="shared" si="236"/>
        <v>0</v>
      </c>
      <c r="IG133" s="32">
        <f t="shared" si="237"/>
        <v>0</v>
      </c>
      <c r="IH133" s="32">
        <f t="shared" si="238"/>
        <v>205</v>
      </c>
      <c r="II133" s="32">
        <f t="shared" si="239"/>
        <v>76</v>
      </c>
      <c r="IJ133" s="32">
        <f t="shared" si="261"/>
        <v>127</v>
      </c>
      <c r="IK133" s="32">
        <f t="shared" si="262"/>
        <v>0</v>
      </c>
      <c r="IL133" s="32">
        <f t="shared" si="263"/>
        <v>123</v>
      </c>
      <c r="IM133" s="32">
        <f t="shared" si="264"/>
        <v>155</v>
      </c>
      <c r="IN133" s="32">
        <f t="shared" si="276"/>
        <v>252</v>
      </c>
    </row>
    <row r="134" spans="1:248" outlineLevel="2" x14ac:dyDescent="0.3">
      <c r="B134" t="s">
        <v>77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32">
        <v>0</v>
      </c>
      <c r="AB134" s="32">
        <v>0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32">
        <v>0</v>
      </c>
      <c r="BJ134" s="32">
        <v>0</v>
      </c>
      <c r="BK134" s="32">
        <v>0</v>
      </c>
      <c r="BL134" s="32">
        <v>0</v>
      </c>
      <c r="BM134" s="32">
        <v>0</v>
      </c>
      <c r="BN134" s="32">
        <v>0</v>
      </c>
      <c r="BO134" s="32">
        <v>0</v>
      </c>
      <c r="BP134" s="32">
        <v>0</v>
      </c>
      <c r="BQ134" s="32">
        <v>0</v>
      </c>
      <c r="BR134" s="32">
        <v>0</v>
      </c>
      <c r="BS134" s="32">
        <v>0</v>
      </c>
      <c r="BT134" s="32">
        <v>0</v>
      </c>
      <c r="BU134" s="32">
        <v>0</v>
      </c>
      <c r="BV134" s="32">
        <v>0</v>
      </c>
      <c r="BW134" s="32">
        <v>0</v>
      </c>
      <c r="BX134" s="32">
        <v>1</v>
      </c>
      <c r="BY134" s="32">
        <v>16</v>
      </c>
      <c r="BZ134" s="32">
        <v>14</v>
      </c>
      <c r="CA134" s="32">
        <v>6</v>
      </c>
      <c r="CB134" s="32">
        <v>12</v>
      </c>
      <c r="CC134" s="32">
        <v>9</v>
      </c>
      <c r="CD134" s="32">
        <v>8</v>
      </c>
      <c r="CE134" s="32">
        <v>5</v>
      </c>
      <c r="CF134" s="32">
        <v>6</v>
      </c>
      <c r="CG134" s="32">
        <v>3</v>
      </c>
      <c r="CH134" s="32">
        <v>13</v>
      </c>
      <c r="CI134" s="32">
        <v>2</v>
      </c>
      <c r="CJ134" s="32">
        <v>23</v>
      </c>
      <c r="CK134" s="32">
        <v>4</v>
      </c>
      <c r="CL134" s="32">
        <v>0</v>
      </c>
      <c r="CM134" s="32">
        <v>6</v>
      </c>
      <c r="CN134" s="32">
        <v>14</v>
      </c>
      <c r="CO134" s="32">
        <v>22</v>
      </c>
      <c r="CP134" s="32">
        <v>13</v>
      </c>
      <c r="CQ134" s="32">
        <v>10</v>
      </c>
      <c r="CR134" s="32">
        <v>0</v>
      </c>
      <c r="CS134" s="32">
        <v>13</v>
      </c>
      <c r="CT134" s="32">
        <v>2</v>
      </c>
      <c r="CU134" s="32">
        <v>12</v>
      </c>
      <c r="CV134" s="32">
        <v>6</v>
      </c>
      <c r="CW134" s="32">
        <v>8</v>
      </c>
      <c r="CX134" s="32">
        <v>22</v>
      </c>
      <c r="CY134" s="32">
        <v>15</v>
      </c>
      <c r="CZ134" s="32">
        <v>14</v>
      </c>
      <c r="DA134" s="32">
        <v>30</v>
      </c>
      <c r="DB134" s="32">
        <v>23</v>
      </c>
      <c r="DC134" s="32">
        <v>23</v>
      </c>
      <c r="DD134" s="32">
        <v>21</v>
      </c>
      <c r="DE134" s="32">
        <v>6</v>
      </c>
      <c r="DF134" s="32">
        <v>0</v>
      </c>
      <c r="DG134" s="32">
        <v>31</v>
      </c>
      <c r="DH134" s="32">
        <v>7</v>
      </c>
      <c r="DI134" s="32">
        <v>11</v>
      </c>
      <c r="DJ134" s="32">
        <v>12</v>
      </c>
      <c r="DK134" s="32">
        <v>0</v>
      </c>
      <c r="DL134" s="32">
        <v>0</v>
      </c>
      <c r="DM134" s="32">
        <v>0</v>
      </c>
      <c r="DN134" s="32">
        <v>0</v>
      </c>
      <c r="DO134" s="32">
        <v>0</v>
      </c>
      <c r="DP134" s="32">
        <v>0</v>
      </c>
      <c r="DQ134" s="32">
        <v>0</v>
      </c>
      <c r="DR134" s="32">
        <v>0</v>
      </c>
      <c r="DS134" s="32">
        <v>0</v>
      </c>
      <c r="DT134" s="32">
        <v>0</v>
      </c>
      <c r="DU134" s="32">
        <v>6</v>
      </c>
      <c r="DV134" s="32">
        <v>7</v>
      </c>
      <c r="DW134" s="32">
        <v>11</v>
      </c>
      <c r="DX134" s="32">
        <v>0</v>
      </c>
      <c r="DY134" s="32">
        <v>4</v>
      </c>
      <c r="DZ134" s="32">
        <v>4</v>
      </c>
      <c r="EA134" s="32">
        <v>14</v>
      </c>
      <c r="EB134" s="32">
        <v>14</v>
      </c>
      <c r="EC134" s="32">
        <v>14</v>
      </c>
      <c r="ED134" s="32">
        <v>14</v>
      </c>
      <c r="EE134" s="32">
        <v>14</v>
      </c>
      <c r="EF134" s="32">
        <v>5</v>
      </c>
      <c r="EG134" s="32">
        <v>9</v>
      </c>
      <c r="EH134" s="32">
        <v>21</v>
      </c>
      <c r="EI134" s="32">
        <v>0</v>
      </c>
      <c r="EJ134" s="32">
        <v>15</v>
      </c>
      <c r="EK134" s="32">
        <v>12</v>
      </c>
      <c r="EL134" s="32">
        <v>12</v>
      </c>
      <c r="EM134" s="32">
        <v>12</v>
      </c>
      <c r="EN134" s="32">
        <v>45</v>
      </c>
      <c r="EO134" s="32">
        <v>15</v>
      </c>
      <c r="EP134" s="32">
        <v>16</v>
      </c>
      <c r="EQ134" s="32">
        <v>10</v>
      </c>
      <c r="ER134" s="32">
        <v>10</v>
      </c>
      <c r="ES134" s="32">
        <v>12</v>
      </c>
      <c r="ET134" s="32">
        <v>12</v>
      </c>
      <c r="EU134" s="32">
        <v>21</v>
      </c>
      <c r="EV134" s="32">
        <v>21</v>
      </c>
      <c r="EW134" s="32">
        <v>27</v>
      </c>
      <c r="EX134" s="32">
        <v>22</v>
      </c>
      <c r="EY134" s="32">
        <v>22</v>
      </c>
      <c r="EZ134" s="32">
        <v>17</v>
      </c>
      <c r="FA134" s="32">
        <v>2</v>
      </c>
      <c r="FB134" s="32">
        <v>5</v>
      </c>
      <c r="FC134" s="32">
        <v>5</v>
      </c>
      <c r="FD134" s="32">
        <v>7</v>
      </c>
      <c r="FE134" s="32">
        <v>4</v>
      </c>
      <c r="FF134" s="32">
        <v>3</v>
      </c>
      <c r="FG134" s="32">
        <v>6</v>
      </c>
      <c r="FH134" s="32">
        <v>6</v>
      </c>
      <c r="FI134" s="32">
        <v>28</v>
      </c>
      <c r="FJ134" s="32">
        <v>16</v>
      </c>
      <c r="FK134" s="32">
        <v>26</v>
      </c>
      <c r="FL134" s="32"/>
      <c r="FM134" s="32"/>
      <c r="FN134" s="32"/>
      <c r="FR134" s="32">
        <f t="shared" si="178"/>
        <v>0</v>
      </c>
      <c r="FS134" s="32">
        <f t="shared" si="179"/>
        <v>0</v>
      </c>
      <c r="FT134" s="32">
        <f t="shared" si="180"/>
        <v>0</v>
      </c>
      <c r="FU134" s="32">
        <f t="shared" si="181"/>
        <v>0</v>
      </c>
      <c r="FV134" s="32">
        <f t="shared" si="182"/>
        <v>0</v>
      </c>
      <c r="FW134" s="32">
        <f t="shared" si="183"/>
        <v>0</v>
      </c>
      <c r="FX134" s="32">
        <f t="shared" si="184"/>
        <v>0</v>
      </c>
      <c r="FY134" s="32">
        <f t="shared" si="185"/>
        <v>0</v>
      </c>
      <c r="FZ134" s="32">
        <f t="shared" si="186"/>
        <v>0</v>
      </c>
      <c r="GA134" s="32">
        <f t="shared" si="187"/>
        <v>0</v>
      </c>
      <c r="GB134" s="32">
        <f t="shared" si="188"/>
        <v>0</v>
      </c>
      <c r="GC134" s="32">
        <f t="shared" si="189"/>
        <v>0</v>
      </c>
      <c r="GD134" s="32">
        <f t="shared" si="190"/>
        <v>0</v>
      </c>
      <c r="GE134" s="32">
        <f t="shared" si="191"/>
        <v>0</v>
      </c>
      <c r="GF134" s="32">
        <f t="shared" si="192"/>
        <v>0</v>
      </c>
      <c r="GG134" s="32">
        <f t="shared" si="193"/>
        <v>0</v>
      </c>
      <c r="GH134" s="32">
        <f t="shared" si="194"/>
        <v>0</v>
      </c>
      <c r="GI134" s="32">
        <f t="shared" si="195"/>
        <v>0</v>
      </c>
      <c r="GJ134" s="32">
        <f t="shared" si="196"/>
        <v>0</v>
      </c>
      <c r="GK134" s="32">
        <f t="shared" si="197"/>
        <v>0</v>
      </c>
      <c r="GL134" s="32">
        <f t="shared" si="198"/>
        <v>0</v>
      </c>
      <c r="GM134" s="32">
        <f t="shared" si="199"/>
        <v>0</v>
      </c>
      <c r="GN134" s="32">
        <f t="shared" si="200"/>
        <v>0</v>
      </c>
      <c r="GO134" s="32">
        <f t="shared" si="201"/>
        <v>0</v>
      </c>
      <c r="GP134" s="32">
        <f t="shared" si="202"/>
        <v>17</v>
      </c>
      <c r="GQ134" s="32">
        <f t="shared" si="203"/>
        <v>32</v>
      </c>
      <c r="GR134" s="32">
        <f t="shared" si="204"/>
        <v>22</v>
      </c>
      <c r="GS134" s="32">
        <f t="shared" si="205"/>
        <v>22</v>
      </c>
      <c r="GT134" s="32">
        <f t="shared" si="206"/>
        <v>29</v>
      </c>
      <c r="GU134" s="32">
        <f t="shared" si="207"/>
        <v>20</v>
      </c>
      <c r="GV134" s="32">
        <f t="shared" si="208"/>
        <v>45</v>
      </c>
      <c r="GW134" s="32">
        <f t="shared" si="209"/>
        <v>15</v>
      </c>
      <c r="GX134" s="32">
        <f t="shared" si="210"/>
        <v>26</v>
      </c>
      <c r="GY134" s="32">
        <f t="shared" si="211"/>
        <v>51</v>
      </c>
      <c r="GZ134" s="32">
        <f t="shared" si="247"/>
        <v>76</v>
      </c>
      <c r="HA134" s="32">
        <f t="shared" si="248"/>
        <v>27</v>
      </c>
      <c r="HB134" s="32">
        <f t="shared" si="249"/>
        <v>38</v>
      </c>
      <c r="HC134" s="32">
        <f t="shared" si="250"/>
        <v>12</v>
      </c>
      <c r="HD134" s="32">
        <f t="shared" si="251"/>
        <v>0</v>
      </c>
      <c r="HE134" s="32">
        <f t="shared" si="252"/>
        <v>0</v>
      </c>
      <c r="HF134" s="32">
        <f t="shared" si="253"/>
        <v>6</v>
      </c>
      <c r="HG134" s="32">
        <f t="shared" si="254"/>
        <v>18</v>
      </c>
      <c r="HH134" s="32">
        <f t="shared" si="255"/>
        <v>22</v>
      </c>
      <c r="HI134" s="32">
        <f t="shared" si="256"/>
        <v>42</v>
      </c>
      <c r="HJ134" s="32">
        <f t="shared" si="257"/>
        <v>28</v>
      </c>
      <c r="HK134" s="32">
        <f t="shared" si="258"/>
        <v>36</v>
      </c>
      <c r="HL134" s="32">
        <f t="shared" si="259"/>
        <v>36</v>
      </c>
      <c r="HM134" s="32">
        <f t="shared" si="260"/>
        <v>76</v>
      </c>
      <c r="HN134" s="32">
        <f t="shared" si="125"/>
        <v>28</v>
      </c>
      <c r="HO134" s="32">
        <f t="shared" si="126"/>
        <v>36</v>
      </c>
      <c r="HP134" s="32">
        <f t="shared" si="127"/>
        <v>36</v>
      </c>
      <c r="HQ134" s="32">
        <f t="shared" si="128"/>
        <v>76</v>
      </c>
      <c r="HR134" s="32">
        <f t="shared" si="226"/>
        <v>32</v>
      </c>
      <c r="HS134" s="32">
        <f t="shared" si="122"/>
        <v>54</v>
      </c>
      <c r="HT134" s="32">
        <f t="shared" si="227"/>
        <v>71</v>
      </c>
      <c r="HU134" s="32">
        <f t="shared" si="272"/>
        <v>24</v>
      </c>
      <c r="HV134" s="32">
        <f t="shared" si="273"/>
        <v>16</v>
      </c>
      <c r="HW134" s="32">
        <f t="shared" si="274"/>
        <v>15</v>
      </c>
      <c r="HX134" s="32">
        <f t="shared" si="275"/>
        <v>70</v>
      </c>
      <c r="IB134" s="32">
        <f t="shared" si="232"/>
        <v>0</v>
      </c>
      <c r="IC134" s="32">
        <f t="shared" si="233"/>
        <v>0</v>
      </c>
      <c r="ID134" s="32">
        <f t="shared" si="234"/>
        <v>0</v>
      </c>
      <c r="IE134" s="32">
        <f t="shared" si="235"/>
        <v>0</v>
      </c>
      <c r="IF134" s="32">
        <f t="shared" si="236"/>
        <v>0</v>
      </c>
      <c r="IG134" s="32">
        <f t="shared" si="237"/>
        <v>0</v>
      </c>
      <c r="IH134" s="32">
        <f t="shared" si="238"/>
        <v>93</v>
      </c>
      <c r="II134" s="32">
        <f t="shared" si="239"/>
        <v>109</v>
      </c>
      <c r="IJ134" s="32">
        <f t="shared" si="261"/>
        <v>180</v>
      </c>
      <c r="IK134" s="32">
        <f t="shared" si="262"/>
        <v>61</v>
      </c>
      <c r="IL134" s="32">
        <f t="shared" si="263"/>
        <v>88</v>
      </c>
      <c r="IM134" s="32">
        <f t="shared" si="264"/>
        <v>176</v>
      </c>
      <c r="IN134" s="32">
        <f t="shared" si="276"/>
        <v>181</v>
      </c>
    </row>
    <row r="135" spans="1:248" outlineLevel="2" x14ac:dyDescent="0.3">
      <c r="B135" t="s">
        <v>78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32">
        <v>0</v>
      </c>
      <c r="AB135" s="32">
        <v>0</v>
      </c>
      <c r="AC135" s="32">
        <v>0</v>
      </c>
      <c r="AD135" s="32">
        <v>0</v>
      </c>
      <c r="AE135" s="32">
        <v>0</v>
      </c>
      <c r="AF135" s="32">
        <v>0</v>
      </c>
      <c r="AG135" s="32">
        <v>0</v>
      </c>
      <c r="AH135" s="32">
        <v>0</v>
      </c>
      <c r="AI135" s="32">
        <v>0</v>
      </c>
      <c r="AJ135" s="32">
        <v>0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2">
        <v>0</v>
      </c>
      <c r="AZ135" s="32">
        <v>0</v>
      </c>
      <c r="BA135" s="32">
        <v>0</v>
      </c>
      <c r="BB135" s="32">
        <v>0</v>
      </c>
      <c r="BC135" s="32">
        <v>0</v>
      </c>
      <c r="BD135" s="32">
        <v>0</v>
      </c>
      <c r="BE135" s="32">
        <v>0</v>
      </c>
      <c r="BF135" s="32">
        <v>0</v>
      </c>
      <c r="BG135" s="32">
        <v>0</v>
      </c>
      <c r="BH135" s="32">
        <v>0</v>
      </c>
      <c r="BI135" s="32">
        <v>0</v>
      </c>
      <c r="BJ135" s="32">
        <v>0</v>
      </c>
      <c r="BK135" s="32">
        <v>0</v>
      </c>
      <c r="BL135" s="32">
        <v>0</v>
      </c>
      <c r="BM135" s="32">
        <v>0</v>
      </c>
      <c r="BN135" s="32">
        <v>0</v>
      </c>
      <c r="BO135" s="32">
        <v>0</v>
      </c>
      <c r="BP135" s="32">
        <v>0</v>
      </c>
      <c r="BQ135" s="32">
        <v>0</v>
      </c>
      <c r="BR135" s="32">
        <v>0</v>
      </c>
      <c r="BS135" s="32">
        <v>0</v>
      </c>
      <c r="BT135" s="32">
        <v>0</v>
      </c>
      <c r="BU135" s="32">
        <v>0</v>
      </c>
      <c r="BV135" s="32">
        <v>0</v>
      </c>
      <c r="BW135" s="32">
        <v>0</v>
      </c>
      <c r="BX135" s="32">
        <v>0</v>
      </c>
      <c r="BY135" s="32">
        <v>0</v>
      </c>
      <c r="BZ135" s="32">
        <v>0</v>
      </c>
      <c r="CA135" s="32">
        <v>0</v>
      </c>
      <c r="CB135" s="32">
        <v>0</v>
      </c>
      <c r="CC135" s="32">
        <v>0</v>
      </c>
      <c r="CD135" s="32">
        <v>0</v>
      </c>
      <c r="CE135" s="32">
        <v>0</v>
      </c>
      <c r="CF135" s="32">
        <v>0</v>
      </c>
      <c r="CG135" s="32">
        <v>0</v>
      </c>
      <c r="CH135" s="32">
        <v>0</v>
      </c>
      <c r="CI135" s="32">
        <v>0</v>
      </c>
      <c r="CJ135" s="32">
        <v>0</v>
      </c>
      <c r="CK135" s="32">
        <v>0</v>
      </c>
      <c r="CL135" s="32">
        <v>0</v>
      </c>
      <c r="CM135" s="32">
        <v>0</v>
      </c>
      <c r="CN135" s="32">
        <v>0</v>
      </c>
      <c r="CO135" s="32">
        <v>0</v>
      </c>
      <c r="CP135" s="32">
        <v>0</v>
      </c>
      <c r="CQ135" s="32">
        <v>0</v>
      </c>
      <c r="CR135" s="32">
        <v>0</v>
      </c>
      <c r="CS135" s="32">
        <v>0</v>
      </c>
      <c r="CT135" s="32">
        <v>0</v>
      </c>
      <c r="CU135" s="32">
        <v>0</v>
      </c>
      <c r="CV135" s="32">
        <v>0</v>
      </c>
      <c r="CW135" s="32">
        <v>0</v>
      </c>
      <c r="CX135" s="32">
        <v>0</v>
      </c>
      <c r="CY135" s="32">
        <v>0</v>
      </c>
      <c r="CZ135" s="32">
        <v>0</v>
      </c>
      <c r="DA135" s="32">
        <v>0</v>
      </c>
      <c r="DB135" s="32">
        <v>0</v>
      </c>
      <c r="DC135" s="32">
        <v>0</v>
      </c>
      <c r="DD135" s="32">
        <v>0</v>
      </c>
      <c r="DE135" s="32">
        <v>0</v>
      </c>
      <c r="DF135" s="32">
        <v>52</v>
      </c>
      <c r="DG135" s="32">
        <v>0</v>
      </c>
      <c r="DH135" s="32">
        <v>0</v>
      </c>
      <c r="DI135" s="32">
        <v>0</v>
      </c>
      <c r="DJ135" s="32">
        <v>0</v>
      </c>
      <c r="DK135" s="32">
        <v>0</v>
      </c>
      <c r="DL135" s="32">
        <v>0</v>
      </c>
      <c r="DM135" s="32">
        <v>0</v>
      </c>
      <c r="DN135" s="32">
        <v>0</v>
      </c>
      <c r="DO135" s="32">
        <v>62</v>
      </c>
      <c r="DP135" s="32">
        <v>0</v>
      </c>
      <c r="DQ135" s="32">
        <v>0</v>
      </c>
      <c r="DR135" s="32">
        <v>0</v>
      </c>
      <c r="DS135" s="32">
        <v>0</v>
      </c>
      <c r="DT135" s="32">
        <v>0</v>
      </c>
      <c r="DU135" s="32">
        <v>0</v>
      </c>
      <c r="DV135" s="32">
        <v>0</v>
      </c>
      <c r="DW135" s="32">
        <v>0</v>
      </c>
      <c r="DX135" s="32">
        <v>0</v>
      </c>
      <c r="DY135" s="32">
        <v>0</v>
      </c>
      <c r="DZ135" s="32">
        <v>0</v>
      </c>
      <c r="EA135" s="32">
        <v>0</v>
      </c>
      <c r="EB135" s="32">
        <v>0</v>
      </c>
      <c r="EC135" s="32">
        <v>0</v>
      </c>
      <c r="ED135" s="32">
        <v>0</v>
      </c>
      <c r="EE135" s="32">
        <v>0</v>
      </c>
      <c r="EF135" s="32">
        <v>0</v>
      </c>
      <c r="EG135" s="32">
        <v>0</v>
      </c>
      <c r="EH135" s="32">
        <v>0</v>
      </c>
      <c r="EI135" s="32">
        <v>0</v>
      </c>
      <c r="EJ135" s="32">
        <v>0</v>
      </c>
      <c r="EK135" s="32">
        <v>0</v>
      </c>
      <c r="EL135" s="32">
        <v>0</v>
      </c>
      <c r="EM135" s="32">
        <v>0</v>
      </c>
      <c r="EN135" s="32">
        <v>0</v>
      </c>
      <c r="EO135" s="32">
        <v>0</v>
      </c>
      <c r="EP135" s="32">
        <v>0</v>
      </c>
      <c r="EQ135" s="32">
        <v>0</v>
      </c>
      <c r="ER135" s="32">
        <v>0</v>
      </c>
      <c r="ES135" s="32">
        <v>0</v>
      </c>
      <c r="ET135" s="32">
        <v>0</v>
      </c>
      <c r="EU135" s="32">
        <v>0</v>
      </c>
      <c r="EV135" s="32">
        <v>0</v>
      </c>
      <c r="EW135" s="32">
        <v>0</v>
      </c>
      <c r="EX135" s="32">
        <v>0</v>
      </c>
      <c r="EY135" s="32">
        <v>0</v>
      </c>
      <c r="EZ135" s="32">
        <v>0</v>
      </c>
      <c r="FA135" s="32">
        <v>0</v>
      </c>
      <c r="FB135" s="32">
        <v>0</v>
      </c>
      <c r="FC135" s="32">
        <v>0</v>
      </c>
      <c r="FD135" s="32">
        <v>0</v>
      </c>
      <c r="FE135" s="32">
        <v>0</v>
      </c>
      <c r="FF135" s="32">
        <v>0</v>
      </c>
      <c r="FG135" s="32">
        <v>0</v>
      </c>
      <c r="FH135" s="32">
        <v>0</v>
      </c>
      <c r="FI135" s="32">
        <v>0</v>
      </c>
      <c r="FJ135" s="32">
        <v>0</v>
      </c>
      <c r="FK135" s="32">
        <v>0</v>
      </c>
      <c r="FL135" s="32"/>
      <c r="FM135" s="32"/>
      <c r="FN135" s="32"/>
      <c r="FR135" s="32">
        <f t="shared" si="178"/>
        <v>0</v>
      </c>
      <c r="FS135" s="32">
        <f t="shared" si="179"/>
        <v>0</v>
      </c>
      <c r="FT135" s="32">
        <f t="shared" si="180"/>
        <v>0</v>
      </c>
      <c r="FU135" s="32">
        <f t="shared" si="181"/>
        <v>0</v>
      </c>
      <c r="FV135" s="32">
        <f t="shared" si="182"/>
        <v>0</v>
      </c>
      <c r="FW135" s="32">
        <f t="shared" si="183"/>
        <v>0</v>
      </c>
      <c r="FX135" s="32">
        <f t="shared" si="184"/>
        <v>0</v>
      </c>
      <c r="FY135" s="32">
        <f t="shared" si="185"/>
        <v>0</v>
      </c>
      <c r="FZ135" s="32">
        <f t="shared" si="186"/>
        <v>0</v>
      </c>
      <c r="GA135" s="32">
        <f t="shared" si="187"/>
        <v>0</v>
      </c>
      <c r="GB135" s="32">
        <f t="shared" si="188"/>
        <v>0</v>
      </c>
      <c r="GC135" s="32">
        <f t="shared" si="189"/>
        <v>0</v>
      </c>
      <c r="GD135" s="32">
        <f t="shared" si="190"/>
        <v>0</v>
      </c>
      <c r="GE135" s="32">
        <f t="shared" si="191"/>
        <v>0</v>
      </c>
      <c r="GF135" s="32">
        <f t="shared" si="192"/>
        <v>0</v>
      </c>
      <c r="GG135" s="32">
        <f t="shared" si="193"/>
        <v>0</v>
      </c>
      <c r="GH135" s="32">
        <f t="shared" si="194"/>
        <v>0</v>
      </c>
      <c r="GI135" s="32">
        <f t="shared" si="195"/>
        <v>0</v>
      </c>
      <c r="GJ135" s="32">
        <f t="shared" si="196"/>
        <v>0</v>
      </c>
      <c r="GK135" s="32">
        <f t="shared" si="197"/>
        <v>0</v>
      </c>
      <c r="GL135" s="32">
        <f t="shared" si="198"/>
        <v>0</v>
      </c>
      <c r="GM135" s="32">
        <f t="shared" si="199"/>
        <v>0</v>
      </c>
      <c r="GN135" s="32">
        <f t="shared" si="200"/>
        <v>0</v>
      </c>
      <c r="GO135" s="32">
        <f t="shared" si="201"/>
        <v>0</v>
      </c>
      <c r="GP135" s="32">
        <f t="shared" si="202"/>
        <v>0</v>
      </c>
      <c r="GQ135" s="32">
        <f t="shared" si="203"/>
        <v>0</v>
      </c>
      <c r="GR135" s="32">
        <f t="shared" si="204"/>
        <v>0</v>
      </c>
      <c r="GS135" s="32">
        <f t="shared" si="205"/>
        <v>0</v>
      </c>
      <c r="GT135" s="32">
        <f t="shared" si="206"/>
        <v>0</v>
      </c>
      <c r="GU135" s="32">
        <f t="shared" si="207"/>
        <v>0</v>
      </c>
      <c r="GV135" s="32">
        <f t="shared" si="208"/>
        <v>0</v>
      </c>
      <c r="GW135" s="32">
        <f t="shared" si="209"/>
        <v>0</v>
      </c>
      <c r="GX135" s="32">
        <f t="shared" si="210"/>
        <v>0</v>
      </c>
      <c r="GY135" s="32">
        <f t="shared" si="211"/>
        <v>0</v>
      </c>
      <c r="GZ135" s="32">
        <f t="shared" si="247"/>
        <v>0</v>
      </c>
      <c r="HA135" s="32">
        <f t="shared" si="248"/>
        <v>52</v>
      </c>
      <c r="HB135" s="32">
        <f t="shared" si="249"/>
        <v>0</v>
      </c>
      <c r="HC135" s="32">
        <f t="shared" si="250"/>
        <v>0</v>
      </c>
      <c r="HD135" s="32">
        <f t="shared" si="251"/>
        <v>62</v>
      </c>
      <c r="HE135" s="32">
        <f t="shared" si="252"/>
        <v>0</v>
      </c>
      <c r="HF135" s="32">
        <f t="shared" si="253"/>
        <v>0</v>
      </c>
      <c r="HG135" s="32">
        <f t="shared" si="254"/>
        <v>0</v>
      </c>
      <c r="HH135" s="32">
        <f t="shared" si="255"/>
        <v>0</v>
      </c>
      <c r="HI135" s="32">
        <f t="shared" si="256"/>
        <v>0</v>
      </c>
      <c r="HJ135" s="32">
        <f t="shared" si="257"/>
        <v>0</v>
      </c>
      <c r="HK135" s="32">
        <f t="shared" si="258"/>
        <v>0</v>
      </c>
      <c r="HL135" s="32">
        <f t="shared" si="259"/>
        <v>0</v>
      </c>
      <c r="HM135" s="32">
        <f t="shared" si="260"/>
        <v>0</v>
      </c>
      <c r="HN135" s="32">
        <f t="shared" si="125"/>
        <v>0</v>
      </c>
      <c r="HO135" s="32">
        <f t="shared" si="126"/>
        <v>0</v>
      </c>
      <c r="HP135" s="32">
        <f t="shared" si="127"/>
        <v>0</v>
      </c>
      <c r="HQ135" s="32">
        <f t="shared" si="128"/>
        <v>0</v>
      </c>
      <c r="HR135" s="32">
        <f t="shared" si="226"/>
        <v>0</v>
      </c>
      <c r="HS135" s="32">
        <f t="shared" si="122"/>
        <v>0</v>
      </c>
      <c r="HT135" s="32">
        <f t="shared" si="227"/>
        <v>0</v>
      </c>
      <c r="HU135" s="32">
        <f t="shared" si="272"/>
        <v>0</v>
      </c>
      <c r="HV135" s="32">
        <f t="shared" si="273"/>
        <v>0</v>
      </c>
      <c r="HW135" s="32">
        <f t="shared" si="274"/>
        <v>0</v>
      </c>
      <c r="HX135" s="32">
        <f t="shared" si="275"/>
        <v>0</v>
      </c>
      <c r="IB135" s="32">
        <f t="shared" si="232"/>
        <v>0</v>
      </c>
      <c r="IC135" s="32">
        <f t="shared" si="233"/>
        <v>0</v>
      </c>
      <c r="ID135" s="32">
        <f t="shared" si="234"/>
        <v>0</v>
      </c>
      <c r="IE135" s="32">
        <f t="shared" si="235"/>
        <v>0</v>
      </c>
      <c r="IF135" s="32">
        <f t="shared" si="236"/>
        <v>0</v>
      </c>
      <c r="IG135" s="32">
        <f t="shared" si="237"/>
        <v>0</v>
      </c>
      <c r="IH135" s="32">
        <f t="shared" si="238"/>
        <v>0</v>
      </c>
      <c r="II135" s="32">
        <f t="shared" si="239"/>
        <v>0</v>
      </c>
      <c r="IJ135" s="32">
        <f t="shared" si="261"/>
        <v>52</v>
      </c>
      <c r="IK135" s="32">
        <f t="shared" si="262"/>
        <v>62</v>
      </c>
      <c r="IL135" s="32">
        <f t="shared" si="263"/>
        <v>0</v>
      </c>
      <c r="IM135" s="32">
        <f t="shared" si="264"/>
        <v>0</v>
      </c>
      <c r="IN135" s="32">
        <f t="shared" si="276"/>
        <v>0</v>
      </c>
    </row>
    <row r="136" spans="1:248" outlineLevel="1" x14ac:dyDescent="0.3">
      <c r="A136" s="15" t="s">
        <v>101</v>
      </c>
      <c r="B136" s="15"/>
      <c r="C136" s="38">
        <v>0</v>
      </c>
      <c r="D136" s="38">
        <v>0</v>
      </c>
      <c r="E136" s="38">
        <v>0</v>
      </c>
      <c r="F136" s="38">
        <v>0</v>
      </c>
      <c r="G136" s="38">
        <v>0</v>
      </c>
      <c r="H136" s="38">
        <v>0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0</v>
      </c>
      <c r="U136" s="38">
        <v>0</v>
      </c>
      <c r="V136" s="38">
        <v>0</v>
      </c>
      <c r="W136" s="38">
        <v>0</v>
      </c>
      <c r="X136" s="38">
        <v>0</v>
      </c>
      <c r="Y136" s="38">
        <v>0</v>
      </c>
      <c r="Z136" s="38">
        <v>0</v>
      </c>
      <c r="AA136" s="39">
        <v>0</v>
      </c>
      <c r="AB136" s="39">
        <v>0</v>
      </c>
      <c r="AC136" s="39">
        <v>0</v>
      </c>
      <c r="AD136" s="39">
        <v>0</v>
      </c>
      <c r="AE136" s="39">
        <v>0</v>
      </c>
      <c r="AF136" s="39">
        <v>0</v>
      </c>
      <c r="AG136" s="39">
        <v>0</v>
      </c>
      <c r="AH136" s="39">
        <v>0</v>
      </c>
      <c r="AI136" s="39">
        <v>0</v>
      </c>
      <c r="AJ136" s="39">
        <v>0</v>
      </c>
      <c r="AK136" s="39">
        <v>0</v>
      </c>
      <c r="AL136" s="39">
        <v>0</v>
      </c>
      <c r="AM136" s="39">
        <v>0</v>
      </c>
      <c r="AN136" s="39">
        <v>0</v>
      </c>
      <c r="AO136" s="39">
        <v>0</v>
      </c>
      <c r="AP136" s="39">
        <v>0</v>
      </c>
      <c r="AQ136" s="39">
        <v>0</v>
      </c>
      <c r="AR136" s="39">
        <v>0</v>
      </c>
      <c r="AS136" s="39">
        <v>0</v>
      </c>
      <c r="AT136" s="39">
        <v>0</v>
      </c>
      <c r="AU136" s="39">
        <v>0</v>
      </c>
      <c r="AV136" s="39">
        <v>0</v>
      </c>
      <c r="AW136" s="39">
        <v>0</v>
      </c>
      <c r="AX136" s="39">
        <v>0</v>
      </c>
      <c r="AY136" s="39">
        <v>0</v>
      </c>
      <c r="AZ136" s="39">
        <v>0</v>
      </c>
      <c r="BA136" s="39">
        <v>0</v>
      </c>
      <c r="BB136" s="39">
        <v>0</v>
      </c>
      <c r="BC136" s="39">
        <v>0</v>
      </c>
      <c r="BD136" s="39">
        <v>0</v>
      </c>
      <c r="BE136" s="39">
        <v>0</v>
      </c>
      <c r="BF136" s="39">
        <v>0</v>
      </c>
      <c r="BG136" s="39">
        <v>0</v>
      </c>
      <c r="BH136" s="39">
        <v>0</v>
      </c>
      <c r="BI136" s="39">
        <v>0</v>
      </c>
      <c r="BJ136" s="39">
        <v>0</v>
      </c>
      <c r="BK136" s="39">
        <v>0</v>
      </c>
      <c r="BL136" s="39">
        <v>0</v>
      </c>
      <c r="BM136" s="39">
        <v>0</v>
      </c>
      <c r="BN136" s="39">
        <v>0</v>
      </c>
      <c r="BO136" s="39">
        <v>0</v>
      </c>
      <c r="BP136" s="39">
        <v>0</v>
      </c>
      <c r="BQ136" s="39">
        <v>0</v>
      </c>
      <c r="BR136" s="39">
        <v>0</v>
      </c>
      <c r="BS136" s="39">
        <v>0</v>
      </c>
      <c r="BT136" s="39">
        <v>0</v>
      </c>
      <c r="BU136" s="39">
        <v>0</v>
      </c>
      <c r="BV136" s="39">
        <v>0</v>
      </c>
      <c r="BW136" s="39">
        <v>0</v>
      </c>
      <c r="BX136" s="39">
        <v>13</v>
      </c>
      <c r="BY136" s="39">
        <v>41</v>
      </c>
      <c r="BZ136" s="39">
        <v>14</v>
      </c>
      <c r="CA136" s="39">
        <v>30</v>
      </c>
      <c r="CB136" s="39">
        <v>45</v>
      </c>
      <c r="CC136" s="39">
        <v>37</v>
      </c>
      <c r="CD136" s="39">
        <v>29</v>
      </c>
      <c r="CE136" s="39">
        <v>22</v>
      </c>
      <c r="CF136" s="39">
        <v>32</v>
      </c>
      <c r="CG136" s="39">
        <v>11</v>
      </c>
      <c r="CH136" s="39">
        <v>37</v>
      </c>
      <c r="CI136" s="39">
        <v>11</v>
      </c>
      <c r="CJ136" s="39">
        <v>31</v>
      </c>
      <c r="CK136" s="39">
        <v>4</v>
      </c>
      <c r="CL136" s="39">
        <v>0</v>
      </c>
      <c r="CM136" s="39">
        <v>15</v>
      </c>
      <c r="CN136" s="39">
        <v>42</v>
      </c>
      <c r="CO136" s="39">
        <v>30</v>
      </c>
      <c r="CP136" s="39">
        <v>18</v>
      </c>
      <c r="CQ136" s="39">
        <v>21</v>
      </c>
      <c r="CR136" s="39">
        <v>0</v>
      </c>
      <c r="CS136" s="39">
        <v>13</v>
      </c>
      <c r="CT136" s="39">
        <v>2</v>
      </c>
      <c r="CU136" s="39">
        <v>12</v>
      </c>
      <c r="CV136" s="39">
        <v>14</v>
      </c>
      <c r="CW136" s="39">
        <v>12</v>
      </c>
      <c r="CX136" s="39">
        <v>26</v>
      </c>
      <c r="CY136" s="39">
        <v>35</v>
      </c>
      <c r="CZ136" s="39">
        <v>19</v>
      </c>
      <c r="DA136" s="39">
        <v>38</v>
      </c>
      <c r="DB136" s="39">
        <v>52</v>
      </c>
      <c r="DC136" s="39">
        <v>45</v>
      </c>
      <c r="DD136" s="39">
        <v>51</v>
      </c>
      <c r="DE136" s="39">
        <v>6</v>
      </c>
      <c r="DF136" s="39">
        <v>52</v>
      </c>
      <c r="DG136" s="39">
        <v>31</v>
      </c>
      <c r="DH136" s="39">
        <v>7</v>
      </c>
      <c r="DI136" s="39">
        <v>11</v>
      </c>
      <c r="DJ136" s="39">
        <v>12</v>
      </c>
      <c r="DK136" s="39">
        <v>0</v>
      </c>
      <c r="DL136" s="39">
        <v>0</v>
      </c>
      <c r="DM136" s="39">
        <v>0</v>
      </c>
      <c r="DN136" s="39">
        <v>0</v>
      </c>
      <c r="DO136" s="39">
        <v>62</v>
      </c>
      <c r="DP136" s="39">
        <v>0</v>
      </c>
      <c r="DQ136" s="39">
        <v>0</v>
      </c>
      <c r="DR136" s="39">
        <v>0</v>
      </c>
      <c r="DS136" s="39">
        <v>0</v>
      </c>
      <c r="DT136" s="39">
        <v>0</v>
      </c>
      <c r="DU136" s="39">
        <v>31</v>
      </c>
      <c r="DV136" s="39">
        <v>32</v>
      </c>
      <c r="DW136" s="39">
        <v>26</v>
      </c>
      <c r="DX136" s="39">
        <v>0</v>
      </c>
      <c r="DY136" s="39">
        <v>10</v>
      </c>
      <c r="DZ136" s="39">
        <v>14</v>
      </c>
      <c r="EA136" s="39">
        <v>24</v>
      </c>
      <c r="EB136" s="39">
        <v>25</v>
      </c>
      <c r="EC136" s="39">
        <v>32</v>
      </c>
      <c r="ED136" s="39">
        <v>32</v>
      </c>
      <c r="EE136" s="39">
        <v>30</v>
      </c>
      <c r="EF136" s="39">
        <v>16</v>
      </c>
      <c r="EG136" s="39">
        <v>29</v>
      </c>
      <c r="EH136" s="39">
        <v>46</v>
      </c>
      <c r="EI136" s="39">
        <v>22</v>
      </c>
      <c r="EJ136" s="39">
        <v>48</v>
      </c>
      <c r="EK136" s="39">
        <v>40</v>
      </c>
      <c r="EL136" s="39">
        <v>46</v>
      </c>
      <c r="EM136" s="39">
        <v>42</v>
      </c>
      <c r="EN136" s="39">
        <v>83</v>
      </c>
      <c r="EO136" s="39">
        <v>30</v>
      </c>
      <c r="EP136" s="39">
        <v>33</v>
      </c>
      <c r="EQ136" s="39">
        <v>18</v>
      </c>
      <c r="ER136" s="39">
        <v>22</v>
      </c>
      <c r="ES136" s="39">
        <v>27</v>
      </c>
      <c r="ET136" s="39">
        <v>24</v>
      </c>
      <c r="EU136" s="39">
        <v>49</v>
      </c>
      <c r="EV136" s="39">
        <v>46</v>
      </c>
      <c r="EW136" s="39">
        <v>74</v>
      </c>
      <c r="EX136" s="39">
        <v>60</v>
      </c>
      <c r="EY136" s="39">
        <v>58</v>
      </c>
      <c r="EZ136" s="39">
        <v>41</v>
      </c>
      <c r="FA136" s="39">
        <v>24</v>
      </c>
      <c r="FB136" s="39">
        <v>31</v>
      </c>
      <c r="FC136" s="39">
        <v>24</v>
      </c>
      <c r="FD136" s="39">
        <v>19</v>
      </c>
      <c r="FE136" s="39">
        <v>14</v>
      </c>
      <c r="FF136" s="39">
        <v>23</v>
      </c>
      <c r="FG136" s="39">
        <v>32</v>
      </c>
      <c r="FH136" s="39">
        <v>27</v>
      </c>
      <c r="FI136" s="39">
        <v>119</v>
      </c>
      <c r="FJ136" s="39">
        <v>77</v>
      </c>
      <c r="FK136" s="39">
        <v>101</v>
      </c>
      <c r="FL136" s="40"/>
      <c r="FM136" s="40"/>
      <c r="FN136" s="40"/>
      <c r="FR136" s="39">
        <f t="shared" si="178"/>
        <v>0</v>
      </c>
      <c r="FS136" s="39">
        <f t="shared" si="179"/>
        <v>0</v>
      </c>
      <c r="FT136" s="39">
        <f t="shared" si="180"/>
        <v>0</v>
      </c>
      <c r="FU136" s="39">
        <f t="shared" si="181"/>
        <v>0</v>
      </c>
      <c r="FV136" s="39">
        <f t="shared" si="182"/>
        <v>0</v>
      </c>
      <c r="FW136" s="39">
        <f t="shared" si="183"/>
        <v>0</v>
      </c>
      <c r="FX136" s="39">
        <f t="shared" si="184"/>
        <v>0</v>
      </c>
      <c r="FY136" s="39">
        <f t="shared" si="185"/>
        <v>0</v>
      </c>
      <c r="FZ136" s="39">
        <f t="shared" si="186"/>
        <v>0</v>
      </c>
      <c r="GA136" s="39">
        <f t="shared" si="187"/>
        <v>0</v>
      </c>
      <c r="GB136" s="39">
        <f t="shared" si="188"/>
        <v>0</v>
      </c>
      <c r="GC136" s="39">
        <f t="shared" si="189"/>
        <v>0</v>
      </c>
      <c r="GD136" s="39">
        <f t="shared" si="190"/>
        <v>0</v>
      </c>
      <c r="GE136" s="39">
        <f t="shared" si="191"/>
        <v>0</v>
      </c>
      <c r="GF136" s="39">
        <f t="shared" si="192"/>
        <v>0</v>
      </c>
      <c r="GG136" s="39">
        <f t="shared" si="193"/>
        <v>0</v>
      </c>
      <c r="GH136" s="39">
        <f t="shared" si="194"/>
        <v>0</v>
      </c>
      <c r="GI136" s="39">
        <f t="shared" si="195"/>
        <v>0</v>
      </c>
      <c r="GJ136" s="39">
        <f t="shared" si="196"/>
        <v>0</v>
      </c>
      <c r="GK136" s="39">
        <f t="shared" si="197"/>
        <v>0</v>
      </c>
      <c r="GL136" s="39">
        <f t="shared" si="198"/>
        <v>0</v>
      </c>
      <c r="GM136" s="39">
        <f t="shared" si="199"/>
        <v>0</v>
      </c>
      <c r="GN136" s="39">
        <f t="shared" si="200"/>
        <v>0</v>
      </c>
      <c r="GO136" s="39">
        <f t="shared" si="201"/>
        <v>0</v>
      </c>
      <c r="GP136" s="39">
        <f t="shared" si="202"/>
        <v>54</v>
      </c>
      <c r="GQ136" s="39">
        <f t="shared" si="203"/>
        <v>89</v>
      </c>
      <c r="GR136" s="39">
        <f t="shared" si="204"/>
        <v>88</v>
      </c>
      <c r="GS136" s="39">
        <f t="shared" si="205"/>
        <v>80</v>
      </c>
      <c r="GT136" s="39">
        <f t="shared" si="206"/>
        <v>46</v>
      </c>
      <c r="GU136" s="39">
        <f t="shared" si="207"/>
        <v>57</v>
      </c>
      <c r="GV136" s="39">
        <f t="shared" si="208"/>
        <v>69</v>
      </c>
      <c r="GW136" s="39">
        <f t="shared" si="209"/>
        <v>15</v>
      </c>
      <c r="GX136" s="39">
        <f t="shared" si="210"/>
        <v>38</v>
      </c>
      <c r="GY136" s="39">
        <f t="shared" si="211"/>
        <v>80</v>
      </c>
      <c r="GZ136" s="39">
        <f t="shared" si="247"/>
        <v>135</v>
      </c>
      <c r="HA136" s="39">
        <f t="shared" si="248"/>
        <v>109</v>
      </c>
      <c r="HB136" s="39">
        <f t="shared" si="249"/>
        <v>38</v>
      </c>
      <c r="HC136" s="39">
        <f t="shared" si="250"/>
        <v>12</v>
      </c>
      <c r="HD136" s="39">
        <f t="shared" si="251"/>
        <v>62</v>
      </c>
      <c r="HE136" s="39">
        <f t="shared" si="252"/>
        <v>0</v>
      </c>
      <c r="HF136" s="39">
        <f t="shared" si="253"/>
        <v>31</v>
      </c>
      <c r="HG136" s="39">
        <f t="shared" si="254"/>
        <v>58</v>
      </c>
      <c r="HH136" s="39">
        <f t="shared" si="255"/>
        <v>48</v>
      </c>
      <c r="HI136" s="39">
        <f t="shared" si="256"/>
        <v>89</v>
      </c>
      <c r="HJ136" s="39">
        <f t="shared" si="257"/>
        <v>75</v>
      </c>
      <c r="HK136" s="39">
        <f t="shared" si="258"/>
        <v>116</v>
      </c>
      <c r="HL136" s="39">
        <f t="shared" si="259"/>
        <v>128</v>
      </c>
      <c r="HM136" s="39">
        <f t="shared" si="260"/>
        <v>146</v>
      </c>
      <c r="HN136" s="39">
        <f t="shared" si="125"/>
        <v>75</v>
      </c>
      <c r="HO136" s="39">
        <f t="shared" si="126"/>
        <v>116</v>
      </c>
      <c r="HP136" s="39">
        <f t="shared" si="127"/>
        <v>128</v>
      </c>
      <c r="HQ136" s="39">
        <f t="shared" si="128"/>
        <v>146</v>
      </c>
      <c r="HR136" s="39">
        <f t="shared" si="226"/>
        <v>67</v>
      </c>
      <c r="HS136" s="39">
        <f t="shared" si="122"/>
        <v>119</v>
      </c>
      <c r="HT136" s="39">
        <f t="shared" si="227"/>
        <v>192</v>
      </c>
      <c r="HU136" s="39">
        <f t="shared" si="272"/>
        <v>96</v>
      </c>
      <c r="HV136" s="39">
        <f t="shared" si="273"/>
        <v>57</v>
      </c>
      <c r="HW136" s="39">
        <f t="shared" si="274"/>
        <v>82</v>
      </c>
      <c r="HX136" s="39">
        <f t="shared" si="275"/>
        <v>297</v>
      </c>
      <c r="IB136" s="39">
        <f t="shared" si="232"/>
        <v>0</v>
      </c>
      <c r="IC136" s="39">
        <f t="shared" si="233"/>
        <v>0</v>
      </c>
      <c r="ID136" s="39">
        <f t="shared" si="234"/>
        <v>0</v>
      </c>
      <c r="IE136" s="39">
        <f t="shared" si="235"/>
        <v>0</v>
      </c>
      <c r="IF136" s="39">
        <f t="shared" si="236"/>
        <v>0</v>
      </c>
      <c r="IG136" s="39">
        <f t="shared" si="237"/>
        <v>0</v>
      </c>
      <c r="IH136" s="39">
        <f t="shared" si="238"/>
        <v>311</v>
      </c>
      <c r="II136" s="39">
        <f t="shared" si="239"/>
        <v>187</v>
      </c>
      <c r="IJ136" s="39">
        <f t="shared" si="261"/>
        <v>362</v>
      </c>
      <c r="IK136" s="39">
        <f t="shared" si="262"/>
        <v>123</v>
      </c>
      <c r="IL136" s="39">
        <f t="shared" si="263"/>
        <v>226</v>
      </c>
      <c r="IM136" s="39">
        <f t="shared" si="264"/>
        <v>465</v>
      </c>
      <c r="IN136" s="39">
        <f t="shared" si="276"/>
        <v>474</v>
      </c>
    </row>
    <row r="137" spans="1:248" outlineLevel="2" x14ac:dyDescent="0.3">
      <c r="A137" t="s">
        <v>102</v>
      </c>
      <c r="B137" t="s">
        <v>75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32">
        <v>0</v>
      </c>
      <c r="AB137" s="32">
        <v>0</v>
      </c>
      <c r="AC137" s="32">
        <v>0</v>
      </c>
      <c r="AD137" s="32">
        <v>0</v>
      </c>
      <c r="AE137" s="32">
        <v>0</v>
      </c>
      <c r="AF137" s="32">
        <v>0</v>
      </c>
      <c r="AG137" s="32">
        <v>0</v>
      </c>
      <c r="AH137" s="32">
        <v>0</v>
      </c>
      <c r="AI137" s="32">
        <v>0</v>
      </c>
      <c r="AJ137" s="32">
        <v>0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0</v>
      </c>
      <c r="AR137" s="32">
        <v>0</v>
      </c>
      <c r="AS137" s="32">
        <v>0</v>
      </c>
      <c r="AT137" s="32">
        <v>0</v>
      </c>
      <c r="AU137" s="32">
        <v>0</v>
      </c>
      <c r="AV137" s="32">
        <v>0</v>
      </c>
      <c r="AW137" s="32">
        <v>0</v>
      </c>
      <c r="AX137" s="32">
        <v>0</v>
      </c>
      <c r="AY137" s="32">
        <v>0</v>
      </c>
      <c r="AZ137" s="32">
        <v>0</v>
      </c>
      <c r="BA137" s="32">
        <v>0</v>
      </c>
      <c r="BB137" s="32">
        <v>0</v>
      </c>
      <c r="BC137" s="32">
        <v>0</v>
      </c>
      <c r="BD137" s="32">
        <v>0</v>
      </c>
      <c r="BE137" s="32">
        <v>0</v>
      </c>
      <c r="BF137" s="32">
        <v>0</v>
      </c>
      <c r="BG137" s="32">
        <v>0</v>
      </c>
      <c r="BH137" s="32">
        <v>0</v>
      </c>
      <c r="BI137" s="32">
        <v>0</v>
      </c>
      <c r="BJ137" s="32">
        <v>0</v>
      </c>
      <c r="BK137" s="32">
        <v>0</v>
      </c>
      <c r="BL137" s="32">
        <v>0</v>
      </c>
      <c r="BM137" s="32">
        <v>0</v>
      </c>
      <c r="BN137" s="32">
        <v>0</v>
      </c>
      <c r="BO137" s="32">
        <v>0</v>
      </c>
      <c r="BP137" s="32">
        <v>0</v>
      </c>
      <c r="BQ137" s="32">
        <v>0</v>
      </c>
      <c r="BR137" s="32">
        <v>0</v>
      </c>
      <c r="BS137" s="32">
        <v>0</v>
      </c>
      <c r="BT137" s="32">
        <v>0</v>
      </c>
      <c r="BU137" s="32">
        <v>0</v>
      </c>
      <c r="BV137" s="32">
        <v>0</v>
      </c>
      <c r="BW137" s="32">
        <v>0</v>
      </c>
      <c r="BX137" s="32">
        <v>2</v>
      </c>
      <c r="BY137" s="32">
        <v>0</v>
      </c>
      <c r="BZ137" s="32">
        <v>2</v>
      </c>
      <c r="CA137" s="32">
        <v>12</v>
      </c>
      <c r="CB137" s="32">
        <v>2</v>
      </c>
      <c r="CC137" s="32">
        <v>2</v>
      </c>
      <c r="CD137" s="32">
        <v>10</v>
      </c>
      <c r="CE137" s="32">
        <v>0</v>
      </c>
      <c r="CF137" s="32">
        <v>10</v>
      </c>
      <c r="CG137" s="32">
        <v>3</v>
      </c>
      <c r="CH137" s="32">
        <v>0</v>
      </c>
      <c r="CI137" s="32">
        <v>2</v>
      </c>
      <c r="CJ137" s="32">
        <v>4</v>
      </c>
      <c r="CK137" s="32">
        <v>1</v>
      </c>
      <c r="CL137" s="32">
        <v>0</v>
      </c>
      <c r="CM137" s="32">
        <v>0</v>
      </c>
      <c r="CN137" s="32">
        <v>8</v>
      </c>
      <c r="CO137" s="32">
        <v>0</v>
      </c>
      <c r="CP137" s="32">
        <v>0</v>
      </c>
      <c r="CQ137" s="32">
        <v>0</v>
      </c>
      <c r="CR137" s="32">
        <v>0</v>
      </c>
      <c r="CS137" s="32">
        <v>0</v>
      </c>
      <c r="CT137" s="32">
        <v>0</v>
      </c>
      <c r="CU137" s="32">
        <v>0</v>
      </c>
      <c r="CV137" s="32">
        <v>0</v>
      </c>
      <c r="CW137" s="32">
        <v>0</v>
      </c>
      <c r="CX137" s="32">
        <v>5</v>
      </c>
      <c r="CY137" s="32">
        <v>0</v>
      </c>
      <c r="CZ137" s="32">
        <v>0</v>
      </c>
      <c r="DA137" s="32">
        <v>0</v>
      </c>
      <c r="DB137" s="32">
        <v>0</v>
      </c>
      <c r="DC137" s="32">
        <v>5</v>
      </c>
      <c r="DD137" s="32">
        <v>5</v>
      </c>
      <c r="DE137" s="32">
        <v>5</v>
      </c>
      <c r="DF137" s="32">
        <v>17</v>
      </c>
      <c r="DG137" s="32">
        <v>4</v>
      </c>
      <c r="DH137" s="32">
        <v>0</v>
      </c>
      <c r="DI137" s="32">
        <v>0</v>
      </c>
      <c r="DJ137" s="32">
        <v>0</v>
      </c>
      <c r="DK137" s="32">
        <v>0</v>
      </c>
      <c r="DL137" s="32">
        <v>0</v>
      </c>
      <c r="DM137" s="32">
        <v>0</v>
      </c>
      <c r="DN137" s="32">
        <v>0</v>
      </c>
      <c r="DO137" s="32">
        <v>0</v>
      </c>
      <c r="DP137" s="32">
        <v>0</v>
      </c>
      <c r="DQ137" s="32">
        <v>0</v>
      </c>
      <c r="DR137" s="32">
        <v>0</v>
      </c>
      <c r="DS137" s="32">
        <v>0</v>
      </c>
      <c r="DT137" s="32">
        <v>0</v>
      </c>
      <c r="DU137" s="32">
        <v>0</v>
      </c>
      <c r="DV137" s="32">
        <v>0</v>
      </c>
      <c r="DW137" s="32">
        <v>0</v>
      </c>
      <c r="DX137" s="32">
        <v>0</v>
      </c>
      <c r="DY137" s="32">
        <v>0</v>
      </c>
      <c r="DZ137" s="32">
        <v>5</v>
      </c>
      <c r="EA137" s="32">
        <v>0</v>
      </c>
      <c r="EB137" s="32">
        <v>0</v>
      </c>
      <c r="EC137" s="32">
        <v>0</v>
      </c>
      <c r="ED137" s="32">
        <v>0</v>
      </c>
      <c r="EE137" s="32">
        <v>0</v>
      </c>
      <c r="EF137" s="32">
        <v>0</v>
      </c>
      <c r="EG137" s="32">
        <v>0</v>
      </c>
      <c r="EH137" s="32">
        <v>0</v>
      </c>
      <c r="EI137" s="32">
        <v>0</v>
      </c>
      <c r="EJ137" s="32">
        <v>0</v>
      </c>
      <c r="EK137" s="32">
        <v>0</v>
      </c>
      <c r="EL137" s="32">
        <v>6</v>
      </c>
      <c r="EM137" s="32">
        <v>0</v>
      </c>
      <c r="EN137" s="32">
        <v>0</v>
      </c>
      <c r="EO137" s="32">
        <v>0</v>
      </c>
      <c r="EP137" s="32">
        <v>0</v>
      </c>
      <c r="EQ137" s="32">
        <v>0</v>
      </c>
      <c r="ER137" s="32">
        <v>0</v>
      </c>
      <c r="ES137" s="32">
        <v>0</v>
      </c>
      <c r="ET137" s="32">
        <v>8</v>
      </c>
      <c r="EU137" s="32">
        <v>10</v>
      </c>
      <c r="EV137" s="32">
        <v>0</v>
      </c>
      <c r="EW137" s="32">
        <v>0</v>
      </c>
      <c r="EX137" s="32">
        <v>16</v>
      </c>
      <c r="EY137" s="32">
        <v>20</v>
      </c>
      <c r="EZ137" s="32">
        <v>20</v>
      </c>
      <c r="FA137" s="32">
        <v>10</v>
      </c>
      <c r="FB137" s="32">
        <v>10</v>
      </c>
      <c r="FC137" s="32">
        <v>0</v>
      </c>
      <c r="FD137" s="32">
        <v>0</v>
      </c>
      <c r="FE137" s="32">
        <v>36</v>
      </c>
      <c r="FF137" s="32">
        <v>11</v>
      </c>
      <c r="FG137" s="32">
        <v>15</v>
      </c>
      <c r="FH137" s="32">
        <v>0</v>
      </c>
      <c r="FI137" s="32">
        <v>0</v>
      </c>
      <c r="FJ137" s="32">
        <v>19</v>
      </c>
      <c r="FK137" s="32">
        <v>37</v>
      </c>
      <c r="FL137" s="32"/>
      <c r="FM137" s="32"/>
      <c r="FN137" s="32"/>
      <c r="FR137" s="32">
        <f t="shared" si="178"/>
        <v>0</v>
      </c>
      <c r="FS137" s="32">
        <f t="shared" si="179"/>
        <v>0</v>
      </c>
      <c r="FT137" s="32">
        <f t="shared" si="180"/>
        <v>0</v>
      </c>
      <c r="FU137" s="32">
        <f t="shared" si="181"/>
        <v>0</v>
      </c>
      <c r="FV137" s="32">
        <f t="shared" si="182"/>
        <v>0</v>
      </c>
      <c r="FW137" s="32">
        <f t="shared" si="183"/>
        <v>0</v>
      </c>
      <c r="FX137" s="32">
        <f t="shared" si="184"/>
        <v>0</v>
      </c>
      <c r="FY137" s="32">
        <f t="shared" si="185"/>
        <v>0</v>
      </c>
      <c r="FZ137" s="32">
        <f t="shared" si="186"/>
        <v>0</v>
      </c>
      <c r="GA137" s="32">
        <f t="shared" si="187"/>
        <v>0</v>
      </c>
      <c r="GB137" s="32">
        <f t="shared" si="188"/>
        <v>0</v>
      </c>
      <c r="GC137" s="32">
        <f t="shared" si="189"/>
        <v>0</v>
      </c>
      <c r="GD137" s="32">
        <f t="shared" si="190"/>
        <v>0</v>
      </c>
      <c r="GE137" s="32">
        <f t="shared" si="191"/>
        <v>0</v>
      </c>
      <c r="GF137" s="32">
        <f t="shared" si="192"/>
        <v>0</v>
      </c>
      <c r="GG137" s="32">
        <f t="shared" si="193"/>
        <v>0</v>
      </c>
      <c r="GH137" s="32">
        <f t="shared" si="194"/>
        <v>0</v>
      </c>
      <c r="GI137" s="32">
        <f t="shared" si="195"/>
        <v>0</v>
      </c>
      <c r="GJ137" s="32">
        <f t="shared" si="196"/>
        <v>0</v>
      </c>
      <c r="GK137" s="32">
        <f t="shared" si="197"/>
        <v>0</v>
      </c>
      <c r="GL137" s="32">
        <f t="shared" si="198"/>
        <v>0</v>
      </c>
      <c r="GM137" s="32">
        <f t="shared" si="199"/>
        <v>0</v>
      </c>
      <c r="GN137" s="32">
        <f t="shared" si="200"/>
        <v>0</v>
      </c>
      <c r="GO137" s="32">
        <f t="shared" si="201"/>
        <v>0</v>
      </c>
      <c r="GP137" s="32">
        <f t="shared" si="202"/>
        <v>2</v>
      </c>
      <c r="GQ137" s="32">
        <f t="shared" si="203"/>
        <v>16</v>
      </c>
      <c r="GR137" s="32">
        <f t="shared" si="204"/>
        <v>12</v>
      </c>
      <c r="GS137" s="32">
        <f t="shared" si="205"/>
        <v>13</v>
      </c>
      <c r="GT137" s="32">
        <f t="shared" si="206"/>
        <v>7</v>
      </c>
      <c r="GU137" s="32">
        <f t="shared" si="207"/>
        <v>8</v>
      </c>
      <c r="GV137" s="32">
        <f t="shared" si="208"/>
        <v>0</v>
      </c>
      <c r="GW137" s="32">
        <f t="shared" si="209"/>
        <v>0</v>
      </c>
      <c r="GX137" s="32">
        <f t="shared" si="210"/>
        <v>0</v>
      </c>
      <c r="GY137" s="32">
        <f t="shared" si="211"/>
        <v>5</v>
      </c>
      <c r="GZ137" s="32">
        <f t="shared" si="247"/>
        <v>5</v>
      </c>
      <c r="HA137" s="32">
        <f t="shared" si="248"/>
        <v>27</v>
      </c>
      <c r="HB137" s="32">
        <f t="shared" si="249"/>
        <v>4</v>
      </c>
      <c r="HC137" s="32">
        <f t="shared" si="250"/>
        <v>0</v>
      </c>
      <c r="HD137" s="32">
        <f t="shared" si="251"/>
        <v>0</v>
      </c>
      <c r="HE137" s="32">
        <f t="shared" si="252"/>
        <v>0</v>
      </c>
      <c r="HF137" s="32">
        <f t="shared" si="253"/>
        <v>0</v>
      </c>
      <c r="HG137" s="32">
        <f t="shared" si="254"/>
        <v>0</v>
      </c>
      <c r="HH137" s="32">
        <f t="shared" si="255"/>
        <v>5</v>
      </c>
      <c r="HI137" s="32">
        <f t="shared" si="256"/>
        <v>0</v>
      </c>
      <c r="HJ137" s="32">
        <f t="shared" si="257"/>
        <v>0</v>
      </c>
      <c r="HK137" s="32">
        <f t="shared" si="258"/>
        <v>0</v>
      </c>
      <c r="HL137" s="32">
        <f t="shared" si="259"/>
        <v>6</v>
      </c>
      <c r="HM137" s="32">
        <f t="shared" si="260"/>
        <v>0</v>
      </c>
      <c r="HN137" s="32">
        <f t="shared" si="125"/>
        <v>0</v>
      </c>
      <c r="HO137" s="32">
        <f t="shared" si="126"/>
        <v>0</v>
      </c>
      <c r="HP137" s="32">
        <f t="shared" si="127"/>
        <v>6</v>
      </c>
      <c r="HQ137" s="32">
        <f t="shared" si="128"/>
        <v>0</v>
      </c>
      <c r="HR137" s="32">
        <f t="shared" si="226"/>
        <v>0</v>
      </c>
      <c r="HS137" s="32">
        <f t="shared" ref="HS137:HS152" si="277">SUM(ET137:EV137)</f>
        <v>18</v>
      </c>
      <c r="HT137" s="32">
        <f t="shared" si="227"/>
        <v>36</v>
      </c>
      <c r="HU137" s="32">
        <f t="shared" si="272"/>
        <v>40</v>
      </c>
      <c r="HV137" s="32">
        <f t="shared" si="273"/>
        <v>36</v>
      </c>
      <c r="HW137" s="32">
        <f t="shared" si="274"/>
        <v>26</v>
      </c>
      <c r="HX137" s="32">
        <f t="shared" si="275"/>
        <v>56</v>
      </c>
      <c r="IB137" s="32">
        <f t="shared" si="232"/>
        <v>0</v>
      </c>
      <c r="IC137" s="32">
        <f t="shared" si="233"/>
        <v>0</v>
      </c>
      <c r="ID137" s="32">
        <f t="shared" si="234"/>
        <v>0</v>
      </c>
      <c r="IE137" s="32">
        <f t="shared" si="235"/>
        <v>0</v>
      </c>
      <c r="IF137" s="32">
        <f t="shared" si="236"/>
        <v>0</v>
      </c>
      <c r="IG137" s="32">
        <f t="shared" si="237"/>
        <v>0</v>
      </c>
      <c r="IH137" s="32">
        <f t="shared" si="238"/>
        <v>43</v>
      </c>
      <c r="II137" s="32">
        <f t="shared" si="239"/>
        <v>15</v>
      </c>
      <c r="IJ137" s="32">
        <f t="shared" si="261"/>
        <v>37</v>
      </c>
      <c r="IK137" s="32">
        <f t="shared" si="262"/>
        <v>4</v>
      </c>
      <c r="IL137" s="32">
        <f t="shared" si="263"/>
        <v>5</v>
      </c>
      <c r="IM137" s="32">
        <f t="shared" si="264"/>
        <v>6</v>
      </c>
      <c r="IN137" s="32">
        <f t="shared" si="276"/>
        <v>94</v>
      </c>
    </row>
    <row r="138" spans="1:248" outlineLevel="2" x14ac:dyDescent="0.3">
      <c r="B138" t="s">
        <v>76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32">
        <v>0</v>
      </c>
      <c r="AB138" s="32">
        <v>0</v>
      </c>
      <c r="AC138" s="32">
        <v>0</v>
      </c>
      <c r="AD138" s="32">
        <v>0</v>
      </c>
      <c r="AE138" s="32">
        <v>0</v>
      </c>
      <c r="AF138" s="32">
        <v>0</v>
      </c>
      <c r="AG138" s="32">
        <v>0</v>
      </c>
      <c r="AH138" s="32">
        <v>0</v>
      </c>
      <c r="AI138" s="32">
        <v>0</v>
      </c>
      <c r="AJ138" s="32">
        <v>0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0</v>
      </c>
      <c r="BC138" s="32">
        <v>0</v>
      </c>
      <c r="BD138" s="32">
        <v>0</v>
      </c>
      <c r="BE138" s="32">
        <v>0</v>
      </c>
      <c r="BF138" s="32">
        <v>0</v>
      </c>
      <c r="BG138" s="32">
        <v>0</v>
      </c>
      <c r="BH138" s="32">
        <v>0</v>
      </c>
      <c r="BI138" s="32">
        <v>0</v>
      </c>
      <c r="BJ138" s="32">
        <v>0</v>
      </c>
      <c r="BK138" s="32">
        <v>0</v>
      </c>
      <c r="BL138" s="32">
        <v>0</v>
      </c>
      <c r="BM138" s="32">
        <v>0</v>
      </c>
      <c r="BN138" s="32">
        <v>0</v>
      </c>
      <c r="BO138" s="32">
        <v>0</v>
      </c>
      <c r="BP138" s="32">
        <v>0</v>
      </c>
      <c r="BQ138" s="32">
        <v>0</v>
      </c>
      <c r="BR138" s="32">
        <v>0</v>
      </c>
      <c r="BS138" s="32">
        <v>0</v>
      </c>
      <c r="BT138" s="32">
        <v>0</v>
      </c>
      <c r="BU138" s="32">
        <v>0</v>
      </c>
      <c r="BV138" s="32">
        <v>0</v>
      </c>
      <c r="BW138" s="32">
        <v>0</v>
      </c>
      <c r="BX138" s="32">
        <v>2</v>
      </c>
      <c r="BY138" s="32">
        <v>0</v>
      </c>
      <c r="BZ138" s="32">
        <v>5</v>
      </c>
      <c r="CA138" s="32">
        <v>76</v>
      </c>
      <c r="CB138" s="32">
        <v>84</v>
      </c>
      <c r="CC138" s="32">
        <v>106</v>
      </c>
      <c r="CD138" s="32">
        <v>34</v>
      </c>
      <c r="CE138" s="32">
        <v>19</v>
      </c>
      <c r="CF138" s="32">
        <v>33</v>
      </c>
      <c r="CG138" s="32">
        <v>25</v>
      </c>
      <c r="CH138" s="32">
        <v>32</v>
      </c>
      <c r="CI138" s="32">
        <v>19</v>
      </c>
      <c r="CJ138" s="32">
        <v>8</v>
      </c>
      <c r="CK138" s="32">
        <v>19</v>
      </c>
      <c r="CL138" s="32">
        <v>109</v>
      </c>
      <c r="CM138" s="32">
        <v>1</v>
      </c>
      <c r="CN138" s="32">
        <v>36</v>
      </c>
      <c r="CO138" s="32">
        <v>45</v>
      </c>
      <c r="CP138" s="32">
        <v>0</v>
      </c>
      <c r="CQ138" s="32">
        <v>0</v>
      </c>
      <c r="CR138" s="32">
        <v>16</v>
      </c>
      <c r="CS138" s="32">
        <v>28</v>
      </c>
      <c r="CT138" s="32">
        <v>27</v>
      </c>
      <c r="CU138" s="32">
        <v>0</v>
      </c>
      <c r="CV138" s="32">
        <v>16</v>
      </c>
      <c r="CW138" s="32">
        <v>12</v>
      </c>
      <c r="CX138" s="32">
        <v>29</v>
      </c>
      <c r="CY138" s="32">
        <v>8</v>
      </c>
      <c r="CZ138" s="32">
        <v>12</v>
      </c>
      <c r="DA138" s="32">
        <v>10</v>
      </c>
      <c r="DB138" s="32">
        <v>6</v>
      </c>
      <c r="DC138" s="32">
        <v>17</v>
      </c>
      <c r="DD138" s="32">
        <v>14</v>
      </c>
      <c r="DE138" s="32">
        <v>14</v>
      </c>
      <c r="DF138" s="32">
        <v>37</v>
      </c>
      <c r="DG138" s="32">
        <v>14</v>
      </c>
      <c r="DH138" s="32">
        <v>10</v>
      </c>
      <c r="DI138" s="32">
        <v>22</v>
      </c>
      <c r="DJ138" s="32">
        <v>6</v>
      </c>
      <c r="DK138" s="32">
        <v>8</v>
      </c>
      <c r="DL138" s="32">
        <v>34</v>
      </c>
      <c r="DM138" s="32">
        <v>36</v>
      </c>
      <c r="DN138" s="32">
        <v>26</v>
      </c>
      <c r="DO138" s="32">
        <v>12</v>
      </c>
      <c r="DP138" s="32">
        <v>15</v>
      </c>
      <c r="DQ138" s="32">
        <v>9</v>
      </c>
      <c r="DR138" s="32">
        <v>6</v>
      </c>
      <c r="DS138" s="32">
        <v>6</v>
      </c>
      <c r="DT138" s="32">
        <v>40</v>
      </c>
      <c r="DU138" s="32">
        <v>10</v>
      </c>
      <c r="DV138" s="32">
        <v>10</v>
      </c>
      <c r="DW138" s="32">
        <v>12</v>
      </c>
      <c r="DX138" s="32">
        <v>5</v>
      </c>
      <c r="DY138" s="32">
        <v>0</v>
      </c>
      <c r="DZ138" s="32">
        <v>15</v>
      </c>
      <c r="EA138" s="32">
        <v>24</v>
      </c>
      <c r="EB138" s="32">
        <v>43</v>
      </c>
      <c r="EC138" s="32">
        <v>29</v>
      </c>
      <c r="ED138" s="32">
        <v>12</v>
      </c>
      <c r="EE138" s="32">
        <v>4</v>
      </c>
      <c r="EF138" s="32">
        <v>0</v>
      </c>
      <c r="EG138" s="32">
        <v>5</v>
      </c>
      <c r="EH138" s="32">
        <v>5</v>
      </c>
      <c r="EI138" s="32">
        <v>5</v>
      </c>
      <c r="EJ138" s="32">
        <v>14</v>
      </c>
      <c r="EK138" s="32">
        <v>18</v>
      </c>
      <c r="EL138" s="32">
        <v>0</v>
      </c>
      <c r="EM138" s="32">
        <v>0</v>
      </c>
      <c r="EN138" s="32">
        <v>0</v>
      </c>
      <c r="EO138" s="32">
        <v>0</v>
      </c>
      <c r="EP138" s="32">
        <v>0</v>
      </c>
      <c r="EQ138" s="32">
        <v>0</v>
      </c>
      <c r="ER138" s="32">
        <v>0</v>
      </c>
      <c r="ES138" s="32">
        <v>0</v>
      </c>
      <c r="ET138" s="32">
        <v>11</v>
      </c>
      <c r="EU138" s="32">
        <v>6</v>
      </c>
      <c r="EV138" s="32">
        <v>24</v>
      </c>
      <c r="EW138" s="32">
        <v>24</v>
      </c>
      <c r="EX138" s="32">
        <v>24</v>
      </c>
      <c r="EY138" s="32">
        <v>0</v>
      </c>
      <c r="EZ138" s="32">
        <v>15</v>
      </c>
      <c r="FA138" s="32">
        <v>10</v>
      </c>
      <c r="FB138" s="32">
        <v>40</v>
      </c>
      <c r="FC138" s="32">
        <v>30</v>
      </c>
      <c r="FD138" s="32">
        <v>25</v>
      </c>
      <c r="FE138" s="32">
        <v>5</v>
      </c>
      <c r="FF138" s="32">
        <v>16</v>
      </c>
      <c r="FG138" s="32">
        <v>9</v>
      </c>
      <c r="FH138" s="32">
        <v>27</v>
      </c>
      <c r="FI138" s="32">
        <v>35</v>
      </c>
      <c r="FJ138" s="32">
        <v>26</v>
      </c>
      <c r="FK138" s="32">
        <v>0</v>
      </c>
      <c r="FL138" s="32"/>
      <c r="FM138" s="32"/>
      <c r="FN138" s="32"/>
      <c r="FR138" s="32">
        <f t="shared" si="178"/>
        <v>0</v>
      </c>
      <c r="FS138" s="32">
        <f t="shared" si="179"/>
        <v>0</v>
      </c>
      <c r="FT138" s="32">
        <f t="shared" si="180"/>
        <v>0</v>
      </c>
      <c r="FU138" s="32">
        <f t="shared" si="181"/>
        <v>0</v>
      </c>
      <c r="FV138" s="32">
        <f t="shared" si="182"/>
        <v>0</v>
      </c>
      <c r="FW138" s="32">
        <f t="shared" si="183"/>
        <v>0</v>
      </c>
      <c r="FX138" s="32">
        <f t="shared" si="184"/>
        <v>0</v>
      </c>
      <c r="FY138" s="32">
        <f t="shared" si="185"/>
        <v>0</v>
      </c>
      <c r="FZ138" s="32">
        <f t="shared" si="186"/>
        <v>0</v>
      </c>
      <c r="GA138" s="32">
        <f t="shared" si="187"/>
        <v>0</v>
      </c>
      <c r="GB138" s="32">
        <f t="shared" si="188"/>
        <v>0</v>
      </c>
      <c r="GC138" s="32">
        <f t="shared" si="189"/>
        <v>0</v>
      </c>
      <c r="GD138" s="32">
        <f t="shared" si="190"/>
        <v>0</v>
      </c>
      <c r="GE138" s="32">
        <f t="shared" si="191"/>
        <v>0</v>
      </c>
      <c r="GF138" s="32">
        <f t="shared" si="192"/>
        <v>0</v>
      </c>
      <c r="GG138" s="32">
        <f t="shared" si="193"/>
        <v>0</v>
      </c>
      <c r="GH138" s="32">
        <f t="shared" si="194"/>
        <v>0</v>
      </c>
      <c r="GI138" s="32">
        <f t="shared" si="195"/>
        <v>0</v>
      </c>
      <c r="GJ138" s="32">
        <f t="shared" si="196"/>
        <v>0</v>
      </c>
      <c r="GK138" s="32">
        <f t="shared" si="197"/>
        <v>0</v>
      </c>
      <c r="GL138" s="32">
        <f t="shared" si="198"/>
        <v>0</v>
      </c>
      <c r="GM138" s="32">
        <f t="shared" si="199"/>
        <v>0</v>
      </c>
      <c r="GN138" s="32">
        <f t="shared" si="200"/>
        <v>0</v>
      </c>
      <c r="GO138" s="32">
        <f t="shared" si="201"/>
        <v>0</v>
      </c>
      <c r="GP138" s="32">
        <f t="shared" si="202"/>
        <v>2</v>
      </c>
      <c r="GQ138" s="32">
        <f t="shared" si="203"/>
        <v>165</v>
      </c>
      <c r="GR138" s="32">
        <f t="shared" si="204"/>
        <v>159</v>
      </c>
      <c r="GS138" s="32">
        <f t="shared" si="205"/>
        <v>90</v>
      </c>
      <c r="GT138" s="32">
        <f t="shared" si="206"/>
        <v>46</v>
      </c>
      <c r="GU138" s="32">
        <f t="shared" si="207"/>
        <v>146</v>
      </c>
      <c r="GV138" s="32">
        <f t="shared" si="208"/>
        <v>45</v>
      </c>
      <c r="GW138" s="32">
        <f t="shared" si="209"/>
        <v>71</v>
      </c>
      <c r="GX138" s="32">
        <f t="shared" si="210"/>
        <v>28</v>
      </c>
      <c r="GY138" s="32">
        <f t="shared" si="211"/>
        <v>49</v>
      </c>
      <c r="GZ138" s="32">
        <f t="shared" si="247"/>
        <v>33</v>
      </c>
      <c r="HA138" s="32">
        <f t="shared" si="248"/>
        <v>65</v>
      </c>
      <c r="HB138" s="32">
        <f t="shared" si="249"/>
        <v>24</v>
      </c>
      <c r="HC138" s="32">
        <f t="shared" si="250"/>
        <v>48</v>
      </c>
      <c r="HD138" s="32">
        <f t="shared" si="251"/>
        <v>74</v>
      </c>
      <c r="HE138" s="32">
        <f t="shared" si="252"/>
        <v>30</v>
      </c>
      <c r="HF138" s="32">
        <f t="shared" si="253"/>
        <v>56</v>
      </c>
      <c r="HG138" s="32">
        <f t="shared" si="254"/>
        <v>27</v>
      </c>
      <c r="HH138" s="32">
        <f t="shared" si="255"/>
        <v>39</v>
      </c>
      <c r="HI138" s="32">
        <f t="shared" si="256"/>
        <v>84</v>
      </c>
      <c r="HJ138" s="32">
        <f t="shared" si="257"/>
        <v>9</v>
      </c>
      <c r="HK138" s="32">
        <f t="shared" si="258"/>
        <v>24</v>
      </c>
      <c r="HL138" s="32">
        <f t="shared" si="259"/>
        <v>18</v>
      </c>
      <c r="HM138" s="32">
        <f t="shared" si="260"/>
        <v>0</v>
      </c>
      <c r="HN138" s="32">
        <f t="shared" si="125"/>
        <v>9</v>
      </c>
      <c r="HO138" s="32">
        <f t="shared" si="126"/>
        <v>24</v>
      </c>
      <c r="HP138" s="32">
        <f t="shared" si="127"/>
        <v>18</v>
      </c>
      <c r="HQ138" s="32">
        <f t="shared" si="128"/>
        <v>0</v>
      </c>
      <c r="HR138" s="32">
        <f t="shared" si="226"/>
        <v>0</v>
      </c>
      <c r="HS138" s="32">
        <f t="shared" si="277"/>
        <v>41</v>
      </c>
      <c r="HT138" s="32">
        <f t="shared" si="227"/>
        <v>48</v>
      </c>
      <c r="HU138" s="32">
        <f t="shared" si="272"/>
        <v>65</v>
      </c>
      <c r="HV138" s="32">
        <f t="shared" si="273"/>
        <v>60</v>
      </c>
      <c r="HW138" s="32">
        <f t="shared" si="274"/>
        <v>52</v>
      </c>
      <c r="HX138" s="32">
        <f t="shared" si="275"/>
        <v>61</v>
      </c>
      <c r="IB138" s="32">
        <f t="shared" si="232"/>
        <v>0</v>
      </c>
      <c r="IC138" s="32">
        <f t="shared" si="233"/>
        <v>0</v>
      </c>
      <c r="ID138" s="32">
        <f t="shared" si="234"/>
        <v>0</v>
      </c>
      <c r="IE138" s="32">
        <f t="shared" si="235"/>
        <v>0</v>
      </c>
      <c r="IF138" s="32">
        <f t="shared" si="236"/>
        <v>0</v>
      </c>
      <c r="IG138" s="32">
        <f t="shared" si="237"/>
        <v>0</v>
      </c>
      <c r="IH138" s="32">
        <f t="shared" si="238"/>
        <v>416</v>
      </c>
      <c r="II138" s="32">
        <f t="shared" si="239"/>
        <v>308</v>
      </c>
      <c r="IJ138" s="32">
        <f t="shared" si="261"/>
        <v>175</v>
      </c>
      <c r="IK138" s="32">
        <f t="shared" si="262"/>
        <v>198</v>
      </c>
      <c r="IL138" s="32">
        <f t="shared" si="263"/>
        <v>206</v>
      </c>
      <c r="IM138" s="32">
        <f t="shared" si="264"/>
        <v>51</v>
      </c>
      <c r="IN138" s="32">
        <f t="shared" si="276"/>
        <v>154</v>
      </c>
    </row>
    <row r="139" spans="1:248" outlineLevel="2" x14ac:dyDescent="0.3">
      <c r="B139" t="s">
        <v>77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32">
        <v>0</v>
      </c>
      <c r="AB139" s="32">
        <v>0</v>
      </c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v>0</v>
      </c>
      <c r="AY139" s="32">
        <v>0</v>
      </c>
      <c r="AZ139" s="32">
        <v>0</v>
      </c>
      <c r="BA139" s="32">
        <v>0</v>
      </c>
      <c r="BB139" s="32">
        <v>0</v>
      </c>
      <c r="BC139" s="32">
        <v>0</v>
      </c>
      <c r="BD139" s="32">
        <v>0</v>
      </c>
      <c r="BE139" s="32">
        <v>0</v>
      </c>
      <c r="BF139" s="32">
        <v>0</v>
      </c>
      <c r="BG139" s="32">
        <v>0</v>
      </c>
      <c r="BH139" s="32">
        <v>0</v>
      </c>
      <c r="BI139" s="32">
        <v>0</v>
      </c>
      <c r="BJ139" s="32">
        <v>0</v>
      </c>
      <c r="BK139" s="32">
        <v>0</v>
      </c>
      <c r="BL139" s="32">
        <v>0</v>
      </c>
      <c r="BM139" s="32">
        <v>0</v>
      </c>
      <c r="BN139" s="32">
        <v>0</v>
      </c>
      <c r="BO139" s="32">
        <v>0</v>
      </c>
      <c r="BP139" s="32">
        <v>0</v>
      </c>
      <c r="BQ139" s="32">
        <v>0</v>
      </c>
      <c r="BR139" s="32">
        <v>0</v>
      </c>
      <c r="BS139" s="32">
        <v>0</v>
      </c>
      <c r="BT139" s="32">
        <v>0</v>
      </c>
      <c r="BU139" s="32">
        <v>0</v>
      </c>
      <c r="BV139" s="32">
        <v>0</v>
      </c>
      <c r="BW139" s="32">
        <v>0</v>
      </c>
      <c r="BX139" s="32">
        <v>70</v>
      </c>
      <c r="BY139" s="32">
        <v>0</v>
      </c>
      <c r="BZ139" s="32">
        <v>21</v>
      </c>
      <c r="CA139" s="32">
        <v>62</v>
      </c>
      <c r="CB139" s="32">
        <v>48</v>
      </c>
      <c r="CC139" s="32">
        <v>53</v>
      </c>
      <c r="CD139" s="32">
        <v>17</v>
      </c>
      <c r="CE139" s="32">
        <v>49</v>
      </c>
      <c r="CF139" s="32">
        <v>49</v>
      </c>
      <c r="CG139" s="32">
        <v>32</v>
      </c>
      <c r="CH139" s="32">
        <v>45</v>
      </c>
      <c r="CI139" s="32">
        <v>24</v>
      </c>
      <c r="CJ139" s="32">
        <v>37</v>
      </c>
      <c r="CK139" s="32">
        <v>29</v>
      </c>
      <c r="CL139" s="32">
        <v>24</v>
      </c>
      <c r="CM139" s="32">
        <v>29</v>
      </c>
      <c r="CN139" s="32">
        <v>73</v>
      </c>
      <c r="CO139" s="32">
        <v>102</v>
      </c>
      <c r="CP139" s="32">
        <v>20</v>
      </c>
      <c r="CQ139" s="32">
        <v>30</v>
      </c>
      <c r="CR139" s="32">
        <v>34</v>
      </c>
      <c r="CS139" s="32">
        <v>94</v>
      </c>
      <c r="CT139" s="32">
        <v>36</v>
      </c>
      <c r="CU139" s="32">
        <v>0</v>
      </c>
      <c r="CV139" s="32">
        <v>43</v>
      </c>
      <c r="CW139" s="32">
        <v>24</v>
      </c>
      <c r="CX139" s="32">
        <v>69</v>
      </c>
      <c r="CY139" s="32">
        <v>40</v>
      </c>
      <c r="CZ139" s="32">
        <v>35</v>
      </c>
      <c r="DA139" s="32">
        <v>32</v>
      </c>
      <c r="DB139" s="32">
        <v>32</v>
      </c>
      <c r="DC139" s="32">
        <v>28</v>
      </c>
      <c r="DD139" s="32">
        <v>31</v>
      </c>
      <c r="DE139" s="32">
        <v>77</v>
      </c>
      <c r="DF139" s="32">
        <v>67</v>
      </c>
      <c r="DG139" s="32">
        <v>17</v>
      </c>
      <c r="DH139" s="32">
        <v>47</v>
      </c>
      <c r="DI139" s="32">
        <v>49</v>
      </c>
      <c r="DJ139" s="32">
        <v>40</v>
      </c>
      <c r="DK139" s="32">
        <v>57</v>
      </c>
      <c r="DL139" s="32">
        <v>14</v>
      </c>
      <c r="DM139" s="32">
        <v>11</v>
      </c>
      <c r="DN139" s="32">
        <v>23</v>
      </c>
      <c r="DO139" s="32">
        <v>22</v>
      </c>
      <c r="DP139" s="32">
        <v>56</v>
      </c>
      <c r="DQ139" s="32">
        <v>42</v>
      </c>
      <c r="DR139" s="32">
        <v>27</v>
      </c>
      <c r="DS139" s="32">
        <v>25</v>
      </c>
      <c r="DT139" s="32">
        <v>41</v>
      </c>
      <c r="DU139" s="32">
        <v>31</v>
      </c>
      <c r="DV139" s="32">
        <v>24</v>
      </c>
      <c r="DW139" s="32">
        <v>12</v>
      </c>
      <c r="DX139" s="32">
        <v>13</v>
      </c>
      <c r="DY139" s="32">
        <v>6</v>
      </c>
      <c r="DZ139" s="32">
        <v>16</v>
      </c>
      <c r="EA139" s="32">
        <v>4</v>
      </c>
      <c r="EB139" s="32">
        <v>26</v>
      </c>
      <c r="EC139" s="32">
        <v>24</v>
      </c>
      <c r="ED139" s="32">
        <v>31</v>
      </c>
      <c r="EE139" s="32">
        <v>26</v>
      </c>
      <c r="EF139" s="32">
        <v>44</v>
      </c>
      <c r="EG139" s="32">
        <v>50</v>
      </c>
      <c r="EH139" s="32">
        <v>43</v>
      </c>
      <c r="EI139" s="32">
        <v>55</v>
      </c>
      <c r="EJ139" s="32">
        <v>14</v>
      </c>
      <c r="EK139" s="32">
        <v>13</v>
      </c>
      <c r="EL139" s="32">
        <v>40</v>
      </c>
      <c r="EM139" s="32">
        <v>39</v>
      </c>
      <c r="EN139" s="32">
        <v>85</v>
      </c>
      <c r="EO139" s="32">
        <v>90</v>
      </c>
      <c r="EP139" s="32">
        <v>107</v>
      </c>
      <c r="EQ139" s="32">
        <v>80</v>
      </c>
      <c r="ER139" s="32">
        <v>62</v>
      </c>
      <c r="ES139" s="32">
        <v>15</v>
      </c>
      <c r="ET139" s="32">
        <v>45</v>
      </c>
      <c r="EU139" s="32">
        <v>40</v>
      </c>
      <c r="EV139" s="32">
        <v>51</v>
      </c>
      <c r="EW139" s="32">
        <v>49</v>
      </c>
      <c r="EX139" s="32">
        <v>31</v>
      </c>
      <c r="EY139" s="32">
        <v>53</v>
      </c>
      <c r="EZ139" s="32">
        <v>45</v>
      </c>
      <c r="FA139" s="32">
        <v>55</v>
      </c>
      <c r="FB139" s="32">
        <v>65</v>
      </c>
      <c r="FC139" s="32">
        <v>65</v>
      </c>
      <c r="FD139" s="32">
        <v>40</v>
      </c>
      <c r="FE139" s="32">
        <v>0</v>
      </c>
      <c r="FF139" s="32">
        <v>48</v>
      </c>
      <c r="FG139" s="32">
        <v>47</v>
      </c>
      <c r="FH139" s="32">
        <v>70</v>
      </c>
      <c r="FI139" s="32">
        <v>105</v>
      </c>
      <c r="FJ139" s="32">
        <v>33</v>
      </c>
      <c r="FK139" s="32">
        <v>64</v>
      </c>
      <c r="FL139" s="32"/>
      <c r="FM139" s="32"/>
      <c r="FN139" s="32"/>
      <c r="FR139" s="32">
        <f t="shared" si="178"/>
        <v>0</v>
      </c>
      <c r="FS139" s="32">
        <f t="shared" si="179"/>
        <v>0</v>
      </c>
      <c r="FT139" s="32">
        <f t="shared" si="180"/>
        <v>0</v>
      </c>
      <c r="FU139" s="32">
        <f t="shared" si="181"/>
        <v>0</v>
      </c>
      <c r="FV139" s="32">
        <f t="shared" si="182"/>
        <v>0</v>
      </c>
      <c r="FW139" s="32">
        <f t="shared" si="183"/>
        <v>0</v>
      </c>
      <c r="FX139" s="32">
        <f t="shared" si="184"/>
        <v>0</v>
      </c>
      <c r="FY139" s="32">
        <f t="shared" si="185"/>
        <v>0</v>
      </c>
      <c r="FZ139" s="32">
        <f t="shared" si="186"/>
        <v>0</v>
      </c>
      <c r="GA139" s="32">
        <f t="shared" si="187"/>
        <v>0</v>
      </c>
      <c r="GB139" s="32">
        <f t="shared" si="188"/>
        <v>0</v>
      </c>
      <c r="GC139" s="32">
        <f t="shared" si="189"/>
        <v>0</v>
      </c>
      <c r="GD139" s="32">
        <f t="shared" si="190"/>
        <v>0</v>
      </c>
      <c r="GE139" s="32">
        <f t="shared" si="191"/>
        <v>0</v>
      </c>
      <c r="GF139" s="32">
        <f t="shared" si="192"/>
        <v>0</v>
      </c>
      <c r="GG139" s="32">
        <f t="shared" si="193"/>
        <v>0</v>
      </c>
      <c r="GH139" s="32">
        <f t="shared" si="194"/>
        <v>0</v>
      </c>
      <c r="GI139" s="32">
        <f t="shared" si="195"/>
        <v>0</v>
      </c>
      <c r="GJ139" s="32">
        <f t="shared" si="196"/>
        <v>0</v>
      </c>
      <c r="GK139" s="32">
        <f t="shared" si="197"/>
        <v>0</v>
      </c>
      <c r="GL139" s="32">
        <f t="shared" si="198"/>
        <v>0</v>
      </c>
      <c r="GM139" s="32">
        <f t="shared" si="199"/>
        <v>0</v>
      </c>
      <c r="GN139" s="32">
        <f t="shared" si="200"/>
        <v>0</v>
      </c>
      <c r="GO139" s="32">
        <f t="shared" si="201"/>
        <v>0</v>
      </c>
      <c r="GP139" s="32">
        <f t="shared" si="202"/>
        <v>70</v>
      </c>
      <c r="GQ139" s="32">
        <f t="shared" si="203"/>
        <v>131</v>
      </c>
      <c r="GR139" s="32">
        <f t="shared" si="204"/>
        <v>119</v>
      </c>
      <c r="GS139" s="32">
        <f t="shared" si="205"/>
        <v>126</v>
      </c>
      <c r="GT139" s="32">
        <f t="shared" si="206"/>
        <v>90</v>
      </c>
      <c r="GU139" s="32">
        <f t="shared" si="207"/>
        <v>126</v>
      </c>
      <c r="GV139" s="32">
        <f t="shared" si="208"/>
        <v>152</v>
      </c>
      <c r="GW139" s="32">
        <f t="shared" si="209"/>
        <v>164</v>
      </c>
      <c r="GX139" s="32">
        <f t="shared" si="210"/>
        <v>67</v>
      </c>
      <c r="GY139" s="32">
        <f t="shared" si="211"/>
        <v>144</v>
      </c>
      <c r="GZ139" s="32">
        <f t="shared" si="247"/>
        <v>92</v>
      </c>
      <c r="HA139" s="32">
        <f t="shared" si="248"/>
        <v>175</v>
      </c>
      <c r="HB139" s="32">
        <f t="shared" si="249"/>
        <v>64</v>
      </c>
      <c r="HC139" s="32">
        <f t="shared" si="250"/>
        <v>111</v>
      </c>
      <c r="HD139" s="32">
        <f t="shared" si="251"/>
        <v>56</v>
      </c>
      <c r="HE139" s="32">
        <f t="shared" si="252"/>
        <v>125</v>
      </c>
      <c r="HF139" s="32">
        <f t="shared" si="253"/>
        <v>97</v>
      </c>
      <c r="HG139" s="32">
        <f t="shared" si="254"/>
        <v>49</v>
      </c>
      <c r="HH139" s="32">
        <f t="shared" si="255"/>
        <v>26</v>
      </c>
      <c r="HI139" s="32">
        <f t="shared" si="256"/>
        <v>81</v>
      </c>
      <c r="HJ139" s="32">
        <f t="shared" si="257"/>
        <v>120</v>
      </c>
      <c r="HK139" s="32">
        <f t="shared" si="258"/>
        <v>112</v>
      </c>
      <c r="HL139" s="32">
        <f t="shared" si="259"/>
        <v>92</v>
      </c>
      <c r="HM139" s="32">
        <f t="shared" si="260"/>
        <v>282</v>
      </c>
      <c r="HN139" s="32">
        <f t="shared" si="125"/>
        <v>120</v>
      </c>
      <c r="HO139" s="32">
        <f t="shared" si="126"/>
        <v>112</v>
      </c>
      <c r="HP139" s="32">
        <f t="shared" si="127"/>
        <v>92</v>
      </c>
      <c r="HQ139" s="32">
        <f t="shared" si="128"/>
        <v>282</v>
      </c>
      <c r="HR139" s="32">
        <f t="shared" si="226"/>
        <v>157</v>
      </c>
      <c r="HS139" s="32">
        <f t="shared" si="277"/>
        <v>136</v>
      </c>
      <c r="HT139" s="32">
        <f t="shared" si="227"/>
        <v>133</v>
      </c>
      <c r="HU139" s="32">
        <f t="shared" si="272"/>
        <v>165</v>
      </c>
      <c r="HV139" s="32">
        <f t="shared" si="273"/>
        <v>105</v>
      </c>
      <c r="HW139" s="32">
        <f t="shared" si="274"/>
        <v>165</v>
      </c>
      <c r="HX139" s="32">
        <f t="shared" si="275"/>
        <v>202</v>
      </c>
      <c r="IB139" s="32">
        <f t="shared" si="232"/>
        <v>0</v>
      </c>
      <c r="IC139" s="32">
        <f t="shared" si="233"/>
        <v>0</v>
      </c>
      <c r="ID139" s="32">
        <f t="shared" si="234"/>
        <v>0</v>
      </c>
      <c r="IE139" s="32">
        <f t="shared" si="235"/>
        <v>0</v>
      </c>
      <c r="IF139" s="32">
        <f t="shared" si="236"/>
        <v>0</v>
      </c>
      <c r="IG139" s="32">
        <f t="shared" si="237"/>
        <v>0</v>
      </c>
      <c r="IH139" s="32">
        <f t="shared" si="238"/>
        <v>446</v>
      </c>
      <c r="II139" s="32">
        <f t="shared" si="239"/>
        <v>532</v>
      </c>
      <c r="IJ139" s="32">
        <f t="shared" si="261"/>
        <v>478</v>
      </c>
      <c r="IK139" s="32">
        <f t="shared" si="262"/>
        <v>405</v>
      </c>
      <c r="IL139" s="32">
        <f t="shared" si="263"/>
        <v>253</v>
      </c>
      <c r="IM139" s="32">
        <f t="shared" si="264"/>
        <v>606</v>
      </c>
      <c r="IN139" s="32">
        <f t="shared" si="276"/>
        <v>591</v>
      </c>
    </row>
    <row r="140" spans="1:248" outlineLevel="2" x14ac:dyDescent="0.3">
      <c r="B140" t="s">
        <v>78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32">
        <v>0</v>
      </c>
      <c r="AB140" s="32">
        <v>0</v>
      </c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v>0</v>
      </c>
      <c r="AY140" s="32">
        <v>0</v>
      </c>
      <c r="AZ140" s="32">
        <v>0</v>
      </c>
      <c r="BA140" s="32">
        <v>0</v>
      </c>
      <c r="BB140" s="32">
        <v>0</v>
      </c>
      <c r="BC140" s="32">
        <v>0</v>
      </c>
      <c r="BD140" s="32">
        <v>0</v>
      </c>
      <c r="BE140" s="32">
        <v>0</v>
      </c>
      <c r="BF140" s="32">
        <v>0</v>
      </c>
      <c r="BG140" s="32">
        <v>0</v>
      </c>
      <c r="BH140" s="32">
        <v>0</v>
      </c>
      <c r="BI140" s="32">
        <v>0</v>
      </c>
      <c r="BJ140" s="32">
        <v>0</v>
      </c>
      <c r="BK140" s="32">
        <v>0</v>
      </c>
      <c r="BL140" s="32">
        <v>0</v>
      </c>
      <c r="BM140" s="32">
        <v>0</v>
      </c>
      <c r="BN140" s="32">
        <v>0</v>
      </c>
      <c r="BO140" s="32">
        <v>0</v>
      </c>
      <c r="BP140" s="32">
        <v>0</v>
      </c>
      <c r="BQ140" s="32">
        <v>0</v>
      </c>
      <c r="BR140" s="32">
        <v>0</v>
      </c>
      <c r="BS140" s="32">
        <v>0</v>
      </c>
      <c r="BT140" s="32">
        <v>0</v>
      </c>
      <c r="BU140" s="32">
        <v>0</v>
      </c>
      <c r="BV140" s="32">
        <v>0</v>
      </c>
      <c r="BW140" s="32">
        <v>0</v>
      </c>
      <c r="BX140" s="32">
        <v>2</v>
      </c>
      <c r="BY140" s="32">
        <v>0</v>
      </c>
      <c r="BZ140" s="32">
        <v>0</v>
      </c>
      <c r="CA140" s="32">
        <v>0</v>
      </c>
      <c r="CB140" s="32">
        <v>0</v>
      </c>
      <c r="CC140" s="32">
        <v>17</v>
      </c>
      <c r="CD140" s="32">
        <v>0</v>
      </c>
      <c r="CE140" s="32">
        <v>0</v>
      </c>
      <c r="CF140" s="32">
        <v>0</v>
      </c>
      <c r="CG140" s="32">
        <v>0</v>
      </c>
      <c r="CH140" s="32">
        <v>0</v>
      </c>
      <c r="CI140" s="32">
        <v>0</v>
      </c>
      <c r="CJ140" s="32">
        <v>0</v>
      </c>
      <c r="CK140" s="32">
        <v>0</v>
      </c>
      <c r="CL140" s="32">
        <v>0</v>
      </c>
      <c r="CM140" s="32">
        <v>0</v>
      </c>
      <c r="CN140" s="32">
        <v>0</v>
      </c>
      <c r="CO140" s="32">
        <v>0</v>
      </c>
      <c r="CP140" s="32">
        <v>0</v>
      </c>
      <c r="CQ140" s="32">
        <v>0</v>
      </c>
      <c r="CR140" s="32">
        <v>2</v>
      </c>
      <c r="CS140" s="32">
        <v>2</v>
      </c>
      <c r="CT140" s="32">
        <v>2</v>
      </c>
      <c r="CU140" s="32">
        <v>0</v>
      </c>
      <c r="CV140" s="32">
        <v>2</v>
      </c>
      <c r="CW140" s="32">
        <v>24</v>
      </c>
      <c r="CX140" s="32">
        <v>23</v>
      </c>
      <c r="CY140" s="32">
        <v>4</v>
      </c>
      <c r="CZ140" s="32">
        <v>4</v>
      </c>
      <c r="DA140" s="32">
        <v>16</v>
      </c>
      <c r="DB140" s="32">
        <v>16</v>
      </c>
      <c r="DC140" s="32">
        <v>30</v>
      </c>
      <c r="DD140" s="32">
        <v>16</v>
      </c>
      <c r="DE140" s="32">
        <v>26</v>
      </c>
      <c r="DF140" s="32">
        <v>35</v>
      </c>
      <c r="DG140" s="32">
        <v>0</v>
      </c>
      <c r="DH140" s="32">
        <v>23</v>
      </c>
      <c r="DI140" s="32">
        <v>24</v>
      </c>
      <c r="DJ140" s="32">
        <v>0</v>
      </c>
      <c r="DK140" s="32">
        <v>0</v>
      </c>
      <c r="DL140" s="32">
        <v>22</v>
      </c>
      <c r="DM140" s="32">
        <v>38</v>
      </c>
      <c r="DN140" s="32">
        <v>18</v>
      </c>
      <c r="DO140" s="32">
        <v>8</v>
      </c>
      <c r="DP140" s="32">
        <v>10</v>
      </c>
      <c r="DQ140" s="32">
        <v>12</v>
      </c>
      <c r="DR140" s="32">
        <v>25</v>
      </c>
      <c r="DS140" s="32">
        <v>5</v>
      </c>
      <c r="DT140" s="32">
        <v>5</v>
      </c>
      <c r="DU140" s="32">
        <v>22</v>
      </c>
      <c r="DV140" s="32">
        <v>18</v>
      </c>
      <c r="DW140" s="32">
        <v>26</v>
      </c>
      <c r="DX140" s="32">
        <v>41</v>
      </c>
      <c r="DY140" s="32">
        <v>26</v>
      </c>
      <c r="DZ140" s="32">
        <v>34</v>
      </c>
      <c r="EA140" s="32">
        <v>24</v>
      </c>
      <c r="EB140" s="32">
        <v>26</v>
      </c>
      <c r="EC140" s="32">
        <v>32</v>
      </c>
      <c r="ED140" s="32">
        <v>45</v>
      </c>
      <c r="EE140" s="32">
        <v>12</v>
      </c>
      <c r="EF140" s="32">
        <v>54</v>
      </c>
      <c r="EG140" s="32">
        <v>42</v>
      </c>
      <c r="EH140" s="32">
        <v>27</v>
      </c>
      <c r="EI140" s="32">
        <v>25</v>
      </c>
      <c r="EJ140" s="32">
        <v>35</v>
      </c>
      <c r="EK140" s="32">
        <v>67</v>
      </c>
      <c r="EL140" s="32">
        <v>59</v>
      </c>
      <c r="EM140" s="32">
        <v>16</v>
      </c>
      <c r="EN140" s="32">
        <v>25</v>
      </c>
      <c r="EO140" s="32">
        <v>15</v>
      </c>
      <c r="EP140" s="32">
        <v>18</v>
      </c>
      <c r="EQ140" s="32">
        <v>55</v>
      </c>
      <c r="ER140" s="32">
        <v>46</v>
      </c>
      <c r="ES140" s="32">
        <v>100</v>
      </c>
      <c r="ET140" s="32">
        <v>38</v>
      </c>
      <c r="EU140" s="32">
        <v>42</v>
      </c>
      <c r="EV140" s="32">
        <v>0</v>
      </c>
      <c r="EW140" s="32">
        <v>32</v>
      </c>
      <c r="EX140" s="32">
        <v>40</v>
      </c>
      <c r="EY140" s="32">
        <v>35</v>
      </c>
      <c r="EZ140" s="32">
        <v>45</v>
      </c>
      <c r="FA140" s="32">
        <v>20</v>
      </c>
      <c r="FB140" s="32">
        <v>15</v>
      </c>
      <c r="FC140" s="32">
        <v>10</v>
      </c>
      <c r="FD140" s="32">
        <v>60</v>
      </c>
      <c r="FE140" s="32">
        <v>87</v>
      </c>
      <c r="FF140" s="32">
        <v>42</v>
      </c>
      <c r="FG140" s="32">
        <v>48</v>
      </c>
      <c r="FH140" s="32">
        <v>0</v>
      </c>
      <c r="FI140" s="32">
        <v>45</v>
      </c>
      <c r="FJ140" s="32">
        <v>38</v>
      </c>
      <c r="FK140" s="32">
        <v>34</v>
      </c>
      <c r="FL140" s="32"/>
      <c r="FM140" s="32"/>
      <c r="FN140" s="32"/>
      <c r="FR140" s="32">
        <f t="shared" si="178"/>
        <v>0</v>
      </c>
      <c r="FS140" s="32">
        <f t="shared" si="179"/>
        <v>0</v>
      </c>
      <c r="FT140" s="32">
        <f t="shared" si="180"/>
        <v>0</v>
      </c>
      <c r="FU140" s="32">
        <f t="shared" si="181"/>
        <v>0</v>
      </c>
      <c r="FV140" s="32">
        <f t="shared" si="182"/>
        <v>0</v>
      </c>
      <c r="FW140" s="32">
        <f t="shared" si="183"/>
        <v>0</v>
      </c>
      <c r="FX140" s="32">
        <f t="shared" si="184"/>
        <v>0</v>
      </c>
      <c r="FY140" s="32">
        <f t="shared" si="185"/>
        <v>0</v>
      </c>
      <c r="FZ140" s="32">
        <f t="shared" si="186"/>
        <v>0</v>
      </c>
      <c r="GA140" s="32">
        <f t="shared" si="187"/>
        <v>0</v>
      </c>
      <c r="GB140" s="32">
        <f t="shared" si="188"/>
        <v>0</v>
      </c>
      <c r="GC140" s="32">
        <f t="shared" si="189"/>
        <v>0</v>
      </c>
      <c r="GD140" s="32">
        <f t="shared" si="190"/>
        <v>0</v>
      </c>
      <c r="GE140" s="32">
        <f t="shared" si="191"/>
        <v>0</v>
      </c>
      <c r="GF140" s="32">
        <f t="shared" si="192"/>
        <v>0</v>
      </c>
      <c r="GG140" s="32">
        <f t="shared" si="193"/>
        <v>0</v>
      </c>
      <c r="GH140" s="32">
        <f t="shared" si="194"/>
        <v>0</v>
      </c>
      <c r="GI140" s="32">
        <f t="shared" si="195"/>
        <v>0</v>
      </c>
      <c r="GJ140" s="32">
        <f t="shared" si="196"/>
        <v>0</v>
      </c>
      <c r="GK140" s="32">
        <f t="shared" si="197"/>
        <v>0</v>
      </c>
      <c r="GL140" s="32">
        <f t="shared" si="198"/>
        <v>0</v>
      </c>
      <c r="GM140" s="32">
        <f t="shared" si="199"/>
        <v>0</v>
      </c>
      <c r="GN140" s="32">
        <f t="shared" si="200"/>
        <v>0</v>
      </c>
      <c r="GO140" s="32">
        <f t="shared" si="201"/>
        <v>0</v>
      </c>
      <c r="GP140" s="32">
        <f t="shared" si="202"/>
        <v>2</v>
      </c>
      <c r="GQ140" s="32">
        <f t="shared" si="203"/>
        <v>0</v>
      </c>
      <c r="GR140" s="32">
        <f t="shared" si="204"/>
        <v>17</v>
      </c>
      <c r="GS140" s="32">
        <f t="shared" si="205"/>
        <v>0</v>
      </c>
      <c r="GT140" s="32">
        <f t="shared" si="206"/>
        <v>0</v>
      </c>
      <c r="GU140" s="32">
        <f t="shared" si="207"/>
        <v>0</v>
      </c>
      <c r="GV140" s="32">
        <f t="shared" si="208"/>
        <v>0</v>
      </c>
      <c r="GW140" s="32">
        <f t="shared" si="209"/>
        <v>6</v>
      </c>
      <c r="GX140" s="32">
        <f t="shared" si="210"/>
        <v>26</v>
      </c>
      <c r="GY140" s="32">
        <f t="shared" si="211"/>
        <v>31</v>
      </c>
      <c r="GZ140" s="32">
        <f t="shared" si="247"/>
        <v>62</v>
      </c>
      <c r="HA140" s="32">
        <f t="shared" si="248"/>
        <v>77</v>
      </c>
      <c r="HB140" s="32">
        <f t="shared" si="249"/>
        <v>23</v>
      </c>
      <c r="HC140" s="32">
        <f t="shared" si="250"/>
        <v>22</v>
      </c>
      <c r="HD140" s="32">
        <f t="shared" si="251"/>
        <v>64</v>
      </c>
      <c r="HE140" s="32">
        <f t="shared" si="252"/>
        <v>47</v>
      </c>
      <c r="HF140" s="32">
        <f t="shared" si="253"/>
        <v>32</v>
      </c>
      <c r="HG140" s="32">
        <f t="shared" si="254"/>
        <v>85</v>
      </c>
      <c r="HH140" s="32">
        <f t="shared" si="255"/>
        <v>84</v>
      </c>
      <c r="HI140" s="32">
        <f t="shared" si="256"/>
        <v>103</v>
      </c>
      <c r="HJ140" s="32">
        <f t="shared" si="257"/>
        <v>108</v>
      </c>
      <c r="HK140" s="32">
        <f t="shared" si="258"/>
        <v>87</v>
      </c>
      <c r="HL140" s="32">
        <f t="shared" si="259"/>
        <v>142</v>
      </c>
      <c r="HM140" s="32">
        <f t="shared" si="260"/>
        <v>58</v>
      </c>
      <c r="HN140" s="32">
        <f t="shared" ref="HN140:HN152" si="278">SUM(EE140:EG140)</f>
        <v>108</v>
      </c>
      <c r="HO140" s="32">
        <f t="shared" ref="HO140:HO152" si="279">SUM(EH140:EJ140)</f>
        <v>87</v>
      </c>
      <c r="HP140" s="32">
        <f t="shared" ref="HP140:HP152" si="280">SUM(EK140:EM140)</f>
        <v>142</v>
      </c>
      <c r="HQ140" s="32">
        <f t="shared" ref="HQ140:HQ152" si="281">SUM(EN140:EP140)</f>
        <v>58</v>
      </c>
      <c r="HR140" s="32">
        <f t="shared" si="226"/>
        <v>201</v>
      </c>
      <c r="HS140" s="32">
        <f t="shared" si="277"/>
        <v>80</v>
      </c>
      <c r="HT140" s="32">
        <f t="shared" si="227"/>
        <v>107</v>
      </c>
      <c r="HU140" s="32">
        <f t="shared" si="272"/>
        <v>80</v>
      </c>
      <c r="HV140" s="32">
        <f t="shared" si="273"/>
        <v>157</v>
      </c>
      <c r="HW140" s="32">
        <f t="shared" si="274"/>
        <v>90</v>
      </c>
      <c r="HX140" s="32">
        <f t="shared" si="275"/>
        <v>117</v>
      </c>
      <c r="IB140" s="32">
        <f t="shared" si="232"/>
        <v>0</v>
      </c>
      <c r="IC140" s="32">
        <f t="shared" si="233"/>
        <v>0</v>
      </c>
      <c r="ID140" s="32">
        <f t="shared" si="234"/>
        <v>0</v>
      </c>
      <c r="IE140" s="32">
        <f t="shared" si="235"/>
        <v>0</v>
      </c>
      <c r="IF140" s="32">
        <f t="shared" si="236"/>
        <v>0</v>
      </c>
      <c r="IG140" s="32">
        <f t="shared" si="237"/>
        <v>0</v>
      </c>
      <c r="IH140" s="32">
        <f t="shared" si="238"/>
        <v>19</v>
      </c>
      <c r="II140" s="32">
        <f t="shared" si="239"/>
        <v>6</v>
      </c>
      <c r="IJ140" s="32">
        <f t="shared" si="261"/>
        <v>196</v>
      </c>
      <c r="IK140" s="32">
        <f t="shared" si="262"/>
        <v>180</v>
      </c>
      <c r="IL140" s="32">
        <f t="shared" si="263"/>
        <v>304</v>
      </c>
      <c r="IM140" s="32">
        <f t="shared" si="264"/>
        <v>395</v>
      </c>
      <c r="IN140" s="32">
        <f t="shared" si="276"/>
        <v>468</v>
      </c>
    </row>
    <row r="141" spans="1:248" outlineLevel="1" x14ac:dyDescent="0.3">
      <c r="A141" s="15" t="s">
        <v>103</v>
      </c>
      <c r="B141" s="15"/>
      <c r="C141" s="38">
        <v>0</v>
      </c>
      <c r="D141" s="38">
        <v>0</v>
      </c>
      <c r="E141" s="38">
        <v>0</v>
      </c>
      <c r="F141" s="38">
        <v>0</v>
      </c>
      <c r="G141" s="38">
        <v>0</v>
      </c>
      <c r="H141" s="38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0</v>
      </c>
      <c r="V141" s="38">
        <v>0</v>
      </c>
      <c r="W141" s="38">
        <v>0</v>
      </c>
      <c r="X141" s="38">
        <v>0</v>
      </c>
      <c r="Y141" s="38">
        <v>0</v>
      </c>
      <c r="Z141" s="38">
        <v>0</v>
      </c>
      <c r="AA141" s="39">
        <v>0</v>
      </c>
      <c r="AB141" s="39">
        <v>0</v>
      </c>
      <c r="AC141" s="39">
        <v>0</v>
      </c>
      <c r="AD141" s="39">
        <v>0</v>
      </c>
      <c r="AE141" s="39">
        <v>0</v>
      </c>
      <c r="AF141" s="39">
        <v>0</v>
      </c>
      <c r="AG141" s="39">
        <v>0</v>
      </c>
      <c r="AH141" s="39">
        <v>0</v>
      </c>
      <c r="AI141" s="39">
        <v>0</v>
      </c>
      <c r="AJ141" s="39">
        <v>0</v>
      </c>
      <c r="AK141" s="39">
        <v>0</v>
      </c>
      <c r="AL141" s="39">
        <v>0</v>
      </c>
      <c r="AM141" s="39">
        <v>0</v>
      </c>
      <c r="AN141" s="39">
        <v>0</v>
      </c>
      <c r="AO141" s="39">
        <v>0</v>
      </c>
      <c r="AP141" s="39">
        <v>0</v>
      </c>
      <c r="AQ141" s="39">
        <v>0</v>
      </c>
      <c r="AR141" s="39">
        <v>0</v>
      </c>
      <c r="AS141" s="39">
        <v>0</v>
      </c>
      <c r="AT141" s="39">
        <v>0</v>
      </c>
      <c r="AU141" s="39">
        <v>0</v>
      </c>
      <c r="AV141" s="39">
        <v>0</v>
      </c>
      <c r="AW141" s="39">
        <v>0</v>
      </c>
      <c r="AX141" s="39">
        <v>0</v>
      </c>
      <c r="AY141" s="39">
        <v>0</v>
      </c>
      <c r="AZ141" s="39">
        <v>0</v>
      </c>
      <c r="BA141" s="39">
        <v>0</v>
      </c>
      <c r="BB141" s="39">
        <v>0</v>
      </c>
      <c r="BC141" s="39">
        <v>0</v>
      </c>
      <c r="BD141" s="39">
        <v>0</v>
      </c>
      <c r="BE141" s="39">
        <v>0</v>
      </c>
      <c r="BF141" s="39">
        <v>0</v>
      </c>
      <c r="BG141" s="39">
        <v>0</v>
      </c>
      <c r="BH141" s="39">
        <v>0</v>
      </c>
      <c r="BI141" s="39">
        <v>0</v>
      </c>
      <c r="BJ141" s="39">
        <v>0</v>
      </c>
      <c r="BK141" s="39">
        <v>0</v>
      </c>
      <c r="BL141" s="39">
        <v>0</v>
      </c>
      <c r="BM141" s="39">
        <v>0</v>
      </c>
      <c r="BN141" s="39">
        <v>0</v>
      </c>
      <c r="BO141" s="39">
        <v>0</v>
      </c>
      <c r="BP141" s="39">
        <v>0</v>
      </c>
      <c r="BQ141" s="39">
        <v>0</v>
      </c>
      <c r="BR141" s="39">
        <v>0</v>
      </c>
      <c r="BS141" s="39">
        <v>0</v>
      </c>
      <c r="BT141" s="39">
        <v>0</v>
      </c>
      <c r="BU141" s="39">
        <v>0</v>
      </c>
      <c r="BV141" s="39">
        <v>0</v>
      </c>
      <c r="BW141" s="39">
        <v>0</v>
      </c>
      <c r="BX141" s="39">
        <v>76</v>
      </c>
      <c r="BY141" s="39">
        <v>0</v>
      </c>
      <c r="BZ141" s="39">
        <v>28</v>
      </c>
      <c r="CA141" s="39">
        <v>150</v>
      </c>
      <c r="CB141" s="39">
        <v>134</v>
      </c>
      <c r="CC141" s="39">
        <v>178</v>
      </c>
      <c r="CD141" s="39">
        <v>61</v>
      </c>
      <c r="CE141" s="39">
        <v>68</v>
      </c>
      <c r="CF141" s="39">
        <v>92</v>
      </c>
      <c r="CG141" s="39">
        <v>60</v>
      </c>
      <c r="CH141" s="39">
        <v>77</v>
      </c>
      <c r="CI141" s="39">
        <v>45</v>
      </c>
      <c r="CJ141" s="39">
        <v>49</v>
      </c>
      <c r="CK141" s="39">
        <v>49</v>
      </c>
      <c r="CL141" s="39">
        <v>133</v>
      </c>
      <c r="CM141" s="39">
        <v>30</v>
      </c>
      <c r="CN141" s="39">
        <v>117</v>
      </c>
      <c r="CO141" s="39">
        <v>147</v>
      </c>
      <c r="CP141" s="39">
        <v>20</v>
      </c>
      <c r="CQ141" s="39">
        <v>30</v>
      </c>
      <c r="CR141" s="39">
        <v>52</v>
      </c>
      <c r="CS141" s="39">
        <v>124</v>
      </c>
      <c r="CT141" s="39">
        <v>65</v>
      </c>
      <c r="CU141" s="39">
        <v>0</v>
      </c>
      <c r="CV141" s="39">
        <v>61</v>
      </c>
      <c r="CW141" s="39">
        <v>60</v>
      </c>
      <c r="CX141" s="39">
        <v>126</v>
      </c>
      <c r="CY141" s="39">
        <v>52</v>
      </c>
      <c r="CZ141" s="39">
        <v>51</v>
      </c>
      <c r="DA141" s="39">
        <v>58</v>
      </c>
      <c r="DB141" s="39">
        <v>54</v>
      </c>
      <c r="DC141" s="39">
        <v>80</v>
      </c>
      <c r="DD141" s="39">
        <v>66</v>
      </c>
      <c r="DE141" s="39">
        <v>123</v>
      </c>
      <c r="DF141" s="39">
        <v>156</v>
      </c>
      <c r="DG141" s="39">
        <v>35</v>
      </c>
      <c r="DH141" s="39">
        <v>80</v>
      </c>
      <c r="DI141" s="39">
        <v>95</v>
      </c>
      <c r="DJ141" s="39">
        <v>46</v>
      </c>
      <c r="DK141" s="39">
        <v>65</v>
      </c>
      <c r="DL141" s="39">
        <v>70</v>
      </c>
      <c r="DM141" s="39">
        <v>85</v>
      </c>
      <c r="DN141" s="39">
        <v>67</v>
      </c>
      <c r="DO141" s="39">
        <v>42</v>
      </c>
      <c r="DP141" s="39">
        <v>81</v>
      </c>
      <c r="DQ141" s="39">
        <v>63</v>
      </c>
      <c r="DR141" s="39">
        <v>58</v>
      </c>
      <c r="DS141" s="39">
        <v>36</v>
      </c>
      <c r="DT141" s="39">
        <v>86</v>
      </c>
      <c r="DU141" s="39">
        <v>63</v>
      </c>
      <c r="DV141" s="39">
        <v>52</v>
      </c>
      <c r="DW141" s="39">
        <v>50</v>
      </c>
      <c r="DX141" s="39">
        <v>59</v>
      </c>
      <c r="DY141" s="39">
        <v>32</v>
      </c>
      <c r="DZ141" s="39">
        <v>70</v>
      </c>
      <c r="EA141" s="39">
        <v>52</v>
      </c>
      <c r="EB141" s="39">
        <v>95</v>
      </c>
      <c r="EC141" s="39">
        <v>85</v>
      </c>
      <c r="ED141" s="39">
        <v>88</v>
      </c>
      <c r="EE141" s="39">
        <v>42</v>
      </c>
      <c r="EF141" s="39">
        <v>98</v>
      </c>
      <c r="EG141" s="39">
        <v>97</v>
      </c>
      <c r="EH141" s="39">
        <v>75</v>
      </c>
      <c r="EI141" s="39">
        <v>85</v>
      </c>
      <c r="EJ141" s="39">
        <v>63</v>
      </c>
      <c r="EK141" s="39">
        <v>98</v>
      </c>
      <c r="EL141" s="39">
        <v>105</v>
      </c>
      <c r="EM141" s="39">
        <v>55</v>
      </c>
      <c r="EN141" s="39">
        <v>110</v>
      </c>
      <c r="EO141" s="39">
        <v>105</v>
      </c>
      <c r="EP141" s="39">
        <v>125</v>
      </c>
      <c r="EQ141" s="39">
        <v>135</v>
      </c>
      <c r="ER141" s="39">
        <v>108</v>
      </c>
      <c r="ES141" s="39">
        <v>115</v>
      </c>
      <c r="ET141" s="39">
        <v>102</v>
      </c>
      <c r="EU141" s="39">
        <v>98</v>
      </c>
      <c r="EV141" s="39">
        <v>75</v>
      </c>
      <c r="EW141" s="39">
        <v>105</v>
      </c>
      <c r="EX141" s="39">
        <v>111</v>
      </c>
      <c r="EY141" s="39">
        <v>108</v>
      </c>
      <c r="EZ141" s="39">
        <v>125</v>
      </c>
      <c r="FA141" s="39">
        <v>95</v>
      </c>
      <c r="FB141" s="39">
        <v>130</v>
      </c>
      <c r="FC141" s="39">
        <v>105</v>
      </c>
      <c r="FD141" s="39">
        <v>125</v>
      </c>
      <c r="FE141" s="39">
        <v>128</v>
      </c>
      <c r="FF141" s="39">
        <v>117</v>
      </c>
      <c r="FG141" s="39">
        <v>119</v>
      </c>
      <c r="FH141" s="39">
        <v>97</v>
      </c>
      <c r="FI141" s="39">
        <v>185</v>
      </c>
      <c r="FJ141" s="39">
        <v>116</v>
      </c>
      <c r="FK141" s="39">
        <v>135</v>
      </c>
      <c r="FL141" s="40"/>
      <c r="FM141" s="40"/>
      <c r="FN141" s="40"/>
      <c r="FR141" s="39">
        <f t="shared" si="178"/>
        <v>0</v>
      </c>
      <c r="FS141" s="39">
        <f t="shared" si="179"/>
        <v>0</v>
      </c>
      <c r="FT141" s="39">
        <f t="shared" si="180"/>
        <v>0</v>
      </c>
      <c r="FU141" s="39">
        <f t="shared" si="181"/>
        <v>0</v>
      </c>
      <c r="FV141" s="39">
        <f t="shared" si="182"/>
        <v>0</v>
      </c>
      <c r="FW141" s="39">
        <f t="shared" si="183"/>
        <v>0</v>
      </c>
      <c r="FX141" s="39">
        <f t="shared" si="184"/>
        <v>0</v>
      </c>
      <c r="FY141" s="39">
        <f t="shared" si="185"/>
        <v>0</v>
      </c>
      <c r="FZ141" s="39">
        <f t="shared" si="186"/>
        <v>0</v>
      </c>
      <c r="GA141" s="39">
        <f t="shared" si="187"/>
        <v>0</v>
      </c>
      <c r="GB141" s="39">
        <f t="shared" si="188"/>
        <v>0</v>
      </c>
      <c r="GC141" s="39">
        <f t="shared" si="189"/>
        <v>0</v>
      </c>
      <c r="GD141" s="39">
        <f t="shared" si="190"/>
        <v>0</v>
      </c>
      <c r="GE141" s="39">
        <f t="shared" si="191"/>
        <v>0</v>
      </c>
      <c r="GF141" s="39">
        <f t="shared" si="192"/>
        <v>0</v>
      </c>
      <c r="GG141" s="39">
        <f t="shared" si="193"/>
        <v>0</v>
      </c>
      <c r="GH141" s="39">
        <f t="shared" si="194"/>
        <v>0</v>
      </c>
      <c r="GI141" s="39">
        <f t="shared" si="195"/>
        <v>0</v>
      </c>
      <c r="GJ141" s="39">
        <f t="shared" si="196"/>
        <v>0</v>
      </c>
      <c r="GK141" s="39">
        <f t="shared" si="197"/>
        <v>0</v>
      </c>
      <c r="GL141" s="39">
        <f t="shared" si="198"/>
        <v>0</v>
      </c>
      <c r="GM141" s="39">
        <f t="shared" si="199"/>
        <v>0</v>
      </c>
      <c r="GN141" s="39">
        <f t="shared" si="200"/>
        <v>0</v>
      </c>
      <c r="GO141" s="39">
        <f t="shared" si="201"/>
        <v>0</v>
      </c>
      <c r="GP141" s="39">
        <f t="shared" si="202"/>
        <v>76</v>
      </c>
      <c r="GQ141" s="39">
        <f t="shared" si="203"/>
        <v>312</v>
      </c>
      <c r="GR141" s="39">
        <f t="shared" si="204"/>
        <v>307</v>
      </c>
      <c r="GS141" s="39">
        <f t="shared" si="205"/>
        <v>229</v>
      </c>
      <c r="GT141" s="39">
        <f t="shared" si="206"/>
        <v>143</v>
      </c>
      <c r="GU141" s="39">
        <f t="shared" si="207"/>
        <v>280</v>
      </c>
      <c r="GV141" s="39">
        <f t="shared" si="208"/>
        <v>197</v>
      </c>
      <c r="GW141" s="39">
        <f t="shared" si="209"/>
        <v>241</v>
      </c>
      <c r="GX141" s="39">
        <f t="shared" si="210"/>
        <v>121</v>
      </c>
      <c r="GY141" s="39">
        <f t="shared" si="211"/>
        <v>229</v>
      </c>
      <c r="GZ141" s="39">
        <f t="shared" si="247"/>
        <v>192</v>
      </c>
      <c r="HA141" s="39">
        <f t="shared" si="248"/>
        <v>345</v>
      </c>
      <c r="HB141" s="39">
        <f t="shared" si="249"/>
        <v>115</v>
      </c>
      <c r="HC141" s="39">
        <f t="shared" si="250"/>
        <v>181</v>
      </c>
      <c r="HD141" s="39">
        <f t="shared" si="251"/>
        <v>194</v>
      </c>
      <c r="HE141" s="39">
        <f t="shared" si="252"/>
        <v>202</v>
      </c>
      <c r="HF141" s="39">
        <f t="shared" si="253"/>
        <v>185</v>
      </c>
      <c r="HG141" s="39">
        <f t="shared" si="254"/>
        <v>161</v>
      </c>
      <c r="HH141" s="39">
        <f t="shared" si="255"/>
        <v>154</v>
      </c>
      <c r="HI141" s="39">
        <f t="shared" si="256"/>
        <v>268</v>
      </c>
      <c r="HJ141" s="39">
        <f t="shared" si="257"/>
        <v>237</v>
      </c>
      <c r="HK141" s="39">
        <f t="shared" si="258"/>
        <v>223</v>
      </c>
      <c r="HL141" s="39">
        <f t="shared" si="259"/>
        <v>258</v>
      </c>
      <c r="HM141" s="39">
        <f t="shared" si="260"/>
        <v>340</v>
      </c>
      <c r="HN141" s="39">
        <f t="shared" si="278"/>
        <v>237</v>
      </c>
      <c r="HO141" s="39">
        <f t="shared" si="279"/>
        <v>223</v>
      </c>
      <c r="HP141" s="39">
        <f t="shared" si="280"/>
        <v>258</v>
      </c>
      <c r="HQ141" s="39">
        <f t="shared" si="281"/>
        <v>340</v>
      </c>
      <c r="HR141" s="39">
        <f t="shared" si="226"/>
        <v>358</v>
      </c>
      <c r="HS141" s="39">
        <f t="shared" si="277"/>
        <v>275</v>
      </c>
      <c r="HT141" s="39">
        <f t="shared" si="227"/>
        <v>324</v>
      </c>
      <c r="HU141" s="39">
        <f t="shared" si="272"/>
        <v>350</v>
      </c>
      <c r="HV141" s="39">
        <f t="shared" si="273"/>
        <v>358</v>
      </c>
      <c r="HW141" s="39">
        <f t="shared" si="274"/>
        <v>333</v>
      </c>
      <c r="HX141" s="39">
        <f t="shared" si="275"/>
        <v>436</v>
      </c>
      <c r="IB141" s="39">
        <f t="shared" si="232"/>
        <v>0</v>
      </c>
      <c r="IC141" s="39">
        <f t="shared" si="233"/>
        <v>0</v>
      </c>
      <c r="ID141" s="39">
        <f t="shared" si="234"/>
        <v>0</v>
      </c>
      <c r="IE141" s="39">
        <f t="shared" si="235"/>
        <v>0</v>
      </c>
      <c r="IF141" s="39">
        <f t="shared" si="236"/>
        <v>0</v>
      </c>
      <c r="IG141" s="39">
        <f t="shared" si="237"/>
        <v>0</v>
      </c>
      <c r="IH141" s="39">
        <f t="shared" si="238"/>
        <v>924</v>
      </c>
      <c r="II141" s="39">
        <f t="shared" si="239"/>
        <v>861</v>
      </c>
      <c r="IJ141" s="39">
        <f t="shared" si="261"/>
        <v>887</v>
      </c>
      <c r="IK141" s="39">
        <f t="shared" si="262"/>
        <v>787</v>
      </c>
      <c r="IL141" s="39">
        <f t="shared" si="263"/>
        <v>768</v>
      </c>
      <c r="IM141" s="39">
        <f t="shared" si="264"/>
        <v>1058</v>
      </c>
      <c r="IN141" s="39">
        <f t="shared" si="276"/>
        <v>1307</v>
      </c>
    </row>
    <row r="142" spans="1:248" outlineLevel="2" x14ac:dyDescent="0.3">
      <c r="A142" t="s">
        <v>104</v>
      </c>
      <c r="B142" t="s">
        <v>75</v>
      </c>
      <c r="C142" s="23">
        <v>0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32">
        <v>0</v>
      </c>
      <c r="AB142" s="32">
        <v>0</v>
      </c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2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2">
        <v>0</v>
      </c>
      <c r="BA142" s="32">
        <v>0</v>
      </c>
      <c r="BB142" s="32">
        <v>0</v>
      </c>
      <c r="BC142" s="32">
        <v>0</v>
      </c>
      <c r="BD142" s="32">
        <v>0</v>
      </c>
      <c r="BE142" s="32">
        <v>0</v>
      </c>
      <c r="BF142" s="32">
        <v>0</v>
      </c>
      <c r="BG142" s="32">
        <v>0</v>
      </c>
      <c r="BH142" s="32">
        <v>0</v>
      </c>
      <c r="BI142" s="32">
        <v>0</v>
      </c>
      <c r="BJ142" s="32">
        <v>0</v>
      </c>
      <c r="BK142" s="32">
        <v>0</v>
      </c>
      <c r="BL142" s="32">
        <v>0</v>
      </c>
      <c r="BM142" s="32">
        <v>0</v>
      </c>
      <c r="BN142" s="32">
        <v>0</v>
      </c>
      <c r="BO142" s="32">
        <v>0</v>
      </c>
      <c r="BP142" s="32">
        <v>0</v>
      </c>
      <c r="BQ142" s="32">
        <v>0</v>
      </c>
      <c r="BR142" s="32">
        <v>0</v>
      </c>
      <c r="BS142" s="32">
        <v>0</v>
      </c>
      <c r="BT142" s="32">
        <v>0</v>
      </c>
      <c r="BU142" s="32">
        <v>0</v>
      </c>
      <c r="BV142" s="32">
        <v>0</v>
      </c>
      <c r="BW142" s="32">
        <v>0</v>
      </c>
      <c r="BX142" s="32">
        <v>0</v>
      </c>
      <c r="BY142" s="32">
        <v>0</v>
      </c>
      <c r="BZ142" s="32">
        <v>0</v>
      </c>
      <c r="CA142" s="32">
        <v>0</v>
      </c>
      <c r="CB142" s="32">
        <v>0</v>
      </c>
      <c r="CC142" s="32">
        <v>0</v>
      </c>
      <c r="CD142" s="32">
        <v>0</v>
      </c>
      <c r="CE142" s="32">
        <v>0</v>
      </c>
      <c r="CF142" s="32">
        <v>0</v>
      </c>
      <c r="CG142" s="32">
        <v>0</v>
      </c>
      <c r="CH142" s="32">
        <v>0</v>
      </c>
      <c r="CI142" s="32">
        <v>0</v>
      </c>
      <c r="CJ142" s="32">
        <v>0</v>
      </c>
      <c r="CK142" s="32">
        <v>0</v>
      </c>
      <c r="CL142" s="32">
        <v>0</v>
      </c>
      <c r="CM142" s="32">
        <v>0</v>
      </c>
      <c r="CN142" s="32">
        <v>0</v>
      </c>
      <c r="CO142" s="32">
        <v>0</v>
      </c>
      <c r="CP142" s="32">
        <v>0</v>
      </c>
      <c r="CQ142" s="32">
        <v>0</v>
      </c>
      <c r="CR142" s="32">
        <v>0</v>
      </c>
      <c r="CS142" s="32">
        <v>0</v>
      </c>
      <c r="CT142" s="32">
        <v>0</v>
      </c>
      <c r="CU142" s="32">
        <v>0</v>
      </c>
      <c r="CV142" s="32">
        <v>0</v>
      </c>
      <c r="CW142" s="32">
        <v>0</v>
      </c>
      <c r="CX142" s="32">
        <v>0</v>
      </c>
      <c r="CY142" s="32">
        <v>0</v>
      </c>
      <c r="CZ142" s="32">
        <v>0</v>
      </c>
      <c r="DA142" s="32">
        <v>0</v>
      </c>
      <c r="DB142" s="32">
        <v>0</v>
      </c>
      <c r="DC142" s="32">
        <v>0</v>
      </c>
      <c r="DD142" s="32">
        <v>0</v>
      </c>
      <c r="DE142" s="32">
        <v>0</v>
      </c>
      <c r="DF142" s="32">
        <v>0</v>
      </c>
      <c r="DG142" s="32">
        <v>0</v>
      </c>
      <c r="DH142" s="32">
        <v>0</v>
      </c>
      <c r="DI142" s="32">
        <v>0</v>
      </c>
      <c r="DJ142" s="32">
        <v>0</v>
      </c>
      <c r="DK142" s="32">
        <v>0</v>
      </c>
      <c r="DL142" s="32">
        <v>0</v>
      </c>
      <c r="DM142" s="32">
        <v>0</v>
      </c>
      <c r="DN142" s="32">
        <v>0</v>
      </c>
      <c r="DO142" s="32">
        <v>0</v>
      </c>
      <c r="DP142" s="32">
        <v>0</v>
      </c>
      <c r="DQ142" s="32">
        <v>0</v>
      </c>
      <c r="DR142" s="32">
        <v>0</v>
      </c>
      <c r="DS142" s="32">
        <v>0</v>
      </c>
      <c r="DT142" s="32">
        <v>0</v>
      </c>
      <c r="DU142" s="32">
        <v>0</v>
      </c>
      <c r="DV142" s="32">
        <v>0</v>
      </c>
      <c r="DW142" s="32">
        <v>0</v>
      </c>
      <c r="DX142" s="32">
        <v>0</v>
      </c>
      <c r="DY142" s="32">
        <v>0</v>
      </c>
      <c r="DZ142" s="32">
        <v>0</v>
      </c>
      <c r="EA142" s="32">
        <v>0</v>
      </c>
      <c r="EB142" s="32">
        <v>0</v>
      </c>
      <c r="EC142" s="32">
        <v>0</v>
      </c>
      <c r="ED142" s="32">
        <v>0</v>
      </c>
      <c r="EE142" s="32">
        <v>0</v>
      </c>
      <c r="EF142" s="32">
        <v>0</v>
      </c>
      <c r="EG142" s="32">
        <v>0</v>
      </c>
      <c r="EH142" s="32">
        <v>0</v>
      </c>
      <c r="EI142" s="32">
        <v>0</v>
      </c>
      <c r="EJ142" s="32">
        <v>0</v>
      </c>
      <c r="EK142" s="32">
        <v>0</v>
      </c>
      <c r="EL142" s="32">
        <v>0</v>
      </c>
      <c r="EM142" s="32">
        <v>0</v>
      </c>
      <c r="EN142" s="32">
        <v>0</v>
      </c>
      <c r="EO142" s="32">
        <v>0</v>
      </c>
      <c r="EP142" s="32">
        <v>0</v>
      </c>
      <c r="EQ142" s="32">
        <v>0</v>
      </c>
      <c r="ER142" s="32">
        <v>0</v>
      </c>
      <c r="ES142" s="32">
        <v>0</v>
      </c>
      <c r="ET142" s="32">
        <v>0</v>
      </c>
      <c r="EU142" s="32">
        <v>0</v>
      </c>
      <c r="EV142" s="32">
        <v>0</v>
      </c>
      <c r="EW142" s="32">
        <v>0</v>
      </c>
      <c r="EX142" s="32">
        <v>0</v>
      </c>
      <c r="EY142" s="32">
        <v>0</v>
      </c>
      <c r="EZ142" s="32">
        <v>0</v>
      </c>
      <c r="FA142" s="32">
        <v>0</v>
      </c>
      <c r="FB142" s="32">
        <v>0</v>
      </c>
      <c r="FC142" s="32">
        <v>0</v>
      </c>
      <c r="FD142" s="32">
        <v>0</v>
      </c>
      <c r="FE142" s="32">
        <v>0</v>
      </c>
      <c r="FF142" s="32">
        <v>0</v>
      </c>
      <c r="FG142" s="32">
        <v>0</v>
      </c>
      <c r="FH142" s="32">
        <v>0</v>
      </c>
      <c r="FI142" s="32">
        <v>0</v>
      </c>
      <c r="FJ142" s="32">
        <v>0</v>
      </c>
      <c r="FK142" s="32">
        <v>0</v>
      </c>
      <c r="FL142" s="32"/>
      <c r="FM142" s="32"/>
      <c r="FN142" s="32"/>
      <c r="FR142" s="32">
        <f t="shared" si="178"/>
        <v>0</v>
      </c>
      <c r="FS142" s="32">
        <f t="shared" si="179"/>
        <v>0</v>
      </c>
      <c r="FT142" s="32">
        <f t="shared" si="180"/>
        <v>0</v>
      </c>
      <c r="FU142" s="32">
        <f t="shared" si="181"/>
        <v>0</v>
      </c>
      <c r="FV142" s="32">
        <f t="shared" si="182"/>
        <v>0</v>
      </c>
      <c r="FW142" s="32">
        <f t="shared" si="183"/>
        <v>0</v>
      </c>
      <c r="FX142" s="32">
        <f t="shared" si="184"/>
        <v>0</v>
      </c>
      <c r="FY142" s="32">
        <f t="shared" si="185"/>
        <v>0</v>
      </c>
      <c r="FZ142" s="32">
        <f t="shared" si="186"/>
        <v>0</v>
      </c>
      <c r="GA142" s="32">
        <f t="shared" si="187"/>
        <v>0</v>
      </c>
      <c r="GB142" s="32">
        <f t="shared" si="188"/>
        <v>0</v>
      </c>
      <c r="GC142" s="32">
        <f t="shared" si="189"/>
        <v>0</v>
      </c>
      <c r="GD142" s="32">
        <f t="shared" si="190"/>
        <v>0</v>
      </c>
      <c r="GE142" s="32">
        <f t="shared" si="191"/>
        <v>0</v>
      </c>
      <c r="GF142" s="32">
        <f t="shared" si="192"/>
        <v>0</v>
      </c>
      <c r="GG142" s="32">
        <f t="shared" si="193"/>
        <v>0</v>
      </c>
      <c r="GH142" s="32">
        <f t="shared" si="194"/>
        <v>0</v>
      </c>
      <c r="GI142" s="32">
        <f t="shared" si="195"/>
        <v>0</v>
      </c>
      <c r="GJ142" s="32">
        <f t="shared" si="196"/>
        <v>0</v>
      </c>
      <c r="GK142" s="32">
        <f t="shared" si="197"/>
        <v>0</v>
      </c>
      <c r="GL142" s="32">
        <f t="shared" si="198"/>
        <v>0</v>
      </c>
      <c r="GM142" s="32">
        <f t="shared" si="199"/>
        <v>0</v>
      </c>
      <c r="GN142" s="32">
        <f t="shared" si="200"/>
        <v>0</v>
      </c>
      <c r="GO142" s="32">
        <f t="shared" si="201"/>
        <v>0</v>
      </c>
      <c r="GP142" s="32">
        <f t="shared" si="202"/>
        <v>0</v>
      </c>
      <c r="GQ142" s="32">
        <f t="shared" si="203"/>
        <v>0</v>
      </c>
      <c r="GR142" s="32">
        <f t="shared" si="204"/>
        <v>0</v>
      </c>
      <c r="GS142" s="32">
        <f t="shared" si="205"/>
        <v>0</v>
      </c>
      <c r="GT142" s="32">
        <f t="shared" si="206"/>
        <v>0</v>
      </c>
      <c r="GU142" s="32">
        <f t="shared" si="207"/>
        <v>0</v>
      </c>
      <c r="GV142" s="32">
        <f t="shared" si="208"/>
        <v>0</v>
      </c>
      <c r="GW142" s="32">
        <f t="shared" si="209"/>
        <v>0</v>
      </c>
      <c r="GX142" s="32">
        <f t="shared" si="210"/>
        <v>0</v>
      </c>
      <c r="GY142" s="32">
        <f t="shared" si="211"/>
        <v>0</v>
      </c>
      <c r="GZ142" s="32">
        <f t="shared" si="247"/>
        <v>0</v>
      </c>
      <c r="HA142" s="32">
        <f t="shared" si="248"/>
        <v>0</v>
      </c>
      <c r="HB142" s="32">
        <f t="shared" si="249"/>
        <v>0</v>
      </c>
      <c r="HC142" s="32">
        <f t="shared" si="250"/>
        <v>0</v>
      </c>
      <c r="HD142" s="32">
        <f t="shared" si="251"/>
        <v>0</v>
      </c>
      <c r="HE142" s="32">
        <f t="shared" si="252"/>
        <v>0</v>
      </c>
      <c r="HF142" s="32">
        <f t="shared" si="253"/>
        <v>0</v>
      </c>
      <c r="HG142" s="32">
        <f t="shared" si="254"/>
        <v>0</v>
      </c>
      <c r="HH142" s="32">
        <f t="shared" si="255"/>
        <v>0</v>
      </c>
      <c r="HI142" s="32">
        <f t="shared" si="256"/>
        <v>0</v>
      </c>
      <c r="HJ142" s="32">
        <f t="shared" si="257"/>
        <v>0</v>
      </c>
      <c r="HK142" s="32">
        <f t="shared" si="258"/>
        <v>0</v>
      </c>
      <c r="HL142" s="32">
        <f t="shared" si="259"/>
        <v>0</v>
      </c>
      <c r="HM142" s="32">
        <f t="shared" si="260"/>
        <v>0</v>
      </c>
      <c r="HN142" s="32">
        <f t="shared" si="278"/>
        <v>0</v>
      </c>
      <c r="HO142" s="32">
        <f t="shared" si="279"/>
        <v>0</v>
      </c>
      <c r="HP142" s="32">
        <f t="shared" si="280"/>
        <v>0</v>
      </c>
      <c r="HQ142" s="32">
        <f t="shared" si="281"/>
        <v>0</v>
      </c>
      <c r="HR142" s="32">
        <f t="shared" si="226"/>
        <v>0</v>
      </c>
      <c r="HS142" s="32">
        <f t="shared" si="277"/>
        <v>0</v>
      </c>
      <c r="HT142" s="32">
        <f t="shared" si="227"/>
        <v>0</v>
      </c>
      <c r="HU142" s="32">
        <f t="shared" si="272"/>
        <v>0</v>
      </c>
      <c r="HV142" s="32">
        <f t="shared" si="273"/>
        <v>0</v>
      </c>
      <c r="HW142" s="32">
        <f t="shared" si="274"/>
        <v>0</v>
      </c>
      <c r="HX142" s="32">
        <f t="shared" si="275"/>
        <v>0</v>
      </c>
      <c r="IB142" s="32">
        <f t="shared" si="232"/>
        <v>0</v>
      </c>
      <c r="IC142" s="32">
        <f t="shared" si="233"/>
        <v>0</v>
      </c>
      <c r="ID142" s="32">
        <f t="shared" si="234"/>
        <v>0</v>
      </c>
      <c r="IE142" s="32">
        <f t="shared" si="235"/>
        <v>0</v>
      </c>
      <c r="IF142" s="32">
        <f t="shared" si="236"/>
        <v>0</v>
      </c>
      <c r="IG142" s="32">
        <f t="shared" si="237"/>
        <v>0</v>
      </c>
      <c r="IH142" s="32">
        <f t="shared" si="238"/>
        <v>0</v>
      </c>
      <c r="II142" s="32">
        <f t="shared" si="239"/>
        <v>0</v>
      </c>
      <c r="IJ142" s="32">
        <f t="shared" si="261"/>
        <v>0</v>
      </c>
      <c r="IK142" s="32">
        <f t="shared" si="262"/>
        <v>0</v>
      </c>
      <c r="IL142" s="32">
        <f t="shared" si="263"/>
        <v>0</v>
      </c>
      <c r="IM142" s="32">
        <f t="shared" si="264"/>
        <v>0</v>
      </c>
      <c r="IN142" s="32">
        <f t="shared" si="276"/>
        <v>0</v>
      </c>
    </row>
    <row r="143" spans="1:248" outlineLevel="2" x14ac:dyDescent="0.3">
      <c r="B143" t="s">
        <v>76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32">
        <v>0</v>
      </c>
      <c r="AB143" s="32">
        <v>0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2">
        <v>0</v>
      </c>
      <c r="BA143" s="32">
        <v>0</v>
      </c>
      <c r="BB143" s="32">
        <v>0</v>
      </c>
      <c r="BC143" s="32">
        <v>0</v>
      </c>
      <c r="BD143" s="32">
        <v>0</v>
      </c>
      <c r="BE143" s="32">
        <v>0</v>
      </c>
      <c r="BF143" s="32">
        <v>0</v>
      </c>
      <c r="BG143" s="32">
        <v>0</v>
      </c>
      <c r="BH143" s="32">
        <v>0</v>
      </c>
      <c r="BI143" s="32">
        <v>0</v>
      </c>
      <c r="BJ143" s="32">
        <v>0</v>
      </c>
      <c r="BK143" s="32">
        <v>0</v>
      </c>
      <c r="BL143" s="32">
        <v>0</v>
      </c>
      <c r="BM143" s="32">
        <v>0</v>
      </c>
      <c r="BN143" s="32">
        <v>0</v>
      </c>
      <c r="BO143" s="32">
        <v>0</v>
      </c>
      <c r="BP143" s="32">
        <v>0</v>
      </c>
      <c r="BQ143" s="32">
        <v>0</v>
      </c>
      <c r="BR143" s="32">
        <v>0</v>
      </c>
      <c r="BS143" s="32">
        <v>0</v>
      </c>
      <c r="BT143" s="32">
        <v>0</v>
      </c>
      <c r="BU143" s="32">
        <v>0</v>
      </c>
      <c r="BV143" s="32">
        <v>0</v>
      </c>
      <c r="BW143" s="32">
        <v>0</v>
      </c>
      <c r="BX143" s="32">
        <v>0</v>
      </c>
      <c r="BY143" s="32">
        <v>0</v>
      </c>
      <c r="BZ143" s="32">
        <v>0</v>
      </c>
      <c r="CA143" s="32">
        <v>0</v>
      </c>
      <c r="CB143" s="32">
        <v>0</v>
      </c>
      <c r="CC143" s="32">
        <v>0</v>
      </c>
      <c r="CD143" s="32">
        <v>0</v>
      </c>
      <c r="CE143" s="32">
        <v>0</v>
      </c>
      <c r="CF143" s="32">
        <v>0</v>
      </c>
      <c r="CG143" s="32">
        <v>0</v>
      </c>
      <c r="CH143" s="32">
        <v>0</v>
      </c>
      <c r="CI143" s="32">
        <v>0</v>
      </c>
      <c r="CJ143" s="32">
        <v>0</v>
      </c>
      <c r="CK143" s="32">
        <v>0</v>
      </c>
      <c r="CL143" s="32">
        <v>0</v>
      </c>
      <c r="CM143" s="32">
        <v>0</v>
      </c>
      <c r="CN143" s="32">
        <v>0</v>
      </c>
      <c r="CO143" s="32">
        <v>0</v>
      </c>
      <c r="CP143" s="32">
        <v>0</v>
      </c>
      <c r="CQ143" s="32">
        <v>0</v>
      </c>
      <c r="CR143" s="32">
        <v>0</v>
      </c>
      <c r="CS143" s="32">
        <v>0</v>
      </c>
      <c r="CT143" s="32">
        <v>0</v>
      </c>
      <c r="CU143" s="32">
        <v>0</v>
      </c>
      <c r="CV143" s="32">
        <v>0</v>
      </c>
      <c r="CW143" s="32">
        <v>0</v>
      </c>
      <c r="CX143" s="32">
        <v>0</v>
      </c>
      <c r="CY143" s="32">
        <v>0</v>
      </c>
      <c r="CZ143" s="32">
        <v>0</v>
      </c>
      <c r="DA143" s="32">
        <v>0</v>
      </c>
      <c r="DB143" s="32">
        <v>0</v>
      </c>
      <c r="DC143" s="32">
        <v>0</v>
      </c>
      <c r="DD143" s="32">
        <v>0</v>
      </c>
      <c r="DE143" s="32">
        <v>0</v>
      </c>
      <c r="DF143" s="32">
        <v>0</v>
      </c>
      <c r="DG143" s="32">
        <v>0</v>
      </c>
      <c r="DH143" s="32">
        <v>0</v>
      </c>
      <c r="DI143" s="32">
        <v>0</v>
      </c>
      <c r="DJ143" s="32">
        <v>0</v>
      </c>
      <c r="DK143" s="32">
        <v>0</v>
      </c>
      <c r="DL143" s="32">
        <v>0</v>
      </c>
      <c r="DM143" s="32">
        <v>0</v>
      </c>
      <c r="DN143" s="32">
        <v>0</v>
      </c>
      <c r="DO143" s="32">
        <v>0</v>
      </c>
      <c r="DP143" s="32">
        <v>0</v>
      </c>
      <c r="DQ143" s="32">
        <v>0</v>
      </c>
      <c r="DR143" s="32">
        <v>0</v>
      </c>
      <c r="DS143" s="32">
        <v>0</v>
      </c>
      <c r="DT143" s="32">
        <v>0</v>
      </c>
      <c r="DU143" s="32">
        <v>0</v>
      </c>
      <c r="DV143" s="32">
        <v>0</v>
      </c>
      <c r="DW143" s="32">
        <v>0</v>
      </c>
      <c r="DX143" s="32">
        <v>0</v>
      </c>
      <c r="DY143" s="32">
        <v>0</v>
      </c>
      <c r="DZ143" s="32">
        <v>0</v>
      </c>
      <c r="EA143" s="32">
        <v>0</v>
      </c>
      <c r="EB143" s="32">
        <v>0</v>
      </c>
      <c r="EC143" s="32">
        <v>0</v>
      </c>
      <c r="ED143" s="32">
        <v>3</v>
      </c>
      <c r="EE143" s="32">
        <v>0</v>
      </c>
      <c r="EF143" s="32">
        <v>0</v>
      </c>
      <c r="EG143" s="32">
        <v>0</v>
      </c>
      <c r="EH143" s="32">
        <v>0</v>
      </c>
      <c r="EI143" s="32">
        <v>0</v>
      </c>
      <c r="EJ143" s="32">
        <v>0</v>
      </c>
      <c r="EK143" s="32">
        <v>0</v>
      </c>
      <c r="EL143" s="32">
        <v>0</v>
      </c>
      <c r="EM143" s="32">
        <v>0</v>
      </c>
      <c r="EN143" s="32">
        <v>0</v>
      </c>
      <c r="EO143" s="32">
        <v>0</v>
      </c>
      <c r="EP143" s="32">
        <v>0</v>
      </c>
      <c r="EQ143" s="32">
        <v>0</v>
      </c>
      <c r="ER143" s="32">
        <v>0</v>
      </c>
      <c r="ES143" s="32">
        <v>0</v>
      </c>
      <c r="ET143" s="32">
        <v>0</v>
      </c>
      <c r="EU143" s="32">
        <v>0</v>
      </c>
      <c r="EV143" s="32">
        <v>0</v>
      </c>
      <c r="EW143" s="32">
        <v>0</v>
      </c>
      <c r="EX143" s="32">
        <v>0</v>
      </c>
      <c r="EY143" s="32">
        <v>0</v>
      </c>
      <c r="EZ143" s="32">
        <v>0</v>
      </c>
      <c r="FA143" s="32">
        <v>0</v>
      </c>
      <c r="FB143" s="32">
        <v>0</v>
      </c>
      <c r="FC143" s="32">
        <v>0</v>
      </c>
      <c r="FD143" s="32">
        <v>0</v>
      </c>
      <c r="FE143" s="32">
        <v>0</v>
      </c>
      <c r="FF143" s="32">
        <v>0</v>
      </c>
      <c r="FG143" s="32">
        <v>0</v>
      </c>
      <c r="FH143" s="32">
        <v>0</v>
      </c>
      <c r="FI143" s="32">
        <v>0</v>
      </c>
      <c r="FJ143" s="32">
        <v>0</v>
      </c>
      <c r="FK143" s="32">
        <v>0</v>
      </c>
      <c r="FL143" s="32"/>
      <c r="FM143" s="32"/>
      <c r="FN143" s="32"/>
      <c r="FR143" s="32">
        <f t="shared" si="178"/>
        <v>0</v>
      </c>
      <c r="FS143" s="32">
        <f t="shared" si="179"/>
        <v>0</v>
      </c>
      <c r="FT143" s="32">
        <f t="shared" si="180"/>
        <v>0</v>
      </c>
      <c r="FU143" s="32">
        <f t="shared" si="181"/>
        <v>0</v>
      </c>
      <c r="FV143" s="32">
        <f t="shared" si="182"/>
        <v>0</v>
      </c>
      <c r="FW143" s="32">
        <f t="shared" si="183"/>
        <v>0</v>
      </c>
      <c r="FX143" s="32">
        <f t="shared" si="184"/>
        <v>0</v>
      </c>
      <c r="FY143" s="32">
        <f t="shared" si="185"/>
        <v>0</v>
      </c>
      <c r="FZ143" s="32">
        <f t="shared" si="186"/>
        <v>0</v>
      </c>
      <c r="GA143" s="32">
        <f t="shared" si="187"/>
        <v>0</v>
      </c>
      <c r="GB143" s="32">
        <f t="shared" si="188"/>
        <v>0</v>
      </c>
      <c r="GC143" s="32">
        <f t="shared" si="189"/>
        <v>0</v>
      </c>
      <c r="GD143" s="32">
        <f t="shared" si="190"/>
        <v>0</v>
      </c>
      <c r="GE143" s="32">
        <f t="shared" si="191"/>
        <v>0</v>
      </c>
      <c r="GF143" s="32">
        <f t="shared" si="192"/>
        <v>0</v>
      </c>
      <c r="GG143" s="32">
        <f t="shared" si="193"/>
        <v>0</v>
      </c>
      <c r="GH143" s="32">
        <f t="shared" si="194"/>
        <v>0</v>
      </c>
      <c r="GI143" s="32">
        <f t="shared" si="195"/>
        <v>0</v>
      </c>
      <c r="GJ143" s="32">
        <f t="shared" si="196"/>
        <v>0</v>
      </c>
      <c r="GK143" s="32">
        <f t="shared" si="197"/>
        <v>0</v>
      </c>
      <c r="GL143" s="32">
        <f t="shared" si="198"/>
        <v>0</v>
      </c>
      <c r="GM143" s="32">
        <f t="shared" si="199"/>
        <v>0</v>
      </c>
      <c r="GN143" s="32">
        <f t="shared" si="200"/>
        <v>0</v>
      </c>
      <c r="GO143" s="32">
        <f t="shared" si="201"/>
        <v>0</v>
      </c>
      <c r="GP143" s="32">
        <f t="shared" si="202"/>
        <v>0</v>
      </c>
      <c r="GQ143" s="32">
        <f t="shared" si="203"/>
        <v>0</v>
      </c>
      <c r="GR143" s="32">
        <f t="shared" si="204"/>
        <v>0</v>
      </c>
      <c r="GS143" s="32">
        <f t="shared" si="205"/>
        <v>0</v>
      </c>
      <c r="GT143" s="32">
        <f t="shared" si="206"/>
        <v>0</v>
      </c>
      <c r="GU143" s="32">
        <f t="shared" si="207"/>
        <v>0</v>
      </c>
      <c r="GV143" s="32">
        <f t="shared" si="208"/>
        <v>0</v>
      </c>
      <c r="GW143" s="32">
        <f t="shared" si="209"/>
        <v>0</v>
      </c>
      <c r="GX143" s="32">
        <f t="shared" si="210"/>
        <v>0</v>
      </c>
      <c r="GY143" s="32">
        <f t="shared" si="211"/>
        <v>0</v>
      </c>
      <c r="GZ143" s="32">
        <f t="shared" si="247"/>
        <v>0</v>
      </c>
      <c r="HA143" s="32">
        <f t="shared" si="248"/>
        <v>0</v>
      </c>
      <c r="HB143" s="32">
        <f t="shared" si="249"/>
        <v>0</v>
      </c>
      <c r="HC143" s="32">
        <f t="shared" si="250"/>
        <v>0</v>
      </c>
      <c r="HD143" s="32">
        <f t="shared" si="251"/>
        <v>0</v>
      </c>
      <c r="HE143" s="32">
        <f t="shared" si="252"/>
        <v>0</v>
      </c>
      <c r="HF143" s="32">
        <f t="shared" si="253"/>
        <v>0</v>
      </c>
      <c r="HG143" s="32">
        <f t="shared" si="254"/>
        <v>0</v>
      </c>
      <c r="HH143" s="32">
        <f t="shared" si="255"/>
        <v>0</v>
      </c>
      <c r="HI143" s="32">
        <f t="shared" si="256"/>
        <v>3</v>
      </c>
      <c r="HJ143" s="32">
        <f t="shared" si="257"/>
        <v>0</v>
      </c>
      <c r="HK143" s="32">
        <f t="shared" si="258"/>
        <v>0</v>
      </c>
      <c r="HL143" s="32">
        <f t="shared" si="259"/>
        <v>0</v>
      </c>
      <c r="HM143" s="32">
        <f t="shared" si="260"/>
        <v>0</v>
      </c>
      <c r="HN143" s="32">
        <f t="shared" si="278"/>
        <v>0</v>
      </c>
      <c r="HO143" s="32">
        <f t="shared" si="279"/>
        <v>0</v>
      </c>
      <c r="HP143" s="32">
        <f t="shared" si="280"/>
        <v>0</v>
      </c>
      <c r="HQ143" s="32">
        <f t="shared" si="281"/>
        <v>0</v>
      </c>
      <c r="HR143" s="32">
        <f t="shared" si="226"/>
        <v>0</v>
      </c>
      <c r="HS143" s="32">
        <f t="shared" si="277"/>
        <v>0</v>
      </c>
      <c r="HT143" s="32">
        <f t="shared" ref="HT143:HT152" si="282">SUM(EW143:EY143)</f>
        <v>0</v>
      </c>
      <c r="HU143" s="32">
        <f t="shared" si="272"/>
        <v>0</v>
      </c>
      <c r="HV143" s="32">
        <f t="shared" si="273"/>
        <v>0</v>
      </c>
      <c r="HW143" s="32">
        <f t="shared" si="274"/>
        <v>0</v>
      </c>
      <c r="HX143" s="32">
        <f t="shared" si="275"/>
        <v>0</v>
      </c>
      <c r="IB143" s="32">
        <f t="shared" si="232"/>
        <v>0</v>
      </c>
      <c r="IC143" s="32">
        <f t="shared" si="233"/>
        <v>0</v>
      </c>
      <c r="ID143" s="32">
        <f t="shared" si="234"/>
        <v>0</v>
      </c>
      <c r="IE143" s="32">
        <f t="shared" si="235"/>
        <v>0</v>
      </c>
      <c r="IF143" s="32">
        <f t="shared" si="236"/>
        <v>0</v>
      </c>
      <c r="IG143" s="32">
        <f t="shared" si="237"/>
        <v>0</v>
      </c>
      <c r="IH143" s="32">
        <f t="shared" si="238"/>
        <v>0</v>
      </c>
      <c r="II143" s="32">
        <f t="shared" si="239"/>
        <v>0</v>
      </c>
      <c r="IJ143" s="32">
        <f t="shared" si="261"/>
        <v>0</v>
      </c>
      <c r="IK143" s="32">
        <f t="shared" si="262"/>
        <v>0</v>
      </c>
      <c r="IL143" s="32">
        <f t="shared" si="263"/>
        <v>3</v>
      </c>
      <c r="IM143" s="32">
        <f t="shared" si="264"/>
        <v>0</v>
      </c>
      <c r="IN143" s="32">
        <f t="shared" si="276"/>
        <v>0</v>
      </c>
    </row>
    <row r="144" spans="1:248" outlineLevel="2" x14ac:dyDescent="0.3">
      <c r="B144" t="s">
        <v>77</v>
      </c>
      <c r="C144" s="23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23">
        <v>0</v>
      </c>
      <c r="Y144" s="23">
        <v>0</v>
      </c>
      <c r="Z144" s="23">
        <v>0</v>
      </c>
      <c r="AA144" s="32">
        <v>0</v>
      </c>
      <c r="AB144" s="32">
        <v>0</v>
      </c>
      <c r="AC144" s="32">
        <v>0</v>
      </c>
      <c r="AD144" s="32">
        <v>0</v>
      </c>
      <c r="AE144" s="32">
        <v>0</v>
      </c>
      <c r="AF144" s="32">
        <v>0</v>
      </c>
      <c r="AG144" s="32">
        <v>0</v>
      </c>
      <c r="AH144" s="32">
        <v>0</v>
      </c>
      <c r="AI144" s="32">
        <v>0</v>
      </c>
      <c r="AJ144" s="32">
        <v>0</v>
      </c>
      <c r="AK144" s="32">
        <v>0</v>
      </c>
      <c r="AL144" s="32">
        <v>0</v>
      </c>
      <c r="AM144" s="32">
        <v>0</v>
      </c>
      <c r="AN144" s="32">
        <v>0</v>
      </c>
      <c r="AO144" s="32">
        <v>0</v>
      </c>
      <c r="AP144" s="32">
        <v>0</v>
      </c>
      <c r="AQ144" s="32">
        <v>0</v>
      </c>
      <c r="AR144" s="32">
        <v>0</v>
      </c>
      <c r="AS144" s="32">
        <v>0</v>
      </c>
      <c r="AT144" s="32">
        <v>0</v>
      </c>
      <c r="AU144" s="32">
        <v>0</v>
      </c>
      <c r="AV144" s="32">
        <v>0</v>
      </c>
      <c r="AW144" s="32">
        <v>0</v>
      </c>
      <c r="AX144" s="32">
        <v>0</v>
      </c>
      <c r="AY144" s="32">
        <v>0</v>
      </c>
      <c r="AZ144" s="32">
        <v>0</v>
      </c>
      <c r="BA144" s="32">
        <v>0</v>
      </c>
      <c r="BB144" s="32">
        <v>0</v>
      </c>
      <c r="BC144" s="32">
        <v>0</v>
      </c>
      <c r="BD144" s="32">
        <v>0</v>
      </c>
      <c r="BE144" s="32">
        <v>0</v>
      </c>
      <c r="BF144" s="32">
        <v>0</v>
      </c>
      <c r="BG144" s="32">
        <v>0</v>
      </c>
      <c r="BH144" s="32">
        <v>0</v>
      </c>
      <c r="BI144" s="32">
        <v>0</v>
      </c>
      <c r="BJ144" s="32">
        <v>0</v>
      </c>
      <c r="BK144" s="32">
        <v>0</v>
      </c>
      <c r="BL144" s="32">
        <v>0</v>
      </c>
      <c r="BM144" s="32">
        <v>0</v>
      </c>
      <c r="BN144" s="32">
        <v>0</v>
      </c>
      <c r="BO144" s="32">
        <v>0</v>
      </c>
      <c r="BP144" s="32">
        <v>0</v>
      </c>
      <c r="BQ144" s="32">
        <v>0</v>
      </c>
      <c r="BR144" s="32">
        <v>0</v>
      </c>
      <c r="BS144" s="32">
        <v>0</v>
      </c>
      <c r="BT144" s="32">
        <v>0</v>
      </c>
      <c r="BU144" s="32">
        <v>0</v>
      </c>
      <c r="BV144" s="32">
        <v>0</v>
      </c>
      <c r="BW144" s="32">
        <v>0</v>
      </c>
      <c r="BX144" s="32">
        <v>0</v>
      </c>
      <c r="BY144" s="32">
        <v>0</v>
      </c>
      <c r="BZ144" s="32">
        <v>0</v>
      </c>
      <c r="CA144" s="32">
        <v>0</v>
      </c>
      <c r="CB144" s="32">
        <v>0</v>
      </c>
      <c r="CC144" s="32">
        <v>0</v>
      </c>
      <c r="CD144" s="32">
        <v>0</v>
      </c>
      <c r="CE144" s="32">
        <v>0</v>
      </c>
      <c r="CF144" s="32">
        <v>0</v>
      </c>
      <c r="CG144" s="32">
        <v>0</v>
      </c>
      <c r="CH144" s="32">
        <v>0</v>
      </c>
      <c r="CI144" s="32">
        <v>0</v>
      </c>
      <c r="CJ144" s="32">
        <v>0</v>
      </c>
      <c r="CK144" s="32">
        <v>0</v>
      </c>
      <c r="CL144" s="32">
        <v>0</v>
      </c>
      <c r="CM144" s="32">
        <v>0</v>
      </c>
      <c r="CN144" s="32">
        <v>0</v>
      </c>
      <c r="CO144" s="32">
        <v>0</v>
      </c>
      <c r="CP144" s="32">
        <v>0</v>
      </c>
      <c r="CQ144" s="32">
        <v>0</v>
      </c>
      <c r="CR144" s="32">
        <v>0</v>
      </c>
      <c r="CS144" s="32">
        <v>0</v>
      </c>
      <c r="CT144" s="32">
        <v>0</v>
      </c>
      <c r="CU144" s="32">
        <v>0</v>
      </c>
      <c r="CV144" s="32">
        <v>0</v>
      </c>
      <c r="CW144" s="32">
        <v>0</v>
      </c>
      <c r="CX144" s="32">
        <v>0</v>
      </c>
      <c r="CY144" s="32">
        <v>0</v>
      </c>
      <c r="CZ144" s="32">
        <v>0</v>
      </c>
      <c r="DA144" s="32">
        <v>0</v>
      </c>
      <c r="DB144" s="32">
        <v>0</v>
      </c>
      <c r="DC144" s="32">
        <v>0</v>
      </c>
      <c r="DD144" s="32">
        <v>0</v>
      </c>
      <c r="DE144" s="32">
        <v>0</v>
      </c>
      <c r="DF144" s="32">
        <v>0</v>
      </c>
      <c r="DG144" s="32">
        <v>0</v>
      </c>
      <c r="DH144" s="32">
        <v>0</v>
      </c>
      <c r="DI144" s="32">
        <v>0</v>
      </c>
      <c r="DJ144" s="32">
        <v>0</v>
      </c>
      <c r="DK144" s="32">
        <v>0</v>
      </c>
      <c r="DL144" s="32">
        <v>0</v>
      </c>
      <c r="DM144" s="32">
        <v>0</v>
      </c>
      <c r="DN144" s="32">
        <v>0</v>
      </c>
      <c r="DO144" s="32">
        <v>0</v>
      </c>
      <c r="DP144" s="32">
        <v>0</v>
      </c>
      <c r="DQ144" s="32">
        <v>0</v>
      </c>
      <c r="DR144" s="32">
        <v>0</v>
      </c>
      <c r="DS144" s="32">
        <v>0</v>
      </c>
      <c r="DT144" s="32">
        <v>0</v>
      </c>
      <c r="DU144" s="32">
        <v>0</v>
      </c>
      <c r="DV144" s="32">
        <v>0</v>
      </c>
      <c r="DW144" s="32">
        <v>0</v>
      </c>
      <c r="DX144" s="32">
        <v>0</v>
      </c>
      <c r="DY144" s="32">
        <v>0</v>
      </c>
      <c r="DZ144" s="32">
        <v>0</v>
      </c>
      <c r="EA144" s="32">
        <v>0</v>
      </c>
      <c r="EB144" s="32">
        <v>0</v>
      </c>
      <c r="EC144" s="32">
        <v>0</v>
      </c>
      <c r="ED144" s="32">
        <v>0</v>
      </c>
      <c r="EE144" s="32">
        <v>0</v>
      </c>
      <c r="EF144" s="32">
        <v>0</v>
      </c>
      <c r="EG144" s="32">
        <v>0</v>
      </c>
      <c r="EH144" s="32">
        <v>0</v>
      </c>
      <c r="EI144" s="32">
        <v>0</v>
      </c>
      <c r="EJ144" s="32">
        <v>0</v>
      </c>
      <c r="EK144" s="32">
        <v>0</v>
      </c>
      <c r="EL144" s="32">
        <v>0</v>
      </c>
      <c r="EM144" s="32">
        <v>0</v>
      </c>
      <c r="EN144" s="32">
        <v>0</v>
      </c>
      <c r="EO144" s="32">
        <v>0</v>
      </c>
      <c r="EP144" s="32">
        <v>0</v>
      </c>
      <c r="EQ144" s="32">
        <v>0</v>
      </c>
      <c r="ER144" s="32">
        <v>0</v>
      </c>
      <c r="ES144" s="32">
        <v>0</v>
      </c>
      <c r="ET144" s="32">
        <v>0</v>
      </c>
      <c r="EU144" s="32">
        <v>0</v>
      </c>
      <c r="EV144" s="32">
        <v>0</v>
      </c>
      <c r="EW144" s="32">
        <v>0</v>
      </c>
      <c r="EX144" s="32">
        <v>0</v>
      </c>
      <c r="EY144" s="32">
        <v>0</v>
      </c>
      <c r="EZ144" s="32">
        <v>0</v>
      </c>
      <c r="FA144" s="32">
        <v>0</v>
      </c>
      <c r="FB144" s="32">
        <v>0</v>
      </c>
      <c r="FC144" s="32">
        <v>0</v>
      </c>
      <c r="FD144" s="32">
        <v>0</v>
      </c>
      <c r="FE144" s="32">
        <v>0</v>
      </c>
      <c r="FF144" s="32">
        <v>0</v>
      </c>
      <c r="FG144" s="32">
        <v>0</v>
      </c>
      <c r="FH144" s="32">
        <v>0</v>
      </c>
      <c r="FI144" s="32">
        <v>0</v>
      </c>
      <c r="FJ144" s="32">
        <v>0</v>
      </c>
      <c r="FK144" s="32">
        <v>0</v>
      </c>
      <c r="FL144" s="32"/>
      <c r="FM144" s="32"/>
      <c r="FN144" s="32"/>
      <c r="FR144" s="32">
        <f t="shared" si="178"/>
        <v>0</v>
      </c>
      <c r="FS144" s="32">
        <f t="shared" si="179"/>
        <v>0</v>
      </c>
      <c r="FT144" s="32">
        <f t="shared" si="180"/>
        <v>0</v>
      </c>
      <c r="FU144" s="32">
        <f t="shared" si="181"/>
        <v>0</v>
      </c>
      <c r="FV144" s="32">
        <f t="shared" si="182"/>
        <v>0</v>
      </c>
      <c r="FW144" s="32">
        <f t="shared" si="183"/>
        <v>0</v>
      </c>
      <c r="FX144" s="32">
        <f t="shared" si="184"/>
        <v>0</v>
      </c>
      <c r="FY144" s="32">
        <f t="shared" si="185"/>
        <v>0</v>
      </c>
      <c r="FZ144" s="32">
        <f t="shared" si="186"/>
        <v>0</v>
      </c>
      <c r="GA144" s="32">
        <f t="shared" si="187"/>
        <v>0</v>
      </c>
      <c r="GB144" s="32">
        <f t="shared" si="188"/>
        <v>0</v>
      </c>
      <c r="GC144" s="32">
        <f t="shared" si="189"/>
        <v>0</v>
      </c>
      <c r="GD144" s="32">
        <f t="shared" si="190"/>
        <v>0</v>
      </c>
      <c r="GE144" s="32">
        <f t="shared" si="191"/>
        <v>0</v>
      </c>
      <c r="GF144" s="32">
        <f t="shared" si="192"/>
        <v>0</v>
      </c>
      <c r="GG144" s="32">
        <f t="shared" si="193"/>
        <v>0</v>
      </c>
      <c r="GH144" s="32">
        <f t="shared" si="194"/>
        <v>0</v>
      </c>
      <c r="GI144" s="32">
        <f t="shared" si="195"/>
        <v>0</v>
      </c>
      <c r="GJ144" s="32">
        <f t="shared" si="196"/>
        <v>0</v>
      </c>
      <c r="GK144" s="32">
        <f t="shared" si="197"/>
        <v>0</v>
      </c>
      <c r="GL144" s="32">
        <f t="shared" si="198"/>
        <v>0</v>
      </c>
      <c r="GM144" s="32">
        <f t="shared" si="199"/>
        <v>0</v>
      </c>
      <c r="GN144" s="32">
        <f t="shared" si="200"/>
        <v>0</v>
      </c>
      <c r="GO144" s="32">
        <f t="shared" si="201"/>
        <v>0</v>
      </c>
      <c r="GP144" s="32">
        <f t="shared" si="202"/>
        <v>0</v>
      </c>
      <c r="GQ144" s="32">
        <f t="shared" si="203"/>
        <v>0</v>
      </c>
      <c r="GR144" s="32">
        <f t="shared" si="204"/>
        <v>0</v>
      </c>
      <c r="GS144" s="32">
        <f t="shared" si="205"/>
        <v>0</v>
      </c>
      <c r="GT144" s="32">
        <f t="shared" si="206"/>
        <v>0</v>
      </c>
      <c r="GU144" s="32">
        <f t="shared" si="207"/>
        <v>0</v>
      </c>
      <c r="GV144" s="32">
        <f t="shared" si="208"/>
        <v>0</v>
      </c>
      <c r="GW144" s="32">
        <f t="shared" si="209"/>
        <v>0</v>
      </c>
      <c r="GX144" s="32">
        <f t="shared" si="210"/>
        <v>0</v>
      </c>
      <c r="GY144" s="32">
        <f t="shared" si="211"/>
        <v>0</v>
      </c>
      <c r="GZ144" s="32">
        <f t="shared" si="247"/>
        <v>0</v>
      </c>
      <c r="HA144" s="32">
        <f t="shared" si="248"/>
        <v>0</v>
      </c>
      <c r="HB144" s="32">
        <f t="shared" si="249"/>
        <v>0</v>
      </c>
      <c r="HC144" s="32">
        <f t="shared" si="250"/>
        <v>0</v>
      </c>
      <c r="HD144" s="32">
        <f t="shared" si="251"/>
        <v>0</v>
      </c>
      <c r="HE144" s="32">
        <f t="shared" si="252"/>
        <v>0</v>
      </c>
      <c r="HF144" s="32">
        <f t="shared" si="253"/>
        <v>0</v>
      </c>
      <c r="HG144" s="32">
        <f t="shared" si="254"/>
        <v>0</v>
      </c>
      <c r="HH144" s="32">
        <f t="shared" si="255"/>
        <v>0</v>
      </c>
      <c r="HI144" s="32">
        <f t="shared" si="256"/>
        <v>0</v>
      </c>
      <c r="HJ144" s="32">
        <f t="shared" si="257"/>
        <v>0</v>
      </c>
      <c r="HK144" s="32">
        <f t="shared" si="258"/>
        <v>0</v>
      </c>
      <c r="HL144" s="32">
        <f t="shared" si="259"/>
        <v>0</v>
      </c>
      <c r="HM144" s="32">
        <f t="shared" si="260"/>
        <v>0</v>
      </c>
      <c r="HN144" s="32">
        <f t="shared" si="278"/>
        <v>0</v>
      </c>
      <c r="HO144" s="32">
        <f t="shared" si="279"/>
        <v>0</v>
      </c>
      <c r="HP144" s="32">
        <f t="shared" si="280"/>
        <v>0</v>
      </c>
      <c r="HQ144" s="32">
        <f t="shared" si="281"/>
        <v>0</v>
      </c>
      <c r="HR144" s="32">
        <f t="shared" si="226"/>
        <v>0</v>
      </c>
      <c r="HS144" s="32">
        <f t="shared" si="277"/>
        <v>0</v>
      </c>
      <c r="HT144" s="32">
        <f t="shared" si="282"/>
        <v>0</v>
      </c>
      <c r="HU144" s="32">
        <f t="shared" si="272"/>
        <v>0</v>
      </c>
      <c r="HV144" s="32">
        <f t="shared" si="273"/>
        <v>0</v>
      </c>
      <c r="HW144" s="32">
        <f t="shared" si="274"/>
        <v>0</v>
      </c>
      <c r="HX144" s="32">
        <f t="shared" si="275"/>
        <v>0</v>
      </c>
      <c r="IB144" s="32">
        <f t="shared" si="232"/>
        <v>0</v>
      </c>
      <c r="IC144" s="32">
        <f t="shared" si="233"/>
        <v>0</v>
      </c>
      <c r="ID144" s="32">
        <f t="shared" si="234"/>
        <v>0</v>
      </c>
      <c r="IE144" s="32">
        <f t="shared" si="235"/>
        <v>0</v>
      </c>
      <c r="IF144" s="32">
        <f t="shared" si="236"/>
        <v>0</v>
      </c>
      <c r="IG144" s="32">
        <f t="shared" si="237"/>
        <v>0</v>
      </c>
      <c r="IH144" s="32">
        <f t="shared" si="238"/>
        <v>0</v>
      </c>
      <c r="II144" s="32">
        <f t="shared" si="239"/>
        <v>0</v>
      </c>
      <c r="IJ144" s="32">
        <f t="shared" si="261"/>
        <v>0</v>
      </c>
      <c r="IK144" s="32">
        <f t="shared" si="262"/>
        <v>0</v>
      </c>
      <c r="IL144" s="32">
        <f t="shared" si="263"/>
        <v>0</v>
      </c>
      <c r="IM144" s="32">
        <f t="shared" si="264"/>
        <v>0</v>
      </c>
      <c r="IN144" s="32">
        <f t="shared" si="276"/>
        <v>0</v>
      </c>
    </row>
    <row r="145" spans="1:249" outlineLevel="2" x14ac:dyDescent="0.3">
      <c r="B145" t="s">
        <v>78</v>
      </c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32">
        <v>0</v>
      </c>
      <c r="AB145" s="32">
        <v>0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 s="32">
        <v>0</v>
      </c>
      <c r="BD145" s="32">
        <v>0</v>
      </c>
      <c r="BE145" s="32">
        <v>0</v>
      </c>
      <c r="BF145" s="32">
        <v>0</v>
      </c>
      <c r="BG145" s="32">
        <v>0</v>
      </c>
      <c r="BH145" s="32">
        <v>0</v>
      </c>
      <c r="BI145" s="32">
        <v>0</v>
      </c>
      <c r="BJ145" s="32">
        <v>0</v>
      </c>
      <c r="BK145" s="32">
        <v>0</v>
      </c>
      <c r="BL145" s="32">
        <v>0</v>
      </c>
      <c r="BM145" s="32">
        <v>0</v>
      </c>
      <c r="BN145" s="32">
        <v>0</v>
      </c>
      <c r="BO145" s="32">
        <v>0</v>
      </c>
      <c r="BP145" s="32">
        <v>0</v>
      </c>
      <c r="BQ145" s="32">
        <v>0</v>
      </c>
      <c r="BR145" s="32">
        <v>0</v>
      </c>
      <c r="BS145" s="32">
        <v>0</v>
      </c>
      <c r="BT145" s="32">
        <v>0</v>
      </c>
      <c r="BU145" s="32">
        <v>0</v>
      </c>
      <c r="BV145" s="32">
        <v>0</v>
      </c>
      <c r="BW145" s="32">
        <v>0</v>
      </c>
      <c r="BX145" s="32">
        <v>0</v>
      </c>
      <c r="BY145" s="32">
        <v>0</v>
      </c>
      <c r="BZ145" s="32">
        <v>0</v>
      </c>
      <c r="CA145" s="32">
        <v>0</v>
      </c>
      <c r="CB145" s="32">
        <v>0</v>
      </c>
      <c r="CC145" s="32">
        <v>0</v>
      </c>
      <c r="CD145" s="32">
        <v>0</v>
      </c>
      <c r="CE145" s="32">
        <v>0</v>
      </c>
      <c r="CF145" s="32">
        <v>0</v>
      </c>
      <c r="CG145" s="32">
        <v>0</v>
      </c>
      <c r="CH145" s="32">
        <v>0</v>
      </c>
      <c r="CI145" s="32">
        <v>0</v>
      </c>
      <c r="CJ145" s="32">
        <v>0</v>
      </c>
      <c r="CK145" s="32">
        <v>0</v>
      </c>
      <c r="CL145" s="32">
        <v>0</v>
      </c>
      <c r="CM145" s="32">
        <v>0</v>
      </c>
      <c r="CN145" s="32">
        <v>0</v>
      </c>
      <c r="CO145" s="32">
        <v>0</v>
      </c>
      <c r="CP145" s="32">
        <v>0</v>
      </c>
      <c r="CQ145" s="32">
        <v>0</v>
      </c>
      <c r="CR145" s="32">
        <v>0</v>
      </c>
      <c r="CS145" s="32">
        <v>0</v>
      </c>
      <c r="CT145" s="32">
        <v>0</v>
      </c>
      <c r="CU145" s="32">
        <v>0</v>
      </c>
      <c r="CV145" s="32">
        <v>0</v>
      </c>
      <c r="CW145" s="32">
        <v>0</v>
      </c>
      <c r="CX145" s="32">
        <v>0</v>
      </c>
      <c r="CY145" s="32">
        <v>0</v>
      </c>
      <c r="CZ145" s="32">
        <v>0</v>
      </c>
      <c r="DA145" s="32">
        <v>0</v>
      </c>
      <c r="DB145" s="32">
        <v>0</v>
      </c>
      <c r="DC145" s="32">
        <v>0</v>
      </c>
      <c r="DD145" s="32">
        <v>0</v>
      </c>
      <c r="DE145" s="32">
        <v>0</v>
      </c>
      <c r="DF145" s="32">
        <v>0</v>
      </c>
      <c r="DG145" s="32">
        <v>0</v>
      </c>
      <c r="DH145" s="32">
        <v>0</v>
      </c>
      <c r="DI145" s="32">
        <v>0</v>
      </c>
      <c r="DJ145" s="32">
        <v>0</v>
      </c>
      <c r="DK145" s="32">
        <v>0</v>
      </c>
      <c r="DL145" s="32">
        <v>0</v>
      </c>
      <c r="DM145" s="32">
        <v>0</v>
      </c>
      <c r="DN145" s="32">
        <v>0</v>
      </c>
      <c r="DO145" s="32">
        <v>0</v>
      </c>
      <c r="DP145" s="32">
        <v>0</v>
      </c>
      <c r="DQ145" s="32">
        <v>0</v>
      </c>
      <c r="DR145" s="32">
        <v>0</v>
      </c>
      <c r="DS145" s="32">
        <v>0</v>
      </c>
      <c r="DT145" s="32">
        <v>0</v>
      </c>
      <c r="DU145" s="32">
        <v>0</v>
      </c>
      <c r="DV145" s="32">
        <v>0</v>
      </c>
      <c r="DW145" s="32">
        <v>0</v>
      </c>
      <c r="DX145" s="32">
        <v>0</v>
      </c>
      <c r="DY145" s="32">
        <v>0</v>
      </c>
      <c r="DZ145" s="32">
        <v>0</v>
      </c>
      <c r="EA145" s="32">
        <v>0</v>
      </c>
      <c r="EB145" s="32">
        <v>0</v>
      </c>
      <c r="EC145" s="32">
        <v>0</v>
      </c>
      <c r="ED145" s="32">
        <v>1</v>
      </c>
      <c r="EE145" s="32">
        <v>0</v>
      </c>
      <c r="EF145" s="32">
        <v>0</v>
      </c>
      <c r="EG145" s="32">
        <v>0</v>
      </c>
      <c r="EH145" s="32">
        <v>0</v>
      </c>
      <c r="EI145" s="32">
        <v>0</v>
      </c>
      <c r="EJ145" s="32">
        <v>0</v>
      </c>
      <c r="EK145" s="32">
        <v>0</v>
      </c>
      <c r="EL145" s="32">
        <v>0</v>
      </c>
      <c r="EM145" s="32">
        <v>0</v>
      </c>
      <c r="EN145" s="32">
        <v>0</v>
      </c>
      <c r="EO145" s="32">
        <v>0</v>
      </c>
      <c r="EP145" s="32">
        <v>0</v>
      </c>
      <c r="EQ145" s="32">
        <v>0</v>
      </c>
      <c r="ER145" s="32">
        <v>0</v>
      </c>
      <c r="ES145" s="32">
        <v>0</v>
      </c>
      <c r="ET145" s="32">
        <v>0</v>
      </c>
      <c r="EU145" s="32">
        <v>0</v>
      </c>
      <c r="EV145" s="32">
        <v>0</v>
      </c>
      <c r="EW145" s="32">
        <v>0</v>
      </c>
      <c r="EX145" s="32">
        <v>0</v>
      </c>
      <c r="EY145" s="32">
        <v>0</v>
      </c>
      <c r="EZ145" s="32">
        <v>0</v>
      </c>
      <c r="FA145" s="32">
        <v>0</v>
      </c>
      <c r="FB145" s="32">
        <v>0</v>
      </c>
      <c r="FC145" s="32">
        <v>0</v>
      </c>
      <c r="FD145" s="32">
        <v>0</v>
      </c>
      <c r="FE145" s="32">
        <v>0</v>
      </c>
      <c r="FF145" s="32">
        <v>0</v>
      </c>
      <c r="FG145" s="32">
        <v>0</v>
      </c>
      <c r="FH145" s="32">
        <v>0</v>
      </c>
      <c r="FI145" s="32">
        <v>0</v>
      </c>
      <c r="FJ145" s="32">
        <v>0</v>
      </c>
      <c r="FK145" s="32">
        <v>0</v>
      </c>
      <c r="FL145" s="32"/>
      <c r="FM145" s="32"/>
      <c r="FN145" s="32"/>
      <c r="FR145" s="32">
        <f t="shared" si="178"/>
        <v>0</v>
      </c>
      <c r="FS145" s="32">
        <f t="shared" si="179"/>
        <v>0</v>
      </c>
      <c r="FT145" s="32">
        <f t="shared" si="180"/>
        <v>0</v>
      </c>
      <c r="FU145" s="32">
        <f t="shared" si="181"/>
        <v>0</v>
      </c>
      <c r="FV145" s="32">
        <f t="shared" si="182"/>
        <v>0</v>
      </c>
      <c r="FW145" s="32">
        <f t="shared" si="183"/>
        <v>0</v>
      </c>
      <c r="FX145" s="32">
        <f t="shared" si="184"/>
        <v>0</v>
      </c>
      <c r="FY145" s="32">
        <f t="shared" si="185"/>
        <v>0</v>
      </c>
      <c r="FZ145" s="32">
        <f t="shared" si="186"/>
        <v>0</v>
      </c>
      <c r="GA145" s="32">
        <f t="shared" si="187"/>
        <v>0</v>
      </c>
      <c r="GB145" s="32">
        <f t="shared" si="188"/>
        <v>0</v>
      </c>
      <c r="GC145" s="32">
        <f t="shared" si="189"/>
        <v>0</v>
      </c>
      <c r="GD145" s="32">
        <f t="shared" si="190"/>
        <v>0</v>
      </c>
      <c r="GE145" s="32">
        <f t="shared" si="191"/>
        <v>0</v>
      </c>
      <c r="GF145" s="32">
        <f t="shared" si="192"/>
        <v>0</v>
      </c>
      <c r="GG145" s="32">
        <f t="shared" si="193"/>
        <v>0</v>
      </c>
      <c r="GH145" s="32">
        <f t="shared" si="194"/>
        <v>0</v>
      </c>
      <c r="GI145" s="32">
        <f t="shared" si="195"/>
        <v>0</v>
      </c>
      <c r="GJ145" s="32">
        <f t="shared" si="196"/>
        <v>0</v>
      </c>
      <c r="GK145" s="32">
        <f t="shared" si="197"/>
        <v>0</v>
      </c>
      <c r="GL145" s="32">
        <f t="shared" si="198"/>
        <v>0</v>
      </c>
      <c r="GM145" s="32">
        <f t="shared" si="199"/>
        <v>0</v>
      </c>
      <c r="GN145" s="32">
        <f t="shared" si="200"/>
        <v>0</v>
      </c>
      <c r="GO145" s="32">
        <f t="shared" si="201"/>
        <v>0</v>
      </c>
      <c r="GP145" s="32">
        <f t="shared" si="202"/>
        <v>0</v>
      </c>
      <c r="GQ145" s="32">
        <f t="shared" si="203"/>
        <v>0</v>
      </c>
      <c r="GR145" s="32">
        <f t="shared" si="204"/>
        <v>0</v>
      </c>
      <c r="GS145" s="32">
        <f t="shared" si="205"/>
        <v>0</v>
      </c>
      <c r="GT145" s="32">
        <f t="shared" si="206"/>
        <v>0</v>
      </c>
      <c r="GU145" s="32">
        <f t="shared" si="207"/>
        <v>0</v>
      </c>
      <c r="GV145" s="32">
        <f t="shared" si="208"/>
        <v>0</v>
      </c>
      <c r="GW145" s="32">
        <f t="shared" si="209"/>
        <v>0</v>
      </c>
      <c r="GX145" s="32">
        <f t="shared" si="210"/>
        <v>0</v>
      </c>
      <c r="GY145" s="32">
        <f t="shared" si="211"/>
        <v>0</v>
      </c>
      <c r="GZ145" s="32">
        <f t="shared" si="247"/>
        <v>0</v>
      </c>
      <c r="HA145" s="32">
        <f t="shared" si="248"/>
        <v>0</v>
      </c>
      <c r="HB145" s="32">
        <f t="shared" si="249"/>
        <v>0</v>
      </c>
      <c r="HC145" s="32">
        <f t="shared" si="250"/>
        <v>0</v>
      </c>
      <c r="HD145" s="32">
        <f t="shared" si="251"/>
        <v>0</v>
      </c>
      <c r="HE145" s="32">
        <f t="shared" si="252"/>
        <v>0</v>
      </c>
      <c r="HF145" s="32">
        <f t="shared" si="253"/>
        <v>0</v>
      </c>
      <c r="HG145" s="32">
        <f t="shared" si="254"/>
        <v>0</v>
      </c>
      <c r="HH145" s="32">
        <f t="shared" si="255"/>
        <v>0</v>
      </c>
      <c r="HI145" s="32">
        <f t="shared" si="256"/>
        <v>1</v>
      </c>
      <c r="HJ145" s="32">
        <f t="shared" si="257"/>
        <v>0</v>
      </c>
      <c r="HK145" s="32">
        <f t="shared" si="258"/>
        <v>0</v>
      </c>
      <c r="HL145" s="32">
        <f t="shared" si="259"/>
        <v>0</v>
      </c>
      <c r="HM145" s="32">
        <f t="shared" si="260"/>
        <v>0</v>
      </c>
      <c r="HN145" s="32">
        <f t="shared" si="278"/>
        <v>0</v>
      </c>
      <c r="HO145" s="32">
        <f t="shared" si="279"/>
        <v>0</v>
      </c>
      <c r="HP145" s="32">
        <f t="shared" si="280"/>
        <v>0</v>
      </c>
      <c r="HQ145" s="32">
        <f t="shared" si="281"/>
        <v>0</v>
      </c>
      <c r="HR145" s="32">
        <f t="shared" si="226"/>
        <v>0</v>
      </c>
      <c r="HS145" s="32">
        <f t="shared" si="277"/>
        <v>0</v>
      </c>
      <c r="HT145" s="32">
        <f t="shared" si="282"/>
        <v>0</v>
      </c>
      <c r="HU145" s="32">
        <f t="shared" si="272"/>
        <v>0</v>
      </c>
      <c r="HV145" s="32">
        <f t="shared" si="273"/>
        <v>0</v>
      </c>
      <c r="HW145" s="32">
        <f t="shared" si="274"/>
        <v>0</v>
      </c>
      <c r="HX145" s="32">
        <f t="shared" si="275"/>
        <v>0</v>
      </c>
      <c r="IB145" s="32">
        <f t="shared" si="232"/>
        <v>0</v>
      </c>
      <c r="IC145" s="32">
        <f t="shared" si="233"/>
        <v>0</v>
      </c>
      <c r="ID145" s="32">
        <f t="shared" si="234"/>
        <v>0</v>
      </c>
      <c r="IE145" s="32">
        <f t="shared" si="235"/>
        <v>0</v>
      </c>
      <c r="IF145" s="32">
        <f t="shared" si="236"/>
        <v>0</v>
      </c>
      <c r="IG145" s="32">
        <f t="shared" si="237"/>
        <v>0</v>
      </c>
      <c r="IH145" s="32">
        <f t="shared" si="238"/>
        <v>0</v>
      </c>
      <c r="II145" s="32">
        <f t="shared" si="239"/>
        <v>0</v>
      </c>
      <c r="IJ145" s="32">
        <f t="shared" si="261"/>
        <v>0</v>
      </c>
      <c r="IK145" s="32">
        <f t="shared" si="262"/>
        <v>0</v>
      </c>
      <c r="IL145" s="32">
        <f t="shared" si="263"/>
        <v>1</v>
      </c>
      <c r="IM145" s="32">
        <f t="shared" si="264"/>
        <v>0</v>
      </c>
      <c r="IN145" s="32">
        <f t="shared" si="276"/>
        <v>0</v>
      </c>
    </row>
    <row r="146" spans="1:249" outlineLevel="1" x14ac:dyDescent="0.3">
      <c r="A146" s="15" t="s">
        <v>105</v>
      </c>
      <c r="B146" s="15"/>
      <c r="C146" s="38">
        <v>0</v>
      </c>
      <c r="D146" s="38">
        <v>0</v>
      </c>
      <c r="E146" s="38">
        <v>0</v>
      </c>
      <c r="F146" s="38">
        <v>0</v>
      </c>
      <c r="G146" s="38">
        <v>0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38">
        <v>0</v>
      </c>
      <c r="O146" s="38">
        <v>0</v>
      </c>
      <c r="P146" s="38">
        <v>0</v>
      </c>
      <c r="Q146" s="38">
        <v>0</v>
      </c>
      <c r="R146" s="38">
        <v>0</v>
      </c>
      <c r="S146" s="38">
        <v>0</v>
      </c>
      <c r="T146" s="38">
        <v>0</v>
      </c>
      <c r="U146" s="38">
        <v>0</v>
      </c>
      <c r="V146" s="38">
        <v>0</v>
      </c>
      <c r="W146" s="38">
        <v>0</v>
      </c>
      <c r="X146" s="38">
        <v>0</v>
      </c>
      <c r="Y146" s="38">
        <v>0</v>
      </c>
      <c r="Z146" s="38">
        <v>0</v>
      </c>
      <c r="AA146" s="39">
        <v>0</v>
      </c>
      <c r="AB146" s="39">
        <v>0</v>
      </c>
      <c r="AC146" s="39">
        <v>0</v>
      </c>
      <c r="AD146" s="39">
        <v>0</v>
      </c>
      <c r="AE146" s="39">
        <v>0</v>
      </c>
      <c r="AF146" s="39">
        <v>0</v>
      </c>
      <c r="AG146" s="39">
        <v>0</v>
      </c>
      <c r="AH146" s="39">
        <v>0</v>
      </c>
      <c r="AI146" s="39">
        <v>0</v>
      </c>
      <c r="AJ146" s="39">
        <v>0</v>
      </c>
      <c r="AK146" s="39">
        <v>0</v>
      </c>
      <c r="AL146" s="39">
        <v>0</v>
      </c>
      <c r="AM146" s="39">
        <v>0</v>
      </c>
      <c r="AN146" s="39">
        <v>0</v>
      </c>
      <c r="AO146" s="39">
        <v>0</v>
      </c>
      <c r="AP146" s="39">
        <v>0</v>
      </c>
      <c r="AQ146" s="39">
        <v>0</v>
      </c>
      <c r="AR146" s="39">
        <v>0</v>
      </c>
      <c r="AS146" s="39">
        <v>0</v>
      </c>
      <c r="AT146" s="39">
        <v>0</v>
      </c>
      <c r="AU146" s="39">
        <v>0</v>
      </c>
      <c r="AV146" s="39">
        <v>0</v>
      </c>
      <c r="AW146" s="39">
        <v>0</v>
      </c>
      <c r="AX146" s="39">
        <v>0</v>
      </c>
      <c r="AY146" s="39">
        <v>0</v>
      </c>
      <c r="AZ146" s="39">
        <v>0</v>
      </c>
      <c r="BA146" s="39">
        <v>0</v>
      </c>
      <c r="BB146" s="39">
        <v>0</v>
      </c>
      <c r="BC146" s="39">
        <v>0</v>
      </c>
      <c r="BD146" s="39">
        <v>0</v>
      </c>
      <c r="BE146" s="39">
        <v>0</v>
      </c>
      <c r="BF146" s="39">
        <v>0</v>
      </c>
      <c r="BG146" s="39">
        <v>0</v>
      </c>
      <c r="BH146" s="39">
        <v>0</v>
      </c>
      <c r="BI146" s="39">
        <v>0</v>
      </c>
      <c r="BJ146" s="39">
        <v>0</v>
      </c>
      <c r="BK146" s="39">
        <v>0</v>
      </c>
      <c r="BL146" s="39">
        <v>0</v>
      </c>
      <c r="BM146" s="39">
        <v>0</v>
      </c>
      <c r="BN146" s="39">
        <v>0</v>
      </c>
      <c r="BO146" s="39">
        <v>0</v>
      </c>
      <c r="BP146" s="39">
        <v>0</v>
      </c>
      <c r="BQ146" s="39">
        <v>0</v>
      </c>
      <c r="BR146" s="39">
        <v>0</v>
      </c>
      <c r="BS146" s="39">
        <v>0</v>
      </c>
      <c r="BT146" s="39">
        <v>0</v>
      </c>
      <c r="BU146" s="39">
        <v>0</v>
      </c>
      <c r="BV146" s="39">
        <v>0</v>
      </c>
      <c r="BW146" s="39">
        <v>0</v>
      </c>
      <c r="BX146" s="39">
        <v>0</v>
      </c>
      <c r="BY146" s="39">
        <v>0</v>
      </c>
      <c r="BZ146" s="39">
        <v>0</v>
      </c>
      <c r="CA146" s="39">
        <v>0</v>
      </c>
      <c r="CB146" s="39">
        <v>0</v>
      </c>
      <c r="CC146" s="39">
        <v>0</v>
      </c>
      <c r="CD146" s="39">
        <v>0</v>
      </c>
      <c r="CE146" s="39">
        <v>0</v>
      </c>
      <c r="CF146" s="39">
        <v>0</v>
      </c>
      <c r="CG146" s="39">
        <v>0</v>
      </c>
      <c r="CH146" s="39">
        <v>0</v>
      </c>
      <c r="CI146" s="39">
        <v>0</v>
      </c>
      <c r="CJ146" s="39">
        <v>0</v>
      </c>
      <c r="CK146" s="39">
        <v>0</v>
      </c>
      <c r="CL146" s="39">
        <v>0</v>
      </c>
      <c r="CM146" s="39">
        <v>0</v>
      </c>
      <c r="CN146" s="39">
        <v>0</v>
      </c>
      <c r="CO146" s="39">
        <v>0</v>
      </c>
      <c r="CP146" s="39">
        <v>0</v>
      </c>
      <c r="CQ146" s="39">
        <v>0</v>
      </c>
      <c r="CR146" s="39">
        <v>0</v>
      </c>
      <c r="CS146" s="39">
        <v>0</v>
      </c>
      <c r="CT146" s="39">
        <v>0</v>
      </c>
      <c r="CU146" s="39">
        <v>0</v>
      </c>
      <c r="CV146" s="39">
        <v>0</v>
      </c>
      <c r="CW146" s="39">
        <v>0</v>
      </c>
      <c r="CX146" s="39">
        <v>0</v>
      </c>
      <c r="CY146" s="39">
        <v>0</v>
      </c>
      <c r="CZ146" s="39">
        <v>0</v>
      </c>
      <c r="DA146" s="39">
        <v>0</v>
      </c>
      <c r="DB146" s="39">
        <v>0</v>
      </c>
      <c r="DC146" s="39">
        <v>0</v>
      </c>
      <c r="DD146" s="39">
        <v>0</v>
      </c>
      <c r="DE146" s="39">
        <v>0</v>
      </c>
      <c r="DF146" s="39">
        <v>0</v>
      </c>
      <c r="DG146" s="39">
        <v>0</v>
      </c>
      <c r="DH146" s="39">
        <v>0</v>
      </c>
      <c r="DI146" s="39">
        <v>0</v>
      </c>
      <c r="DJ146" s="39">
        <v>0</v>
      </c>
      <c r="DK146" s="39">
        <v>0</v>
      </c>
      <c r="DL146" s="39">
        <v>0</v>
      </c>
      <c r="DM146" s="39">
        <v>0</v>
      </c>
      <c r="DN146" s="39">
        <v>0</v>
      </c>
      <c r="DO146" s="39">
        <v>0</v>
      </c>
      <c r="DP146" s="39">
        <v>0</v>
      </c>
      <c r="DQ146" s="39">
        <v>0</v>
      </c>
      <c r="DR146" s="39">
        <v>0</v>
      </c>
      <c r="DS146" s="39">
        <v>0</v>
      </c>
      <c r="DT146" s="39">
        <v>0</v>
      </c>
      <c r="DU146" s="39">
        <v>0</v>
      </c>
      <c r="DV146" s="39">
        <v>0</v>
      </c>
      <c r="DW146" s="39">
        <v>0</v>
      </c>
      <c r="DX146" s="39">
        <v>0</v>
      </c>
      <c r="DY146" s="39">
        <v>0</v>
      </c>
      <c r="DZ146" s="39">
        <v>0</v>
      </c>
      <c r="EA146" s="39">
        <v>0</v>
      </c>
      <c r="EB146" s="39">
        <v>0</v>
      </c>
      <c r="EC146" s="39">
        <v>0</v>
      </c>
      <c r="ED146" s="39">
        <v>4</v>
      </c>
      <c r="EE146" s="39">
        <v>0</v>
      </c>
      <c r="EF146" s="39">
        <v>0</v>
      </c>
      <c r="EG146" s="39">
        <v>0</v>
      </c>
      <c r="EH146" s="39">
        <v>0</v>
      </c>
      <c r="EI146" s="39">
        <v>0</v>
      </c>
      <c r="EJ146" s="39">
        <v>0</v>
      </c>
      <c r="EK146" s="39">
        <v>0</v>
      </c>
      <c r="EL146" s="39">
        <v>0</v>
      </c>
      <c r="EM146" s="39">
        <v>0</v>
      </c>
      <c r="EN146" s="39">
        <v>0</v>
      </c>
      <c r="EO146" s="39">
        <v>0</v>
      </c>
      <c r="EP146" s="39">
        <v>0</v>
      </c>
      <c r="EQ146" s="39">
        <v>0</v>
      </c>
      <c r="ER146" s="39">
        <v>0</v>
      </c>
      <c r="ES146" s="39">
        <v>0</v>
      </c>
      <c r="ET146" s="39">
        <v>0</v>
      </c>
      <c r="EU146" s="39">
        <v>0</v>
      </c>
      <c r="EV146" s="39">
        <v>0</v>
      </c>
      <c r="EW146" s="39">
        <v>0</v>
      </c>
      <c r="EX146" s="39">
        <v>0</v>
      </c>
      <c r="EY146" s="39">
        <v>0</v>
      </c>
      <c r="EZ146" s="39">
        <v>0</v>
      </c>
      <c r="FA146" s="39">
        <v>0</v>
      </c>
      <c r="FB146" s="39">
        <v>0</v>
      </c>
      <c r="FC146" s="39">
        <v>0</v>
      </c>
      <c r="FD146" s="39">
        <v>0</v>
      </c>
      <c r="FE146" s="39">
        <v>0</v>
      </c>
      <c r="FF146" s="39">
        <v>0</v>
      </c>
      <c r="FG146" s="39">
        <v>0</v>
      </c>
      <c r="FH146" s="39">
        <v>0</v>
      </c>
      <c r="FI146" s="39">
        <v>0</v>
      </c>
      <c r="FJ146" s="39">
        <v>0</v>
      </c>
      <c r="FK146" s="39">
        <v>0</v>
      </c>
      <c r="FL146" s="40"/>
      <c r="FM146" s="40"/>
      <c r="FN146" s="40"/>
      <c r="FR146" s="39">
        <f t="shared" si="178"/>
        <v>0</v>
      </c>
      <c r="FS146" s="39">
        <f t="shared" si="179"/>
        <v>0</v>
      </c>
      <c r="FT146" s="39">
        <f t="shared" si="180"/>
        <v>0</v>
      </c>
      <c r="FU146" s="39">
        <f t="shared" si="181"/>
        <v>0</v>
      </c>
      <c r="FV146" s="39">
        <f t="shared" si="182"/>
        <v>0</v>
      </c>
      <c r="FW146" s="39">
        <f t="shared" si="183"/>
        <v>0</v>
      </c>
      <c r="FX146" s="39">
        <f t="shared" si="184"/>
        <v>0</v>
      </c>
      <c r="FY146" s="39">
        <f t="shared" si="185"/>
        <v>0</v>
      </c>
      <c r="FZ146" s="39">
        <f t="shared" si="186"/>
        <v>0</v>
      </c>
      <c r="GA146" s="39">
        <f t="shared" si="187"/>
        <v>0</v>
      </c>
      <c r="GB146" s="39">
        <f t="shared" si="188"/>
        <v>0</v>
      </c>
      <c r="GC146" s="39">
        <f t="shared" si="189"/>
        <v>0</v>
      </c>
      <c r="GD146" s="39">
        <f t="shared" si="190"/>
        <v>0</v>
      </c>
      <c r="GE146" s="39">
        <f t="shared" si="191"/>
        <v>0</v>
      </c>
      <c r="GF146" s="39">
        <f t="shared" si="192"/>
        <v>0</v>
      </c>
      <c r="GG146" s="39">
        <f t="shared" si="193"/>
        <v>0</v>
      </c>
      <c r="GH146" s="39">
        <f t="shared" si="194"/>
        <v>0</v>
      </c>
      <c r="GI146" s="39">
        <f t="shared" si="195"/>
        <v>0</v>
      </c>
      <c r="GJ146" s="39">
        <f t="shared" si="196"/>
        <v>0</v>
      </c>
      <c r="GK146" s="39">
        <f t="shared" si="197"/>
        <v>0</v>
      </c>
      <c r="GL146" s="39">
        <f t="shared" si="198"/>
        <v>0</v>
      </c>
      <c r="GM146" s="39">
        <f t="shared" si="199"/>
        <v>0</v>
      </c>
      <c r="GN146" s="39">
        <f t="shared" si="200"/>
        <v>0</v>
      </c>
      <c r="GO146" s="39">
        <f t="shared" si="201"/>
        <v>0</v>
      </c>
      <c r="GP146" s="39">
        <f t="shared" si="202"/>
        <v>0</v>
      </c>
      <c r="GQ146" s="39">
        <f t="shared" si="203"/>
        <v>0</v>
      </c>
      <c r="GR146" s="39">
        <f t="shared" si="204"/>
        <v>0</v>
      </c>
      <c r="GS146" s="39">
        <f t="shared" si="205"/>
        <v>0</v>
      </c>
      <c r="GT146" s="39">
        <f t="shared" si="206"/>
        <v>0</v>
      </c>
      <c r="GU146" s="39">
        <f t="shared" si="207"/>
        <v>0</v>
      </c>
      <c r="GV146" s="39">
        <f t="shared" si="208"/>
        <v>0</v>
      </c>
      <c r="GW146" s="39">
        <f t="shared" si="209"/>
        <v>0</v>
      </c>
      <c r="GX146" s="39">
        <f t="shared" si="210"/>
        <v>0</v>
      </c>
      <c r="GY146" s="39">
        <f t="shared" si="211"/>
        <v>0</v>
      </c>
      <c r="GZ146" s="39">
        <f t="shared" si="247"/>
        <v>0</v>
      </c>
      <c r="HA146" s="39">
        <f t="shared" si="248"/>
        <v>0</v>
      </c>
      <c r="HB146" s="39">
        <f t="shared" si="249"/>
        <v>0</v>
      </c>
      <c r="HC146" s="39">
        <f t="shared" si="250"/>
        <v>0</v>
      </c>
      <c r="HD146" s="39">
        <f t="shared" si="251"/>
        <v>0</v>
      </c>
      <c r="HE146" s="39">
        <f t="shared" si="252"/>
        <v>0</v>
      </c>
      <c r="HF146" s="39">
        <f t="shared" si="253"/>
        <v>0</v>
      </c>
      <c r="HG146" s="39">
        <f t="shared" si="254"/>
        <v>0</v>
      </c>
      <c r="HH146" s="39">
        <f t="shared" si="255"/>
        <v>0</v>
      </c>
      <c r="HI146" s="39">
        <f t="shared" si="256"/>
        <v>4</v>
      </c>
      <c r="HJ146" s="39">
        <f t="shared" si="257"/>
        <v>0</v>
      </c>
      <c r="HK146" s="39">
        <f t="shared" si="258"/>
        <v>0</v>
      </c>
      <c r="HL146" s="39">
        <f t="shared" si="259"/>
        <v>0</v>
      </c>
      <c r="HM146" s="39">
        <f t="shared" si="260"/>
        <v>0</v>
      </c>
      <c r="HN146" s="39">
        <f t="shared" si="278"/>
        <v>0</v>
      </c>
      <c r="HO146" s="39">
        <f t="shared" si="279"/>
        <v>0</v>
      </c>
      <c r="HP146" s="39">
        <f t="shared" si="280"/>
        <v>0</v>
      </c>
      <c r="HQ146" s="39">
        <f t="shared" si="281"/>
        <v>0</v>
      </c>
      <c r="HR146" s="39">
        <f t="shared" si="226"/>
        <v>0</v>
      </c>
      <c r="HS146" s="39">
        <f t="shared" si="277"/>
        <v>0</v>
      </c>
      <c r="HT146" s="39">
        <f t="shared" si="282"/>
        <v>0</v>
      </c>
      <c r="HU146" s="39">
        <f t="shared" si="272"/>
        <v>0</v>
      </c>
      <c r="HV146" s="39">
        <f t="shared" si="273"/>
        <v>0</v>
      </c>
      <c r="HW146" s="39">
        <f t="shared" si="274"/>
        <v>0</v>
      </c>
      <c r="HX146" s="39">
        <f t="shared" si="275"/>
        <v>0</v>
      </c>
      <c r="IB146" s="39">
        <f t="shared" si="232"/>
        <v>0</v>
      </c>
      <c r="IC146" s="39">
        <f t="shared" si="233"/>
        <v>0</v>
      </c>
      <c r="ID146" s="39">
        <f t="shared" si="234"/>
        <v>0</v>
      </c>
      <c r="IE146" s="39">
        <f t="shared" si="235"/>
        <v>0</v>
      </c>
      <c r="IF146" s="39">
        <f t="shared" si="236"/>
        <v>0</v>
      </c>
      <c r="IG146" s="39">
        <f t="shared" si="237"/>
        <v>0</v>
      </c>
      <c r="IH146" s="39">
        <f t="shared" si="238"/>
        <v>0</v>
      </c>
      <c r="II146" s="39">
        <f t="shared" si="239"/>
        <v>0</v>
      </c>
      <c r="IJ146" s="39">
        <f t="shared" si="261"/>
        <v>0</v>
      </c>
      <c r="IK146" s="39">
        <f t="shared" si="262"/>
        <v>0</v>
      </c>
      <c r="IL146" s="39">
        <f t="shared" si="263"/>
        <v>4</v>
      </c>
      <c r="IM146" s="39">
        <f t="shared" si="264"/>
        <v>0</v>
      </c>
      <c r="IN146" s="39">
        <f t="shared" si="276"/>
        <v>0</v>
      </c>
    </row>
    <row r="147" spans="1:249" outlineLevel="2" x14ac:dyDescent="0.3">
      <c r="A147" t="s">
        <v>106</v>
      </c>
      <c r="B147" t="s">
        <v>75</v>
      </c>
      <c r="C147" s="2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0</v>
      </c>
      <c r="I147" s="23">
        <v>0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  <c r="AA147" s="32">
        <v>0</v>
      </c>
      <c r="AB147" s="32">
        <v>0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 s="32">
        <v>0</v>
      </c>
      <c r="BD147" s="32">
        <v>0</v>
      </c>
      <c r="BE147" s="32">
        <v>0</v>
      </c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2">
        <v>0</v>
      </c>
      <c r="BP147" s="32">
        <v>0</v>
      </c>
      <c r="BQ147" s="32">
        <v>0</v>
      </c>
      <c r="BR147" s="32">
        <v>0</v>
      </c>
      <c r="BS147" s="32">
        <v>0</v>
      </c>
      <c r="BT147" s="32">
        <v>0</v>
      </c>
      <c r="BU147" s="32">
        <v>0</v>
      </c>
      <c r="BV147" s="32">
        <v>0</v>
      </c>
      <c r="BW147" s="32">
        <v>0</v>
      </c>
      <c r="BX147" s="32">
        <v>0</v>
      </c>
      <c r="BY147" s="32">
        <v>3</v>
      </c>
      <c r="BZ147" s="32">
        <v>2</v>
      </c>
      <c r="CA147" s="32">
        <v>0</v>
      </c>
      <c r="CB147" s="32">
        <v>0</v>
      </c>
      <c r="CC147" s="32">
        <v>0</v>
      </c>
      <c r="CD147" s="32">
        <v>0</v>
      </c>
      <c r="CE147" s="32">
        <v>7</v>
      </c>
      <c r="CF147" s="32">
        <v>6</v>
      </c>
      <c r="CG147" s="32">
        <v>7</v>
      </c>
      <c r="CH147" s="32">
        <v>7</v>
      </c>
      <c r="CI147" s="32">
        <v>4</v>
      </c>
      <c r="CJ147" s="32">
        <v>0</v>
      </c>
      <c r="CK147" s="32">
        <v>7</v>
      </c>
      <c r="CL147" s="32">
        <v>6</v>
      </c>
      <c r="CM147" s="32">
        <v>8</v>
      </c>
      <c r="CN147" s="32">
        <v>4</v>
      </c>
      <c r="CO147" s="32">
        <v>2</v>
      </c>
      <c r="CP147" s="32">
        <v>6</v>
      </c>
      <c r="CQ147" s="32">
        <v>0</v>
      </c>
      <c r="CR147" s="32">
        <v>9</v>
      </c>
      <c r="CS147" s="32">
        <v>10</v>
      </c>
      <c r="CT147" s="32">
        <v>30</v>
      </c>
      <c r="CU147" s="32">
        <v>0</v>
      </c>
      <c r="CV147" s="32">
        <v>7</v>
      </c>
      <c r="CW147" s="32">
        <v>6</v>
      </c>
      <c r="CX147" s="32">
        <v>2</v>
      </c>
      <c r="CY147" s="32">
        <v>0</v>
      </c>
      <c r="CZ147" s="32">
        <v>0</v>
      </c>
      <c r="DA147" s="32">
        <v>14</v>
      </c>
      <c r="DB147" s="32">
        <v>10</v>
      </c>
      <c r="DC147" s="32">
        <v>3</v>
      </c>
      <c r="DD147" s="32">
        <v>14</v>
      </c>
      <c r="DE147" s="32">
        <v>15</v>
      </c>
      <c r="DF147" s="32">
        <v>8</v>
      </c>
      <c r="DG147" s="32">
        <v>5</v>
      </c>
      <c r="DH147" s="32">
        <v>0</v>
      </c>
      <c r="DI147" s="32">
        <v>0</v>
      </c>
      <c r="DJ147" s="32">
        <v>18</v>
      </c>
      <c r="DK147" s="32">
        <v>0</v>
      </c>
      <c r="DL147" s="32">
        <v>16</v>
      </c>
      <c r="DM147" s="32">
        <v>14</v>
      </c>
      <c r="DN147" s="32">
        <v>0</v>
      </c>
      <c r="DO147" s="32">
        <v>2</v>
      </c>
      <c r="DP147" s="32">
        <v>2</v>
      </c>
      <c r="DQ147" s="32">
        <v>0</v>
      </c>
      <c r="DR147" s="32">
        <v>0</v>
      </c>
      <c r="DS147" s="32">
        <v>4</v>
      </c>
      <c r="DT147" s="32">
        <v>0</v>
      </c>
      <c r="DU147" s="32">
        <v>0</v>
      </c>
      <c r="DV147" s="32">
        <v>2</v>
      </c>
      <c r="DW147" s="32">
        <v>0</v>
      </c>
      <c r="DX147" s="32">
        <v>5</v>
      </c>
      <c r="DY147" s="32">
        <v>2</v>
      </c>
      <c r="DZ147" s="32">
        <v>3</v>
      </c>
      <c r="EA147" s="32">
        <v>0</v>
      </c>
      <c r="EB147" s="32">
        <v>0</v>
      </c>
      <c r="EC147" s="32">
        <v>2</v>
      </c>
      <c r="ED147" s="32">
        <v>0</v>
      </c>
      <c r="EE147" s="32">
        <v>0</v>
      </c>
      <c r="EF147" s="32">
        <v>0</v>
      </c>
      <c r="EG147" s="32">
        <v>18</v>
      </c>
      <c r="EH147" s="32">
        <v>15</v>
      </c>
      <c r="EI147" s="32">
        <v>0</v>
      </c>
      <c r="EJ147" s="32">
        <v>0</v>
      </c>
      <c r="EK147" s="32">
        <v>8</v>
      </c>
      <c r="EL147" s="32">
        <v>0</v>
      </c>
      <c r="EM147" s="32">
        <v>0</v>
      </c>
      <c r="EN147" s="32">
        <v>0</v>
      </c>
      <c r="EO147" s="32">
        <v>0</v>
      </c>
      <c r="EP147" s="32">
        <v>0</v>
      </c>
      <c r="EQ147" s="32">
        <v>2</v>
      </c>
      <c r="ER147" s="32">
        <v>0</v>
      </c>
      <c r="ES147" s="32">
        <v>2</v>
      </c>
      <c r="ET147" s="32">
        <v>3</v>
      </c>
      <c r="EU147" s="32">
        <v>0</v>
      </c>
      <c r="EV147" s="32">
        <v>0</v>
      </c>
      <c r="EW147" s="32">
        <v>0</v>
      </c>
      <c r="EX147" s="32">
        <v>0</v>
      </c>
      <c r="EY147" s="32">
        <v>0</v>
      </c>
      <c r="EZ147" s="32">
        <v>2</v>
      </c>
      <c r="FA147" s="32">
        <v>0</v>
      </c>
      <c r="FB147" s="32">
        <v>0</v>
      </c>
      <c r="FC147" s="32">
        <v>0</v>
      </c>
      <c r="FD147" s="32">
        <v>0</v>
      </c>
      <c r="FE147" s="32">
        <v>0</v>
      </c>
      <c r="FF147" s="32">
        <v>0</v>
      </c>
      <c r="FG147" s="32">
        <v>0</v>
      </c>
      <c r="FH147" s="32">
        <v>0</v>
      </c>
      <c r="FI147" s="32">
        <v>0</v>
      </c>
      <c r="FJ147" s="32">
        <v>0</v>
      </c>
      <c r="FK147" s="32">
        <v>0</v>
      </c>
      <c r="FL147" s="32"/>
      <c r="FM147" s="32"/>
      <c r="FN147" s="32"/>
      <c r="FR147" s="32">
        <f t="shared" si="178"/>
        <v>0</v>
      </c>
      <c r="FS147" s="32">
        <f t="shared" si="179"/>
        <v>0</v>
      </c>
      <c r="FT147" s="32">
        <f t="shared" si="180"/>
        <v>0</v>
      </c>
      <c r="FU147" s="32">
        <f t="shared" si="181"/>
        <v>0</v>
      </c>
      <c r="FV147" s="32">
        <f t="shared" si="182"/>
        <v>0</v>
      </c>
      <c r="FW147" s="32">
        <f t="shared" si="183"/>
        <v>0</v>
      </c>
      <c r="FX147" s="32">
        <f t="shared" si="184"/>
        <v>0</v>
      </c>
      <c r="FY147" s="32">
        <f t="shared" si="185"/>
        <v>0</v>
      </c>
      <c r="FZ147" s="32">
        <f t="shared" si="186"/>
        <v>0</v>
      </c>
      <c r="GA147" s="32">
        <f t="shared" si="187"/>
        <v>0</v>
      </c>
      <c r="GB147" s="32">
        <f t="shared" si="188"/>
        <v>0</v>
      </c>
      <c r="GC147" s="32">
        <f t="shared" si="189"/>
        <v>0</v>
      </c>
      <c r="GD147" s="32">
        <f t="shared" si="190"/>
        <v>0</v>
      </c>
      <c r="GE147" s="32">
        <f t="shared" si="191"/>
        <v>0</v>
      </c>
      <c r="GF147" s="32">
        <f t="shared" si="192"/>
        <v>0</v>
      </c>
      <c r="GG147" s="32">
        <f t="shared" si="193"/>
        <v>0</v>
      </c>
      <c r="GH147" s="32">
        <f t="shared" si="194"/>
        <v>0</v>
      </c>
      <c r="GI147" s="32">
        <f t="shared" si="195"/>
        <v>0</v>
      </c>
      <c r="GJ147" s="32">
        <f t="shared" si="196"/>
        <v>0</v>
      </c>
      <c r="GK147" s="32">
        <f t="shared" si="197"/>
        <v>0</v>
      </c>
      <c r="GL147" s="32">
        <f t="shared" si="198"/>
        <v>0</v>
      </c>
      <c r="GM147" s="32">
        <f t="shared" si="199"/>
        <v>0</v>
      </c>
      <c r="GN147" s="32">
        <f t="shared" si="200"/>
        <v>0</v>
      </c>
      <c r="GO147" s="32">
        <f t="shared" si="201"/>
        <v>0</v>
      </c>
      <c r="GP147" s="32">
        <f t="shared" si="202"/>
        <v>3</v>
      </c>
      <c r="GQ147" s="32">
        <f t="shared" si="203"/>
        <v>2</v>
      </c>
      <c r="GR147" s="32">
        <f t="shared" si="204"/>
        <v>7</v>
      </c>
      <c r="GS147" s="32">
        <f t="shared" si="205"/>
        <v>20</v>
      </c>
      <c r="GT147" s="32">
        <f t="shared" si="206"/>
        <v>11</v>
      </c>
      <c r="GU147" s="32">
        <f t="shared" si="207"/>
        <v>18</v>
      </c>
      <c r="GV147" s="32">
        <f t="shared" si="208"/>
        <v>8</v>
      </c>
      <c r="GW147" s="32">
        <f t="shared" si="209"/>
        <v>49</v>
      </c>
      <c r="GX147" s="32">
        <f t="shared" si="210"/>
        <v>13</v>
      </c>
      <c r="GY147" s="32">
        <f t="shared" si="211"/>
        <v>2</v>
      </c>
      <c r="GZ147" s="32">
        <f t="shared" si="247"/>
        <v>27</v>
      </c>
      <c r="HA147" s="32">
        <f t="shared" si="248"/>
        <v>37</v>
      </c>
      <c r="HB147" s="32">
        <f t="shared" si="249"/>
        <v>5</v>
      </c>
      <c r="HC147" s="32">
        <f t="shared" si="250"/>
        <v>34</v>
      </c>
      <c r="HD147" s="32">
        <f t="shared" si="251"/>
        <v>16</v>
      </c>
      <c r="HE147" s="32">
        <f t="shared" si="252"/>
        <v>2</v>
      </c>
      <c r="HF147" s="32">
        <f t="shared" si="253"/>
        <v>4</v>
      </c>
      <c r="HG147" s="32">
        <f t="shared" si="254"/>
        <v>7</v>
      </c>
      <c r="HH147" s="32">
        <f t="shared" si="255"/>
        <v>5</v>
      </c>
      <c r="HI147" s="32">
        <f t="shared" si="256"/>
        <v>2</v>
      </c>
      <c r="HJ147" s="32">
        <f t="shared" si="257"/>
        <v>18</v>
      </c>
      <c r="HK147" s="32">
        <f t="shared" si="258"/>
        <v>15</v>
      </c>
      <c r="HL147" s="32">
        <f t="shared" si="259"/>
        <v>8</v>
      </c>
      <c r="HM147" s="32">
        <f t="shared" si="260"/>
        <v>0</v>
      </c>
      <c r="HN147" s="32">
        <f t="shared" si="278"/>
        <v>18</v>
      </c>
      <c r="HO147" s="32">
        <f t="shared" si="279"/>
        <v>15</v>
      </c>
      <c r="HP147" s="32">
        <f t="shared" si="280"/>
        <v>8</v>
      </c>
      <c r="HQ147" s="32">
        <f t="shared" si="281"/>
        <v>0</v>
      </c>
      <c r="HR147" s="32">
        <f t="shared" si="226"/>
        <v>4</v>
      </c>
      <c r="HS147" s="32">
        <f t="shared" si="277"/>
        <v>3</v>
      </c>
      <c r="HT147" s="32">
        <f t="shared" si="282"/>
        <v>0</v>
      </c>
      <c r="HU147" s="32">
        <f t="shared" si="272"/>
        <v>2</v>
      </c>
      <c r="HV147" s="32">
        <f t="shared" si="273"/>
        <v>0</v>
      </c>
      <c r="HW147" s="32">
        <f t="shared" si="274"/>
        <v>0</v>
      </c>
      <c r="HX147" s="32">
        <f t="shared" si="275"/>
        <v>0</v>
      </c>
      <c r="IB147" s="32">
        <f t="shared" si="232"/>
        <v>0</v>
      </c>
      <c r="IC147" s="32">
        <f t="shared" si="233"/>
        <v>0</v>
      </c>
      <c r="ID147" s="32">
        <f t="shared" si="234"/>
        <v>0</v>
      </c>
      <c r="IE147" s="32">
        <f t="shared" si="235"/>
        <v>0</v>
      </c>
      <c r="IF147" s="32">
        <f t="shared" si="236"/>
        <v>0</v>
      </c>
      <c r="IG147" s="32">
        <f t="shared" si="237"/>
        <v>0</v>
      </c>
      <c r="IH147" s="32">
        <f t="shared" si="238"/>
        <v>32</v>
      </c>
      <c r="II147" s="32">
        <f t="shared" si="239"/>
        <v>86</v>
      </c>
      <c r="IJ147" s="32">
        <f t="shared" si="261"/>
        <v>79</v>
      </c>
      <c r="IK147" s="32">
        <f t="shared" si="262"/>
        <v>57</v>
      </c>
      <c r="IL147" s="32">
        <f t="shared" si="263"/>
        <v>18</v>
      </c>
      <c r="IM147" s="32">
        <f t="shared" si="264"/>
        <v>41</v>
      </c>
      <c r="IN147" s="32">
        <f t="shared" si="276"/>
        <v>9</v>
      </c>
    </row>
    <row r="148" spans="1:249" outlineLevel="2" x14ac:dyDescent="0.3">
      <c r="B148" t="s">
        <v>76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23">
        <v>0</v>
      </c>
      <c r="J148" s="23">
        <v>0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 s="32">
        <v>0</v>
      </c>
      <c r="BD148" s="32">
        <v>0</v>
      </c>
      <c r="BE148" s="32">
        <v>0</v>
      </c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2">
        <v>0</v>
      </c>
      <c r="BP148" s="32">
        <v>0</v>
      </c>
      <c r="BQ148" s="32">
        <v>0</v>
      </c>
      <c r="BR148" s="32">
        <v>0</v>
      </c>
      <c r="BS148" s="32">
        <v>0</v>
      </c>
      <c r="BT148" s="32">
        <v>0</v>
      </c>
      <c r="BU148" s="32">
        <v>0</v>
      </c>
      <c r="BV148" s="32">
        <v>0</v>
      </c>
      <c r="BW148" s="32">
        <v>0</v>
      </c>
      <c r="BX148" s="32">
        <v>0</v>
      </c>
      <c r="BY148" s="32">
        <v>18</v>
      </c>
      <c r="BZ148" s="32">
        <v>9</v>
      </c>
      <c r="CA148" s="32">
        <v>54</v>
      </c>
      <c r="CB148" s="32">
        <v>45</v>
      </c>
      <c r="CC148" s="32">
        <v>40</v>
      </c>
      <c r="CD148" s="32">
        <v>45</v>
      </c>
      <c r="CE148" s="32">
        <v>8</v>
      </c>
      <c r="CF148" s="32">
        <v>15</v>
      </c>
      <c r="CG148" s="32">
        <v>10</v>
      </c>
      <c r="CH148" s="32">
        <v>46</v>
      </c>
      <c r="CI148" s="32">
        <v>1</v>
      </c>
      <c r="CJ148" s="32">
        <v>0</v>
      </c>
      <c r="CK148" s="32">
        <v>3</v>
      </c>
      <c r="CL148" s="32">
        <v>12</v>
      </c>
      <c r="CM148" s="32">
        <v>13</v>
      </c>
      <c r="CN148" s="32">
        <v>8</v>
      </c>
      <c r="CO148" s="32">
        <v>25</v>
      </c>
      <c r="CP148" s="32">
        <v>28</v>
      </c>
      <c r="CQ148" s="32">
        <v>8</v>
      </c>
      <c r="CR148" s="32">
        <v>5</v>
      </c>
      <c r="CS148" s="32">
        <v>6</v>
      </c>
      <c r="CT148" s="32">
        <v>19</v>
      </c>
      <c r="CU148" s="32">
        <v>0</v>
      </c>
      <c r="CV148" s="32">
        <v>6</v>
      </c>
      <c r="CW148" s="32">
        <v>17</v>
      </c>
      <c r="CX148" s="32">
        <v>6</v>
      </c>
      <c r="CY148" s="32">
        <v>8</v>
      </c>
      <c r="CZ148" s="32">
        <v>31</v>
      </c>
      <c r="DA148" s="32">
        <v>27</v>
      </c>
      <c r="DB148" s="32">
        <v>16</v>
      </c>
      <c r="DC148" s="32">
        <v>18</v>
      </c>
      <c r="DD148" s="32">
        <v>12</v>
      </c>
      <c r="DE148" s="32">
        <v>34</v>
      </c>
      <c r="DF148" s="32">
        <v>32</v>
      </c>
      <c r="DG148" s="32">
        <v>16</v>
      </c>
      <c r="DH148" s="32">
        <v>4</v>
      </c>
      <c r="DI148" s="32">
        <v>7</v>
      </c>
      <c r="DJ148" s="32">
        <v>26</v>
      </c>
      <c r="DK148" s="32">
        <v>8</v>
      </c>
      <c r="DL148" s="32">
        <v>10</v>
      </c>
      <c r="DM148" s="32">
        <v>12</v>
      </c>
      <c r="DN148" s="32">
        <v>0</v>
      </c>
      <c r="DO148" s="32">
        <v>7</v>
      </c>
      <c r="DP148" s="32">
        <v>7</v>
      </c>
      <c r="DQ148" s="32">
        <v>5</v>
      </c>
      <c r="DR148" s="32">
        <v>6</v>
      </c>
      <c r="DS148" s="32">
        <v>6</v>
      </c>
      <c r="DT148" s="32">
        <v>0</v>
      </c>
      <c r="DU148" s="32">
        <v>13</v>
      </c>
      <c r="DV148" s="32">
        <v>11</v>
      </c>
      <c r="DW148" s="32">
        <v>19</v>
      </c>
      <c r="DX148" s="32">
        <v>22</v>
      </c>
      <c r="DY148" s="32">
        <v>2</v>
      </c>
      <c r="DZ148" s="32">
        <v>5</v>
      </c>
      <c r="EA148" s="32">
        <v>0</v>
      </c>
      <c r="EB148" s="32">
        <v>20</v>
      </c>
      <c r="EC148" s="32">
        <v>6</v>
      </c>
      <c r="ED148" s="32">
        <v>4</v>
      </c>
      <c r="EE148" s="32">
        <v>0</v>
      </c>
      <c r="EF148" s="32">
        <v>0</v>
      </c>
      <c r="EG148" s="32">
        <v>18</v>
      </c>
      <c r="EH148" s="32">
        <v>3</v>
      </c>
      <c r="EI148" s="32">
        <v>0</v>
      </c>
      <c r="EJ148" s="32">
        <v>15</v>
      </c>
      <c r="EK148" s="32">
        <v>4</v>
      </c>
      <c r="EL148" s="32">
        <v>0</v>
      </c>
      <c r="EM148" s="32">
        <v>16</v>
      </c>
      <c r="EN148" s="32">
        <v>8</v>
      </c>
      <c r="EO148" s="32">
        <v>0</v>
      </c>
      <c r="EP148" s="32">
        <v>0</v>
      </c>
      <c r="EQ148" s="32">
        <v>0</v>
      </c>
      <c r="ER148" s="32">
        <v>4</v>
      </c>
      <c r="ES148" s="32">
        <v>8</v>
      </c>
      <c r="ET148" s="32">
        <v>1</v>
      </c>
      <c r="EU148" s="32">
        <v>8</v>
      </c>
      <c r="EV148" s="32">
        <v>42</v>
      </c>
      <c r="EW148" s="32">
        <v>16</v>
      </c>
      <c r="EX148" s="32">
        <v>22</v>
      </c>
      <c r="EY148" s="32">
        <v>8</v>
      </c>
      <c r="EZ148" s="32">
        <v>8</v>
      </c>
      <c r="FA148" s="32">
        <v>10</v>
      </c>
      <c r="FB148" s="32">
        <v>64</v>
      </c>
      <c r="FC148" s="32">
        <v>16</v>
      </c>
      <c r="FD148" s="32">
        <v>24</v>
      </c>
      <c r="FE148" s="32">
        <v>0</v>
      </c>
      <c r="FF148" s="32">
        <v>6</v>
      </c>
      <c r="FG148" s="32">
        <v>2</v>
      </c>
      <c r="FH148" s="32">
        <v>10</v>
      </c>
      <c r="FI148" s="32">
        <v>0</v>
      </c>
      <c r="FJ148" s="32">
        <v>12</v>
      </c>
      <c r="FK148" s="32">
        <v>0</v>
      </c>
      <c r="FL148" s="32"/>
      <c r="FM148" s="32"/>
      <c r="FN148" s="32"/>
      <c r="FR148" s="32">
        <f t="shared" si="178"/>
        <v>0</v>
      </c>
      <c r="FS148" s="32">
        <f t="shared" si="179"/>
        <v>0</v>
      </c>
      <c r="FT148" s="32">
        <f t="shared" si="180"/>
        <v>0</v>
      </c>
      <c r="FU148" s="32">
        <f t="shared" si="181"/>
        <v>0</v>
      </c>
      <c r="FV148" s="32">
        <f t="shared" si="182"/>
        <v>0</v>
      </c>
      <c r="FW148" s="32">
        <f t="shared" si="183"/>
        <v>0</v>
      </c>
      <c r="FX148" s="32">
        <f t="shared" si="184"/>
        <v>0</v>
      </c>
      <c r="FY148" s="32">
        <f t="shared" si="185"/>
        <v>0</v>
      </c>
      <c r="FZ148" s="32">
        <f t="shared" si="186"/>
        <v>0</v>
      </c>
      <c r="GA148" s="32">
        <f t="shared" si="187"/>
        <v>0</v>
      </c>
      <c r="GB148" s="32">
        <f t="shared" si="188"/>
        <v>0</v>
      </c>
      <c r="GC148" s="32">
        <f t="shared" si="189"/>
        <v>0</v>
      </c>
      <c r="GD148" s="32">
        <f t="shared" si="190"/>
        <v>0</v>
      </c>
      <c r="GE148" s="32">
        <f t="shared" si="191"/>
        <v>0</v>
      </c>
      <c r="GF148" s="32">
        <f t="shared" si="192"/>
        <v>0</v>
      </c>
      <c r="GG148" s="32">
        <f t="shared" si="193"/>
        <v>0</v>
      </c>
      <c r="GH148" s="32">
        <f t="shared" si="194"/>
        <v>0</v>
      </c>
      <c r="GI148" s="32">
        <f t="shared" si="195"/>
        <v>0</v>
      </c>
      <c r="GJ148" s="32">
        <f t="shared" si="196"/>
        <v>0</v>
      </c>
      <c r="GK148" s="32">
        <f t="shared" si="197"/>
        <v>0</v>
      </c>
      <c r="GL148" s="32">
        <f t="shared" si="198"/>
        <v>0</v>
      </c>
      <c r="GM148" s="32">
        <f t="shared" si="199"/>
        <v>0</v>
      </c>
      <c r="GN148" s="32">
        <f t="shared" si="200"/>
        <v>0</v>
      </c>
      <c r="GO148" s="32">
        <f t="shared" si="201"/>
        <v>0</v>
      </c>
      <c r="GP148" s="32">
        <f t="shared" si="202"/>
        <v>18</v>
      </c>
      <c r="GQ148" s="32">
        <f t="shared" si="203"/>
        <v>108</v>
      </c>
      <c r="GR148" s="32">
        <f t="shared" si="204"/>
        <v>93</v>
      </c>
      <c r="GS148" s="32">
        <f t="shared" si="205"/>
        <v>71</v>
      </c>
      <c r="GT148" s="32">
        <f t="shared" si="206"/>
        <v>4</v>
      </c>
      <c r="GU148" s="32">
        <f t="shared" si="207"/>
        <v>33</v>
      </c>
      <c r="GV148" s="32">
        <f t="shared" si="208"/>
        <v>61</v>
      </c>
      <c r="GW148" s="32">
        <f t="shared" si="209"/>
        <v>30</v>
      </c>
      <c r="GX148" s="32">
        <f t="shared" si="210"/>
        <v>23</v>
      </c>
      <c r="GY148" s="32">
        <f t="shared" si="211"/>
        <v>45</v>
      </c>
      <c r="GZ148" s="32">
        <f t="shared" si="247"/>
        <v>61</v>
      </c>
      <c r="HA148" s="32">
        <f t="shared" si="248"/>
        <v>78</v>
      </c>
      <c r="HB148" s="32">
        <f t="shared" si="249"/>
        <v>20</v>
      </c>
      <c r="HC148" s="32">
        <f t="shared" si="250"/>
        <v>44</v>
      </c>
      <c r="HD148" s="32">
        <f t="shared" si="251"/>
        <v>19</v>
      </c>
      <c r="HE148" s="32">
        <f t="shared" si="252"/>
        <v>18</v>
      </c>
      <c r="HF148" s="32">
        <f t="shared" si="253"/>
        <v>19</v>
      </c>
      <c r="HG148" s="32">
        <f t="shared" si="254"/>
        <v>52</v>
      </c>
      <c r="HH148" s="32">
        <f t="shared" si="255"/>
        <v>7</v>
      </c>
      <c r="HI148" s="32">
        <f t="shared" si="256"/>
        <v>30</v>
      </c>
      <c r="HJ148" s="32">
        <f t="shared" si="257"/>
        <v>18</v>
      </c>
      <c r="HK148" s="32">
        <f t="shared" si="258"/>
        <v>18</v>
      </c>
      <c r="HL148" s="32">
        <f t="shared" si="259"/>
        <v>20</v>
      </c>
      <c r="HM148" s="32">
        <f t="shared" si="260"/>
        <v>8</v>
      </c>
      <c r="HN148" s="32">
        <f t="shared" si="278"/>
        <v>18</v>
      </c>
      <c r="HO148" s="32">
        <f t="shared" si="279"/>
        <v>18</v>
      </c>
      <c r="HP148" s="32">
        <f t="shared" si="280"/>
        <v>20</v>
      </c>
      <c r="HQ148" s="32">
        <f t="shared" si="281"/>
        <v>8</v>
      </c>
      <c r="HR148" s="32">
        <f t="shared" si="226"/>
        <v>12</v>
      </c>
      <c r="HS148" s="32">
        <f t="shared" si="277"/>
        <v>51</v>
      </c>
      <c r="HT148" s="32">
        <f t="shared" si="282"/>
        <v>46</v>
      </c>
      <c r="HU148" s="32">
        <f t="shared" si="272"/>
        <v>82</v>
      </c>
      <c r="HV148" s="32">
        <f t="shared" si="273"/>
        <v>40</v>
      </c>
      <c r="HW148" s="32">
        <f t="shared" si="274"/>
        <v>18</v>
      </c>
      <c r="HX148" s="32">
        <f t="shared" si="275"/>
        <v>12</v>
      </c>
      <c r="IB148" s="32">
        <f t="shared" si="232"/>
        <v>0</v>
      </c>
      <c r="IC148" s="32">
        <f t="shared" si="233"/>
        <v>0</v>
      </c>
      <c r="ID148" s="32">
        <f t="shared" si="234"/>
        <v>0</v>
      </c>
      <c r="IE148" s="32">
        <f t="shared" si="235"/>
        <v>0</v>
      </c>
      <c r="IF148" s="32">
        <f t="shared" si="236"/>
        <v>0</v>
      </c>
      <c r="IG148" s="32">
        <f t="shared" si="237"/>
        <v>0</v>
      </c>
      <c r="IH148" s="32">
        <f t="shared" si="238"/>
        <v>290</v>
      </c>
      <c r="II148" s="32">
        <f t="shared" si="239"/>
        <v>128</v>
      </c>
      <c r="IJ148" s="32">
        <f t="shared" si="261"/>
        <v>207</v>
      </c>
      <c r="IK148" s="32">
        <f t="shared" si="262"/>
        <v>108</v>
      </c>
      <c r="IL148" s="32">
        <f t="shared" si="263"/>
        <v>108</v>
      </c>
      <c r="IM148" s="32">
        <f t="shared" si="264"/>
        <v>64</v>
      </c>
      <c r="IN148" s="32">
        <f t="shared" si="276"/>
        <v>191</v>
      </c>
    </row>
    <row r="149" spans="1:249" outlineLevel="2" x14ac:dyDescent="0.3">
      <c r="B149" t="s">
        <v>77</v>
      </c>
      <c r="C149" s="23">
        <v>0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23">
        <v>0</v>
      </c>
      <c r="Y149" s="23">
        <v>0</v>
      </c>
      <c r="Z149" s="23">
        <v>0</v>
      </c>
      <c r="AA149" s="32">
        <v>0</v>
      </c>
      <c r="AB149" s="32">
        <v>0</v>
      </c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2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2">
        <v>0</v>
      </c>
      <c r="BA149" s="32">
        <v>0</v>
      </c>
      <c r="BB149" s="32">
        <v>0</v>
      </c>
      <c r="BC149" s="32">
        <v>0</v>
      </c>
      <c r="BD149" s="32">
        <v>0</v>
      </c>
      <c r="BE149" s="32">
        <v>0</v>
      </c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2">
        <v>0</v>
      </c>
      <c r="BP149" s="32">
        <v>0</v>
      </c>
      <c r="BQ149" s="32">
        <v>0</v>
      </c>
      <c r="BR149" s="32">
        <v>0</v>
      </c>
      <c r="BS149" s="32">
        <v>0</v>
      </c>
      <c r="BT149" s="32">
        <v>0</v>
      </c>
      <c r="BU149" s="32">
        <v>0</v>
      </c>
      <c r="BV149" s="32">
        <v>0</v>
      </c>
      <c r="BW149" s="32">
        <v>0</v>
      </c>
      <c r="BX149" s="32">
        <v>0</v>
      </c>
      <c r="BY149" s="32">
        <v>6</v>
      </c>
      <c r="BZ149" s="32">
        <v>17</v>
      </c>
      <c r="CA149" s="32">
        <v>16</v>
      </c>
      <c r="CB149" s="32">
        <v>42</v>
      </c>
      <c r="CC149" s="32">
        <v>21</v>
      </c>
      <c r="CD149" s="32">
        <v>43</v>
      </c>
      <c r="CE149" s="32">
        <v>10</v>
      </c>
      <c r="CF149" s="32">
        <v>5</v>
      </c>
      <c r="CG149" s="32">
        <v>6</v>
      </c>
      <c r="CH149" s="32">
        <v>36</v>
      </c>
      <c r="CI149" s="32">
        <v>1</v>
      </c>
      <c r="CJ149" s="32">
        <v>0</v>
      </c>
      <c r="CK149" s="32">
        <v>9</v>
      </c>
      <c r="CL149" s="32">
        <v>17</v>
      </c>
      <c r="CM149" s="32">
        <v>14</v>
      </c>
      <c r="CN149" s="32">
        <v>19</v>
      </c>
      <c r="CO149" s="32">
        <v>1</v>
      </c>
      <c r="CP149" s="32">
        <v>33</v>
      </c>
      <c r="CQ149" s="32">
        <v>41</v>
      </c>
      <c r="CR149" s="32">
        <v>0</v>
      </c>
      <c r="CS149" s="32">
        <v>16</v>
      </c>
      <c r="CT149" s="32">
        <v>55</v>
      </c>
      <c r="CU149" s="32">
        <v>0</v>
      </c>
      <c r="CV149" s="32">
        <v>35</v>
      </c>
      <c r="CW149" s="32">
        <v>0</v>
      </c>
      <c r="CX149" s="32">
        <v>4</v>
      </c>
      <c r="CY149" s="32">
        <v>25</v>
      </c>
      <c r="CZ149" s="32">
        <v>28</v>
      </c>
      <c r="DA149" s="32">
        <v>15</v>
      </c>
      <c r="DB149" s="32">
        <v>25</v>
      </c>
      <c r="DC149" s="32">
        <v>39</v>
      </c>
      <c r="DD149" s="32">
        <v>35</v>
      </c>
      <c r="DE149" s="32">
        <v>28</v>
      </c>
      <c r="DF149" s="32">
        <v>27</v>
      </c>
      <c r="DG149" s="32">
        <v>2</v>
      </c>
      <c r="DH149" s="32">
        <v>2</v>
      </c>
      <c r="DI149" s="32">
        <v>40</v>
      </c>
      <c r="DJ149" s="32">
        <v>22</v>
      </c>
      <c r="DK149" s="32">
        <v>3</v>
      </c>
      <c r="DL149" s="32">
        <v>7</v>
      </c>
      <c r="DM149" s="32">
        <v>5</v>
      </c>
      <c r="DN149" s="32">
        <v>0</v>
      </c>
      <c r="DO149" s="32">
        <v>14</v>
      </c>
      <c r="DP149" s="32">
        <v>8</v>
      </c>
      <c r="DQ149" s="32">
        <v>1</v>
      </c>
      <c r="DR149" s="32">
        <v>19</v>
      </c>
      <c r="DS149" s="32">
        <v>12</v>
      </c>
      <c r="DT149" s="32">
        <v>26</v>
      </c>
      <c r="DU149" s="32">
        <v>6</v>
      </c>
      <c r="DV149" s="32">
        <v>6</v>
      </c>
      <c r="DW149" s="32">
        <v>30</v>
      </c>
      <c r="DX149" s="32">
        <v>11</v>
      </c>
      <c r="DY149" s="32">
        <v>4</v>
      </c>
      <c r="DZ149" s="32">
        <v>16</v>
      </c>
      <c r="EA149" s="32">
        <v>18</v>
      </c>
      <c r="EB149" s="32">
        <v>39</v>
      </c>
      <c r="EC149" s="32">
        <v>64</v>
      </c>
      <c r="ED149" s="32">
        <v>29</v>
      </c>
      <c r="EE149" s="32">
        <v>6</v>
      </c>
      <c r="EF149" s="32">
        <v>12</v>
      </c>
      <c r="EG149" s="32">
        <v>12</v>
      </c>
      <c r="EH149" s="32">
        <v>1</v>
      </c>
      <c r="EI149" s="32">
        <v>12</v>
      </c>
      <c r="EJ149" s="32">
        <v>15</v>
      </c>
      <c r="EK149" s="32">
        <v>45</v>
      </c>
      <c r="EL149" s="32">
        <v>11</v>
      </c>
      <c r="EM149" s="32">
        <v>14</v>
      </c>
      <c r="EN149" s="32">
        <v>8</v>
      </c>
      <c r="EO149" s="32">
        <v>26</v>
      </c>
      <c r="EP149" s="32">
        <v>54</v>
      </c>
      <c r="EQ149" s="32">
        <v>10</v>
      </c>
      <c r="ER149" s="32">
        <v>6</v>
      </c>
      <c r="ES149" s="32">
        <v>20</v>
      </c>
      <c r="ET149" s="32">
        <v>18</v>
      </c>
      <c r="EU149" s="32">
        <v>26</v>
      </c>
      <c r="EV149" s="32">
        <v>7</v>
      </c>
      <c r="EW149" s="32">
        <v>20</v>
      </c>
      <c r="EX149" s="32">
        <v>20</v>
      </c>
      <c r="EY149" s="32">
        <v>12</v>
      </c>
      <c r="EZ149" s="32">
        <v>4</v>
      </c>
      <c r="FA149" s="32">
        <v>8</v>
      </c>
      <c r="FB149" s="32">
        <v>47</v>
      </c>
      <c r="FC149" s="32">
        <v>0</v>
      </c>
      <c r="FD149" s="32">
        <v>0</v>
      </c>
      <c r="FE149" s="32">
        <v>0</v>
      </c>
      <c r="FF149" s="32">
        <v>32</v>
      </c>
      <c r="FG149" s="32">
        <v>38</v>
      </c>
      <c r="FH149" s="32">
        <v>22</v>
      </c>
      <c r="FI149" s="32">
        <v>18</v>
      </c>
      <c r="FJ149" s="32">
        <v>32</v>
      </c>
      <c r="FK149" s="32">
        <v>24</v>
      </c>
      <c r="FL149" s="32"/>
      <c r="FM149" s="32"/>
      <c r="FN149" s="32"/>
      <c r="FR149" s="32">
        <f t="shared" si="178"/>
        <v>0</v>
      </c>
      <c r="FS149" s="32">
        <f t="shared" si="179"/>
        <v>0</v>
      </c>
      <c r="FT149" s="32">
        <f t="shared" si="180"/>
        <v>0</v>
      </c>
      <c r="FU149" s="32">
        <f t="shared" si="181"/>
        <v>0</v>
      </c>
      <c r="FV149" s="32">
        <f t="shared" si="182"/>
        <v>0</v>
      </c>
      <c r="FW149" s="32">
        <f t="shared" si="183"/>
        <v>0</v>
      </c>
      <c r="FX149" s="32">
        <f t="shared" si="184"/>
        <v>0</v>
      </c>
      <c r="FY149" s="32">
        <f t="shared" si="185"/>
        <v>0</v>
      </c>
      <c r="FZ149" s="32">
        <f t="shared" si="186"/>
        <v>0</v>
      </c>
      <c r="GA149" s="32">
        <f t="shared" si="187"/>
        <v>0</v>
      </c>
      <c r="GB149" s="32">
        <f t="shared" si="188"/>
        <v>0</v>
      </c>
      <c r="GC149" s="32">
        <f t="shared" si="189"/>
        <v>0</v>
      </c>
      <c r="GD149" s="32">
        <f t="shared" si="190"/>
        <v>0</v>
      </c>
      <c r="GE149" s="32">
        <f t="shared" si="191"/>
        <v>0</v>
      </c>
      <c r="GF149" s="32">
        <f t="shared" si="192"/>
        <v>0</v>
      </c>
      <c r="GG149" s="32">
        <f t="shared" si="193"/>
        <v>0</v>
      </c>
      <c r="GH149" s="32">
        <f t="shared" si="194"/>
        <v>0</v>
      </c>
      <c r="GI149" s="32">
        <f t="shared" si="195"/>
        <v>0</v>
      </c>
      <c r="GJ149" s="32">
        <f t="shared" si="196"/>
        <v>0</v>
      </c>
      <c r="GK149" s="32">
        <f t="shared" si="197"/>
        <v>0</v>
      </c>
      <c r="GL149" s="32">
        <f t="shared" si="198"/>
        <v>0</v>
      </c>
      <c r="GM149" s="32">
        <f t="shared" si="199"/>
        <v>0</v>
      </c>
      <c r="GN149" s="32">
        <f t="shared" si="200"/>
        <v>0</v>
      </c>
      <c r="GO149" s="32">
        <f t="shared" si="201"/>
        <v>0</v>
      </c>
      <c r="GP149" s="32">
        <f t="shared" si="202"/>
        <v>6</v>
      </c>
      <c r="GQ149" s="32">
        <f t="shared" si="203"/>
        <v>75</v>
      </c>
      <c r="GR149" s="32">
        <f t="shared" si="204"/>
        <v>74</v>
      </c>
      <c r="GS149" s="32">
        <f t="shared" si="205"/>
        <v>47</v>
      </c>
      <c r="GT149" s="32">
        <f t="shared" si="206"/>
        <v>10</v>
      </c>
      <c r="GU149" s="32">
        <f t="shared" si="207"/>
        <v>50</v>
      </c>
      <c r="GV149" s="32">
        <f t="shared" si="208"/>
        <v>75</v>
      </c>
      <c r="GW149" s="32">
        <f t="shared" si="209"/>
        <v>71</v>
      </c>
      <c r="GX149" s="32">
        <f t="shared" si="210"/>
        <v>35</v>
      </c>
      <c r="GY149" s="32">
        <f t="shared" si="211"/>
        <v>57</v>
      </c>
      <c r="GZ149" s="32">
        <f t="shared" si="247"/>
        <v>79</v>
      </c>
      <c r="HA149" s="32">
        <f t="shared" si="248"/>
        <v>90</v>
      </c>
      <c r="HB149" s="32">
        <f t="shared" si="249"/>
        <v>4</v>
      </c>
      <c r="HC149" s="32">
        <f t="shared" si="250"/>
        <v>32</v>
      </c>
      <c r="HD149" s="32">
        <f t="shared" si="251"/>
        <v>19</v>
      </c>
      <c r="HE149" s="32">
        <f t="shared" si="252"/>
        <v>28</v>
      </c>
      <c r="HF149" s="32">
        <f t="shared" si="253"/>
        <v>44</v>
      </c>
      <c r="HG149" s="32">
        <f t="shared" si="254"/>
        <v>47</v>
      </c>
      <c r="HH149" s="32">
        <f t="shared" si="255"/>
        <v>38</v>
      </c>
      <c r="HI149" s="32">
        <f t="shared" si="256"/>
        <v>132</v>
      </c>
      <c r="HJ149" s="32">
        <f t="shared" si="257"/>
        <v>30</v>
      </c>
      <c r="HK149" s="32">
        <f t="shared" si="258"/>
        <v>28</v>
      </c>
      <c r="HL149" s="32">
        <f t="shared" si="259"/>
        <v>70</v>
      </c>
      <c r="HM149" s="32">
        <f t="shared" si="260"/>
        <v>88</v>
      </c>
      <c r="HN149" s="32">
        <f t="shared" si="278"/>
        <v>30</v>
      </c>
      <c r="HO149" s="32">
        <f t="shared" si="279"/>
        <v>28</v>
      </c>
      <c r="HP149" s="32">
        <f t="shared" si="280"/>
        <v>70</v>
      </c>
      <c r="HQ149" s="32">
        <f t="shared" si="281"/>
        <v>88</v>
      </c>
      <c r="HR149" s="32">
        <f t="shared" ref="HR149:HR152" si="283">SUM(EQ149:ES149)</f>
        <v>36</v>
      </c>
      <c r="HS149" s="32">
        <f t="shared" si="277"/>
        <v>51</v>
      </c>
      <c r="HT149" s="32">
        <f t="shared" si="282"/>
        <v>52</v>
      </c>
      <c r="HU149" s="32">
        <f t="shared" si="272"/>
        <v>59</v>
      </c>
      <c r="HV149" s="32">
        <f t="shared" si="273"/>
        <v>0</v>
      </c>
      <c r="HW149" s="32">
        <f t="shared" si="274"/>
        <v>92</v>
      </c>
      <c r="HX149" s="32">
        <f t="shared" si="275"/>
        <v>74</v>
      </c>
      <c r="IB149" s="32">
        <f t="shared" si="232"/>
        <v>0</v>
      </c>
      <c r="IC149" s="32">
        <f t="shared" si="233"/>
        <v>0</v>
      </c>
      <c r="ID149" s="32">
        <f t="shared" si="234"/>
        <v>0</v>
      </c>
      <c r="IE149" s="32">
        <f t="shared" si="235"/>
        <v>0</v>
      </c>
      <c r="IF149" s="32">
        <f t="shared" si="236"/>
        <v>0</v>
      </c>
      <c r="IG149" s="32">
        <f t="shared" si="237"/>
        <v>0</v>
      </c>
      <c r="IH149" s="32">
        <f t="shared" si="238"/>
        <v>202</v>
      </c>
      <c r="II149" s="32">
        <f t="shared" si="239"/>
        <v>206</v>
      </c>
      <c r="IJ149" s="32">
        <f t="shared" si="261"/>
        <v>261</v>
      </c>
      <c r="IK149" s="32">
        <f t="shared" si="262"/>
        <v>123</v>
      </c>
      <c r="IL149" s="32">
        <f t="shared" si="263"/>
        <v>261</v>
      </c>
      <c r="IM149" s="32">
        <f t="shared" si="264"/>
        <v>216</v>
      </c>
      <c r="IN149" s="32">
        <f t="shared" si="276"/>
        <v>198</v>
      </c>
    </row>
    <row r="150" spans="1:249" outlineLevel="2" x14ac:dyDescent="0.3">
      <c r="B150" t="s">
        <v>78</v>
      </c>
      <c r="C150" s="23">
        <v>0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23">
        <v>0</v>
      </c>
      <c r="Y150" s="23">
        <v>0</v>
      </c>
      <c r="Z150" s="23">
        <v>0</v>
      </c>
      <c r="AA150" s="32">
        <v>0</v>
      </c>
      <c r="AB150" s="32">
        <v>0</v>
      </c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>
        <v>0</v>
      </c>
      <c r="AI150" s="32">
        <v>0</v>
      </c>
      <c r="AJ150" s="32">
        <v>0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2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2">
        <v>0</v>
      </c>
      <c r="BA150" s="32">
        <v>0</v>
      </c>
      <c r="BB150" s="32">
        <v>0</v>
      </c>
      <c r="BC150" s="32">
        <v>0</v>
      </c>
      <c r="BD150" s="32">
        <v>0</v>
      </c>
      <c r="BE150" s="32">
        <v>0</v>
      </c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2">
        <v>0</v>
      </c>
      <c r="BP150" s="32">
        <v>0</v>
      </c>
      <c r="BQ150" s="32">
        <v>0</v>
      </c>
      <c r="BR150" s="32">
        <v>0</v>
      </c>
      <c r="BS150" s="32">
        <v>0</v>
      </c>
      <c r="BT150" s="32">
        <v>0</v>
      </c>
      <c r="BU150" s="32">
        <v>0</v>
      </c>
      <c r="BV150" s="32">
        <v>0</v>
      </c>
      <c r="BW150" s="32">
        <v>0</v>
      </c>
      <c r="BX150" s="32">
        <v>0</v>
      </c>
      <c r="BY150" s="32">
        <v>0</v>
      </c>
      <c r="BZ150" s="32">
        <v>6</v>
      </c>
      <c r="CA150" s="32">
        <v>0</v>
      </c>
      <c r="CB150" s="32">
        <v>0</v>
      </c>
      <c r="CC150" s="32">
        <v>0</v>
      </c>
      <c r="CD150" s="32">
        <v>0</v>
      </c>
      <c r="CE150" s="32">
        <v>1</v>
      </c>
      <c r="CF150" s="32">
        <v>0</v>
      </c>
      <c r="CG150" s="32">
        <v>0</v>
      </c>
      <c r="CH150" s="32">
        <v>10</v>
      </c>
      <c r="CI150" s="32">
        <v>0</v>
      </c>
      <c r="CJ150" s="32">
        <v>5</v>
      </c>
      <c r="CK150" s="32">
        <v>16</v>
      </c>
      <c r="CL150" s="32">
        <v>0</v>
      </c>
      <c r="CM150" s="32">
        <v>2</v>
      </c>
      <c r="CN150" s="32">
        <v>0</v>
      </c>
      <c r="CO150" s="32">
        <v>0</v>
      </c>
      <c r="CP150" s="32">
        <v>0</v>
      </c>
      <c r="CQ150" s="32">
        <v>0</v>
      </c>
      <c r="CR150" s="32">
        <v>0</v>
      </c>
      <c r="CS150" s="32">
        <v>0</v>
      </c>
      <c r="CT150" s="32">
        <v>0</v>
      </c>
      <c r="CU150" s="32">
        <v>0</v>
      </c>
      <c r="CV150" s="32">
        <v>0</v>
      </c>
      <c r="CW150" s="32">
        <v>0</v>
      </c>
      <c r="CX150" s="32">
        <v>0</v>
      </c>
      <c r="CY150" s="32">
        <v>0</v>
      </c>
      <c r="CZ150" s="32">
        <v>2</v>
      </c>
      <c r="DA150" s="32">
        <v>0</v>
      </c>
      <c r="DB150" s="32">
        <v>0</v>
      </c>
      <c r="DC150" s="32">
        <v>0</v>
      </c>
      <c r="DD150" s="32">
        <v>0</v>
      </c>
      <c r="DE150" s="32">
        <v>0</v>
      </c>
      <c r="DF150" s="32">
        <v>14</v>
      </c>
      <c r="DG150" s="32">
        <v>0</v>
      </c>
      <c r="DH150" s="32">
        <v>0</v>
      </c>
      <c r="DI150" s="32">
        <v>0</v>
      </c>
      <c r="DJ150" s="32">
        <v>0</v>
      </c>
      <c r="DK150" s="32">
        <v>0</v>
      </c>
      <c r="DL150" s="32">
        <v>0</v>
      </c>
      <c r="DM150" s="32">
        <v>0</v>
      </c>
      <c r="DN150" s="32">
        <v>0</v>
      </c>
      <c r="DO150" s="32">
        <v>0</v>
      </c>
      <c r="DP150" s="32">
        <v>0</v>
      </c>
      <c r="DQ150" s="32">
        <v>0</v>
      </c>
      <c r="DR150" s="32">
        <v>1</v>
      </c>
      <c r="DS150" s="32">
        <v>0</v>
      </c>
      <c r="DT150" s="32">
        <v>0</v>
      </c>
      <c r="DU150" s="32">
        <v>1</v>
      </c>
      <c r="DV150" s="32">
        <v>2</v>
      </c>
      <c r="DW150" s="32">
        <v>1</v>
      </c>
      <c r="DX150" s="32">
        <v>0</v>
      </c>
      <c r="DY150" s="32">
        <v>2</v>
      </c>
      <c r="DZ150" s="32">
        <v>2</v>
      </c>
      <c r="EA150" s="32">
        <v>8</v>
      </c>
      <c r="EB150" s="32">
        <v>0</v>
      </c>
      <c r="EC150" s="32">
        <v>10</v>
      </c>
      <c r="ED150" s="32">
        <v>0</v>
      </c>
      <c r="EE150" s="32">
        <v>0</v>
      </c>
      <c r="EF150" s="32">
        <v>0</v>
      </c>
      <c r="EG150" s="32">
        <v>0</v>
      </c>
      <c r="EH150" s="32">
        <v>1</v>
      </c>
      <c r="EI150" s="32">
        <v>0</v>
      </c>
      <c r="EJ150" s="32">
        <v>0</v>
      </c>
      <c r="EK150" s="32">
        <v>0</v>
      </c>
      <c r="EL150" s="32">
        <v>0</v>
      </c>
      <c r="EM150" s="32">
        <v>0</v>
      </c>
      <c r="EN150" s="32">
        <v>0</v>
      </c>
      <c r="EO150" s="32">
        <v>0</v>
      </c>
      <c r="EP150" s="32">
        <v>0</v>
      </c>
      <c r="EQ150" s="32">
        <v>3</v>
      </c>
      <c r="ER150" s="32">
        <v>0</v>
      </c>
      <c r="ES150" s="32">
        <v>2</v>
      </c>
      <c r="ET150" s="32">
        <v>0</v>
      </c>
      <c r="EU150" s="32">
        <v>0</v>
      </c>
      <c r="EV150" s="32">
        <v>0</v>
      </c>
      <c r="EW150" s="32">
        <v>0</v>
      </c>
      <c r="EX150" s="32">
        <v>0</v>
      </c>
      <c r="EY150" s="32">
        <v>0</v>
      </c>
      <c r="EZ150" s="32">
        <v>0</v>
      </c>
      <c r="FA150" s="32">
        <v>0</v>
      </c>
      <c r="FB150" s="32">
        <v>0</v>
      </c>
      <c r="FC150" s="32">
        <v>0</v>
      </c>
      <c r="FD150" s="32">
        <v>0</v>
      </c>
      <c r="FE150" s="32">
        <v>0</v>
      </c>
      <c r="FF150" s="32">
        <v>0</v>
      </c>
      <c r="FG150" s="32">
        <v>0</v>
      </c>
      <c r="FH150" s="32">
        <v>0</v>
      </c>
      <c r="FI150" s="32">
        <v>0</v>
      </c>
      <c r="FJ150" s="32">
        <v>0</v>
      </c>
      <c r="FK150" s="32">
        <v>0</v>
      </c>
      <c r="FL150" s="32"/>
      <c r="FM150" s="32"/>
      <c r="FN150" s="32"/>
      <c r="FR150" s="32">
        <f t="shared" ref="FR150:FR152" si="284">+SUM(C150:E150)</f>
        <v>0</v>
      </c>
      <c r="FS150" s="32">
        <f t="shared" ref="FS150:FS152" si="285">+SUM(F150:H150)</f>
        <v>0</v>
      </c>
      <c r="FT150" s="32">
        <f t="shared" ref="FT150:FT152" si="286">+SUM(I150:K150)</f>
        <v>0</v>
      </c>
      <c r="FU150" s="32">
        <f t="shared" ref="FU150:FU152" si="287">+SUM(L150:N150)</f>
        <v>0</v>
      </c>
      <c r="FV150" s="32">
        <f t="shared" ref="FV150:FV152" si="288">+SUM(O150:Q150)</f>
        <v>0</v>
      </c>
      <c r="FW150" s="32">
        <f t="shared" ref="FW150:FW152" si="289">+SUM(R150:T150)</f>
        <v>0</v>
      </c>
      <c r="FX150" s="32">
        <f t="shared" ref="FX150:FX152" si="290">+SUM(U150:W150)</f>
        <v>0</v>
      </c>
      <c r="FY150" s="32">
        <f t="shared" ref="FY150:FY152" si="291">+SUM(X150:Z150)</f>
        <v>0</v>
      </c>
      <c r="FZ150" s="32">
        <f t="shared" ref="FZ150:FZ152" si="292">+SUM(AA150:AC150)</f>
        <v>0</v>
      </c>
      <c r="GA150" s="32">
        <f t="shared" ref="GA150:GA152" si="293">+SUM(AD150:AF150)</f>
        <v>0</v>
      </c>
      <c r="GB150" s="32">
        <f t="shared" ref="GB150:GB152" si="294">+SUM(AG150:AI150)</f>
        <v>0</v>
      </c>
      <c r="GC150" s="32">
        <f t="shared" ref="GC150:GC152" si="295">+SUM(AJ150:AL150)</f>
        <v>0</v>
      </c>
      <c r="GD150" s="32">
        <f t="shared" ref="GD150:GD152" si="296">+SUM(AM150:AO150)</f>
        <v>0</v>
      </c>
      <c r="GE150" s="32">
        <f t="shared" ref="GE150:GE152" si="297">+SUM(AP150:AR150)</f>
        <v>0</v>
      </c>
      <c r="GF150" s="32">
        <f t="shared" ref="GF150:GF152" si="298">+SUM(AS150:AU150)</f>
        <v>0</v>
      </c>
      <c r="GG150" s="32">
        <f t="shared" ref="GG150:GG152" si="299">+SUM(AV150:AX150)</f>
        <v>0</v>
      </c>
      <c r="GH150" s="32">
        <f t="shared" ref="GH150:GH152" si="300">+SUM(AY150:BA150)</f>
        <v>0</v>
      </c>
      <c r="GI150" s="32">
        <f t="shared" ref="GI150:GI152" si="301">+SUM(BB150:BD150)</f>
        <v>0</v>
      </c>
      <c r="GJ150" s="32">
        <f t="shared" ref="GJ150:GJ152" si="302">+SUM(BE150:BG150)</f>
        <v>0</v>
      </c>
      <c r="GK150" s="32">
        <f t="shared" ref="GK150:GK152" si="303">+SUM(BH150:BJ150)</f>
        <v>0</v>
      </c>
      <c r="GL150" s="32">
        <f t="shared" ref="GL150:GL152" si="304">+SUM(BK150:BM150)</f>
        <v>0</v>
      </c>
      <c r="GM150" s="32">
        <f t="shared" ref="GM150:GM152" si="305">+SUM(BN150:BP150)</f>
        <v>0</v>
      </c>
      <c r="GN150" s="32">
        <f t="shared" ref="GN150:GN152" si="306">+SUM(BQ150:BS150)</f>
        <v>0</v>
      </c>
      <c r="GO150" s="32">
        <f t="shared" ref="GO150:GO152" si="307">+SUM(BT150:BV150)</f>
        <v>0</v>
      </c>
      <c r="GP150" s="32">
        <f t="shared" ref="GP150:GP152" si="308">+SUM(BW150:BY150)</f>
        <v>0</v>
      </c>
      <c r="GQ150" s="32">
        <f t="shared" ref="GQ150:GQ152" si="309">+SUM(BZ150:CB150)</f>
        <v>6</v>
      </c>
      <c r="GR150" s="32">
        <f t="shared" ref="GR150:GR152" si="310">+SUM(CC150:CE150)</f>
        <v>1</v>
      </c>
      <c r="GS150" s="32">
        <f t="shared" ref="GS150:GS152" si="311">+SUM(CF150:CH150)</f>
        <v>10</v>
      </c>
      <c r="GT150" s="32">
        <f t="shared" ref="GT150:GT152" si="312">+SUM(CI150:CK150)</f>
        <v>21</v>
      </c>
      <c r="GU150" s="32">
        <f t="shared" ref="GU150:GU152" si="313">+SUM(CL150:CN150)</f>
        <v>2</v>
      </c>
      <c r="GV150" s="32">
        <f t="shared" ref="GV150:GV152" si="314">+SUM(CO150:CQ150)</f>
        <v>0</v>
      </c>
      <c r="GW150" s="32">
        <f t="shared" ref="GW150:GW152" si="315">+SUM(CR150:CT150)</f>
        <v>0</v>
      </c>
      <c r="GX150" s="32">
        <f t="shared" ref="GX150:GX152" si="316">+SUM(CU150:CW150)</f>
        <v>0</v>
      </c>
      <c r="GY150" s="32">
        <f t="shared" ref="GY150:GY152" si="317">+SUM(CX150:CZ150)</f>
        <v>2</v>
      </c>
      <c r="GZ150" s="32">
        <f t="shared" si="247"/>
        <v>0</v>
      </c>
      <c r="HA150" s="32">
        <f t="shared" si="248"/>
        <v>14</v>
      </c>
      <c r="HB150" s="32">
        <f t="shared" si="249"/>
        <v>0</v>
      </c>
      <c r="HC150" s="32">
        <f t="shared" si="250"/>
        <v>0</v>
      </c>
      <c r="HD150" s="32">
        <f t="shared" si="251"/>
        <v>0</v>
      </c>
      <c r="HE150" s="32">
        <f t="shared" si="252"/>
        <v>1</v>
      </c>
      <c r="HF150" s="32">
        <f t="shared" si="253"/>
        <v>1</v>
      </c>
      <c r="HG150" s="32">
        <f t="shared" si="254"/>
        <v>3</v>
      </c>
      <c r="HH150" s="32">
        <f t="shared" si="255"/>
        <v>12</v>
      </c>
      <c r="HI150" s="32">
        <f t="shared" si="256"/>
        <v>10</v>
      </c>
      <c r="HJ150" s="32">
        <f t="shared" si="257"/>
        <v>0</v>
      </c>
      <c r="HK150" s="32">
        <f t="shared" si="258"/>
        <v>1</v>
      </c>
      <c r="HL150" s="32">
        <f t="shared" si="259"/>
        <v>0</v>
      </c>
      <c r="HM150" s="32">
        <f t="shared" si="260"/>
        <v>0</v>
      </c>
      <c r="HN150" s="32">
        <f t="shared" si="278"/>
        <v>0</v>
      </c>
      <c r="HO150" s="32">
        <f t="shared" si="279"/>
        <v>1</v>
      </c>
      <c r="HP150" s="32">
        <f t="shared" si="280"/>
        <v>0</v>
      </c>
      <c r="HQ150" s="32">
        <f t="shared" si="281"/>
        <v>0</v>
      </c>
      <c r="HR150" s="32">
        <f t="shared" si="283"/>
        <v>5</v>
      </c>
      <c r="HS150" s="32">
        <f t="shared" si="277"/>
        <v>0</v>
      </c>
      <c r="HT150" s="32">
        <f t="shared" si="282"/>
        <v>0</v>
      </c>
      <c r="HU150" s="32">
        <f t="shared" si="272"/>
        <v>0</v>
      </c>
      <c r="HV150" s="32">
        <f t="shared" si="273"/>
        <v>0</v>
      </c>
      <c r="HW150" s="32">
        <f t="shared" si="274"/>
        <v>0</v>
      </c>
      <c r="HX150" s="32">
        <f t="shared" si="275"/>
        <v>0</v>
      </c>
      <c r="IB150" s="32">
        <f t="shared" ref="IB150:IB152" si="318">+SUM(C150:N150)</f>
        <v>0</v>
      </c>
      <c r="IC150" s="32">
        <f t="shared" ref="IC150:IC152" si="319">+SUM(O150:Z150)</f>
        <v>0</v>
      </c>
      <c r="ID150" s="32">
        <f t="shared" ref="ID150:ID152" si="320">+SUM(AA150:AL150)</f>
        <v>0</v>
      </c>
      <c r="IE150" s="32">
        <f t="shared" ref="IE150:IE152" si="321">+SUM(AM150:AX150)</f>
        <v>0</v>
      </c>
      <c r="IF150" s="32">
        <f t="shared" ref="IF150:IF152" si="322">+SUM(AY150:BJ150)</f>
        <v>0</v>
      </c>
      <c r="IG150" s="32">
        <f t="shared" ref="IG150:IG152" si="323">+SUM(BK150:BV150)</f>
        <v>0</v>
      </c>
      <c r="IH150" s="32">
        <f t="shared" ref="IH150:IH152" si="324">+SUM(BW150:CH150)</f>
        <v>17</v>
      </c>
      <c r="II150" s="32">
        <f t="shared" ref="II150:II152" si="325">SUM(CI150:CT150)</f>
        <v>23</v>
      </c>
      <c r="IJ150" s="32">
        <f t="shared" si="261"/>
        <v>16</v>
      </c>
      <c r="IK150" s="32">
        <f t="shared" si="262"/>
        <v>1</v>
      </c>
      <c r="IL150" s="32">
        <f t="shared" si="263"/>
        <v>26</v>
      </c>
      <c r="IM150" s="32">
        <f t="shared" si="264"/>
        <v>1</v>
      </c>
      <c r="IN150" s="32">
        <f t="shared" si="276"/>
        <v>5</v>
      </c>
    </row>
    <row r="151" spans="1:249" outlineLevel="1" x14ac:dyDescent="0.3">
      <c r="A151" s="15" t="s">
        <v>107</v>
      </c>
      <c r="B151" s="15"/>
      <c r="C151" s="38">
        <v>0</v>
      </c>
      <c r="D151" s="38">
        <v>0</v>
      </c>
      <c r="E151" s="38">
        <v>0</v>
      </c>
      <c r="F151" s="38">
        <v>0</v>
      </c>
      <c r="G151" s="38">
        <v>0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0</v>
      </c>
      <c r="U151" s="38">
        <v>0</v>
      </c>
      <c r="V151" s="38">
        <v>0</v>
      </c>
      <c r="W151" s="38">
        <v>0</v>
      </c>
      <c r="X151" s="38">
        <v>0</v>
      </c>
      <c r="Y151" s="38">
        <v>0</v>
      </c>
      <c r="Z151" s="38">
        <v>0</v>
      </c>
      <c r="AA151" s="39">
        <v>0</v>
      </c>
      <c r="AB151" s="39">
        <v>0</v>
      </c>
      <c r="AC151" s="39">
        <v>0</v>
      </c>
      <c r="AD151" s="39">
        <v>0</v>
      </c>
      <c r="AE151" s="39">
        <v>0</v>
      </c>
      <c r="AF151" s="39">
        <v>0</v>
      </c>
      <c r="AG151" s="39">
        <v>0</v>
      </c>
      <c r="AH151" s="39">
        <v>0</v>
      </c>
      <c r="AI151" s="39">
        <v>0</v>
      </c>
      <c r="AJ151" s="39">
        <v>0</v>
      </c>
      <c r="AK151" s="39">
        <v>0</v>
      </c>
      <c r="AL151" s="39">
        <v>0</v>
      </c>
      <c r="AM151" s="39">
        <v>0</v>
      </c>
      <c r="AN151" s="39">
        <v>0</v>
      </c>
      <c r="AO151" s="39">
        <v>0</v>
      </c>
      <c r="AP151" s="39">
        <v>0</v>
      </c>
      <c r="AQ151" s="39">
        <v>0</v>
      </c>
      <c r="AR151" s="39">
        <v>0</v>
      </c>
      <c r="AS151" s="39">
        <v>0</v>
      </c>
      <c r="AT151" s="39">
        <v>0</v>
      </c>
      <c r="AU151" s="39">
        <v>0</v>
      </c>
      <c r="AV151" s="39">
        <v>0</v>
      </c>
      <c r="AW151" s="39">
        <v>0</v>
      </c>
      <c r="AX151" s="39">
        <v>0</v>
      </c>
      <c r="AY151" s="39">
        <v>0</v>
      </c>
      <c r="AZ151" s="39">
        <v>0</v>
      </c>
      <c r="BA151" s="39">
        <v>0</v>
      </c>
      <c r="BB151" s="39">
        <v>0</v>
      </c>
      <c r="BC151" s="39">
        <v>0</v>
      </c>
      <c r="BD151" s="39">
        <v>0</v>
      </c>
      <c r="BE151" s="39">
        <v>0</v>
      </c>
      <c r="BF151" s="39">
        <v>0</v>
      </c>
      <c r="BG151" s="39">
        <v>0</v>
      </c>
      <c r="BH151" s="39">
        <v>0</v>
      </c>
      <c r="BI151" s="39">
        <v>0</v>
      </c>
      <c r="BJ151" s="39">
        <v>0</v>
      </c>
      <c r="BK151" s="39">
        <v>0</v>
      </c>
      <c r="BL151" s="39">
        <v>0</v>
      </c>
      <c r="BM151" s="39">
        <v>0</v>
      </c>
      <c r="BN151" s="39">
        <v>0</v>
      </c>
      <c r="BO151" s="39">
        <v>0</v>
      </c>
      <c r="BP151" s="39">
        <v>0</v>
      </c>
      <c r="BQ151" s="39">
        <v>0</v>
      </c>
      <c r="BR151" s="39">
        <v>0</v>
      </c>
      <c r="BS151" s="39">
        <v>0</v>
      </c>
      <c r="BT151" s="39">
        <v>0</v>
      </c>
      <c r="BU151" s="39">
        <v>0</v>
      </c>
      <c r="BV151" s="39">
        <v>0</v>
      </c>
      <c r="BW151" s="39">
        <v>0</v>
      </c>
      <c r="BX151" s="39">
        <v>0</v>
      </c>
      <c r="BY151" s="39">
        <v>27</v>
      </c>
      <c r="BZ151" s="39">
        <v>34</v>
      </c>
      <c r="CA151" s="39">
        <v>70</v>
      </c>
      <c r="CB151" s="39">
        <v>87</v>
      </c>
      <c r="CC151" s="39">
        <v>61</v>
      </c>
      <c r="CD151" s="39">
        <v>88</v>
      </c>
      <c r="CE151" s="39">
        <v>26</v>
      </c>
      <c r="CF151" s="39">
        <v>26</v>
      </c>
      <c r="CG151" s="39">
        <v>23</v>
      </c>
      <c r="CH151" s="39">
        <v>99</v>
      </c>
      <c r="CI151" s="39">
        <v>6</v>
      </c>
      <c r="CJ151" s="39">
        <v>5</v>
      </c>
      <c r="CK151" s="39">
        <v>35</v>
      </c>
      <c r="CL151" s="39">
        <v>35</v>
      </c>
      <c r="CM151" s="39">
        <v>37</v>
      </c>
      <c r="CN151" s="39">
        <v>31</v>
      </c>
      <c r="CO151" s="39">
        <v>28</v>
      </c>
      <c r="CP151" s="39">
        <v>67</v>
      </c>
      <c r="CQ151" s="39">
        <v>49</v>
      </c>
      <c r="CR151" s="39">
        <v>14</v>
      </c>
      <c r="CS151" s="39">
        <v>32</v>
      </c>
      <c r="CT151" s="39">
        <v>104</v>
      </c>
      <c r="CU151" s="39">
        <v>0</v>
      </c>
      <c r="CV151" s="39">
        <v>48</v>
      </c>
      <c r="CW151" s="39">
        <v>23</v>
      </c>
      <c r="CX151" s="39">
        <v>12</v>
      </c>
      <c r="CY151" s="39">
        <v>33</v>
      </c>
      <c r="CZ151" s="39">
        <v>61</v>
      </c>
      <c r="DA151" s="39">
        <v>56</v>
      </c>
      <c r="DB151" s="39">
        <v>51</v>
      </c>
      <c r="DC151" s="39">
        <v>60</v>
      </c>
      <c r="DD151" s="39">
        <v>61</v>
      </c>
      <c r="DE151" s="39">
        <v>77</v>
      </c>
      <c r="DF151" s="39">
        <v>81</v>
      </c>
      <c r="DG151" s="39">
        <v>23</v>
      </c>
      <c r="DH151" s="39">
        <v>6</v>
      </c>
      <c r="DI151" s="39">
        <v>47</v>
      </c>
      <c r="DJ151" s="39">
        <v>66</v>
      </c>
      <c r="DK151" s="39">
        <v>11</v>
      </c>
      <c r="DL151" s="39">
        <v>33</v>
      </c>
      <c r="DM151" s="39">
        <v>31</v>
      </c>
      <c r="DN151" s="39">
        <v>0</v>
      </c>
      <c r="DO151" s="39">
        <v>23</v>
      </c>
      <c r="DP151" s="39">
        <v>17</v>
      </c>
      <c r="DQ151" s="39">
        <v>6</v>
      </c>
      <c r="DR151" s="39">
        <v>26</v>
      </c>
      <c r="DS151" s="39">
        <v>22</v>
      </c>
      <c r="DT151" s="39">
        <v>26</v>
      </c>
      <c r="DU151" s="39">
        <v>20</v>
      </c>
      <c r="DV151" s="39">
        <v>21</v>
      </c>
      <c r="DW151" s="39">
        <v>50</v>
      </c>
      <c r="DX151" s="39">
        <v>38</v>
      </c>
      <c r="DY151" s="39">
        <v>10</v>
      </c>
      <c r="DZ151" s="39">
        <v>26</v>
      </c>
      <c r="EA151" s="39">
        <v>26</v>
      </c>
      <c r="EB151" s="39">
        <v>59</v>
      </c>
      <c r="EC151" s="39">
        <v>82</v>
      </c>
      <c r="ED151" s="39">
        <v>33</v>
      </c>
      <c r="EE151" s="39">
        <v>6</v>
      </c>
      <c r="EF151" s="39">
        <v>12</v>
      </c>
      <c r="EG151" s="39">
        <v>48</v>
      </c>
      <c r="EH151" s="39">
        <v>20</v>
      </c>
      <c r="EI151" s="39">
        <v>12</v>
      </c>
      <c r="EJ151" s="39">
        <v>30</v>
      </c>
      <c r="EK151" s="39">
        <v>57</v>
      </c>
      <c r="EL151" s="39">
        <v>11</v>
      </c>
      <c r="EM151" s="39">
        <v>30</v>
      </c>
      <c r="EN151" s="39">
        <v>16</v>
      </c>
      <c r="EO151" s="39">
        <v>26</v>
      </c>
      <c r="EP151" s="39">
        <v>54</v>
      </c>
      <c r="EQ151" s="39">
        <v>15</v>
      </c>
      <c r="ER151" s="39">
        <v>10</v>
      </c>
      <c r="ES151" s="39">
        <v>32</v>
      </c>
      <c r="ET151" s="39">
        <v>22</v>
      </c>
      <c r="EU151" s="39">
        <v>34</v>
      </c>
      <c r="EV151" s="39">
        <v>49</v>
      </c>
      <c r="EW151" s="39">
        <v>36</v>
      </c>
      <c r="EX151" s="39">
        <v>42</v>
      </c>
      <c r="EY151" s="39">
        <v>20</v>
      </c>
      <c r="EZ151" s="39">
        <v>14</v>
      </c>
      <c r="FA151" s="39">
        <v>0</v>
      </c>
      <c r="FB151" s="39">
        <v>111</v>
      </c>
      <c r="FC151" s="39">
        <v>16</v>
      </c>
      <c r="FD151" s="39">
        <v>24</v>
      </c>
      <c r="FE151" s="39">
        <v>0</v>
      </c>
      <c r="FF151" s="39">
        <v>38</v>
      </c>
      <c r="FG151" s="39">
        <v>40</v>
      </c>
      <c r="FH151" s="39">
        <v>32</v>
      </c>
      <c r="FI151" s="39">
        <v>18</v>
      </c>
      <c r="FJ151" s="39">
        <v>44</v>
      </c>
      <c r="FK151" s="39">
        <v>24</v>
      </c>
      <c r="FL151" s="40"/>
      <c r="FM151" s="40"/>
      <c r="FN151" s="40"/>
      <c r="FR151" s="39">
        <f t="shared" si="284"/>
        <v>0</v>
      </c>
      <c r="FS151" s="39">
        <f t="shared" si="285"/>
        <v>0</v>
      </c>
      <c r="FT151" s="39">
        <f t="shared" si="286"/>
        <v>0</v>
      </c>
      <c r="FU151" s="39">
        <f t="shared" si="287"/>
        <v>0</v>
      </c>
      <c r="FV151" s="39">
        <f t="shared" si="288"/>
        <v>0</v>
      </c>
      <c r="FW151" s="39">
        <f t="shared" si="289"/>
        <v>0</v>
      </c>
      <c r="FX151" s="39">
        <f t="shared" si="290"/>
        <v>0</v>
      </c>
      <c r="FY151" s="39">
        <f t="shared" si="291"/>
        <v>0</v>
      </c>
      <c r="FZ151" s="39">
        <f t="shared" si="292"/>
        <v>0</v>
      </c>
      <c r="GA151" s="39">
        <f t="shared" si="293"/>
        <v>0</v>
      </c>
      <c r="GB151" s="39">
        <f t="shared" si="294"/>
        <v>0</v>
      </c>
      <c r="GC151" s="39">
        <f t="shared" si="295"/>
        <v>0</v>
      </c>
      <c r="GD151" s="39">
        <f t="shared" si="296"/>
        <v>0</v>
      </c>
      <c r="GE151" s="39">
        <f t="shared" si="297"/>
        <v>0</v>
      </c>
      <c r="GF151" s="39">
        <f t="shared" si="298"/>
        <v>0</v>
      </c>
      <c r="GG151" s="39">
        <f t="shared" si="299"/>
        <v>0</v>
      </c>
      <c r="GH151" s="39">
        <f t="shared" si="300"/>
        <v>0</v>
      </c>
      <c r="GI151" s="39">
        <f t="shared" si="301"/>
        <v>0</v>
      </c>
      <c r="GJ151" s="39">
        <f t="shared" si="302"/>
        <v>0</v>
      </c>
      <c r="GK151" s="39">
        <f t="shared" si="303"/>
        <v>0</v>
      </c>
      <c r="GL151" s="39">
        <f t="shared" si="304"/>
        <v>0</v>
      </c>
      <c r="GM151" s="39">
        <f t="shared" si="305"/>
        <v>0</v>
      </c>
      <c r="GN151" s="39">
        <f t="shared" si="306"/>
        <v>0</v>
      </c>
      <c r="GO151" s="39">
        <f t="shared" si="307"/>
        <v>0</v>
      </c>
      <c r="GP151" s="39">
        <f t="shared" si="308"/>
        <v>27</v>
      </c>
      <c r="GQ151" s="39">
        <f t="shared" si="309"/>
        <v>191</v>
      </c>
      <c r="GR151" s="39">
        <f t="shared" si="310"/>
        <v>175</v>
      </c>
      <c r="GS151" s="39">
        <f t="shared" si="311"/>
        <v>148</v>
      </c>
      <c r="GT151" s="39">
        <f t="shared" si="312"/>
        <v>46</v>
      </c>
      <c r="GU151" s="39">
        <f t="shared" si="313"/>
        <v>103</v>
      </c>
      <c r="GV151" s="39">
        <f t="shared" si="314"/>
        <v>144</v>
      </c>
      <c r="GW151" s="39">
        <f t="shared" si="315"/>
        <v>150</v>
      </c>
      <c r="GX151" s="39">
        <f t="shared" si="316"/>
        <v>71</v>
      </c>
      <c r="GY151" s="39">
        <f t="shared" si="317"/>
        <v>106</v>
      </c>
      <c r="GZ151" s="39">
        <f t="shared" si="247"/>
        <v>167</v>
      </c>
      <c r="HA151" s="39">
        <f t="shared" si="248"/>
        <v>219</v>
      </c>
      <c r="HB151" s="39">
        <f t="shared" si="249"/>
        <v>29</v>
      </c>
      <c r="HC151" s="39">
        <f t="shared" si="250"/>
        <v>110</v>
      </c>
      <c r="HD151" s="39">
        <f t="shared" si="251"/>
        <v>54</v>
      </c>
      <c r="HE151" s="39">
        <f t="shared" si="252"/>
        <v>49</v>
      </c>
      <c r="HF151" s="39">
        <f t="shared" si="253"/>
        <v>68</v>
      </c>
      <c r="HG151" s="39">
        <f t="shared" si="254"/>
        <v>109</v>
      </c>
      <c r="HH151" s="39">
        <f t="shared" si="255"/>
        <v>62</v>
      </c>
      <c r="HI151" s="39">
        <f t="shared" si="256"/>
        <v>174</v>
      </c>
      <c r="HJ151" s="39">
        <f t="shared" si="257"/>
        <v>66</v>
      </c>
      <c r="HK151" s="39">
        <f t="shared" si="258"/>
        <v>62</v>
      </c>
      <c r="HL151" s="39">
        <f t="shared" si="259"/>
        <v>98</v>
      </c>
      <c r="HM151" s="39">
        <f t="shared" si="260"/>
        <v>96</v>
      </c>
      <c r="HN151" s="39">
        <f t="shared" si="278"/>
        <v>66</v>
      </c>
      <c r="HO151" s="39">
        <f t="shared" si="279"/>
        <v>62</v>
      </c>
      <c r="HP151" s="39">
        <f t="shared" si="280"/>
        <v>98</v>
      </c>
      <c r="HQ151" s="39">
        <f t="shared" si="281"/>
        <v>96</v>
      </c>
      <c r="HR151" s="39">
        <f t="shared" si="283"/>
        <v>57</v>
      </c>
      <c r="HS151" s="39">
        <f t="shared" si="277"/>
        <v>105</v>
      </c>
      <c r="HT151" s="39">
        <f t="shared" si="282"/>
        <v>98</v>
      </c>
      <c r="HU151" s="39">
        <f t="shared" si="272"/>
        <v>125</v>
      </c>
      <c r="HV151" s="39">
        <f t="shared" si="273"/>
        <v>40</v>
      </c>
      <c r="HW151" s="39">
        <f t="shared" si="274"/>
        <v>110</v>
      </c>
      <c r="HX151" s="39">
        <f t="shared" si="275"/>
        <v>86</v>
      </c>
      <c r="IB151" s="39">
        <f t="shared" si="318"/>
        <v>0</v>
      </c>
      <c r="IC151" s="39">
        <f t="shared" si="319"/>
        <v>0</v>
      </c>
      <c r="ID151" s="39">
        <f t="shared" si="320"/>
        <v>0</v>
      </c>
      <c r="IE151" s="39">
        <f t="shared" si="321"/>
        <v>0</v>
      </c>
      <c r="IF151" s="39">
        <f t="shared" si="322"/>
        <v>0</v>
      </c>
      <c r="IG151" s="39">
        <f t="shared" si="323"/>
        <v>0</v>
      </c>
      <c r="IH151" s="39">
        <f t="shared" si="324"/>
        <v>541</v>
      </c>
      <c r="II151" s="39">
        <f t="shared" si="325"/>
        <v>443</v>
      </c>
      <c r="IJ151" s="39">
        <f t="shared" si="261"/>
        <v>563</v>
      </c>
      <c r="IK151" s="39">
        <f t="shared" si="262"/>
        <v>289</v>
      </c>
      <c r="IL151" s="39">
        <f t="shared" si="263"/>
        <v>413</v>
      </c>
      <c r="IM151" s="39">
        <f t="shared" si="264"/>
        <v>322</v>
      </c>
      <c r="IN151" s="39">
        <f t="shared" si="276"/>
        <v>385</v>
      </c>
    </row>
    <row r="152" spans="1:249" x14ac:dyDescent="0.3">
      <c r="A152" s="27" t="s">
        <v>111</v>
      </c>
      <c r="B152" s="27"/>
      <c r="C152" s="28">
        <f t="shared" ref="C152:BN152" si="326">+C83+C87+C92+C97+C102+C112+C107+C116+C121+C131+C136+C141+C146+C151+C126</f>
        <v>4651</v>
      </c>
      <c r="D152" s="28">
        <f t="shared" si="326"/>
        <v>4971</v>
      </c>
      <c r="E152" s="28">
        <f t="shared" si="326"/>
        <v>5831</v>
      </c>
      <c r="F152" s="28">
        <f t="shared" si="326"/>
        <v>6242</v>
      </c>
      <c r="G152" s="28">
        <f t="shared" si="326"/>
        <v>5258</v>
      </c>
      <c r="H152" s="28">
        <f t="shared" si="326"/>
        <v>5473</v>
      </c>
      <c r="I152" s="28">
        <f t="shared" si="326"/>
        <v>5009</v>
      </c>
      <c r="J152" s="28">
        <f t="shared" si="326"/>
        <v>4337</v>
      </c>
      <c r="K152" s="28">
        <f t="shared" si="326"/>
        <v>5796</v>
      </c>
      <c r="L152" s="28">
        <f t="shared" si="326"/>
        <v>5074</v>
      </c>
      <c r="M152" s="28">
        <f t="shared" si="326"/>
        <v>4740</v>
      </c>
      <c r="N152" s="28">
        <f t="shared" si="326"/>
        <v>5765</v>
      </c>
      <c r="O152" s="28">
        <f t="shared" si="326"/>
        <v>4134</v>
      </c>
      <c r="P152" s="28">
        <f t="shared" si="326"/>
        <v>5166</v>
      </c>
      <c r="Q152" s="28">
        <f t="shared" si="326"/>
        <v>5172</v>
      </c>
      <c r="R152" s="28">
        <f t="shared" si="326"/>
        <v>5747</v>
      </c>
      <c r="S152" s="28">
        <f t="shared" si="326"/>
        <v>5230</v>
      </c>
      <c r="T152" s="28">
        <f t="shared" si="326"/>
        <v>5632</v>
      </c>
      <c r="U152" s="28">
        <f t="shared" si="326"/>
        <v>5289</v>
      </c>
      <c r="V152" s="28">
        <f t="shared" si="326"/>
        <v>4773</v>
      </c>
      <c r="W152" s="28">
        <f t="shared" si="326"/>
        <v>5374</v>
      </c>
      <c r="X152" s="28">
        <f t="shared" si="326"/>
        <v>5085</v>
      </c>
      <c r="Y152" s="28">
        <f t="shared" si="326"/>
        <v>5891</v>
      </c>
      <c r="Z152" s="28">
        <f t="shared" si="326"/>
        <v>5184</v>
      </c>
      <c r="AA152" s="28">
        <f t="shared" si="326"/>
        <v>5416</v>
      </c>
      <c r="AB152" s="28">
        <f t="shared" si="326"/>
        <v>5517</v>
      </c>
      <c r="AC152" s="28">
        <f t="shared" si="326"/>
        <v>6676</v>
      </c>
      <c r="AD152" s="28">
        <f t="shared" si="326"/>
        <v>6042</v>
      </c>
      <c r="AE152" s="28">
        <f t="shared" si="326"/>
        <v>6111</v>
      </c>
      <c r="AF152" s="28">
        <f t="shared" si="326"/>
        <v>6156</v>
      </c>
      <c r="AG152" s="28">
        <f t="shared" si="326"/>
        <v>5964</v>
      </c>
      <c r="AH152" s="28">
        <f t="shared" si="326"/>
        <v>6338</v>
      </c>
      <c r="AI152" s="28">
        <f t="shared" si="326"/>
        <v>7448</v>
      </c>
      <c r="AJ152" s="28">
        <f t="shared" si="326"/>
        <v>5789</v>
      </c>
      <c r="AK152" s="28">
        <f t="shared" si="326"/>
        <v>6703</v>
      </c>
      <c r="AL152" s="28">
        <f t="shared" si="326"/>
        <v>7216</v>
      </c>
      <c r="AM152" s="28">
        <f t="shared" si="326"/>
        <v>6825</v>
      </c>
      <c r="AN152" s="28">
        <f t="shared" si="326"/>
        <v>6671</v>
      </c>
      <c r="AO152" s="28">
        <f t="shared" si="326"/>
        <v>6409</v>
      </c>
      <c r="AP152" s="28">
        <f t="shared" si="326"/>
        <v>6382</v>
      </c>
      <c r="AQ152" s="28">
        <f t="shared" si="326"/>
        <v>6098</v>
      </c>
      <c r="AR152" s="28">
        <f t="shared" si="326"/>
        <v>7130</v>
      </c>
      <c r="AS152" s="28">
        <f t="shared" si="326"/>
        <v>6125</v>
      </c>
      <c r="AT152" s="28">
        <f t="shared" si="326"/>
        <v>5482</v>
      </c>
      <c r="AU152" s="28">
        <f t="shared" si="326"/>
        <v>7686</v>
      </c>
      <c r="AV152" s="28">
        <f t="shared" si="326"/>
        <v>6103</v>
      </c>
      <c r="AW152" s="28">
        <f t="shared" si="326"/>
        <v>6208</v>
      </c>
      <c r="AX152" s="28">
        <f t="shared" si="326"/>
        <v>6366</v>
      </c>
      <c r="AY152" s="28">
        <f t="shared" si="326"/>
        <v>5265</v>
      </c>
      <c r="AZ152" s="28">
        <f t="shared" si="326"/>
        <v>6367</v>
      </c>
      <c r="BA152" s="28">
        <f t="shared" si="326"/>
        <v>6851</v>
      </c>
      <c r="BB152" s="28">
        <f t="shared" si="326"/>
        <v>6957</v>
      </c>
      <c r="BC152" s="28">
        <f t="shared" si="326"/>
        <v>6616</v>
      </c>
      <c r="BD152" s="28">
        <f t="shared" si="326"/>
        <v>7212</v>
      </c>
      <c r="BE152" s="28">
        <f t="shared" si="326"/>
        <v>6354</v>
      </c>
      <c r="BF152" s="28">
        <f t="shared" si="326"/>
        <v>6445</v>
      </c>
      <c r="BG152" s="28">
        <f t="shared" si="326"/>
        <v>6859</v>
      </c>
      <c r="BH152" s="28">
        <f t="shared" si="326"/>
        <v>5998</v>
      </c>
      <c r="BI152" s="28">
        <f t="shared" si="326"/>
        <v>6445</v>
      </c>
      <c r="BJ152" s="28">
        <f t="shared" si="326"/>
        <v>6982</v>
      </c>
      <c r="BK152" s="28">
        <f t="shared" si="326"/>
        <v>5216</v>
      </c>
      <c r="BL152" s="28">
        <f t="shared" si="326"/>
        <v>7212</v>
      </c>
      <c r="BM152" s="28">
        <f t="shared" si="326"/>
        <v>6831</v>
      </c>
      <c r="BN152" s="28">
        <f t="shared" si="326"/>
        <v>6755</v>
      </c>
      <c r="BO152" s="28">
        <f t="shared" ref="BO152:DB152" si="327">+BO83+BO87+BO92+BO97+BO102+BO112+BO107+BO116+BO121+BO131+BO136+BO141+BO146+BO151+BO126</f>
        <v>6423</v>
      </c>
      <c r="BP152" s="28">
        <f t="shared" si="327"/>
        <v>8180</v>
      </c>
      <c r="BQ152" s="28">
        <f t="shared" si="327"/>
        <v>5952</v>
      </c>
      <c r="BR152" s="28">
        <f t="shared" si="327"/>
        <v>7760</v>
      </c>
      <c r="BS152" s="28">
        <f t="shared" si="327"/>
        <v>8262</v>
      </c>
      <c r="BT152" s="28">
        <f t="shared" si="327"/>
        <v>6195</v>
      </c>
      <c r="BU152" s="28">
        <f t="shared" si="327"/>
        <v>6782</v>
      </c>
      <c r="BV152" s="28">
        <f t="shared" si="327"/>
        <v>9827</v>
      </c>
      <c r="BW152" s="28">
        <f t="shared" si="327"/>
        <v>7120</v>
      </c>
      <c r="BX152" s="28">
        <f t="shared" si="327"/>
        <v>8937</v>
      </c>
      <c r="BY152" s="28">
        <f t="shared" si="327"/>
        <v>8540</v>
      </c>
      <c r="BZ152" s="28">
        <f t="shared" si="327"/>
        <v>6569</v>
      </c>
      <c r="CA152" s="28">
        <f t="shared" si="327"/>
        <v>8770</v>
      </c>
      <c r="CB152" s="28">
        <f t="shared" si="327"/>
        <v>9073</v>
      </c>
      <c r="CC152" s="28">
        <f t="shared" si="327"/>
        <v>7754</v>
      </c>
      <c r="CD152" s="28">
        <f t="shared" si="327"/>
        <v>6470</v>
      </c>
      <c r="CE152" s="28">
        <f t="shared" si="327"/>
        <v>7072</v>
      </c>
      <c r="CF152" s="28">
        <f t="shared" si="327"/>
        <v>6527</v>
      </c>
      <c r="CG152" s="28">
        <f t="shared" si="327"/>
        <v>6721</v>
      </c>
      <c r="CH152" s="28">
        <f t="shared" si="327"/>
        <v>8371</v>
      </c>
      <c r="CI152" s="28">
        <f t="shared" si="327"/>
        <v>5142</v>
      </c>
      <c r="CJ152" s="28">
        <f t="shared" si="327"/>
        <v>6423</v>
      </c>
      <c r="CK152" s="28">
        <f t="shared" si="327"/>
        <v>6205</v>
      </c>
      <c r="CL152" s="28">
        <f t="shared" si="327"/>
        <v>6404</v>
      </c>
      <c r="CM152" s="28">
        <f t="shared" si="327"/>
        <v>6980</v>
      </c>
      <c r="CN152" s="28">
        <f t="shared" si="327"/>
        <v>7036</v>
      </c>
      <c r="CO152" s="28">
        <f t="shared" si="327"/>
        <v>6749</v>
      </c>
      <c r="CP152" s="28">
        <f t="shared" si="327"/>
        <v>5920</v>
      </c>
      <c r="CQ152" s="28">
        <f t="shared" si="327"/>
        <v>7997</v>
      </c>
      <c r="CR152" s="28">
        <f t="shared" si="327"/>
        <v>5980</v>
      </c>
      <c r="CS152" s="28">
        <f t="shared" si="327"/>
        <v>7227</v>
      </c>
      <c r="CT152" s="28">
        <f t="shared" si="327"/>
        <v>3984</v>
      </c>
      <c r="CU152" s="28">
        <f t="shared" si="327"/>
        <v>629</v>
      </c>
      <c r="CV152" s="28">
        <f t="shared" si="327"/>
        <v>4419</v>
      </c>
      <c r="CW152" s="28">
        <f t="shared" si="327"/>
        <v>5760</v>
      </c>
      <c r="CX152" s="28">
        <f t="shared" si="327"/>
        <v>7508</v>
      </c>
      <c r="CY152" s="28">
        <f t="shared" si="327"/>
        <v>7852</v>
      </c>
      <c r="CZ152" s="28">
        <f t="shared" si="327"/>
        <v>7600</v>
      </c>
      <c r="DA152" s="28">
        <f t="shared" si="327"/>
        <v>8728</v>
      </c>
      <c r="DB152" s="28">
        <f t="shared" si="327"/>
        <v>7200</v>
      </c>
      <c r="DC152" s="28">
        <f>SUM(DC126+DC121+DC116+DC112+DC107+DC102+DC97+DC92+DC87+DC83+DC131+DC136+DC141)+DC146+DC151</f>
        <v>10491</v>
      </c>
      <c r="DD152" s="28">
        <v>9234</v>
      </c>
      <c r="DE152" s="28">
        <v>9045</v>
      </c>
      <c r="DF152" s="28">
        <v>10155</v>
      </c>
      <c r="DG152" s="28">
        <v>8918</v>
      </c>
      <c r="DH152" s="28">
        <v>7704</v>
      </c>
      <c r="DI152" s="41">
        <v>10038</v>
      </c>
      <c r="DJ152" s="41">
        <v>11187</v>
      </c>
      <c r="DK152" s="41">
        <v>11760</v>
      </c>
      <c r="DL152" s="41">
        <v>12690</v>
      </c>
      <c r="DM152" s="41">
        <v>12194</v>
      </c>
      <c r="DN152" s="41">
        <v>10790</v>
      </c>
      <c r="DO152" s="41">
        <v>11186</v>
      </c>
      <c r="DP152" s="41">
        <v>10490</v>
      </c>
      <c r="DQ152" s="41">
        <v>10385</v>
      </c>
      <c r="DR152" s="41">
        <v>11294</v>
      </c>
      <c r="DS152" s="41">
        <v>10715</v>
      </c>
      <c r="DT152" s="41">
        <v>11582</v>
      </c>
      <c r="DU152" s="41">
        <v>12849</v>
      </c>
      <c r="DV152" s="41">
        <v>11836</v>
      </c>
      <c r="DW152" s="41">
        <v>12118</v>
      </c>
      <c r="DX152" s="41">
        <v>11320</v>
      </c>
      <c r="DY152" s="41">
        <v>8888</v>
      </c>
      <c r="DZ152" s="41">
        <v>9884</v>
      </c>
      <c r="EA152" s="41">
        <v>10489</v>
      </c>
      <c r="EB152" s="41">
        <v>7764</v>
      </c>
      <c r="EC152" s="41">
        <v>7306</v>
      </c>
      <c r="ED152" s="41">
        <v>9791</v>
      </c>
      <c r="EE152" s="41">
        <v>7652</v>
      </c>
      <c r="EF152" s="41">
        <v>8356</v>
      </c>
      <c r="EG152" s="41">
        <v>8198</v>
      </c>
      <c r="EH152" s="41">
        <v>8460</v>
      </c>
      <c r="EI152" s="41">
        <v>8874</v>
      </c>
      <c r="EJ152" s="41">
        <v>8523</v>
      </c>
      <c r="EK152" s="41">
        <v>7186</v>
      </c>
      <c r="EL152" s="41">
        <v>6722</v>
      </c>
      <c r="EM152" s="41">
        <v>7391</v>
      </c>
      <c r="EN152" s="41">
        <v>7185</v>
      </c>
      <c r="EO152" s="41">
        <v>8487</v>
      </c>
      <c r="EP152" s="41">
        <v>10794</v>
      </c>
      <c r="EQ152" s="41">
        <v>7459</v>
      </c>
      <c r="ER152" s="41">
        <v>8809</v>
      </c>
      <c r="ES152" s="41">
        <v>8367</v>
      </c>
      <c r="ET152" s="41">
        <v>8423</v>
      </c>
      <c r="EU152" s="41">
        <v>8599</v>
      </c>
      <c r="EV152" s="41">
        <v>7488</v>
      </c>
      <c r="EW152" s="41">
        <v>7097</v>
      </c>
      <c r="EX152" s="41">
        <v>6963</v>
      </c>
      <c r="EY152" s="41">
        <v>8074</v>
      </c>
      <c r="EZ152" s="41">
        <v>7847</v>
      </c>
      <c r="FA152" s="41">
        <v>8954</v>
      </c>
      <c r="FB152" s="41">
        <v>10733</v>
      </c>
      <c r="FC152" s="41">
        <v>7441</v>
      </c>
      <c r="FD152" s="41">
        <v>8930</v>
      </c>
      <c r="FE152" s="41">
        <v>8936</v>
      </c>
      <c r="FF152" s="41">
        <v>8477</v>
      </c>
      <c r="FG152" s="41">
        <v>8877</v>
      </c>
      <c r="FH152" s="41">
        <v>8237</v>
      </c>
      <c r="FI152" s="41">
        <v>7490</v>
      </c>
      <c r="FJ152" s="41">
        <v>9269</v>
      </c>
      <c r="FK152" s="41">
        <v>9815</v>
      </c>
      <c r="FL152" s="23"/>
      <c r="FM152" s="23"/>
      <c r="FN152" s="23"/>
      <c r="FR152" s="28">
        <f t="shared" si="284"/>
        <v>15453</v>
      </c>
      <c r="FS152" s="28">
        <f t="shared" si="285"/>
        <v>16973</v>
      </c>
      <c r="FT152" s="28">
        <f t="shared" si="286"/>
        <v>15142</v>
      </c>
      <c r="FU152" s="28">
        <f t="shared" si="287"/>
        <v>15579</v>
      </c>
      <c r="FV152" s="28">
        <f t="shared" si="288"/>
        <v>14472</v>
      </c>
      <c r="FW152" s="28">
        <f t="shared" si="289"/>
        <v>16609</v>
      </c>
      <c r="FX152" s="28">
        <f t="shared" si="290"/>
        <v>15436</v>
      </c>
      <c r="FY152" s="28">
        <f t="shared" si="291"/>
        <v>16160</v>
      </c>
      <c r="FZ152" s="28">
        <f t="shared" si="292"/>
        <v>17609</v>
      </c>
      <c r="GA152" s="28">
        <f t="shared" si="293"/>
        <v>18309</v>
      </c>
      <c r="GB152" s="28">
        <f t="shared" si="294"/>
        <v>19750</v>
      </c>
      <c r="GC152" s="28">
        <f t="shared" si="295"/>
        <v>19708</v>
      </c>
      <c r="GD152" s="28">
        <f t="shared" si="296"/>
        <v>19905</v>
      </c>
      <c r="GE152" s="28">
        <f t="shared" si="297"/>
        <v>19610</v>
      </c>
      <c r="GF152" s="28">
        <f t="shared" si="298"/>
        <v>19293</v>
      </c>
      <c r="GG152" s="28">
        <f t="shared" si="299"/>
        <v>18677</v>
      </c>
      <c r="GH152" s="28">
        <f t="shared" si="300"/>
        <v>18483</v>
      </c>
      <c r="GI152" s="28">
        <f t="shared" si="301"/>
        <v>20785</v>
      </c>
      <c r="GJ152" s="28">
        <f t="shared" si="302"/>
        <v>19658</v>
      </c>
      <c r="GK152" s="28">
        <f t="shared" si="303"/>
        <v>19425</v>
      </c>
      <c r="GL152" s="28">
        <f t="shared" si="304"/>
        <v>19259</v>
      </c>
      <c r="GM152" s="28">
        <f t="shared" si="305"/>
        <v>21358</v>
      </c>
      <c r="GN152" s="28">
        <f t="shared" si="306"/>
        <v>21974</v>
      </c>
      <c r="GO152" s="28">
        <f t="shared" si="307"/>
        <v>22804</v>
      </c>
      <c r="GP152" s="28">
        <f t="shared" si="308"/>
        <v>24597</v>
      </c>
      <c r="GQ152" s="28">
        <f t="shared" si="309"/>
        <v>24412</v>
      </c>
      <c r="GR152" s="28">
        <f t="shared" si="310"/>
        <v>21296</v>
      </c>
      <c r="GS152" s="28">
        <f t="shared" si="311"/>
        <v>21619</v>
      </c>
      <c r="GT152" s="28">
        <f t="shared" si="312"/>
        <v>17770</v>
      </c>
      <c r="GU152" s="28">
        <f t="shared" si="313"/>
        <v>20420</v>
      </c>
      <c r="GV152" s="28">
        <f t="shared" si="314"/>
        <v>20666</v>
      </c>
      <c r="GW152" s="28">
        <f t="shared" si="315"/>
        <v>17191</v>
      </c>
      <c r="GX152" s="28">
        <f t="shared" si="316"/>
        <v>10808</v>
      </c>
      <c r="GY152" s="28">
        <f t="shared" si="317"/>
        <v>22960</v>
      </c>
      <c r="GZ152" s="28">
        <f t="shared" si="247"/>
        <v>26419</v>
      </c>
      <c r="HA152" s="28">
        <f t="shared" si="248"/>
        <v>28434</v>
      </c>
      <c r="HB152" s="28">
        <f t="shared" si="249"/>
        <v>16622</v>
      </c>
      <c r="HC152" s="28">
        <f t="shared" si="250"/>
        <v>35637</v>
      </c>
      <c r="HD152" s="28">
        <f t="shared" si="251"/>
        <v>34170</v>
      </c>
      <c r="HE152" s="28">
        <f t="shared" si="252"/>
        <v>32169</v>
      </c>
      <c r="HF152" s="28">
        <f t="shared" si="253"/>
        <v>35146</v>
      </c>
      <c r="HG152" s="28">
        <f t="shared" si="254"/>
        <v>35274</v>
      </c>
      <c r="HH152" s="28">
        <f t="shared" si="255"/>
        <v>29261</v>
      </c>
      <c r="HI152" s="28">
        <f t="shared" si="256"/>
        <v>24861</v>
      </c>
      <c r="HJ152" s="28">
        <f t="shared" si="257"/>
        <v>24206</v>
      </c>
      <c r="HK152" s="28">
        <f t="shared" si="258"/>
        <v>25857</v>
      </c>
      <c r="HL152" s="28">
        <f t="shared" si="259"/>
        <v>21299</v>
      </c>
      <c r="HM152" s="28">
        <f t="shared" si="260"/>
        <v>26466</v>
      </c>
      <c r="HN152" s="28">
        <f t="shared" si="278"/>
        <v>24206</v>
      </c>
      <c r="HO152" s="28">
        <f t="shared" si="279"/>
        <v>25857</v>
      </c>
      <c r="HP152" s="28">
        <f t="shared" si="280"/>
        <v>21299</v>
      </c>
      <c r="HQ152" s="28">
        <f t="shared" si="281"/>
        <v>26466</v>
      </c>
      <c r="HR152" s="28">
        <f t="shared" si="283"/>
        <v>24635</v>
      </c>
      <c r="HS152" s="28">
        <f t="shared" si="277"/>
        <v>24510</v>
      </c>
      <c r="HT152" s="28">
        <f t="shared" si="282"/>
        <v>22134</v>
      </c>
      <c r="HU152" s="28">
        <f t="shared" si="272"/>
        <v>27534</v>
      </c>
      <c r="HV152" s="28">
        <f t="shared" si="273"/>
        <v>25307</v>
      </c>
      <c r="HW152" s="28">
        <f t="shared" si="274"/>
        <v>25591</v>
      </c>
      <c r="HX152" s="28">
        <f t="shared" si="275"/>
        <v>26574</v>
      </c>
      <c r="IB152" s="28">
        <f t="shared" si="318"/>
        <v>63147</v>
      </c>
      <c r="IC152" s="28">
        <f t="shared" si="319"/>
        <v>62677</v>
      </c>
      <c r="ID152" s="28">
        <f t="shared" si="320"/>
        <v>75376</v>
      </c>
      <c r="IE152" s="28">
        <f t="shared" si="321"/>
        <v>77485</v>
      </c>
      <c r="IF152" s="28">
        <f t="shared" si="322"/>
        <v>78351</v>
      </c>
      <c r="IG152" s="28">
        <f t="shared" si="323"/>
        <v>85395</v>
      </c>
      <c r="IH152" s="28">
        <f t="shared" si="324"/>
        <v>91924</v>
      </c>
      <c r="II152" s="28">
        <f t="shared" si="325"/>
        <v>76047</v>
      </c>
      <c r="IJ152" s="28">
        <f t="shared" si="261"/>
        <v>88621</v>
      </c>
      <c r="IK152" s="28">
        <f t="shared" si="262"/>
        <v>128636</v>
      </c>
      <c r="IL152" s="28">
        <f t="shared" si="263"/>
        <v>124542</v>
      </c>
      <c r="IM152" s="28">
        <f t="shared" si="264"/>
        <v>97828</v>
      </c>
      <c r="IN152" s="28">
        <f t="shared" si="276"/>
        <v>98813</v>
      </c>
    </row>
    <row r="153" spans="1:249" x14ac:dyDescent="0.3">
      <c r="IB153" s="31">
        <f>IB152/10^6</f>
        <v>6.3146999999999995E-2</v>
      </c>
      <c r="IC153" s="31">
        <f t="shared" ref="IC153:IN153" si="328">IC152/10^6</f>
        <v>6.2676999999999997E-2</v>
      </c>
      <c r="ID153" s="31">
        <f t="shared" si="328"/>
        <v>7.5375999999999999E-2</v>
      </c>
      <c r="IE153" s="31">
        <f t="shared" si="328"/>
        <v>7.7484999999999998E-2</v>
      </c>
      <c r="IF153" s="31">
        <f t="shared" si="328"/>
        <v>7.8351000000000004E-2</v>
      </c>
      <c r="IG153" s="31">
        <f t="shared" si="328"/>
        <v>8.5394999999999999E-2</v>
      </c>
      <c r="IH153" s="31">
        <f t="shared" si="328"/>
        <v>9.1924000000000006E-2</v>
      </c>
      <c r="II153" s="31">
        <f t="shared" si="328"/>
        <v>7.6047000000000003E-2</v>
      </c>
      <c r="IJ153" s="31">
        <f t="shared" si="328"/>
        <v>8.8621000000000005E-2</v>
      </c>
      <c r="IK153" s="31">
        <f t="shared" si="328"/>
        <v>0.128636</v>
      </c>
      <c r="IL153" s="31">
        <f t="shared" si="328"/>
        <v>0.124542</v>
      </c>
      <c r="IM153" s="31">
        <f t="shared" si="328"/>
        <v>9.7827999999999998E-2</v>
      </c>
      <c r="IN153" s="31">
        <f t="shared" si="328"/>
        <v>9.8812999999999998E-2</v>
      </c>
    </row>
    <row r="156" spans="1:249" x14ac:dyDescent="0.3">
      <c r="HY156" s="42"/>
      <c r="HZ156" s="42"/>
      <c r="IA156" s="42"/>
      <c r="IB156" s="42">
        <v>41275</v>
      </c>
      <c r="IC156" s="42">
        <f t="shared" ref="IC156:IN156" si="329">+IB157+1</f>
        <v>41640</v>
      </c>
      <c r="ID156" s="42">
        <f t="shared" si="329"/>
        <v>42005</v>
      </c>
      <c r="IE156" s="42">
        <f t="shared" si="329"/>
        <v>42370</v>
      </c>
      <c r="IF156" s="42">
        <f t="shared" si="329"/>
        <v>42736</v>
      </c>
      <c r="IG156" s="42">
        <f t="shared" si="329"/>
        <v>43101</v>
      </c>
      <c r="IH156" s="42">
        <f t="shared" si="329"/>
        <v>43466</v>
      </c>
      <c r="II156" s="42">
        <f t="shared" si="329"/>
        <v>43831</v>
      </c>
      <c r="IJ156" s="42">
        <f t="shared" si="329"/>
        <v>44197</v>
      </c>
      <c r="IK156" s="42">
        <f t="shared" si="329"/>
        <v>44562</v>
      </c>
      <c r="IL156" s="42">
        <f t="shared" si="329"/>
        <v>44927</v>
      </c>
      <c r="IM156" s="42">
        <f t="shared" si="329"/>
        <v>45292</v>
      </c>
      <c r="IN156" s="42">
        <f t="shared" si="329"/>
        <v>45536</v>
      </c>
      <c r="IO156" s="42">
        <f>+EOMONTH(IM156,-13)+1</f>
        <v>44927</v>
      </c>
    </row>
    <row r="157" spans="1:249" x14ac:dyDescent="0.3">
      <c r="HY157" s="42"/>
      <c r="HZ157" s="42"/>
      <c r="IA157" s="42"/>
      <c r="IB157" s="42">
        <f t="shared" ref="IB157:IL157" si="330">+EOMONTH(IB156,11)</f>
        <v>41639</v>
      </c>
      <c r="IC157" s="42">
        <f t="shared" si="330"/>
        <v>42004</v>
      </c>
      <c r="ID157" s="42">
        <f t="shared" si="330"/>
        <v>42369</v>
      </c>
      <c r="IE157" s="42">
        <f t="shared" si="330"/>
        <v>42735</v>
      </c>
      <c r="IF157" s="42">
        <f t="shared" si="330"/>
        <v>43100</v>
      </c>
      <c r="IG157" s="42">
        <f t="shared" si="330"/>
        <v>43465</v>
      </c>
      <c r="IH157" s="42">
        <f t="shared" si="330"/>
        <v>43830</v>
      </c>
      <c r="II157" s="42">
        <f t="shared" si="330"/>
        <v>44196</v>
      </c>
      <c r="IJ157" s="42">
        <f t="shared" si="330"/>
        <v>44561</v>
      </c>
      <c r="IK157" s="42">
        <f t="shared" si="330"/>
        <v>44926</v>
      </c>
      <c r="IL157" s="42">
        <f t="shared" si="330"/>
        <v>45291</v>
      </c>
      <c r="IM157" s="42">
        <f>+EOMONTH(IM156,7)</f>
        <v>45535</v>
      </c>
      <c r="IN157" s="42">
        <f>+EOMONTH(IN156,7)</f>
        <v>45777</v>
      </c>
      <c r="IO157" s="42">
        <f>+EOMONTH(IO156,7)</f>
        <v>45169</v>
      </c>
    </row>
    <row r="158" spans="1:249" x14ac:dyDescent="0.3">
      <c r="HY158" s="43"/>
      <c r="HZ158" s="43"/>
      <c r="IA158" s="43"/>
      <c r="IB158" s="43">
        <f t="shared" ref="IB158:IO158" si="331">+SUMIFS($A$76:$FR$76,$A$2:$FR$2,"&gt;="&amp;IB$156,$A$2:$FR$2,"&lt;="&amp;IB$157)+SUMIFS($A$152:$FR$152,$A$2:$FR$2,"&gt;="&amp;IB$156,$A$2:$FR$2,"&lt;="&amp;IB$157)</f>
        <v>681407</v>
      </c>
      <c r="IC158" s="43">
        <f t="shared" si="331"/>
        <v>664770</v>
      </c>
      <c r="ID158" s="43">
        <f t="shared" si="331"/>
        <v>564585</v>
      </c>
      <c r="IE158" s="43">
        <f t="shared" si="331"/>
        <v>646669</v>
      </c>
      <c r="IF158" s="43">
        <f t="shared" si="331"/>
        <v>741320</v>
      </c>
      <c r="IG158" s="43">
        <f t="shared" si="331"/>
        <v>888529</v>
      </c>
      <c r="IH158" s="43">
        <f t="shared" si="331"/>
        <v>804000</v>
      </c>
      <c r="II158" s="43">
        <f t="shared" si="331"/>
        <v>884032</v>
      </c>
      <c r="IJ158" s="43">
        <f t="shared" si="331"/>
        <v>1028625</v>
      </c>
      <c r="IK158" s="43">
        <f t="shared" si="331"/>
        <v>1043911</v>
      </c>
      <c r="IL158" s="43">
        <f t="shared" si="331"/>
        <v>1011697</v>
      </c>
      <c r="IM158" s="43">
        <f t="shared" si="331"/>
        <v>610768</v>
      </c>
      <c r="IN158" s="43">
        <f t="shared" si="331"/>
        <v>715612</v>
      </c>
      <c r="IO158" s="43">
        <f t="shared" si="331"/>
        <v>649708</v>
      </c>
    </row>
  </sheetData>
  <conditionalFormatting sqref="IB77:IN77">
    <cfRule type="top10" dxfId="3" priority="3" bottom="1" rank="1"/>
    <cfRule type="top10" dxfId="2" priority="4" rank="1"/>
  </conditionalFormatting>
  <conditionalFormatting sqref="IB153:IN153">
    <cfRule type="top10" dxfId="1" priority="1" bottom="1" rank="1"/>
    <cfRule type="top10" dxfId="0" priority="2" rank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98F8-A596-4104-88F8-AD269D36B972}">
  <dimension ref="A1:CL232"/>
  <sheetViews>
    <sheetView showGridLines="0" zoomScaleNormal="100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A3" sqref="AA3"/>
    </sheetView>
  </sheetViews>
  <sheetFormatPr defaultColWidth="9.109375" defaultRowHeight="14.4" outlineLevelRow="1" outlineLevelCol="1" x14ac:dyDescent="0.3"/>
  <cols>
    <col min="1" max="1" width="33.44140625" style="271" bestFit="1" customWidth="1"/>
    <col min="2" max="14" width="10.6640625" style="288" customWidth="1" outlineLevel="1"/>
    <col min="15" max="17" width="9.109375" style="271" customWidth="1" outlineLevel="1"/>
    <col min="18" max="22" width="10.6640625" style="288" customWidth="1" outlineLevel="1"/>
    <col min="23" max="24" width="9.109375" style="271" customWidth="1" outlineLevel="1"/>
    <col min="25" max="26" width="10.6640625" style="288" customWidth="1" outlineLevel="1"/>
    <col min="27" max="28" width="9.109375" style="271" customWidth="1" outlineLevel="1"/>
    <col min="29" max="29" width="10.6640625" style="288" customWidth="1" outlineLevel="1"/>
    <col min="30" max="31" width="9.109375" style="271"/>
    <col min="32" max="43" width="9.109375" style="271" customWidth="1" outlineLevel="1"/>
    <col min="44" max="46" width="9.109375" style="271"/>
    <col min="47" max="47" width="30.5546875" style="271" hidden="1" customWidth="1" outlineLevel="1"/>
    <col min="48" max="59" width="9.109375" style="271" hidden="1" customWidth="1" outlineLevel="1"/>
    <col min="60" max="60" width="9.109375" style="271" collapsed="1"/>
    <col min="61" max="62" width="9.109375" style="271"/>
    <col min="63" max="70" width="9.109375" style="271" customWidth="1" outlineLevel="1"/>
    <col min="71" max="73" width="10.6640625" style="288" customWidth="1" outlineLevel="1"/>
    <col min="74" max="74" width="9.109375" style="271" customWidth="1" outlineLevel="1"/>
    <col min="75" max="77" width="10.6640625" style="288" customWidth="1" outlineLevel="1"/>
    <col min="78" max="78" width="9.109375" style="271" customWidth="1" outlineLevel="1"/>
    <col min="79" max="81" width="10.6640625" style="288" customWidth="1" outlineLevel="1"/>
    <col min="82" max="82" width="9.109375" style="271" customWidth="1" outlineLevel="1"/>
    <col min="83" max="85" width="10.6640625" style="288" customWidth="1" outlineLevel="1"/>
    <col min="86" max="86" width="9.109375" style="271" customWidth="1" outlineLevel="1"/>
    <col min="87" max="89" width="10.6640625" style="288" customWidth="1" outlineLevel="1"/>
    <col min="90" max="16384" width="9.109375" style="271"/>
  </cols>
  <sheetData>
    <row r="1" spans="1:90" x14ac:dyDescent="0.3">
      <c r="A1" s="268" t="s">
        <v>195</v>
      </c>
      <c r="B1" s="269" t="s">
        <v>33</v>
      </c>
      <c r="C1" s="269" t="s">
        <v>34</v>
      </c>
      <c r="D1" s="269" t="s">
        <v>35</v>
      </c>
      <c r="E1" s="269" t="s">
        <v>36</v>
      </c>
      <c r="F1" s="269" t="s">
        <v>37</v>
      </c>
      <c r="G1" s="269" t="s">
        <v>38</v>
      </c>
      <c r="H1" s="269" t="s">
        <v>39</v>
      </c>
      <c r="I1" s="269" t="s">
        <v>40</v>
      </c>
      <c r="J1" s="269" t="s">
        <v>41</v>
      </c>
      <c r="K1" s="269" t="s">
        <v>42</v>
      </c>
      <c r="L1" s="269" t="s">
        <v>43</v>
      </c>
      <c r="M1" s="269" t="s">
        <v>44</v>
      </c>
      <c r="N1" s="269" t="s">
        <v>45</v>
      </c>
      <c r="O1" s="269" t="s">
        <v>46</v>
      </c>
      <c r="P1" s="269" t="s">
        <v>47</v>
      </c>
      <c r="Q1" s="269" t="s">
        <v>48</v>
      </c>
      <c r="R1" s="269" t="s">
        <v>49</v>
      </c>
      <c r="S1" s="269" t="s">
        <v>50</v>
      </c>
      <c r="T1" s="269" t="s">
        <v>51</v>
      </c>
      <c r="U1" s="269" t="s">
        <v>52</v>
      </c>
      <c r="V1" s="269" t="s">
        <v>53</v>
      </c>
      <c r="W1" s="269" t="s">
        <v>54</v>
      </c>
      <c r="X1" s="269" t="s">
        <v>55</v>
      </c>
      <c r="Y1" s="269" t="s">
        <v>56</v>
      </c>
      <c r="Z1" s="269" t="s">
        <v>57</v>
      </c>
      <c r="AA1" s="269" t="s">
        <v>58</v>
      </c>
      <c r="AB1" s="269" t="s">
        <v>59</v>
      </c>
      <c r="AC1" s="269" t="s">
        <v>196</v>
      </c>
      <c r="AD1" s="270" t="s">
        <v>197</v>
      </c>
      <c r="AF1" s="269" t="s">
        <v>61</v>
      </c>
      <c r="AG1" s="269" t="s">
        <v>62</v>
      </c>
      <c r="AH1" s="269" t="s">
        <v>63</v>
      </c>
      <c r="AI1" s="269" t="s">
        <v>64</v>
      </c>
      <c r="AJ1" s="269" t="s">
        <v>65</v>
      </c>
      <c r="AK1" s="269" t="s">
        <v>66</v>
      </c>
      <c r="AL1" s="269" t="s">
        <v>67</v>
      </c>
      <c r="AM1" s="269" t="s">
        <v>68</v>
      </c>
      <c r="AN1" s="269" t="s">
        <v>69</v>
      </c>
      <c r="AO1" s="269" t="s">
        <v>70</v>
      </c>
      <c r="AP1" s="269" t="s">
        <v>71</v>
      </c>
      <c r="AQ1" s="269" t="s">
        <v>72</v>
      </c>
      <c r="AR1" s="270" t="s">
        <v>198</v>
      </c>
      <c r="AU1" s="268" t="str">
        <f t="shared" ref="AU1:AU15" si="0">A1</f>
        <v>Domestic Sales</v>
      </c>
      <c r="AV1" s="272" t="str">
        <f t="shared" ref="AV1:BG1" si="1">AF1</f>
        <v>FY14</v>
      </c>
      <c r="AW1" s="272" t="str">
        <f t="shared" si="1"/>
        <v>FY15</v>
      </c>
      <c r="AX1" s="272" t="str">
        <f t="shared" si="1"/>
        <v>FY16</v>
      </c>
      <c r="AY1" s="272" t="str">
        <f t="shared" si="1"/>
        <v>FY17</v>
      </c>
      <c r="AZ1" s="272" t="str">
        <f t="shared" si="1"/>
        <v>FY18</v>
      </c>
      <c r="BA1" s="272" t="str">
        <f t="shared" si="1"/>
        <v>FY19</v>
      </c>
      <c r="BB1" s="272" t="str">
        <f t="shared" si="1"/>
        <v>FY20</v>
      </c>
      <c r="BC1" s="272" t="str">
        <f t="shared" si="1"/>
        <v>FY21</v>
      </c>
      <c r="BD1" s="272" t="str">
        <f t="shared" si="1"/>
        <v>FY22</v>
      </c>
      <c r="BE1" s="272" t="str">
        <f t="shared" si="1"/>
        <v>FY23</v>
      </c>
      <c r="BF1" s="272" t="str">
        <f t="shared" si="1"/>
        <v>FY24</v>
      </c>
      <c r="BG1" s="272" t="str">
        <f t="shared" si="1"/>
        <v>FY25</v>
      </c>
      <c r="BH1" s="272" t="s">
        <v>199</v>
      </c>
      <c r="BK1" s="269" t="s">
        <v>200</v>
      </c>
      <c r="BL1" s="269" t="s">
        <v>201</v>
      </c>
      <c r="BM1" s="269" t="s">
        <v>67</v>
      </c>
      <c r="BO1" s="269" t="s">
        <v>202</v>
      </c>
      <c r="BP1" s="269" t="s">
        <v>203</v>
      </c>
      <c r="BQ1" s="269" t="s">
        <v>68</v>
      </c>
      <c r="BS1" s="269" t="s">
        <v>204</v>
      </c>
      <c r="BT1" s="269" t="s">
        <v>205</v>
      </c>
      <c r="BU1" s="269" t="s">
        <v>69</v>
      </c>
      <c r="BW1" s="269" t="s">
        <v>206</v>
      </c>
      <c r="BX1" s="269" t="s">
        <v>207</v>
      </c>
      <c r="BY1" s="269" t="s">
        <v>70</v>
      </c>
      <c r="CA1" s="269" t="s">
        <v>208</v>
      </c>
      <c r="CB1" s="269" t="s">
        <v>209</v>
      </c>
      <c r="CC1" s="269" t="s">
        <v>71</v>
      </c>
      <c r="CE1" s="269" t="s">
        <v>210</v>
      </c>
      <c r="CF1" s="269" t="s">
        <v>211</v>
      </c>
      <c r="CG1" s="269" t="s">
        <v>72</v>
      </c>
      <c r="CI1" s="269" t="s">
        <v>212</v>
      </c>
      <c r="CJ1" s="269" t="s">
        <v>213</v>
      </c>
      <c r="CK1" s="269" t="s">
        <v>214</v>
      </c>
      <c r="CL1" s="270" t="s">
        <v>215</v>
      </c>
    </row>
    <row r="2" spans="1:90" x14ac:dyDescent="0.3">
      <c r="A2" s="273" t="s">
        <v>216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74"/>
      <c r="AB2" s="274"/>
      <c r="AC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5"/>
      <c r="AU2" s="273" t="str">
        <f t="shared" si="0"/>
        <v>M&amp;HCV Passenger</v>
      </c>
      <c r="AV2" s="276"/>
      <c r="AW2" s="276"/>
      <c r="AX2" s="276"/>
      <c r="AY2" s="276"/>
      <c r="AZ2" s="276"/>
      <c r="BA2" s="276"/>
      <c r="BB2" s="276"/>
      <c r="BC2" s="276"/>
      <c r="BD2" s="276"/>
      <c r="BE2" s="276"/>
      <c r="BF2" s="276"/>
      <c r="BG2" s="276"/>
      <c r="BK2" s="274"/>
      <c r="BL2" s="274"/>
      <c r="BM2" s="274"/>
      <c r="BO2" s="274"/>
      <c r="BP2" s="274"/>
      <c r="BQ2" s="274"/>
      <c r="BS2" s="274"/>
      <c r="BT2" s="274"/>
      <c r="BU2" s="274"/>
      <c r="BW2" s="274"/>
      <c r="BX2" s="274"/>
      <c r="BY2" s="274"/>
      <c r="CA2" s="274"/>
      <c r="CB2" s="274"/>
      <c r="CC2" s="274"/>
      <c r="CE2" s="274"/>
      <c r="CF2" s="274"/>
      <c r="CG2" s="274"/>
      <c r="CI2" s="274"/>
      <c r="CJ2" s="274"/>
      <c r="CK2" s="274"/>
    </row>
    <row r="3" spans="1:90" outlineLevel="1" x14ac:dyDescent="0.3">
      <c r="A3" s="277" t="s">
        <v>163</v>
      </c>
      <c r="B3" s="278">
        <v>4238</v>
      </c>
      <c r="C3" s="278">
        <f t="shared" ref="C3:C8" si="2">BK3-B3</f>
        <v>3503</v>
      </c>
      <c r="D3" s="278">
        <f t="shared" ref="D3:E8" si="3">BL3-BK3</f>
        <v>5664</v>
      </c>
      <c r="E3" s="278">
        <f t="shared" si="3"/>
        <v>4736</v>
      </c>
      <c r="F3" s="278">
        <v>28</v>
      </c>
      <c r="G3" s="278">
        <f t="shared" ref="G3:G8" si="4">BO3-F3</f>
        <v>266</v>
      </c>
      <c r="H3" s="278">
        <f t="shared" ref="H3:I8" si="5">BP3-BO3</f>
        <v>548</v>
      </c>
      <c r="I3" s="278">
        <f t="shared" si="5"/>
        <v>1953</v>
      </c>
      <c r="J3" s="278">
        <v>513</v>
      </c>
      <c r="K3" s="278">
        <f t="shared" ref="K3:K8" si="6">BS3-J3</f>
        <v>485</v>
      </c>
      <c r="L3" s="278">
        <f t="shared" ref="L3:M8" si="7">BT3-BS3</f>
        <v>1374</v>
      </c>
      <c r="M3" s="278">
        <f t="shared" si="7"/>
        <v>1417</v>
      </c>
      <c r="N3" s="278">
        <v>1593</v>
      </c>
      <c r="O3" s="278">
        <f t="shared" ref="O3:O8" si="8">BW3-N3</f>
        <v>2200</v>
      </c>
      <c r="P3" s="278">
        <f t="shared" ref="P3:Q8" si="9">BX3-BW3</f>
        <v>2993</v>
      </c>
      <c r="Q3" s="278">
        <f t="shared" si="9"/>
        <v>3981</v>
      </c>
      <c r="R3" s="278">
        <v>3077</v>
      </c>
      <c r="S3" s="278">
        <f t="shared" ref="S3:S8" si="10">CA3-R3</f>
        <v>4295</v>
      </c>
      <c r="T3" s="278">
        <f t="shared" ref="T3:U8" si="11">CB3-CA3</f>
        <v>3840</v>
      </c>
      <c r="U3" s="278">
        <f t="shared" si="11"/>
        <v>6874</v>
      </c>
      <c r="V3" s="278">
        <v>5612</v>
      </c>
      <c r="W3" s="278">
        <f t="shared" ref="W3:W8" si="12">CE3-V3</f>
        <v>4632</v>
      </c>
      <c r="X3" s="278">
        <f t="shared" ref="X3:Y8" si="13">CF3-CE3</f>
        <v>4042</v>
      </c>
      <c r="Y3" s="278">
        <f t="shared" si="13"/>
        <v>6967</v>
      </c>
      <c r="Z3" s="278">
        <v>5726</v>
      </c>
      <c r="AA3" s="278">
        <f t="shared" ref="AA3:AA9" si="14">CI3-Z3</f>
        <v>4739</v>
      </c>
      <c r="AB3" s="278">
        <f t="shared" ref="AB3:AC8" si="15">CJ3-CI3</f>
        <v>5467</v>
      </c>
      <c r="AC3" s="278">
        <f t="shared" si="15"/>
        <v>-15932</v>
      </c>
      <c r="AF3" s="278">
        <v>14951</v>
      </c>
      <c r="AG3" s="278">
        <v>13151</v>
      </c>
      <c r="AH3" s="278">
        <v>19586</v>
      </c>
      <c r="AI3" s="278">
        <v>17725</v>
      </c>
      <c r="AJ3" s="278">
        <v>13708</v>
      </c>
      <c r="AK3" s="278">
        <v>16323</v>
      </c>
      <c r="AL3" s="278">
        <f>SUM(B3:E3)</f>
        <v>18141</v>
      </c>
      <c r="AM3" s="278">
        <f>SUM(F3:I3)</f>
        <v>2795</v>
      </c>
      <c r="AN3" s="278">
        <f>SUM(J3:M3)</f>
        <v>3789</v>
      </c>
      <c r="AO3" s="278">
        <f>SUM(N3:Q3)</f>
        <v>10767</v>
      </c>
      <c r="AP3" s="278">
        <f>SUM(R3:U3)</f>
        <v>18086</v>
      </c>
      <c r="AQ3" s="278">
        <f t="shared" ref="AQ3:AQ8" si="16">SUM(V3:Y3)</f>
        <v>21253</v>
      </c>
      <c r="AR3" s="279"/>
      <c r="AU3" s="280" t="str">
        <f t="shared" si="0"/>
        <v>Ashok Leyland Ltd</v>
      </c>
      <c r="AV3" s="281">
        <f t="shared" ref="AV3:BG15" si="17">IFERROR(AF3/AF$15,"")</f>
        <v>0.38624092588286962</v>
      </c>
      <c r="AW3" s="281">
        <f t="shared" si="17"/>
        <v>0.35700518500420775</v>
      </c>
      <c r="AX3" s="281">
        <f t="shared" si="17"/>
        <v>0.44605889453187275</v>
      </c>
      <c r="AY3" s="281">
        <f t="shared" si="17"/>
        <v>0.37503702763319369</v>
      </c>
      <c r="AZ3" s="281">
        <f t="shared" si="17"/>
        <v>0.379544258936235</v>
      </c>
      <c r="BA3" s="281">
        <f t="shared" si="17"/>
        <v>0.41207209936382916</v>
      </c>
      <c r="BB3" s="281">
        <f t="shared" si="17"/>
        <v>0.45334366253498598</v>
      </c>
      <c r="BC3" s="281">
        <f t="shared" si="17"/>
        <v>0.38172630428844578</v>
      </c>
      <c r="BD3" s="281">
        <f t="shared" si="17"/>
        <v>0.32099288376821417</v>
      </c>
      <c r="BE3" s="281">
        <f t="shared" si="17"/>
        <v>0.28031762561832857</v>
      </c>
      <c r="BF3" s="281">
        <f t="shared" si="17"/>
        <v>0.34037187594098162</v>
      </c>
      <c r="BG3" s="281">
        <f t="shared" si="17"/>
        <v>0.32042274755759259</v>
      </c>
      <c r="BK3" s="278">
        <v>7741</v>
      </c>
      <c r="BL3" s="278">
        <v>13405</v>
      </c>
      <c r="BM3" s="278">
        <v>18141</v>
      </c>
      <c r="BO3" s="278">
        <v>294</v>
      </c>
      <c r="BP3" s="278">
        <v>842</v>
      </c>
      <c r="BQ3" s="278">
        <v>2795</v>
      </c>
      <c r="BS3" s="278">
        <v>998</v>
      </c>
      <c r="BT3" s="278">
        <v>2372</v>
      </c>
      <c r="BU3" s="278">
        <v>3789</v>
      </c>
      <c r="BW3" s="278">
        <v>3793</v>
      </c>
      <c r="BX3" s="278">
        <v>6786</v>
      </c>
      <c r="BY3" s="278">
        <v>10767</v>
      </c>
      <c r="CA3" s="278">
        <v>7372</v>
      </c>
      <c r="CB3" s="278">
        <v>11212</v>
      </c>
      <c r="CC3" s="278">
        <v>18086</v>
      </c>
      <c r="CE3" s="278">
        <v>10244</v>
      </c>
      <c r="CF3" s="278">
        <v>14286</v>
      </c>
      <c r="CG3" s="278">
        <v>21253</v>
      </c>
      <c r="CI3" s="278">
        <v>10465</v>
      </c>
      <c r="CJ3" s="278">
        <v>15932</v>
      </c>
      <c r="CK3" s="278"/>
    </row>
    <row r="4" spans="1:90" outlineLevel="1" x14ac:dyDescent="0.3">
      <c r="A4" s="277" t="s">
        <v>165</v>
      </c>
      <c r="B4" s="278"/>
      <c r="C4" s="278">
        <f t="shared" si="2"/>
        <v>0</v>
      </c>
      <c r="D4" s="278">
        <f t="shared" si="3"/>
        <v>0</v>
      </c>
      <c r="E4" s="278">
        <f t="shared" si="3"/>
        <v>0</v>
      </c>
      <c r="F4" s="278"/>
      <c r="G4" s="278">
        <f t="shared" si="4"/>
        <v>0</v>
      </c>
      <c r="H4" s="278">
        <f t="shared" si="5"/>
        <v>0</v>
      </c>
      <c r="I4" s="278">
        <f t="shared" si="5"/>
        <v>0</v>
      </c>
      <c r="J4" s="278">
        <v>0</v>
      </c>
      <c r="K4" s="278">
        <f t="shared" si="6"/>
        <v>1</v>
      </c>
      <c r="L4" s="278">
        <f t="shared" si="7"/>
        <v>0</v>
      </c>
      <c r="M4" s="278">
        <f t="shared" si="7"/>
        <v>11</v>
      </c>
      <c r="N4" s="278">
        <v>37</v>
      </c>
      <c r="O4" s="278">
        <f t="shared" si="8"/>
        <v>0</v>
      </c>
      <c r="P4" s="278">
        <f t="shared" si="9"/>
        <v>0</v>
      </c>
      <c r="Q4" s="278">
        <f t="shared" si="9"/>
        <v>0</v>
      </c>
      <c r="R4" s="278"/>
      <c r="S4" s="278">
        <f t="shared" si="10"/>
        <v>0</v>
      </c>
      <c r="T4" s="278">
        <f t="shared" si="11"/>
        <v>0</v>
      </c>
      <c r="U4" s="278">
        <f t="shared" si="11"/>
        <v>0</v>
      </c>
      <c r="V4" s="278"/>
      <c r="W4" s="278">
        <f t="shared" si="12"/>
        <v>0</v>
      </c>
      <c r="X4" s="278">
        <f t="shared" si="13"/>
        <v>0</v>
      </c>
      <c r="Y4" s="278">
        <f t="shared" si="13"/>
        <v>0</v>
      </c>
      <c r="Z4" s="278">
        <v>0</v>
      </c>
      <c r="AA4" s="278">
        <f t="shared" si="14"/>
        <v>68</v>
      </c>
      <c r="AB4" s="278">
        <f t="shared" si="15"/>
        <v>300</v>
      </c>
      <c r="AC4" s="278">
        <f t="shared" si="15"/>
        <v>-368</v>
      </c>
      <c r="AF4" s="278"/>
      <c r="AG4" s="278"/>
      <c r="AH4" s="278"/>
      <c r="AI4" s="278"/>
      <c r="AJ4" s="278"/>
      <c r="AK4" s="278"/>
      <c r="AL4" s="278">
        <f t="shared" ref="AL4:AL15" si="18">SUM(B4:E4)</f>
        <v>0</v>
      </c>
      <c r="AM4" s="278">
        <f t="shared" ref="AM4:AM15" si="19">SUM(F4:I4)</f>
        <v>0</v>
      </c>
      <c r="AN4" s="278">
        <f t="shared" ref="AN4:AN15" si="20">SUM(J4:M4)</f>
        <v>12</v>
      </c>
      <c r="AO4" s="278">
        <f t="shared" ref="AO4:AO15" si="21">SUM(N4:Q4)</f>
        <v>37</v>
      </c>
      <c r="AP4" s="278">
        <f t="shared" ref="AP4:AP15" si="22">SUM(R4:U4)</f>
        <v>0</v>
      </c>
      <c r="AQ4" s="278">
        <f t="shared" si="16"/>
        <v>0</v>
      </c>
      <c r="AR4" s="279"/>
      <c r="AU4" s="280" t="str">
        <f t="shared" si="0"/>
        <v>Force Motors Ltd</v>
      </c>
      <c r="AV4" s="281">
        <f t="shared" si="17"/>
        <v>0</v>
      </c>
      <c r="AW4" s="281">
        <f t="shared" si="17"/>
        <v>0</v>
      </c>
      <c r="AX4" s="281">
        <f t="shared" si="17"/>
        <v>0</v>
      </c>
      <c r="AY4" s="281">
        <f t="shared" si="17"/>
        <v>0</v>
      </c>
      <c r="AZ4" s="281">
        <f t="shared" si="17"/>
        <v>0</v>
      </c>
      <c r="BA4" s="281">
        <f t="shared" si="17"/>
        <v>0</v>
      </c>
      <c r="BB4" s="281">
        <f t="shared" si="17"/>
        <v>0</v>
      </c>
      <c r="BC4" s="281">
        <f t="shared" si="17"/>
        <v>0</v>
      </c>
      <c r="BD4" s="281">
        <f t="shared" si="17"/>
        <v>1.0166045408336157E-3</v>
      </c>
      <c r="BE4" s="281">
        <f t="shared" si="17"/>
        <v>9.6329080968497792E-4</v>
      </c>
      <c r="BF4" s="281">
        <f t="shared" si="17"/>
        <v>0</v>
      </c>
      <c r="BG4" s="281">
        <f t="shared" si="17"/>
        <v>0</v>
      </c>
      <c r="BK4" s="278"/>
      <c r="BL4" s="278"/>
      <c r="BM4" s="278"/>
      <c r="BO4" s="278"/>
      <c r="BP4" s="278"/>
      <c r="BQ4" s="278"/>
      <c r="BS4" s="278">
        <v>1</v>
      </c>
      <c r="BT4" s="278">
        <v>1</v>
      </c>
      <c r="BU4" s="278">
        <v>12</v>
      </c>
      <c r="BW4" s="278">
        <v>37</v>
      </c>
      <c r="BX4" s="278">
        <v>37</v>
      </c>
      <c r="BY4" s="278">
        <v>37</v>
      </c>
      <c r="CA4" s="278"/>
      <c r="CB4" s="278"/>
      <c r="CC4" s="278">
        <v>0</v>
      </c>
      <c r="CE4" s="278"/>
      <c r="CF4" s="278"/>
      <c r="CG4" s="278"/>
      <c r="CI4" s="278">
        <v>68</v>
      </c>
      <c r="CJ4" s="278">
        <v>368</v>
      </c>
      <c r="CK4" s="278"/>
    </row>
    <row r="5" spans="1:90" outlineLevel="1" x14ac:dyDescent="0.3">
      <c r="A5" s="277" t="s">
        <v>217</v>
      </c>
      <c r="B5" s="278">
        <v>30</v>
      </c>
      <c r="C5" s="278">
        <f t="shared" si="2"/>
        <v>46</v>
      </c>
      <c r="D5" s="278">
        <f t="shared" si="3"/>
        <v>0</v>
      </c>
      <c r="E5" s="278">
        <f t="shared" si="3"/>
        <v>250</v>
      </c>
      <c r="F5" s="278">
        <v>0</v>
      </c>
      <c r="G5" s="278">
        <f t="shared" si="4"/>
        <v>0</v>
      </c>
      <c r="H5" s="278">
        <f t="shared" si="5"/>
        <v>78</v>
      </c>
      <c r="I5" s="278">
        <f t="shared" si="5"/>
        <v>271</v>
      </c>
      <c r="J5" s="278">
        <v>18</v>
      </c>
      <c r="K5" s="278">
        <f t="shared" si="6"/>
        <v>0</v>
      </c>
      <c r="L5" s="278">
        <f t="shared" si="7"/>
        <v>0</v>
      </c>
      <c r="M5" s="278">
        <f t="shared" si="7"/>
        <v>0</v>
      </c>
      <c r="N5" s="278">
        <v>0</v>
      </c>
      <c r="O5" s="278">
        <f t="shared" si="8"/>
        <v>0</v>
      </c>
      <c r="P5" s="278">
        <f t="shared" si="9"/>
        <v>0</v>
      </c>
      <c r="Q5" s="278">
        <f t="shared" si="9"/>
        <v>0</v>
      </c>
      <c r="R5" s="278"/>
      <c r="S5" s="278">
        <f t="shared" si="10"/>
        <v>0</v>
      </c>
      <c r="T5" s="278">
        <f t="shared" si="11"/>
        <v>0</v>
      </c>
      <c r="U5" s="278">
        <f t="shared" si="11"/>
        <v>0</v>
      </c>
      <c r="V5" s="278"/>
      <c r="W5" s="278">
        <f t="shared" si="12"/>
        <v>293</v>
      </c>
      <c r="X5" s="278">
        <f t="shared" si="13"/>
        <v>-293</v>
      </c>
      <c r="Y5" s="278">
        <f t="shared" si="13"/>
        <v>0</v>
      </c>
      <c r="Z5" s="278">
        <v>0</v>
      </c>
      <c r="AA5" s="278">
        <f t="shared" si="14"/>
        <v>504</v>
      </c>
      <c r="AB5" s="278">
        <f t="shared" si="15"/>
        <v>269</v>
      </c>
      <c r="AC5" s="278">
        <f t="shared" si="15"/>
        <v>-773</v>
      </c>
      <c r="AF5" s="278"/>
      <c r="AG5" s="278"/>
      <c r="AH5" s="278"/>
      <c r="AI5" s="278"/>
      <c r="AJ5" s="278">
        <v>7</v>
      </c>
      <c r="AK5" s="278">
        <v>175</v>
      </c>
      <c r="AL5" s="278">
        <f t="shared" si="18"/>
        <v>326</v>
      </c>
      <c r="AM5" s="278">
        <f t="shared" si="19"/>
        <v>349</v>
      </c>
      <c r="AN5" s="278">
        <f t="shared" si="20"/>
        <v>18</v>
      </c>
      <c r="AO5" s="278">
        <f t="shared" si="21"/>
        <v>0</v>
      </c>
      <c r="AP5" s="278">
        <f t="shared" si="22"/>
        <v>0</v>
      </c>
      <c r="AQ5" s="278">
        <f t="shared" si="16"/>
        <v>0</v>
      </c>
      <c r="AR5" s="279"/>
      <c r="AU5" s="280" t="str">
        <f t="shared" si="0"/>
        <v>JBM Auto Ltd</v>
      </c>
      <c r="AV5" s="281">
        <f t="shared" si="17"/>
        <v>0</v>
      </c>
      <c r="AW5" s="281">
        <f t="shared" si="17"/>
        <v>0</v>
      </c>
      <c r="AX5" s="281">
        <f t="shared" si="17"/>
        <v>0</v>
      </c>
      <c r="AY5" s="281">
        <f t="shared" si="17"/>
        <v>0</v>
      </c>
      <c r="AZ5" s="281">
        <f t="shared" si="17"/>
        <v>1.9381454716615445E-4</v>
      </c>
      <c r="BA5" s="281">
        <f t="shared" si="17"/>
        <v>4.4178531758053115E-3</v>
      </c>
      <c r="BB5" s="281">
        <f t="shared" si="17"/>
        <v>8.1467413034786093E-3</v>
      </c>
      <c r="BC5" s="281">
        <f t="shared" si="17"/>
        <v>4.7664572521169082E-2</v>
      </c>
      <c r="BD5" s="281">
        <f t="shared" si="17"/>
        <v>1.5249068112504235E-3</v>
      </c>
      <c r="BE5" s="281">
        <f t="shared" si="17"/>
        <v>0</v>
      </c>
      <c r="BF5" s="281">
        <f t="shared" si="17"/>
        <v>0</v>
      </c>
      <c r="BG5" s="281">
        <f t="shared" si="17"/>
        <v>0</v>
      </c>
      <c r="BK5" s="278">
        <v>76</v>
      </c>
      <c r="BL5" s="278">
        <v>76</v>
      </c>
      <c r="BM5" s="278">
        <v>326</v>
      </c>
      <c r="BO5" s="278">
        <v>0</v>
      </c>
      <c r="BP5" s="278">
        <v>78</v>
      </c>
      <c r="BQ5" s="278">
        <v>349</v>
      </c>
      <c r="BS5" s="278">
        <v>18</v>
      </c>
      <c r="BT5" s="278">
        <v>18</v>
      </c>
      <c r="BU5" s="278">
        <v>18</v>
      </c>
      <c r="BW5" s="278">
        <v>0</v>
      </c>
      <c r="BX5" s="278">
        <v>0</v>
      </c>
      <c r="BY5" s="278"/>
      <c r="CA5" s="278"/>
      <c r="CB5" s="278"/>
      <c r="CC5" s="278"/>
      <c r="CE5" s="278">
        <v>293</v>
      </c>
      <c r="CF5" s="278"/>
      <c r="CG5" s="278"/>
      <c r="CI5" s="278">
        <v>504</v>
      </c>
      <c r="CJ5" s="278">
        <v>773</v>
      </c>
      <c r="CK5" s="278"/>
    </row>
    <row r="6" spans="1:90" outlineLevel="1" x14ac:dyDescent="0.3">
      <c r="A6" s="277" t="s">
        <v>218</v>
      </c>
      <c r="B6" s="278"/>
      <c r="C6" s="278">
        <f t="shared" si="2"/>
        <v>0</v>
      </c>
      <c r="D6" s="278">
        <f t="shared" si="3"/>
        <v>0</v>
      </c>
      <c r="E6" s="278">
        <f t="shared" si="3"/>
        <v>0</v>
      </c>
      <c r="F6" s="278"/>
      <c r="G6" s="278">
        <f t="shared" si="4"/>
        <v>0</v>
      </c>
      <c r="H6" s="278">
        <f t="shared" si="5"/>
        <v>0</v>
      </c>
      <c r="I6" s="278">
        <f t="shared" si="5"/>
        <v>0</v>
      </c>
      <c r="J6" s="278"/>
      <c r="K6" s="278">
        <f t="shared" si="6"/>
        <v>0</v>
      </c>
      <c r="L6" s="278">
        <f t="shared" si="7"/>
        <v>0</v>
      </c>
      <c r="M6" s="278">
        <f t="shared" si="7"/>
        <v>0</v>
      </c>
      <c r="N6" s="278"/>
      <c r="O6" s="278">
        <f t="shared" si="8"/>
        <v>0</v>
      </c>
      <c r="P6" s="278">
        <f t="shared" si="9"/>
        <v>148</v>
      </c>
      <c r="Q6" s="278">
        <f t="shared" si="9"/>
        <v>421</v>
      </c>
      <c r="R6" s="278">
        <v>75</v>
      </c>
      <c r="S6" s="278">
        <f t="shared" si="10"/>
        <v>139</v>
      </c>
      <c r="T6" s="278">
        <f t="shared" si="11"/>
        <v>162</v>
      </c>
      <c r="U6" s="278">
        <f t="shared" si="11"/>
        <v>53</v>
      </c>
      <c r="V6" s="278">
        <v>156</v>
      </c>
      <c r="W6" s="278">
        <f t="shared" si="12"/>
        <v>315</v>
      </c>
      <c r="X6" s="278">
        <f t="shared" si="13"/>
        <v>73</v>
      </c>
      <c r="Y6" s="278">
        <f t="shared" si="13"/>
        <v>261</v>
      </c>
      <c r="Z6" s="278">
        <v>20</v>
      </c>
      <c r="AA6" s="278">
        <f t="shared" si="14"/>
        <v>0</v>
      </c>
      <c r="AB6" s="278">
        <f t="shared" si="15"/>
        <v>836</v>
      </c>
      <c r="AC6" s="278">
        <f t="shared" si="15"/>
        <v>-856</v>
      </c>
      <c r="AF6" s="278"/>
      <c r="AG6" s="278"/>
      <c r="AH6" s="278"/>
      <c r="AI6" s="278"/>
      <c r="AJ6" s="278"/>
      <c r="AK6" s="278"/>
      <c r="AL6" s="278">
        <f t="shared" si="18"/>
        <v>0</v>
      </c>
      <c r="AM6" s="278">
        <f t="shared" si="19"/>
        <v>0</v>
      </c>
      <c r="AN6" s="278">
        <f t="shared" si="20"/>
        <v>0</v>
      </c>
      <c r="AO6" s="278">
        <f t="shared" si="21"/>
        <v>569</v>
      </c>
      <c r="AP6" s="278">
        <f t="shared" si="22"/>
        <v>429</v>
      </c>
      <c r="AQ6" s="278">
        <f t="shared" si="16"/>
        <v>805</v>
      </c>
      <c r="AR6" s="279"/>
      <c r="AU6" s="280" t="str">
        <f t="shared" si="0"/>
        <v>Olectra Greentech Limited</v>
      </c>
      <c r="AV6" s="281">
        <f t="shared" si="17"/>
        <v>0</v>
      </c>
      <c r="AW6" s="281">
        <f t="shared" si="17"/>
        <v>0</v>
      </c>
      <c r="AX6" s="281">
        <f t="shared" si="17"/>
        <v>0</v>
      </c>
      <c r="AY6" s="281">
        <f t="shared" si="17"/>
        <v>0</v>
      </c>
      <c r="AZ6" s="281">
        <f t="shared" si="17"/>
        <v>0</v>
      </c>
      <c r="BA6" s="281">
        <f t="shared" si="17"/>
        <v>0</v>
      </c>
      <c r="BB6" s="281">
        <f t="shared" si="17"/>
        <v>0</v>
      </c>
      <c r="BC6" s="281">
        <f t="shared" si="17"/>
        <v>0</v>
      </c>
      <c r="BD6" s="281">
        <f t="shared" si="17"/>
        <v>0</v>
      </c>
      <c r="BE6" s="281">
        <f t="shared" si="17"/>
        <v>1.4813850559750066E-2</v>
      </c>
      <c r="BF6" s="281">
        <f t="shared" si="17"/>
        <v>8.0736224028906955E-3</v>
      </c>
      <c r="BG6" s="281">
        <f t="shared" si="17"/>
        <v>1.2136654203353034E-2</v>
      </c>
      <c r="BK6" s="278"/>
      <c r="BL6" s="278"/>
      <c r="BM6" s="278"/>
      <c r="BO6" s="278"/>
      <c r="BP6" s="278"/>
      <c r="BQ6" s="278"/>
      <c r="BS6" s="278"/>
      <c r="BT6" s="278">
        <v>0</v>
      </c>
      <c r="BU6" s="278">
        <v>0</v>
      </c>
      <c r="BW6" s="278"/>
      <c r="BX6" s="278">
        <v>148</v>
      </c>
      <c r="BY6" s="278">
        <v>569</v>
      </c>
      <c r="CA6" s="278">
        <v>214</v>
      </c>
      <c r="CB6" s="278">
        <v>376</v>
      </c>
      <c r="CC6" s="278">
        <v>429</v>
      </c>
      <c r="CE6" s="278">
        <v>471</v>
      </c>
      <c r="CF6" s="278">
        <v>544</v>
      </c>
      <c r="CG6" s="278">
        <v>805</v>
      </c>
      <c r="CI6" s="278">
        <v>20</v>
      </c>
      <c r="CJ6" s="278">
        <v>856</v>
      </c>
      <c r="CK6" s="278"/>
    </row>
    <row r="7" spans="1:90" outlineLevel="1" x14ac:dyDescent="0.3">
      <c r="A7" s="277" t="s">
        <v>188</v>
      </c>
      <c r="B7" s="278"/>
      <c r="C7" s="278">
        <f t="shared" si="2"/>
        <v>0</v>
      </c>
      <c r="D7" s="278">
        <f t="shared" si="3"/>
        <v>0</v>
      </c>
      <c r="E7" s="278">
        <f t="shared" si="3"/>
        <v>0</v>
      </c>
      <c r="F7" s="278"/>
      <c r="G7" s="278">
        <f t="shared" si="4"/>
        <v>0</v>
      </c>
      <c r="H7" s="278">
        <f t="shared" si="5"/>
        <v>0</v>
      </c>
      <c r="I7" s="278">
        <f t="shared" si="5"/>
        <v>0</v>
      </c>
      <c r="J7" s="278"/>
      <c r="K7" s="278">
        <f t="shared" si="6"/>
        <v>0</v>
      </c>
      <c r="L7" s="278">
        <f t="shared" si="7"/>
        <v>0</v>
      </c>
      <c r="M7" s="278">
        <f t="shared" si="7"/>
        <v>0</v>
      </c>
      <c r="N7" s="278"/>
      <c r="O7" s="278">
        <f t="shared" si="8"/>
        <v>0</v>
      </c>
      <c r="P7" s="278">
        <f t="shared" si="9"/>
        <v>0</v>
      </c>
      <c r="Q7" s="278">
        <f t="shared" si="9"/>
        <v>0</v>
      </c>
      <c r="R7" s="278">
        <v>0</v>
      </c>
      <c r="S7" s="278">
        <f t="shared" si="10"/>
        <v>0</v>
      </c>
      <c r="T7" s="278">
        <f t="shared" si="11"/>
        <v>30</v>
      </c>
      <c r="U7" s="278">
        <f t="shared" si="11"/>
        <v>-30</v>
      </c>
      <c r="V7" s="278">
        <v>3</v>
      </c>
      <c r="W7" s="278">
        <f t="shared" si="12"/>
        <v>20</v>
      </c>
      <c r="X7" s="278">
        <f t="shared" si="13"/>
        <v>18</v>
      </c>
      <c r="Y7" s="278">
        <f t="shared" si="13"/>
        <v>138</v>
      </c>
      <c r="Z7" s="278">
        <v>3</v>
      </c>
      <c r="AA7" s="278">
        <f t="shared" si="14"/>
        <v>53</v>
      </c>
      <c r="AB7" s="278">
        <f t="shared" si="15"/>
        <v>241</v>
      </c>
      <c r="AC7" s="278">
        <f t="shared" si="15"/>
        <v>-297</v>
      </c>
      <c r="AF7" s="278"/>
      <c r="AG7" s="278"/>
      <c r="AH7" s="278"/>
      <c r="AI7" s="278"/>
      <c r="AJ7" s="278"/>
      <c r="AK7" s="278"/>
      <c r="AL7" s="278">
        <f t="shared" si="18"/>
        <v>0</v>
      </c>
      <c r="AM7" s="278">
        <f t="shared" si="19"/>
        <v>0</v>
      </c>
      <c r="AN7" s="278">
        <f t="shared" si="20"/>
        <v>0</v>
      </c>
      <c r="AO7" s="278">
        <f t="shared" si="21"/>
        <v>0</v>
      </c>
      <c r="AP7" s="278">
        <f t="shared" si="22"/>
        <v>0</v>
      </c>
      <c r="AQ7" s="278">
        <f t="shared" si="16"/>
        <v>179</v>
      </c>
      <c r="AR7" s="279"/>
      <c r="AU7" s="280" t="str">
        <f t="shared" si="0"/>
        <v>Pinnacle Mobility Solutions Pvt Ltd</v>
      </c>
      <c r="AV7" s="281">
        <f t="shared" si="17"/>
        <v>0</v>
      </c>
      <c r="AW7" s="281">
        <f t="shared" si="17"/>
        <v>0</v>
      </c>
      <c r="AX7" s="281">
        <f t="shared" si="17"/>
        <v>0</v>
      </c>
      <c r="AY7" s="281">
        <f t="shared" si="17"/>
        <v>0</v>
      </c>
      <c r="AZ7" s="281">
        <f t="shared" si="17"/>
        <v>0</v>
      </c>
      <c r="BA7" s="281">
        <f t="shared" si="17"/>
        <v>0</v>
      </c>
      <c r="BB7" s="281">
        <f t="shared" si="17"/>
        <v>0</v>
      </c>
      <c r="BC7" s="281">
        <f t="shared" si="17"/>
        <v>0</v>
      </c>
      <c r="BD7" s="281">
        <f t="shared" si="17"/>
        <v>0</v>
      </c>
      <c r="BE7" s="281">
        <f t="shared" si="17"/>
        <v>0</v>
      </c>
      <c r="BF7" s="281">
        <f t="shared" si="17"/>
        <v>0</v>
      </c>
      <c r="BG7" s="281">
        <f t="shared" si="17"/>
        <v>2.6987094439753952E-3</v>
      </c>
      <c r="BK7" s="278"/>
      <c r="BL7" s="278"/>
      <c r="BM7" s="278"/>
      <c r="BO7" s="278"/>
      <c r="BP7" s="278"/>
      <c r="BQ7" s="278"/>
      <c r="BS7" s="278"/>
      <c r="BT7" s="278"/>
      <c r="BU7" s="278"/>
      <c r="BW7" s="278"/>
      <c r="BX7" s="278"/>
      <c r="BY7" s="278"/>
      <c r="CA7" s="278">
        <v>0</v>
      </c>
      <c r="CB7" s="278">
        <v>30</v>
      </c>
      <c r="CC7" s="278"/>
      <c r="CE7" s="278">
        <v>23</v>
      </c>
      <c r="CF7" s="278">
        <v>41</v>
      </c>
      <c r="CG7" s="278">
        <v>179</v>
      </c>
      <c r="CI7" s="278">
        <v>56</v>
      </c>
      <c r="CJ7" s="278">
        <v>297</v>
      </c>
      <c r="CK7" s="278"/>
    </row>
    <row r="8" spans="1:90" outlineLevel="1" x14ac:dyDescent="0.3">
      <c r="A8" s="277" t="s">
        <v>219</v>
      </c>
      <c r="B8" s="278"/>
      <c r="C8" s="278">
        <f t="shared" si="2"/>
        <v>0</v>
      </c>
      <c r="D8" s="278">
        <f t="shared" si="3"/>
        <v>0</v>
      </c>
      <c r="E8" s="278">
        <f t="shared" si="3"/>
        <v>0</v>
      </c>
      <c r="F8" s="278"/>
      <c r="G8" s="278">
        <f t="shared" si="4"/>
        <v>0</v>
      </c>
      <c r="H8" s="278">
        <f t="shared" si="5"/>
        <v>0</v>
      </c>
      <c r="I8" s="278">
        <f t="shared" si="5"/>
        <v>0</v>
      </c>
      <c r="J8" s="278"/>
      <c r="K8" s="278">
        <f t="shared" si="6"/>
        <v>0</v>
      </c>
      <c r="L8" s="278">
        <f t="shared" si="7"/>
        <v>0</v>
      </c>
      <c r="M8" s="278">
        <f t="shared" si="7"/>
        <v>0</v>
      </c>
      <c r="N8" s="278"/>
      <c r="O8" s="278">
        <f t="shared" si="8"/>
        <v>0</v>
      </c>
      <c r="P8" s="278">
        <f t="shared" si="9"/>
        <v>0</v>
      </c>
      <c r="Q8" s="278">
        <f t="shared" si="9"/>
        <v>0</v>
      </c>
      <c r="R8" s="278"/>
      <c r="S8" s="278">
        <f t="shared" si="10"/>
        <v>0</v>
      </c>
      <c r="T8" s="278">
        <f t="shared" si="11"/>
        <v>231</v>
      </c>
      <c r="U8" s="278">
        <f t="shared" si="11"/>
        <v>-231</v>
      </c>
      <c r="V8" s="278"/>
      <c r="W8" s="278">
        <f t="shared" si="12"/>
        <v>78</v>
      </c>
      <c r="X8" s="278">
        <f t="shared" si="13"/>
        <v>247</v>
      </c>
      <c r="Y8" s="278">
        <f t="shared" si="13"/>
        <v>421</v>
      </c>
      <c r="Z8" s="278">
        <v>174</v>
      </c>
      <c r="AA8" s="278">
        <f t="shared" si="14"/>
        <v>233</v>
      </c>
      <c r="AB8" s="278">
        <f t="shared" si="15"/>
        <v>0</v>
      </c>
      <c r="AC8" s="278">
        <f t="shared" si="15"/>
        <v>-407</v>
      </c>
      <c r="AF8" s="278"/>
      <c r="AG8" s="278"/>
      <c r="AH8" s="278"/>
      <c r="AI8" s="278"/>
      <c r="AJ8" s="278"/>
      <c r="AK8" s="278"/>
      <c r="AL8" s="278">
        <f t="shared" si="18"/>
        <v>0</v>
      </c>
      <c r="AM8" s="278">
        <f t="shared" si="19"/>
        <v>0</v>
      </c>
      <c r="AN8" s="278">
        <f t="shared" si="20"/>
        <v>0</v>
      </c>
      <c r="AO8" s="278">
        <f t="shared" si="21"/>
        <v>0</v>
      </c>
      <c r="AP8" s="278">
        <f t="shared" si="22"/>
        <v>0</v>
      </c>
      <c r="AQ8" s="278">
        <f t="shared" si="16"/>
        <v>746</v>
      </c>
      <c r="AR8" s="279"/>
      <c r="AU8" s="280" t="str">
        <f t="shared" si="0"/>
        <v>PMI Electro Mobility Solutions Pvt Ltd</v>
      </c>
      <c r="AV8" s="281">
        <f t="shared" si="17"/>
        <v>0</v>
      </c>
      <c r="AW8" s="281">
        <f t="shared" si="17"/>
        <v>0</v>
      </c>
      <c r="AX8" s="281">
        <f t="shared" si="17"/>
        <v>0</v>
      </c>
      <c r="AY8" s="281">
        <f t="shared" si="17"/>
        <v>0</v>
      </c>
      <c r="AZ8" s="281">
        <f t="shared" si="17"/>
        <v>0</v>
      </c>
      <c r="BA8" s="281">
        <f t="shared" si="17"/>
        <v>0</v>
      </c>
      <c r="BB8" s="281">
        <f t="shared" si="17"/>
        <v>0</v>
      </c>
      <c r="BC8" s="281">
        <f t="shared" si="17"/>
        <v>0</v>
      </c>
      <c r="BD8" s="281">
        <f t="shared" si="17"/>
        <v>0</v>
      </c>
      <c r="BE8" s="281">
        <f t="shared" si="17"/>
        <v>0</v>
      </c>
      <c r="BF8" s="281">
        <f t="shared" si="17"/>
        <v>0</v>
      </c>
      <c r="BG8" s="281">
        <f t="shared" si="17"/>
        <v>1.1247135448076227E-2</v>
      </c>
      <c r="BK8" s="278"/>
      <c r="BL8" s="278"/>
      <c r="BM8" s="278"/>
      <c r="BO8" s="278"/>
      <c r="BP8" s="278"/>
      <c r="BQ8" s="278"/>
      <c r="BS8" s="278"/>
      <c r="BT8" s="278"/>
      <c r="BU8" s="278"/>
      <c r="BW8" s="278"/>
      <c r="BX8" s="278"/>
      <c r="BY8" s="278"/>
      <c r="CA8" s="278"/>
      <c r="CB8" s="278">
        <v>231</v>
      </c>
      <c r="CC8" s="278"/>
      <c r="CE8" s="278">
        <v>78</v>
      </c>
      <c r="CF8" s="278">
        <v>325</v>
      </c>
      <c r="CG8" s="278">
        <v>746</v>
      </c>
      <c r="CI8" s="278">
        <v>407</v>
      </c>
      <c r="CJ8" s="278">
        <v>407</v>
      </c>
      <c r="CK8" s="278"/>
    </row>
    <row r="9" spans="1:90" outlineLevel="1" x14ac:dyDescent="0.3">
      <c r="A9" s="277" t="s">
        <v>150</v>
      </c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>
        <v>0</v>
      </c>
      <c r="AA9" s="278">
        <f t="shared" si="14"/>
        <v>0</v>
      </c>
      <c r="AB9" s="278"/>
      <c r="AC9" s="278"/>
      <c r="AF9" s="278">
        <v>958</v>
      </c>
      <c r="AG9" s="278">
        <v>903</v>
      </c>
      <c r="AH9" s="278">
        <v>1302</v>
      </c>
      <c r="AI9" s="278">
        <v>1474</v>
      </c>
      <c r="AJ9" s="278">
        <v>1302</v>
      </c>
      <c r="AK9" s="278">
        <v>1210</v>
      </c>
      <c r="AL9" s="278">
        <f t="shared" ref="AL9" si="23">SUM(B9:E9)</f>
        <v>0</v>
      </c>
      <c r="AM9" s="278">
        <f t="shared" si="19"/>
        <v>0</v>
      </c>
      <c r="AN9" s="278">
        <f t="shared" si="20"/>
        <v>0</v>
      </c>
      <c r="AO9" s="278">
        <f t="shared" si="21"/>
        <v>0</v>
      </c>
      <c r="AP9" s="278">
        <f t="shared" si="22"/>
        <v>0</v>
      </c>
      <c r="AQ9" s="278">
        <f t="shared" ref="AQ9:AQ15" si="24">SUM(V9:Y9)</f>
        <v>0</v>
      </c>
      <c r="AR9" s="279"/>
      <c r="AU9" s="280" t="str">
        <f t="shared" si="0"/>
        <v>Mahindra &amp; Mahindra Ltd</v>
      </c>
      <c r="AV9" s="281">
        <f t="shared" si="17"/>
        <v>2.4748766436745978E-2</v>
      </c>
      <c r="AW9" s="281">
        <f t="shared" si="17"/>
        <v>2.4513396856421534E-2</v>
      </c>
      <c r="AX9" s="281">
        <f t="shared" si="17"/>
        <v>2.9652235304835E-2</v>
      </c>
      <c r="AY9" s="281">
        <f t="shared" si="17"/>
        <v>3.1187846472853456E-2</v>
      </c>
      <c r="AZ9" s="281">
        <f t="shared" si="17"/>
        <v>3.6049505772904729E-2</v>
      </c>
      <c r="BA9" s="281">
        <f t="shared" si="17"/>
        <v>3.054629910128244E-2</v>
      </c>
      <c r="BB9" s="281">
        <f t="shared" si="17"/>
        <v>0</v>
      </c>
      <c r="BC9" s="281">
        <f t="shared" si="17"/>
        <v>0</v>
      </c>
      <c r="BD9" s="281">
        <f t="shared" si="17"/>
        <v>0</v>
      </c>
      <c r="BE9" s="281">
        <f t="shared" si="17"/>
        <v>0</v>
      </c>
      <c r="BF9" s="281">
        <f t="shared" si="17"/>
        <v>0</v>
      </c>
      <c r="BG9" s="281">
        <f t="shared" si="17"/>
        <v>0</v>
      </c>
      <c r="BK9" s="278"/>
      <c r="BL9" s="278"/>
      <c r="BM9" s="278"/>
      <c r="BO9" s="278"/>
      <c r="BP9" s="278"/>
      <c r="BQ9" s="278"/>
      <c r="BS9" s="278"/>
      <c r="BT9" s="278"/>
      <c r="BU9" s="278"/>
      <c r="BW9" s="278"/>
      <c r="BX9" s="278"/>
      <c r="BY9" s="278"/>
      <c r="CA9" s="278"/>
      <c r="CB9" s="278"/>
      <c r="CC9" s="278"/>
      <c r="CE9" s="278"/>
      <c r="CF9" s="278"/>
      <c r="CG9" s="278"/>
      <c r="CI9" s="278"/>
      <c r="CJ9" s="278"/>
      <c r="CK9" s="278"/>
    </row>
    <row r="10" spans="1:90" outlineLevel="1" x14ac:dyDescent="0.3">
      <c r="A10" s="277" t="s">
        <v>220</v>
      </c>
      <c r="B10" s="278">
        <v>1249</v>
      </c>
      <c r="C10" s="278">
        <f>BK10-B10</f>
        <v>449</v>
      </c>
      <c r="D10" s="278">
        <f t="shared" ref="D10:E14" si="25">BL10-BK10</f>
        <v>365</v>
      </c>
      <c r="E10" s="278">
        <f t="shared" si="25"/>
        <v>693</v>
      </c>
      <c r="F10" s="278">
        <v>35</v>
      </c>
      <c r="G10" s="278">
        <f>BO10-F10</f>
        <v>42</v>
      </c>
      <c r="H10" s="278">
        <f t="shared" ref="H10:I14" si="26">BP10-BO10</f>
        <v>54</v>
      </c>
      <c r="I10" s="278">
        <f t="shared" si="26"/>
        <v>185</v>
      </c>
      <c r="J10" s="278">
        <v>47</v>
      </c>
      <c r="K10" s="278">
        <f>BS10-J10</f>
        <v>80</v>
      </c>
      <c r="L10" s="278">
        <f t="shared" ref="L10:M14" si="27">BT10-BS10</f>
        <v>240</v>
      </c>
      <c r="M10" s="278">
        <f t="shared" si="27"/>
        <v>322</v>
      </c>
      <c r="N10" s="278">
        <v>921</v>
      </c>
      <c r="O10" s="278">
        <f>BW10-N10</f>
        <v>831</v>
      </c>
      <c r="P10" s="278">
        <f t="shared" ref="P10:Q14" si="28">BX10-BW10</f>
        <v>509</v>
      </c>
      <c r="Q10" s="278">
        <f t="shared" si="28"/>
        <v>1163</v>
      </c>
      <c r="R10" s="278">
        <v>1370</v>
      </c>
      <c r="S10" s="278">
        <f>CA10-R10</f>
        <v>984</v>
      </c>
      <c r="T10" s="278">
        <f t="shared" ref="T10:U14" si="29">CB10-CA10</f>
        <v>537</v>
      </c>
      <c r="U10" s="278">
        <f t="shared" si="29"/>
        <v>1189</v>
      </c>
      <c r="V10" s="278">
        <v>1462</v>
      </c>
      <c r="W10" s="278">
        <f>CE10-V10</f>
        <v>1095</v>
      </c>
      <c r="X10" s="278">
        <f t="shared" ref="X10:Y14" si="30">CF10-CE10</f>
        <v>430</v>
      </c>
      <c r="Y10" s="278">
        <f t="shared" si="30"/>
        <v>1473</v>
      </c>
      <c r="Z10" s="278">
        <v>1777</v>
      </c>
      <c r="AA10" s="278">
        <f>CI10-Z10</f>
        <v>933</v>
      </c>
      <c r="AB10" s="278">
        <f t="shared" ref="AB10:AC14" si="31">CJ10-CI10</f>
        <v>585</v>
      </c>
      <c r="AC10" s="278">
        <f t="shared" si="31"/>
        <v>-3295</v>
      </c>
      <c r="AF10" s="278">
        <v>3401</v>
      </c>
      <c r="AG10" s="278">
        <v>3954</v>
      </c>
      <c r="AH10" s="278">
        <v>3507</v>
      </c>
      <c r="AI10" s="278">
        <v>3892</v>
      </c>
      <c r="AJ10" s="278">
        <v>2431</v>
      </c>
      <c r="AK10" s="278">
        <v>2813</v>
      </c>
      <c r="AL10" s="278">
        <f t="shared" si="18"/>
        <v>2756</v>
      </c>
      <c r="AM10" s="278">
        <f t="shared" si="19"/>
        <v>316</v>
      </c>
      <c r="AN10" s="278">
        <f t="shared" si="20"/>
        <v>689</v>
      </c>
      <c r="AO10" s="278">
        <f t="shared" si="21"/>
        <v>3424</v>
      </c>
      <c r="AP10" s="278">
        <f t="shared" si="22"/>
        <v>4080</v>
      </c>
      <c r="AQ10" s="278">
        <f t="shared" si="24"/>
        <v>4460</v>
      </c>
      <c r="AR10" s="279"/>
      <c r="AU10" s="280" t="str">
        <f t="shared" si="0"/>
        <v>SML Isuzu Ltd</v>
      </c>
      <c r="AV10" s="281">
        <f t="shared" si="17"/>
        <v>8.7860704228990671E-2</v>
      </c>
      <c r="AW10" s="281">
        <f t="shared" si="17"/>
        <v>0.10733773108559329</v>
      </c>
      <c r="AX10" s="281">
        <f t="shared" si="17"/>
        <v>7.9869730579152337E-2</v>
      </c>
      <c r="AY10" s="281">
        <f t="shared" si="17"/>
        <v>8.2349456222758244E-2</v>
      </c>
      <c r="AZ10" s="281">
        <f t="shared" si="17"/>
        <v>6.7309023451560202E-2</v>
      </c>
      <c r="BA10" s="281">
        <f t="shared" si="17"/>
        <v>7.1013834191659089E-2</v>
      </c>
      <c r="BB10" s="281">
        <f t="shared" si="17"/>
        <v>6.8872451019592162E-2</v>
      </c>
      <c r="BC10" s="281">
        <f t="shared" si="17"/>
        <v>4.3157607211144498E-2</v>
      </c>
      <c r="BD10" s="281">
        <f t="shared" si="17"/>
        <v>5.8370044052863439E-2</v>
      </c>
      <c r="BE10" s="281">
        <f t="shared" si="17"/>
        <v>8.9143452225982814E-2</v>
      </c>
      <c r="BF10" s="281">
        <f t="shared" si="17"/>
        <v>7.6784101174345074E-2</v>
      </c>
      <c r="BG10" s="281">
        <f t="shared" si="17"/>
        <v>6.7241587263297556E-2</v>
      </c>
      <c r="BK10" s="278">
        <v>1698</v>
      </c>
      <c r="BL10" s="278">
        <v>2063</v>
      </c>
      <c r="BM10" s="278">
        <v>2756</v>
      </c>
      <c r="BO10" s="278">
        <v>77</v>
      </c>
      <c r="BP10" s="278">
        <v>131</v>
      </c>
      <c r="BQ10" s="278">
        <v>316</v>
      </c>
      <c r="BS10" s="278">
        <v>127</v>
      </c>
      <c r="BT10" s="278">
        <v>367</v>
      </c>
      <c r="BU10" s="278">
        <v>689</v>
      </c>
      <c r="BW10" s="278">
        <v>1752</v>
      </c>
      <c r="BX10" s="278">
        <v>2261</v>
      </c>
      <c r="BY10" s="278">
        <v>3424</v>
      </c>
      <c r="CA10" s="278">
        <v>2354</v>
      </c>
      <c r="CB10" s="278">
        <v>2891</v>
      </c>
      <c r="CC10" s="278">
        <v>4080</v>
      </c>
      <c r="CE10" s="278">
        <v>2557</v>
      </c>
      <c r="CF10" s="278">
        <v>2987</v>
      </c>
      <c r="CG10" s="278">
        <v>4460</v>
      </c>
      <c r="CI10" s="278">
        <v>2710</v>
      </c>
      <c r="CJ10" s="278">
        <v>3295</v>
      </c>
      <c r="CK10" s="278"/>
    </row>
    <row r="11" spans="1:90" outlineLevel="1" x14ac:dyDescent="0.3">
      <c r="A11" s="277" t="s">
        <v>221</v>
      </c>
      <c r="B11" s="278"/>
      <c r="C11" s="278">
        <f>BK11-B11</f>
        <v>0</v>
      </c>
      <c r="D11" s="278">
        <f t="shared" si="25"/>
        <v>0</v>
      </c>
      <c r="E11" s="278">
        <f t="shared" si="25"/>
        <v>0</v>
      </c>
      <c r="F11" s="278"/>
      <c r="G11" s="278">
        <f>BO11-F11</f>
        <v>0</v>
      </c>
      <c r="H11" s="278">
        <f t="shared" si="26"/>
        <v>0</v>
      </c>
      <c r="I11" s="278">
        <f t="shared" si="26"/>
        <v>0</v>
      </c>
      <c r="J11" s="278"/>
      <c r="K11" s="278">
        <f>BS11-J11</f>
        <v>0</v>
      </c>
      <c r="L11" s="278">
        <f t="shared" si="27"/>
        <v>0</v>
      </c>
      <c r="M11" s="278">
        <f t="shared" si="27"/>
        <v>0</v>
      </c>
      <c r="N11" s="278"/>
      <c r="O11" s="278">
        <f>BW11-N11</f>
        <v>0</v>
      </c>
      <c r="P11" s="278">
        <f t="shared" si="28"/>
        <v>0</v>
      </c>
      <c r="Q11" s="278">
        <f t="shared" si="28"/>
        <v>0</v>
      </c>
      <c r="R11" s="278">
        <v>23</v>
      </c>
      <c r="S11" s="278">
        <f>CA11-R11</f>
        <v>29</v>
      </c>
      <c r="T11" s="278">
        <f t="shared" si="29"/>
        <v>21</v>
      </c>
      <c r="U11" s="278">
        <f t="shared" si="29"/>
        <v>162</v>
      </c>
      <c r="V11" s="278">
        <v>24</v>
      </c>
      <c r="W11" s="278">
        <f>CE11-V11</f>
        <v>23</v>
      </c>
      <c r="X11" s="278">
        <f t="shared" si="30"/>
        <v>230</v>
      </c>
      <c r="Y11" s="278">
        <f t="shared" si="30"/>
        <v>287</v>
      </c>
      <c r="Z11" s="278">
        <v>305</v>
      </c>
      <c r="AA11" s="278">
        <f>CI11-Z11</f>
        <v>268</v>
      </c>
      <c r="AB11" s="278">
        <f t="shared" si="31"/>
        <v>360</v>
      </c>
      <c r="AC11" s="278">
        <f t="shared" si="31"/>
        <v>-933</v>
      </c>
      <c r="AF11" s="278"/>
      <c r="AG11" s="278"/>
      <c r="AH11" s="278"/>
      <c r="AI11" s="278"/>
      <c r="AJ11" s="278"/>
      <c r="AK11" s="278"/>
      <c r="AL11" s="278">
        <f t="shared" si="18"/>
        <v>0</v>
      </c>
      <c r="AM11" s="278">
        <f t="shared" si="19"/>
        <v>0</v>
      </c>
      <c r="AN11" s="278">
        <f t="shared" si="20"/>
        <v>0</v>
      </c>
      <c r="AO11" s="278">
        <f t="shared" si="21"/>
        <v>0</v>
      </c>
      <c r="AP11" s="278">
        <f t="shared" si="22"/>
        <v>235</v>
      </c>
      <c r="AQ11" s="278">
        <f t="shared" si="24"/>
        <v>564</v>
      </c>
      <c r="AR11" s="279"/>
      <c r="AU11" s="280" t="str">
        <f t="shared" si="0"/>
        <v>Switch Mobility Automotive Ltd</v>
      </c>
      <c r="AV11" s="281">
        <f t="shared" si="17"/>
        <v>0</v>
      </c>
      <c r="AW11" s="281">
        <f t="shared" si="17"/>
        <v>0</v>
      </c>
      <c r="AX11" s="281">
        <f t="shared" si="17"/>
        <v>0</v>
      </c>
      <c r="AY11" s="281">
        <f t="shared" si="17"/>
        <v>0</v>
      </c>
      <c r="AZ11" s="281">
        <f t="shared" si="17"/>
        <v>0</v>
      </c>
      <c r="BA11" s="281">
        <f t="shared" si="17"/>
        <v>0</v>
      </c>
      <c r="BB11" s="281">
        <f t="shared" si="17"/>
        <v>0</v>
      </c>
      <c r="BC11" s="281">
        <f t="shared" si="17"/>
        <v>0</v>
      </c>
      <c r="BD11" s="281">
        <f t="shared" si="17"/>
        <v>0</v>
      </c>
      <c r="BE11" s="281">
        <f t="shared" si="17"/>
        <v>0</v>
      </c>
      <c r="BF11" s="281">
        <f t="shared" si="17"/>
        <v>4.4226136705811502E-3</v>
      </c>
      <c r="BG11" s="281">
        <f t="shared" si="17"/>
        <v>8.5031962368833681E-3</v>
      </c>
      <c r="BK11" s="278"/>
      <c r="BL11" s="278"/>
      <c r="BM11" s="278"/>
      <c r="BO11" s="278"/>
      <c r="BP11" s="278"/>
      <c r="BQ11" s="278"/>
      <c r="BS11" s="278"/>
      <c r="BT11" s="278"/>
      <c r="BU11" s="278"/>
      <c r="BW11" s="278"/>
      <c r="BX11" s="278"/>
      <c r="BY11" s="278">
        <v>0</v>
      </c>
      <c r="CA11" s="278">
        <v>52</v>
      </c>
      <c r="CB11" s="278">
        <v>73</v>
      </c>
      <c r="CC11" s="278">
        <v>235</v>
      </c>
      <c r="CE11" s="278">
        <v>47</v>
      </c>
      <c r="CF11" s="278">
        <v>277</v>
      </c>
      <c r="CG11" s="278">
        <v>564</v>
      </c>
      <c r="CI11" s="278">
        <v>573</v>
      </c>
      <c r="CJ11" s="278">
        <v>933</v>
      </c>
      <c r="CK11" s="278"/>
    </row>
    <row r="12" spans="1:90" outlineLevel="1" x14ac:dyDescent="0.3">
      <c r="A12" s="277" t="s">
        <v>157</v>
      </c>
      <c r="B12" s="278">
        <v>3706</v>
      </c>
      <c r="C12" s="278">
        <f>BK12-B12</f>
        <v>3058</v>
      </c>
      <c r="D12" s="278">
        <f t="shared" si="25"/>
        <v>3909</v>
      </c>
      <c r="E12" s="278">
        <f t="shared" si="25"/>
        <v>4136</v>
      </c>
      <c r="F12" s="278">
        <v>68</v>
      </c>
      <c r="G12" s="278">
        <f>BO12-F12</f>
        <v>37</v>
      </c>
      <c r="H12" s="278">
        <f t="shared" si="26"/>
        <v>715</v>
      </c>
      <c r="I12" s="278">
        <f t="shared" si="26"/>
        <v>1694</v>
      </c>
      <c r="J12" s="278">
        <v>379</v>
      </c>
      <c r="K12" s="278">
        <f>BS12-J12</f>
        <v>807</v>
      </c>
      <c r="L12" s="278">
        <f t="shared" si="27"/>
        <v>1252</v>
      </c>
      <c r="M12" s="278">
        <f t="shared" si="27"/>
        <v>2085</v>
      </c>
      <c r="N12" s="278">
        <v>2250</v>
      </c>
      <c r="O12" s="278">
        <f>BW12-N12</f>
        <v>2257</v>
      </c>
      <c r="P12" s="278">
        <f t="shared" si="28"/>
        <v>2738</v>
      </c>
      <c r="Q12" s="278">
        <f t="shared" si="28"/>
        <v>4207</v>
      </c>
      <c r="R12" s="278">
        <v>2596</v>
      </c>
      <c r="S12" s="278">
        <f>CA12-R12</f>
        <v>3218</v>
      </c>
      <c r="T12" s="278">
        <f t="shared" si="29"/>
        <v>3452</v>
      </c>
      <c r="U12" s="278">
        <f t="shared" si="29"/>
        <v>6802</v>
      </c>
      <c r="V12" s="278">
        <v>5556</v>
      </c>
      <c r="W12" s="278">
        <f>CE12-V12</f>
        <v>4030</v>
      </c>
      <c r="X12" s="278">
        <f t="shared" si="30"/>
        <v>5417</v>
      </c>
      <c r="Y12" s="278">
        <f t="shared" si="30"/>
        <v>6666</v>
      </c>
      <c r="Z12" s="278">
        <v>5235</v>
      </c>
      <c r="AA12" s="278">
        <f>CI12-Z12</f>
        <v>4597</v>
      </c>
      <c r="AB12" s="278">
        <f t="shared" si="31"/>
        <v>4171</v>
      </c>
      <c r="AC12" s="278">
        <f t="shared" si="31"/>
        <v>-14003</v>
      </c>
      <c r="AF12" s="278">
        <v>15528</v>
      </c>
      <c r="AG12" s="278">
        <v>15004</v>
      </c>
      <c r="AH12" s="278">
        <v>14917</v>
      </c>
      <c r="AI12" s="278">
        <v>18198</v>
      </c>
      <c r="AJ12" s="278">
        <v>13337</v>
      </c>
      <c r="AK12" s="278">
        <v>14447</v>
      </c>
      <c r="AL12" s="278">
        <f t="shared" si="18"/>
        <v>14809</v>
      </c>
      <c r="AM12" s="278">
        <f t="shared" si="19"/>
        <v>2514</v>
      </c>
      <c r="AN12" s="278">
        <f t="shared" si="20"/>
        <v>4523</v>
      </c>
      <c r="AO12" s="278">
        <f t="shared" si="21"/>
        <v>11452</v>
      </c>
      <c r="AP12" s="278">
        <f t="shared" si="22"/>
        <v>16068</v>
      </c>
      <c r="AQ12" s="278">
        <f t="shared" si="24"/>
        <v>21669</v>
      </c>
      <c r="AR12" s="279"/>
      <c r="AU12" s="280" t="str">
        <f t="shared" si="0"/>
        <v>Tata Motors Ltd</v>
      </c>
      <c r="AV12" s="281">
        <f t="shared" si="17"/>
        <v>0.4011470200728513</v>
      </c>
      <c r="AW12" s="281">
        <f t="shared" si="17"/>
        <v>0.40730786980481581</v>
      </c>
      <c r="AX12" s="281">
        <f t="shared" si="17"/>
        <v>0.33972534104625474</v>
      </c>
      <c r="AY12" s="281">
        <f t="shared" si="17"/>
        <v>0.38504506791925858</v>
      </c>
      <c r="AZ12" s="281">
        <f t="shared" si="17"/>
        <v>0.36927208793642885</v>
      </c>
      <c r="BA12" s="281">
        <f t="shared" si="17"/>
        <v>0.36471271331919619</v>
      </c>
      <c r="BB12" s="281">
        <f t="shared" si="17"/>
        <v>0.37007696921231509</v>
      </c>
      <c r="BC12" s="281">
        <f t="shared" si="17"/>
        <v>0.34334881180005461</v>
      </c>
      <c r="BD12" s="281">
        <f t="shared" si="17"/>
        <v>0.38317519484920365</v>
      </c>
      <c r="BE12" s="281">
        <f t="shared" si="17"/>
        <v>0.29815152304087478</v>
      </c>
      <c r="BF12" s="281">
        <f t="shared" si="17"/>
        <v>0.30239385727190604</v>
      </c>
      <c r="BG12" s="281">
        <f t="shared" si="17"/>
        <v>0.32669460861174771</v>
      </c>
      <c r="BK12" s="278">
        <v>6764</v>
      </c>
      <c r="BL12" s="278">
        <v>10673</v>
      </c>
      <c r="BM12" s="278">
        <v>14809</v>
      </c>
      <c r="BO12" s="278">
        <v>105</v>
      </c>
      <c r="BP12" s="278">
        <v>820</v>
      </c>
      <c r="BQ12" s="278">
        <v>2514</v>
      </c>
      <c r="BS12" s="278">
        <v>1186</v>
      </c>
      <c r="BT12" s="278">
        <v>2438</v>
      </c>
      <c r="BU12" s="278">
        <v>4523</v>
      </c>
      <c r="BW12" s="278">
        <v>4507</v>
      </c>
      <c r="BX12" s="278">
        <v>7245</v>
      </c>
      <c r="BY12" s="278">
        <v>11452</v>
      </c>
      <c r="CA12" s="278">
        <v>5814</v>
      </c>
      <c r="CB12" s="278">
        <v>9266</v>
      </c>
      <c r="CC12" s="278">
        <v>16068</v>
      </c>
      <c r="CE12" s="278">
        <v>9586</v>
      </c>
      <c r="CF12" s="278">
        <v>15003</v>
      </c>
      <c r="CG12" s="278">
        <v>21669</v>
      </c>
      <c r="CI12" s="278">
        <v>9832</v>
      </c>
      <c r="CJ12" s="278">
        <v>14003</v>
      </c>
      <c r="CK12" s="278"/>
    </row>
    <row r="13" spans="1:90" outlineLevel="1" x14ac:dyDescent="0.3">
      <c r="A13" s="277" t="s">
        <v>222</v>
      </c>
      <c r="B13" s="278">
        <v>1028</v>
      </c>
      <c r="C13" s="278">
        <f>BK13-B13</f>
        <v>746</v>
      </c>
      <c r="D13" s="278">
        <f t="shared" si="25"/>
        <v>986</v>
      </c>
      <c r="E13" s="278">
        <f t="shared" si="25"/>
        <v>930</v>
      </c>
      <c r="F13" s="278">
        <v>103</v>
      </c>
      <c r="G13" s="278">
        <f>BO13-F13</f>
        <v>267</v>
      </c>
      <c r="H13" s="278">
        <f t="shared" si="26"/>
        <v>326</v>
      </c>
      <c r="I13" s="278">
        <f t="shared" si="26"/>
        <v>628</v>
      </c>
      <c r="J13" s="278">
        <v>129</v>
      </c>
      <c r="K13" s="278">
        <f>BS13-J13</f>
        <v>368</v>
      </c>
      <c r="L13" s="278">
        <f t="shared" si="27"/>
        <v>749</v>
      </c>
      <c r="M13" s="278">
        <f t="shared" si="27"/>
        <v>1527</v>
      </c>
      <c r="N13" s="278">
        <v>2906</v>
      </c>
      <c r="O13" s="278">
        <f>BW13-N13</f>
        <v>2363</v>
      </c>
      <c r="P13" s="278">
        <f t="shared" si="28"/>
        <v>1999</v>
      </c>
      <c r="Q13" s="278">
        <f t="shared" si="28"/>
        <v>4893</v>
      </c>
      <c r="R13" s="278">
        <v>3886</v>
      </c>
      <c r="S13" s="278">
        <f>CA13-R13</f>
        <v>2671</v>
      </c>
      <c r="T13" s="278">
        <f t="shared" si="29"/>
        <v>2786</v>
      </c>
      <c r="U13" s="278">
        <f t="shared" si="29"/>
        <v>4895</v>
      </c>
      <c r="V13" s="278">
        <v>4196</v>
      </c>
      <c r="W13" s="278">
        <f>CE13-V13</f>
        <v>3095</v>
      </c>
      <c r="X13" s="278">
        <f t="shared" si="30"/>
        <v>3102</v>
      </c>
      <c r="Y13" s="278">
        <f t="shared" si="30"/>
        <v>6259</v>
      </c>
      <c r="Z13" s="278">
        <v>4897</v>
      </c>
      <c r="AA13" s="278">
        <f>CI13-Z13</f>
        <v>2582</v>
      </c>
      <c r="AB13" s="278">
        <f t="shared" si="31"/>
        <v>2881</v>
      </c>
      <c r="AC13" s="278">
        <f t="shared" si="31"/>
        <v>-10360</v>
      </c>
      <c r="AF13" s="278">
        <v>3721</v>
      </c>
      <c r="AG13" s="278">
        <v>3825</v>
      </c>
      <c r="AH13" s="278">
        <v>4597</v>
      </c>
      <c r="AI13" s="278">
        <v>5973</v>
      </c>
      <c r="AJ13" s="278">
        <v>4872</v>
      </c>
      <c r="AK13" s="278">
        <v>4151</v>
      </c>
      <c r="AL13" s="278">
        <f t="shared" si="18"/>
        <v>3690</v>
      </c>
      <c r="AM13" s="278">
        <f t="shared" si="19"/>
        <v>1324</v>
      </c>
      <c r="AN13" s="278">
        <f t="shared" si="20"/>
        <v>2773</v>
      </c>
      <c r="AO13" s="278">
        <f t="shared" si="21"/>
        <v>12161</v>
      </c>
      <c r="AP13" s="278">
        <f t="shared" si="22"/>
        <v>14238</v>
      </c>
      <c r="AQ13" s="278">
        <f t="shared" si="24"/>
        <v>16652</v>
      </c>
      <c r="AR13" s="279"/>
      <c r="AU13" s="280" t="str">
        <f t="shared" si="0"/>
        <v>VECV-Eicher</v>
      </c>
      <c r="AV13" s="281">
        <f t="shared" si="17"/>
        <v>9.6127515564855714E-2</v>
      </c>
      <c r="AW13" s="281">
        <f t="shared" si="17"/>
        <v>0.10383581724896164</v>
      </c>
      <c r="AX13" s="281">
        <f t="shared" si="17"/>
        <v>0.10469379853788517</v>
      </c>
      <c r="AY13" s="281">
        <f t="shared" si="17"/>
        <v>0.12638060175193602</v>
      </c>
      <c r="AZ13" s="281">
        <f t="shared" si="17"/>
        <v>0.13489492482764348</v>
      </c>
      <c r="BA13" s="281">
        <f t="shared" si="17"/>
        <v>0.104791477330102</v>
      </c>
      <c r="BB13" s="281">
        <f t="shared" si="17"/>
        <v>9.2213114754098366E-2</v>
      </c>
      <c r="BC13" s="281">
        <f t="shared" si="17"/>
        <v>0.18082491122644087</v>
      </c>
      <c r="BD13" s="281">
        <f t="shared" si="17"/>
        <v>0.23492036597763469</v>
      </c>
      <c r="BE13" s="281">
        <f t="shared" si="17"/>
        <v>0.31661025774537882</v>
      </c>
      <c r="BF13" s="281">
        <f t="shared" si="17"/>
        <v>0.26795392953929537</v>
      </c>
      <c r="BG13" s="281">
        <f t="shared" si="17"/>
        <v>0.25105536123507416</v>
      </c>
      <c r="BK13" s="278">
        <v>1774</v>
      </c>
      <c r="BL13" s="278">
        <v>2760</v>
      </c>
      <c r="BM13" s="278">
        <v>3690</v>
      </c>
      <c r="BO13" s="278">
        <v>370</v>
      </c>
      <c r="BP13" s="278">
        <v>696</v>
      </c>
      <c r="BQ13" s="278">
        <v>1324</v>
      </c>
      <c r="BS13" s="278">
        <v>497</v>
      </c>
      <c r="BT13" s="278">
        <v>1246</v>
      </c>
      <c r="BU13" s="278">
        <v>2773</v>
      </c>
      <c r="BW13" s="278">
        <v>5269</v>
      </c>
      <c r="BX13" s="278">
        <v>7268</v>
      </c>
      <c r="BY13" s="278">
        <v>12161</v>
      </c>
      <c r="CA13" s="278">
        <v>6557</v>
      </c>
      <c r="CB13" s="278">
        <v>9343</v>
      </c>
      <c r="CC13" s="278">
        <v>14238</v>
      </c>
      <c r="CE13" s="278">
        <v>7291</v>
      </c>
      <c r="CF13" s="278">
        <v>10393</v>
      </c>
      <c r="CG13" s="278">
        <v>16652</v>
      </c>
      <c r="CI13" s="278">
        <v>7479</v>
      </c>
      <c r="CJ13" s="278">
        <v>10360</v>
      </c>
      <c r="CK13" s="278"/>
    </row>
    <row r="14" spans="1:90" outlineLevel="1" x14ac:dyDescent="0.3">
      <c r="A14" s="277" t="s">
        <v>223</v>
      </c>
      <c r="B14" s="278">
        <v>70</v>
      </c>
      <c r="C14" s="278">
        <f>BK14-B14</f>
        <v>58</v>
      </c>
      <c r="D14" s="278">
        <f t="shared" si="25"/>
        <v>101</v>
      </c>
      <c r="E14" s="278">
        <f t="shared" si="25"/>
        <v>65</v>
      </c>
      <c r="F14" s="278">
        <v>2</v>
      </c>
      <c r="G14" s="278">
        <f>BO14-F14</f>
        <v>4</v>
      </c>
      <c r="H14" s="278">
        <f t="shared" si="26"/>
        <v>5</v>
      </c>
      <c r="I14" s="278">
        <f t="shared" si="26"/>
        <v>13</v>
      </c>
      <c r="J14" s="278"/>
      <c r="K14" s="278">
        <f>BS14-J14</f>
        <v>0</v>
      </c>
      <c r="L14" s="278">
        <f t="shared" si="27"/>
        <v>0</v>
      </c>
      <c r="M14" s="278">
        <f t="shared" si="27"/>
        <v>0</v>
      </c>
      <c r="N14" s="278"/>
      <c r="O14" s="278">
        <f>BW14-N14</f>
        <v>0</v>
      </c>
      <c r="P14" s="278">
        <f t="shared" si="28"/>
        <v>0</v>
      </c>
      <c r="Q14" s="278">
        <f t="shared" si="28"/>
        <v>0</v>
      </c>
      <c r="R14" s="278"/>
      <c r="S14" s="278">
        <f>CA14-R14</f>
        <v>0</v>
      </c>
      <c r="T14" s="278">
        <f t="shared" si="29"/>
        <v>0</v>
      </c>
      <c r="U14" s="278">
        <f t="shared" si="29"/>
        <v>0</v>
      </c>
      <c r="V14" s="278"/>
      <c r="W14" s="278">
        <f>CE14-V14</f>
        <v>0</v>
      </c>
      <c r="X14" s="278">
        <f t="shared" si="30"/>
        <v>0</v>
      </c>
      <c r="Y14" s="278">
        <f t="shared" si="30"/>
        <v>0</v>
      </c>
      <c r="Z14" s="278">
        <v>0</v>
      </c>
      <c r="AA14" s="278">
        <f>CI14-Z14</f>
        <v>0</v>
      </c>
      <c r="AB14" s="278">
        <f t="shared" si="31"/>
        <v>0</v>
      </c>
      <c r="AC14" s="278">
        <f t="shared" si="31"/>
        <v>0</v>
      </c>
      <c r="AF14" s="278">
        <v>150</v>
      </c>
      <c r="AG14" s="278" t="s">
        <v>146</v>
      </c>
      <c r="AH14" s="278"/>
      <c r="AI14" s="278"/>
      <c r="AJ14" s="278">
        <v>460</v>
      </c>
      <c r="AK14" s="278">
        <v>493</v>
      </c>
      <c r="AL14" s="278">
        <f t="shared" si="18"/>
        <v>294</v>
      </c>
      <c r="AM14" s="278">
        <f t="shared" si="19"/>
        <v>24</v>
      </c>
      <c r="AN14" s="278">
        <f t="shared" si="20"/>
        <v>0</v>
      </c>
      <c r="AO14" s="278">
        <f t="shared" si="21"/>
        <v>0</v>
      </c>
      <c r="AP14" s="278">
        <f t="shared" si="22"/>
        <v>0</v>
      </c>
      <c r="AQ14" s="278">
        <f t="shared" si="24"/>
        <v>0</v>
      </c>
      <c r="AR14" s="279"/>
      <c r="AU14" s="280" t="str">
        <f t="shared" si="0"/>
        <v>Volvo Group India Pvt Ltd</v>
      </c>
      <c r="AV14" s="281">
        <f t="shared" si="17"/>
        <v>3.8750678136867393E-3</v>
      </c>
      <c r="AW14" s="281" t="str">
        <f t="shared" si="17"/>
        <v/>
      </c>
      <c r="AX14" s="281">
        <f t="shared" si="17"/>
        <v>0</v>
      </c>
      <c r="AY14" s="281">
        <f t="shared" si="17"/>
        <v>0</v>
      </c>
      <c r="AZ14" s="281">
        <f t="shared" si="17"/>
        <v>1.2736384528061577E-2</v>
      </c>
      <c r="BA14" s="281">
        <f t="shared" si="17"/>
        <v>1.2445723518125821E-2</v>
      </c>
      <c r="BB14" s="281">
        <f t="shared" si="17"/>
        <v>7.347061175529788E-3</v>
      </c>
      <c r="BC14" s="281">
        <f t="shared" si="17"/>
        <v>3.2777929527451517E-3</v>
      </c>
      <c r="BD14" s="281">
        <f t="shared" si="17"/>
        <v>0</v>
      </c>
      <c r="BE14" s="281">
        <f t="shared" si="17"/>
        <v>0</v>
      </c>
      <c r="BF14" s="281">
        <f t="shared" si="17"/>
        <v>0</v>
      </c>
      <c r="BG14" s="281">
        <f t="shared" si="17"/>
        <v>0</v>
      </c>
      <c r="BK14" s="278">
        <v>128</v>
      </c>
      <c r="BL14" s="278">
        <v>229</v>
      </c>
      <c r="BM14" s="278">
        <v>294</v>
      </c>
      <c r="BO14" s="278">
        <v>6</v>
      </c>
      <c r="BP14" s="278">
        <v>11</v>
      </c>
      <c r="BQ14" s="278">
        <v>24</v>
      </c>
      <c r="BS14" s="278"/>
      <c r="BT14" s="278"/>
      <c r="BU14" s="278"/>
      <c r="BW14" s="278"/>
      <c r="BX14" s="278"/>
      <c r="BY14" s="278"/>
      <c r="CA14" s="278"/>
      <c r="CB14" s="278"/>
      <c r="CC14" s="278"/>
      <c r="CE14" s="278"/>
      <c r="CF14" s="278"/>
      <c r="CG14" s="278"/>
      <c r="CI14" s="278"/>
      <c r="CJ14" s="278"/>
      <c r="CK14" s="278"/>
    </row>
    <row r="15" spans="1:90" s="283" customFormat="1" x14ac:dyDescent="0.3">
      <c r="A15" s="280" t="s">
        <v>224</v>
      </c>
      <c r="B15" s="282">
        <f>SUM(B3:B14)</f>
        <v>10321</v>
      </c>
      <c r="C15" s="282">
        <f t="shared" ref="C15:AC15" si="32">SUM(C3:C14)</f>
        <v>7860</v>
      </c>
      <c r="D15" s="282">
        <f t="shared" si="32"/>
        <v>11025</v>
      </c>
      <c r="E15" s="282">
        <f t="shared" si="32"/>
        <v>10810</v>
      </c>
      <c r="F15" s="282">
        <f t="shared" si="32"/>
        <v>236</v>
      </c>
      <c r="G15" s="282">
        <f t="shared" si="32"/>
        <v>616</v>
      </c>
      <c r="H15" s="282">
        <f t="shared" si="32"/>
        <v>1726</v>
      </c>
      <c r="I15" s="282">
        <f t="shared" si="32"/>
        <v>4744</v>
      </c>
      <c r="J15" s="282">
        <f t="shared" si="32"/>
        <v>1086</v>
      </c>
      <c r="K15" s="282">
        <f t="shared" si="32"/>
        <v>1741</v>
      </c>
      <c r="L15" s="282">
        <f t="shared" si="32"/>
        <v>3615</v>
      </c>
      <c r="M15" s="282">
        <f t="shared" si="32"/>
        <v>5362</v>
      </c>
      <c r="N15" s="282">
        <f t="shared" si="32"/>
        <v>7707</v>
      </c>
      <c r="O15" s="282">
        <f t="shared" si="32"/>
        <v>7651</v>
      </c>
      <c r="P15" s="282">
        <f t="shared" si="32"/>
        <v>8387</v>
      </c>
      <c r="Q15" s="282">
        <f t="shared" si="32"/>
        <v>14665</v>
      </c>
      <c r="R15" s="282">
        <f t="shared" si="32"/>
        <v>11027</v>
      </c>
      <c r="S15" s="282">
        <f t="shared" si="32"/>
        <v>11336</v>
      </c>
      <c r="T15" s="282">
        <f t="shared" si="32"/>
        <v>11059</v>
      </c>
      <c r="U15" s="282">
        <f t="shared" si="32"/>
        <v>19714</v>
      </c>
      <c r="V15" s="282">
        <f t="shared" si="32"/>
        <v>17009</v>
      </c>
      <c r="W15" s="282">
        <f t="shared" si="32"/>
        <v>13581</v>
      </c>
      <c r="X15" s="282">
        <f t="shared" si="32"/>
        <v>13266</v>
      </c>
      <c r="Y15" s="282">
        <f t="shared" si="32"/>
        <v>22472</v>
      </c>
      <c r="Z15" s="282">
        <f t="shared" si="32"/>
        <v>18137</v>
      </c>
      <c r="AA15" s="282">
        <f t="shared" si="32"/>
        <v>13977</v>
      </c>
      <c r="AB15" s="282">
        <f t="shared" si="32"/>
        <v>15110</v>
      </c>
      <c r="AC15" s="282">
        <f t="shared" si="32"/>
        <v>-47224</v>
      </c>
      <c r="AF15" s="282">
        <f t="shared" ref="AF15:AK15" si="33">SUM(AF3:AF14)</f>
        <v>38709</v>
      </c>
      <c r="AG15" s="282">
        <f t="shared" si="33"/>
        <v>36837</v>
      </c>
      <c r="AH15" s="282">
        <f t="shared" si="33"/>
        <v>43909</v>
      </c>
      <c r="AI15" s="282">
        <f t="shared" si="33"/>
        <v>47262</v>
      </c>
      <c r="AJ15" s="282">
        <f t="shared" si="33"/>
        <v>36117</v>
      </c>
      <c r="AK15" s="282">
        <f t="shared" si="33"/>
        <v>39612</v>
      </c>
      <c r="AL15" s="282">
        <f t="shared" si="18"/>
        <v>40016</v>
      </c>
      <c r="AM15" s="282">
        <f t="shared" si="19"/>
        <v>7322</v>
      </c>
      <c r="AN15" s="282">
        <f t="shared" si="20"/>
        <v>11804</v>
      </c>
      <c r="AO15" s="282">
        <f t="shared" si="21"/>
        <v>38410</v>
      </c>
      <c r="AP15" s="282">
        <f t="shared" si="22"/>
        <v>53136</v>
      </c>
      <c r="AQ15" s="282">
        <f t="shared" si="24"/>
        <v>66328</v>
      </c>
      <c r="AR15" s="284"/>
      <c r="AU15" s="280" t="str">
        <f t="shared" si="0"/>
        <v>Total M&amp;HCV (P)</v>
      </c>
      <c r="AV15" s="281">
        <f t="shared" si="17"/>
        <v>1</v>
      </c>
      <c r="AW15" s="281">
        <f t="shared" si="17"/>
        <v>1</v>
      </c>
      <c r="AX15" s="281">
        <f t="shared" si="17"/>
        <v>1</v>
      </c>
      <c r="AY15" s="281">
        <f t="shared" si="17"/>
        <v>1</v>
      </c>
      <c r="AZ15" s="281">
        <f t="shared" si="17"/>
        <v>1</v>
      </c>
      <c r="BA15" s="281">
        <f t="shared" si="17"/>
        <v>1</v>
      </c>
      <c r="BB15" s="281">
        <f t="shared" si="17"/>
        <v>1</v>
      </c>
      <c r="BC15" s="281">
        <f t="shared" si="17"/>
        <v>1</v>
      </c>
      <c r="BD15" s="281">
        <f t="shared" si="17"/>
        <v>1</v>
      </c>
      <c r="BE15" s="281">
        <f t="shared" si="17"/>
        <v>1</v>
      </c>
      <c r="BF15" s="281">
        <f t="shared" si="17"/>
        <v>1</v>
      </c>
      <c r="BG15" s="281">
        <f t="shared" si="17"/>
        <v>1</v>
      </c>
      <c r="BK15" s="282">
        <f>SUM(BK3:BK14)</f>
        <v>18181</v>
      </c>
      <c r="BL15" s="282">
        <f>SUM(BL3:BL14)</f>
        <v>29206</v>
      </c>
      <c r="BM15" s="282">
        <f>SUM(BM3:BM14)</f>
        <v>40016</v>
      </c>
      <c r="BO15" s="282">
        <f>SUM(BO3:BO14)</f>
        <v>852</v>
      </c>
      <c r="BP15" s="282">
        <f>SUM(BP3:BP14)</f>
        <v>2578</v>
      </c>
      <c r="BQ15" s="282">
        <f t="shared" ref="BQ15" si="34">SUM(BQ3:BQ14)</f>
        <v>7322</v>
      </c>
      <c r="BS15" s="282">
        <f>SUM(BS3:BS13)</f>
        <v>2827</v>
      </c>
      <c r="BT15" s="282">
        <f>SUM(BT3:BT13)</f>
        <v>6442</v>
      </c>
      <c r="BU15" s="282">
        <f>SUM(BU3:BU13)</f>
        <v>11804</v>
      </c>
      <c r="BW15" s="282">
        <f>SUM(BW3:BW13)</f>
        <v>15358</v>
      </c>
      <c r="BX15" s="282">
        <f>SUM(BX3:BX13)</f>
        <v>23745</v>
      </c>
      <c r="BY15" s="282">
        <f>SUM(BY3:BY13)</f>
        <v>38410</v>
      </c>
      <c r="CA15" s="282">
        <f>SUM(CA3:CA13)</f>
        <v>22363</v>
      </c>
      <c r="CB15" s="282">
        <f>SUM(CB3:CB13)</f>
        <v>33422</v>
      </c>
      <c r="CC15" s="282">
        <f>SUM(CC3:CC13)</f>
        <v>53136</v>
      </c>
      <c r="CE15" s="282">
        <f>SUM(CE3:CE13)</f>
        <v>30590</v>
      </c>
      <c r="CF15" s="282">
        <f>SUM(CF3:CF13)</f>
        <v>43856</v>
      </c>
      <c r="CG15" s="282">
        <f>SUM(CG3:CG13)</f>
        <v>66328</v>
      </c>
      <c r="CI15" s="282">
        <f>SUM(CI3:CI13)</f>
        <v>32114</v>
      </c>
      <c r="CJ15" s="282">
        <f>SUM(CJ3:CJ13)</f>
        <v>47224</v>
      </c>
      <c r="CK15" s="282"/>
    </row>
    <row r="16" spans="1:90" x14ac:dyDescent="0.3">
      <c r="A16" s="280"/>
      <c r="B16" s="285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F16" s="285"/>
      <c r="AG16" s="285"/>
      <c r="AH16" s="285"/>
      <c r="AI16" s="285"/>
      <c r="AJ16" s="285"/>
      <c r="AK16" s="285"/>
      <c r="AL16" s="285"/>
      <c r="AM16" s="285"/>
      <c r="AN16" s="285"/>
      <c r="AO16" s="285"/>
      <c r="AP16" s="285"/>
      <c r="AQ16" s="285"/>
      <c r="AR16" s="275"/>
      <c r="AU16" s="280"/>
      <c r="AV16" s="286"/>
      <c r="AW16" s="286"/>
      <c r="AX16" s="286"/>
      <c r="AY16" s="286"/>
      <c r="AZ16" s="286"/>
      <c r="BA16" s="286"/>
      <c r="BB16" s="286"/>
      <c r="BC16" s="286"/>
      <c r="BD16" s="286"/>
      <c r="BE16" s="286"/>
      <c r="BF16" s="286"/>
      <c r="BG16" s="286"/>
      <c r="BK16" s="285"/>
      <c r="BL16" s="285"/>
      <c r="BM16" s="285"/>
      <c r="BO16" s="285"/>
      <c r="BP16" s="285"/>
      <c r="BQ16" s="285"/>
      <c r="BS16" s="285"/>
      <c r="BT16" s="285"/>
      <c r="BU16" s="285"/>
      <c r="BW16" s="285"/>
      <c r="BX16" s="285"/>
      <c r="BY16" s="285"/>
      <c r="CA16" s="285"/>
      <c r="CB16" s="285"/>
      <c r="CC16" s="285"/>
      <c r="CE16" s="285"/>
      <c r="CF16" s="285"/>
      <c r="CG16" s="285"/>
      <c r="CI16" s="285"/>
      <c r="CJ16" s="285"/>
      <c r="CK16" s="285"/>
    </row>
    <row r="17" spans="1:89" x14ac:dyDescent="0.3">
      <c r="A17" s="280" t="s">
        <v>225</v>
      </c>
      <c r="B17" s="285"/>
      <c r="C17" s="285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  <c r="AA17" s="285"/>
      <c r="AB17" s="285"/>
      <c r="AC17" s="285"/>
      <c r="AF17" s="285"/>
      <c r="AG17" s="285"/>
      <c r="AH17" s="285"/>
      <c r="AI17" s="285"/>
      <c r="AJ17" s="285"/>
      <c r="AK17" s="285"/>
      <c r="AL17" s="285"/>
      <c r="AM17" s="285"/>
      <c r="AN17" s="285"/>
      <c r="AO17" s="285"/>
      <c r="AP17" s="285"/>
      <c r="AQ17" s="285"/>
      <c r="AR17" s="275"/>
      <c r="AU17" s="280" t="str">
        <f t="shared" ref="AU17:AU27" si="35">A17</f>
        <v>M&amp;HCV Goods</v>
      </c>
      <c r="AV17" s="286"/>
      <c r="AW17" s="286"/>
      <c r="AX17" s="286"/>
      <c r="AY17" s="286"/>
      <c r="AZ17" s="286"/>
      <c r="BA17" s="286"/>
      <c r="BB17" s="286"/>
      <c r="BC17" s="286"/>
      <c r="BD17" s="286"/>
      <c r="BE17" s="286"/>
      <c r="BF17" s="286"/>
      <c r="BG17" s="286"/>
      <c r="BK17" s="285"/>
      <c r="BL17" s="285"/>
      <c r="BM17" s="285"/>
      <c r="BO17" s="285"/>
      <c r="BP17" s="285"/>
      <c r="BQ17" s="285"/>
      <c r="BS17" s="285"/>
      <c r="BT17" s="285"/>
      <c r="BU17" s="285"/>
      <c r="BW17" s="285"/>
      <c r="BX17" s="285"/>
      <c r="BY17" s="285"/>
      <c r="CA17" s="285"/>
      <c r="CB17" s="285"/>
      <c r="CC17" s="285"/>
      <c r="CE17" s="285"/>
      <c r="CF17" s="285"/>
      <c r="CG17" s="285"/>
      <c r="CI17" s="285"/>
      <c r="CJ17" s="285"/>
      <c r="CK17" s="285"/>
    </row>
    <row r="18" spans="1:89" outlineLevel="1" x14ac:dyDescent="0.3">
      <c r="A18" s="277" t="s">
        <v>226</v>
      </c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  <c r="AB18" s="285"/>
      <c r="AC18" s="285"/>
      <c r="AF18" s="285">
        <v>4606</v>
      </c>
      <c r="AG18" s="285">
        <v>3025</v>
      </c>
      <c r="AH18" s="285">
        <v>848</v>
      </c>
      <c r="AI18" s="285">
        <v>122</v>
      </c>
      <c r="AJ18" s="285"/>
      <c r="AK18" s="285"/>
      <c r="AL18" s="285"/>
      <c r="AM18" s="285"/>
      <c r="AN18" s="285"/>
      <c r="AO18" s="285"/>
      <c r="AP18" s="285"/>
      <c r="AQ18" s="285"/>
      <c r="AR18" s="275"/>
      <c r="AU18" s="280" t="str">
        <f t="shared" si="35"/>
        <v>AMW Motors Ltd</v>
      </c>
      <c r="AV18" s="281">
        <f t="shared" ref="AV18:BG27" si="36">IFERROR(AF18/AF$27,"")</f>
        <v>2.8448078859112217E-2</v>
      </c>
      <c r="AW18" s="281">
        <f t="shared" si="36"/>
        <v>1.5440133116916261E-2</v>
      </c>
      <c r="AX18" s="281">
        <f t="shared" si="36"/>
        <v>3.2806165083098635E-3</v>
      </c>
      <c r="AY18" s="281">
        <f t="shared" si="36"/>
        <v>4.7793095073001994E-4</v>
      </c>
      <c r="AZ18" s="281">
        <f t="shared" si="36"/>
        <v>0</v>
      </c>
      <c r="BA18" s="281">
        <f t="shared" si="36"/>
        <v>0</v>
      </c>
      <c r="BB18" s="281">
        <f t="shared" si="36"/>
        <v>0</v>
      </c>
      <c r="BC18" s="281">
        <f t="shared" si="36"/>
        <v>0</v>
      </c>
      <c r="BD18" s="281">
        <f t="shared" si="36"/>
        <v>0</v>
      </c>
      <c r="BE18" s="281">
        <f t="shared" si="36"/>
        <v>0</v>
      </c>
      <c r="BF18" s="281">
        <f t="shared" si="36"/>
        <v>0</v>
      </c>
      <c r="BG18" s="281">
        <f t="shared" si="36"/>
        <v>0</v>
      </c>
      <c r="BK18" s="285"/>
      <c r="BL18" s="285"/>
      <c r="BM18" s="285"/>
      <c r="BO18" s="285"/>
      <c r="BP18" s="285"/>
      <c r="BQ18" s="285"/>
      <c r="BS18" s="285"/>
      <c r="BT18" s="285"/>
      <c r="BU18" s="285"/>
      <c r="BW18" s="285"/>
      <c r="BX18" s="285"/>
      <c r="BY18" s="285"/>
      <c r="CA18" s="285"/>
      <c r="CB18" s="285"/>
      <c r="CC18" s="285"/>
      <c r="CE18" s="285"/>
      <c r="CF18" s="285"/>
      <c r="CG18" s="285"/>
      <c r="CI18" s="285"/>
      <c r="CJ18" s="285"/>
      <c r="CK18" s="285"/>
    </row>
    <row r="19" spans="1:89" outlineLevel="1" x14ac:dyDescent="0.3">
      <c r="A19" s="277" t="s">
        <v>163</v>
      </c>
      <c r="B19" s="278">
        <v>21095</v>
      </c>
      <c r="C19" s="278">
        <f t="shared" ref="C19:C26" si="37">BK19-B19</f>
        <v>11134</v>
      </c>
      <c r="D19" s="278">
        <f t="shared" ref="D19:E26" si="38">BL19-BK19</f>
        <v>10595</v>
      </c>
      <c r="E19" s="278">
        <f t="shared" si="38"/>
        <v>10403</v>
      </c>
      <c r="F19" s="278">
        <v>661</v>
      </c>
      <c r="G19" s="278">
        <f t="shared" ref="G19:G26" si="39">BO19-F19</f>
        <v>6728</v>
      </c>
      <c r="H19" s="278">
        <f t="shared" ref="H19:I26" si="40">BP19-BO19</f>
        <v>13920</v>
      </c>
      <c r="I19" s="278">
        <f t="shared" si="40"/>
        <v>21901</v>
      </c>
      <c r="J19" s="278">
        <v>7347</v>
      </c>
      <c r="K19" s="278">
        <f t="shared" ref="K19:K26" si="41">BS19-J19</f>
        <v>11503</v>
      </c>
      <c r="L19" s="278">
        <f t="shared" ref="L19:M26" si="42">BT19-BS19</f>
        <v>15293</v>
      </c>
      <c r="M19" s="278">
        <f t="shared" si="42"/>
        <v>27158</v>
      </c>
      <c r="N19" s="278">
        <v>21147</v>
      </c>
      <c r="O19" s="278">
        <f t="shared" ref="O19:O26" si="43">BW19-N19</f>
        <v>23275</v>
      </c>
      <c r="P19" s="278">
        <f t="shared" ref="P19:Q26" si="44">BX19-BW19</f>
        <v>25228</v>
      </c>
      <c r="Q19" s="278">
        <f t="shared" si="44"/>
        <v>33830</v>
      </c>
      <c r="R19" s="278">
        <v>21209</v>
      </c>
      <c r="S19" s="278">
        <f t="shared" ref="S19:S26" si="45">CA19-R19</f>
        <v>25652</v>
      </c>
      <c r="T19" s="278">
        <f t="shared" ref="T19:U26" si="46">CB19-CA19</f>
        <v>23240</v>
      </c>
      <c r="U19" s="278">
        <f t="shared" si="46"/>
        <v>28012</v>
      </c>
      <c r="V19" s="278">
        <v>20602</v>
      </c>
      <c r="W19" s="278">
        <f t="shared" ref="W19:W26" si="47">CE19-V19</f>
        <v>21053</v>
      </c>
      <c r="X19" s="278">
        <f t="shared" ref="X19:Y26" si="48">CF19-CE19</f>
        <v>22796</v>
      </c>
      <c r="Y19" s="278">
        <f t="shared" si="48"/>
        <v>29089</v>
      </c>
      <c r="Z19" s="278">
        <v>19935</v>
      </c>
      <c r="AA19" s="278">
        <f t="shared" ref="AA19:AA26" si="49">CI19-Z19</f>
        <v>21896</v>
      </c>
      <c r="AB19" s="278">
        <f t="shared" ref="AB19:AC26" si="50">CJ19-CI19</f>
        <v>27935</v>
      </c>
      <c r="AC19" s="278">
        <f t="shared" si="50"/>
        <v>-69766</v>
      </c>
      <c r="AF19" s="278">
        <v>36867</v>
      </c>
      <c r="AG19" s="278">
        <v>53291</v>
      </c>
      <c r="AH19" s="278">
        <v>79223</v>
      </c>
      <c r="AI19" s="278">
        <v>84588</v>
      </c>
      <c r="AJ19" s="278">
        <v>102826</v>
      </c>
      <c r="AK19" s="278">
        <v>115613</v>
      </c>
      <c r="AL19" s="278">
        <f t="shared" ref="AL19:AL27" si="51">SUM(B19:E19)</f>
        <v>53227</v>
      </c>
      <c r="AM19" s="278">
        <f t="shared" ref="AM19:AM27" si="52">SUM(F19:I19)</f>
        <v>43210</v>
      </c>
      <c r="AN19" s="278">
        <f t="shared" ref="AN19:AN27" si="53">SUM(J19:M19)</f>
        <v>61301</v>
      </c>
      <c r="AO19" s="278">
        <f t="shared" ref="AO19:AO27" si="54">SUM(N19:Q19)</f>
        <v>103480</v>
      </c>
      <c r="AP19" s="278">
        <f t="shared" ref="AP19:AP27" si="55">SUM(R19:U19)</f>
        <v>98113</v>
      </c>
      <c r="AQ19" s="278">
        <f t="shared" ref="AQ19:AQ27" si="56">SUM(V19:Y19)</f>
        <v>93540</v>
      </c>
      <c r="AR19" s="279"/>
      <c r="AU19" s="280" t="str">
        <f t="shared" si="35"/>
        <v>Ashok Leyland Ltd</v>
      </c>
      <c r="AV19" s="281">
        <f t="shared" si="36"/>
        <v>0.2277019807422688</v>
      </c>
      <c r="AW19" s="281">
        <f t="shared" si="36"/>
        <v>0.27200665584581302</v>
      </c>
      <c r="AX19" s="281">
        <f t="shared" si="36"/>
        <v>0.30648618117668908</v>
      </c>
      <c r="AY19" s="281">
        <f t="shared" si="36"/>
        <v>0.33137068246189283</v>
      </c>
      <c r="AZ19" s="281">
        <f t="shared" si="36"/>
        <v>0.33750623637843657</v>
      </c>
      <c r="BA19" s="281">
        <f t="shared" si="36"/>
        <v>0.3292616937413137</v>
      </c>
      <c r="BB19" s="281">
        <f t="shared" si="36"/>
        <v>0.28863089169902173</v>
      </c>
      <c r="BC19" s="281">
        <f t="shared" si="36"/>
        <v>0.28174432403531424</v>
      </c>
      <c r="BD19" s="281">
        <f t="shared" si="36"/>
        <v>0.26795557168022449</v>
      </c>
      <c r="BE19" s="281">
        <f t="shared" si="36"/>
        <v>0.32277685414216778</v>
      </c>
      <c r="BF19" s="281">
        <f t="shared" si="36"/>
        <v>0.30654756325416016</v>
      </c>
      <c r="BG19" s="281">
        <f t="shared" si="36"/>
        <v>0.3042040254836727</v>
      </c>
      <c r="BK19" s="278">
        <v>32229</v>
      </c>
      <c r="BL19" s="278">
        <v>42824</v>
      </c>
      <c r="BM19" s="278">
        <v>53227</v>
      </c>
      <c r="BO19" s="278">
        <v>7389</v>
      </c>
      <c r="BP19" s="278">
        <v>21309</v>
      </c>
      <c r="BQ19" s="278">
        <v>43210</v>
      </c>
      <c r="BS19" s="278">
        <v>18850</v>
      </c>
      <c r="BT19" s="278">
        <v>34143</v>
      </c>
      <c r="BU19" s="278">
        <v>61301</v>
      </c>
      <c r="BW19" s="278">
        <v>44422</v>
      </c>
      <c r="BX19" s="278">
        <v>69650</v>
      </c>
      <c r="BY19" s="278">
        <v>103480</v>
      </c>
      <c r="CA19" s="278">
        <v>46861</v>
      </c>
      <c r="CB19" s="278">
        <v>70101</v>
      </c>
      <c r="CC19" s="278">
        <v>98113</v>
      </c>
      <c r="CE19" s="278">
        <v>41655</v>
      </c>
      <c r="CF19" s="278">
        <v>64451</v>
      </c>
      <c r="CG19" s="278">
        <v>93540</v>
      </c>
      <c r="CI19" s="278">
        <v>41831</v>
      </c>
      <c r="CJ19" s="278">
        <v>69766</v>
      </c>
      <c r="CK19" s="278"/>
    </row>
    <row r="20" spans="1:89" outlineLevel="1" x14ac:dyDescent="0.3">
      <c r="A20" s="277" t="s">
        <v>150</v>
      </c>
      <c r="B20" s="278">
        <v>2040</v>
      </c>
      <c r="C20" s="278">
        <f t="shared" si="37"/>
        <v>1389</v>
      </c>
      <c r="D20" s="278">
        <f t="shared" si="38"/>
        <v>1326</v>
      </c>
      <c r="E20" s="278">
        <f t="shared" si="38"/>
        <v>1102</v>
      </c>
      <c r="F20" s="278">
        <v>111</v>
      </c>
      <c r="G20" s="278">
        <f t="shared" si="39"/>
        <v>503</v>
      </c>
      <c r="H20" s="278">
        <f t="shared" si="40"/>
        <v>1064</v>
      </c>
      <c r="I20" s="278">
        <f t="shared" si="40"/>
        <v>1432</v>
      </c>
      <c r="J20" s="278">
        <v>635</v>
      </c>
      <c r="K20" s="278">
        <f t="shared" si="41"/>
        <v>1121</v>
      </c>
      <c r="L20" s="278">
        <f t="shared" si="42"/>
        <v>1262</v>
      </c>
      <c r="M20" s="278">
        <f t="shared" si="42"/>
        <v>1526</v>
      </c>
      <c r="N20" s="278">
        <v>1286</v>
      </c>
      <c r="O20" s="278">
        <f t="shared" si="43"/>
        <v>1360</v>
      </c>
      <c r="P20" s="278">
        <f t="shared" si="44"/>
        <v>1585</v>
      </c>
      <c r="Q20" s="278">
        <f t="shared" si="44"/>
        <v>2168</v>
      </c>
      <c r="R20" s="278">
        <v>1957</v>
      </c>
      <c r="S20" s="278">
        <f t="shared" si="45"/>
        <v>1889</v>
      </c>
      <c r="T20" s="278">
        <f t="shared" si="46"/>
        <v>1870</v>
      </c>
      <c r="U20" s="278">
        <f t="shared" si="46"/>
        <v>2248</v>
      </c>
      <c r="V20" s="278">
        <v>1603</v>
      </c>
      <c r="W20" s="278">
        <f t="shared" si="47"/>
        <v>1673</v>
      </c>
      <c r="X20" s="278">
        <f t="shared" si="48"/>
        <v>1609</v>
      </c>
      <c r="Y20" s="278">
        <f t="shared" si="48"/>
        <v>1912</v>
      </c>
      <c r="Z20" s="278">
        <v>1479</v>
      </c>
      <c r="AA20" s="278">
        <f t="shared" si="49"/>
        <v>1526</v>
      </c>
      <c r="AB20" s="278">
        <f t="shared" si="50"/>
        <v>1839</v>
      </c>
      <c r="AC20" s="278">
        <f t="shared" si="50"/>
        <v>-4844</v>
      </c>
      <c r="AF20" s="278">
        <v>2285</v>
      </c>
      <c r="AG20" s="278">
        <v>3499</v>
      </c>
      <c r="AH20" s="278">
        <v>5705</v>
      </c>
      <c r="AI20" s="278">
        <v>6714</v>
      </c>
      <c r="AJ20" s="278">
        <v>9484</v>
      </c>
      <c r="AK20" s="278">
        <v>11014</v>
      </c>
      <c r="AL20" s="278">
        <f t="shared" si="51"/>
        <v>5857</v>
      </c>
      <c r="AM20" s="278">
        <f t="shared" si="52"/>
        <v>3110</v>
      </c>
      <c r="AN20" s="278">
        <f t="shared" si="53"/>
        <v>4544</v>
      </c>
      <c r="AO20" s="278">
        <f t="shared" si="54"/>
        <v>6399</v>
      </c>
      <c r="AP20" s="278">
        <f t="shared" si="55"/>
        <v>7964</v>
      </c>
      <c r="AQ20" s="278">
        <f t="shared" si="56"/>
        <v>6797</v>
      </c>
      <c r="AR20" s="279"/>
      <c r="AU20" s="280" t="str">
        <f t="shared" si="35"/>
        <v>Mahindra &amp; Mahindra Ltd</v>
      </c>
      <c r="AV20" s="281">
        <f t="shared" si="36"/>
        <v>1.4112865869099309E-2</v>
      </c>
      <c r="AW20" s="281">
        <f t="shared" si="36"/>
        <v>1.785951265325289E-2</v>
      </c>
      <c r="AX20" s="281">
        <f t="shared" si="36"/>
        <v>2.2070657051778034E-2</v>
      </c>
      <c r="AY20" s="281">
        <f t="shared" si="36"/>
        <v>2.6301872157388148E-2</v>
      </c>
      <c r="AZ20" s="281">
        <f t="shared" si="36"/>
        <v>3.1129375311818922E-2</v>
      </c>
      <c r="BA20" s="281">
        <f t="shared" si="36"/>
        <v>3.1367478526349364E-2</v>
      </c>
      <c r="BB20" s="281">
        <f t="shared" si="36"/>
        <v>3.1760406047328806E-2</v>
      </c>
      <c r="BC20" s="281">
        <f t="shared" si="36"/>
        <v>2.0278288538528748E-2</v>
      </c>
      <c r="BD20" s="281">
        <f t="shared" si="36"/>
        <v>1.9862483772123459E-2</v>
      </c>
      <c r="BE20" s="281">
        <f t="shared" si="36"/>
        <v>1.995988683470943E-2</v>
      </c>
      <c r="BF20" s="281">
        <f t="shared" si="36"/>
        <v>2.48829899580701E-2</v>
      </c>
      <c r="BG20" s="281">
        <f t="shared" si="36"/>
        <v>2.2104712007831123E-2</v>
      </c>
      <c r="BK20" s="278">
        <v>3429</v>
      </c>
      <c r="BL20" s="278">
        <v>4755</v>
      </c>
      <c r="BM20" s="278">
        <v>5857</v>
      </c>
      <c r="BO20" s="278">
        <v>614</v>
      </c>
      <c r="BP20" s="278">
        <v>1678</v>
      </c>
      <c r="BQ20" s="278">
        <v>3110</v>
      </c>
      <c r="BS20" s="278">
        <v>1756</v>
      </c>
      <c r="BT20" s="278">
        <v>3018</v>
      </c>
      <c r="BU20" s="278">
        <v>4544</v>
      </c>
      <c r="BW20" s="278">
        <v>2646</v>
      </c>
      <c r="BX20" s="278">
        <v>4231</v>
      </c>
      <c r="BY20" s="278">
        <v>6399</v>
      </c>
      <c r="CA20" s="278">
        <v>3846</v>
      </c>
      <c r="CB20" s="278">
        <v>5716</v>
      </c>
      <c r="CC20" s="278">
        <v>7964</v>
      </c>
      <c r="CE20" s="278">
        <v>3276</v>
      </c>
      <c r="CF20" s="278">
        <v>4885</v>
      </c>
      <c r="CG20" s="278">
        <v>6797</v>
      </c>
      <c r="CI20" s="278">
        <v>3005</v>
      </c>
      <c r="CJ20" s="278">
        <v>4844</v>
      </c>
      <c r="CK20" s="278"/>
    </row>
    <row r="21" spans="1:89" outlineLevel="1" x14ac:dyDescent="0.3">
      <c r="A21" s="277" t="s">
        <v>227</v>
      </c>
      <c r="B21" s="278"/>
      <c r="C21" s="278">
        <f t="shared" si="37"/>
        <v>0</v>
      </c>
      <c r="D21" s="278">
        <f t="shared" si="38"/>
        <v>0</v>
      </c>
      <c r="E21" s="278">
        <f t="shared" si="38"/>
        <v>0</v>
      </c>
      <c r="F21" s="278"/>
      <c r="G21" s="278">
        <f t="shared" si="39"/>
        <v>0</v>
      </c>
      <c r="H21" s="278">
        <f t="shared" si="40"/>
        <v>0</v>
      </c>
      <c r="I21" s="278">
        <f t="shared" si="40"/>
        <v>0</v>
      </c>
      <c r="J21" s="278"/>
      <c r="K21" s="278">
        <f t="shared" si="41"/>
        <v>0</v>
      </c>
      <c r="L21" s="278">
        <f t="shared" si="42"/>
        <v>0</v>
      </c>
      <c r="M21" s="278">
        <f t="shared" si="42"/>
        <v>0</v>
      </c>
      <c r="N21" s="278"/>
      <c r="O21" s="278">
        <f t="shared" si="43"/>
        <v>0</v>
      </c>
      <c r="P21" s="278">
        <f t="shared" si="44"/>
        <v>0</v>
      </c>
      <c r="Q21" s="278">
        <f t="shared" si="44"/>
        <v>0</v>
      </c>
      <c r="R21" s="278"/>
      <c r="S21" s="278">
        <f t="shared" si="45"/>
        <v>0</v>
      </c>
      <c r="T21" s="278">
        <f t="shared" si="46"/>
        <v>124</v>
      </c>
      <c r="U21" s="278">
        <f t="shared" si="46"/>
        <v>-124</v>
      </c>
      <c r="V21" s="278">
        <v>14</v>
      </c>
      <c r="W21" s="278">
        <f t="shared" si="47"/>
        <v>10</v>
      </c>
      <c r="X21" s="278">
        <f t="shared" si="48"/>
        <v>28</v>
      </c>
      <c r="Y21" s="278">
        <f t="shared" si="48"/>
        <v>18</v>
      </c>
      <c r="Z21" s="278">
        <v>26</v>
      </c>
      <c r="AA21" s="278">
        <f t="shared" si="49"/>
        <v>28</v>
      </c>
      <c r="AB21" s="278">
        <f t="shared" si="50"/>
        <v>29</v>
      </c>
      <c r="AC21" s="278">
        <f t="shared" si="50"/>
        <v>-83</v>
      </c>
      <c r="AF21" s="278"/>
      <c r="AG21" s="278"/>
      <c r="AH21" s="278"/>
      <c r="AI21" s="278"/>
      <c r="AJ21" s="278">
        <v>0</v>
      </c>
      <c r="AK21" s="278">
        <v>0</v>
      </c>
      <c r="AL21" s="278">
        <f t="shared" si="51"/>
        <v>0</v>
      </c>
      <c r="AM21" s="278">
        <f t="shared" si="52"/>
        <v>0</v>
      </c>
      <c r="AN21" s="278">
        <f t="shared" si="53"/>
        <v>0</v>
      </c>
      <c r="AO21" s="278">
        <f t="shared" si="54"/>
        <v>0</v>
      </c>
      <c r="AP21" s="278">
        <f t="shared" si="55"/>
        <v>0</v>
      </c>
      <c r="AQ21" s="278">
        <f t="shared" si="56"/>
        <v>70</v>
      </c>
      <c r="AR21" s="279"/>
      <c r="AU21" s="280" t="str">
        <f t="shared" si="35"/>
        <v>Scania Commercial Vehicles India Pvt Ltd</v>
      </c>
      <c r="AV21" s="281">
        <f t="shared" si="36"/>
        <v>0</v>
      </c>
      <c r="AW21" s="281">
        <f t="shared" si="36"/>
        <v>0</v>
      </c>
      <c r="AX21" s="281">
        <f t="shared" si="36"/>
        <v>0</v>
      </c>
      <c r="AY21" s="281">
        <f t="shared" si="36"/>
        <v>0</v>
      </c>
      <c r="AZ21" s="281">
        <f t="shared" si="36"/>
        <v>0</v>
      </c>
      <c r="BA21" s="281">
        <f t="shared" si="36"/>
        <v>0</v>
      </c>
      <c r="BB21" s="281">
        <f t="shared" si="36"/>
        <v>0</v>
      </c>
      <c r="BC21" s="281">
        <f t="shared" si="36"/>
        <v>0</v>
      </c>
      <c r="BD21" s="281">
        <f t="shared" si="36"/>
        <v>0</v>
      </c>
      <c r="BE21" s="281">
        <f t="shared" si="36"/>
        <v>0</v>
      </c>
      <c r="BF21" s="281">
        <f t="shared" si="36"/>
        <v>0</v>
      </c>
      <c r="BG21" s="281">
        <f t="shared" si="36"/>
        <v>2.2764893931854916E-4</v>
      </c>
      <c r="BK21" s="278"/>
      <c r="BL21" s="278"/>
      <c r="BM21" s="278"/>
      <c r="BO21" s="278"/>
      <c r="BP21" s="278"/>
      <c r="BQ21" s="278"/>
      <c r="BS21" s="278"/>
      <c r="BT21" s="278"/>
      <c r="BU21" s="278"/>
      <c r="BW21" s="278"/>
      <c r="BX21" s="278"/>
      <c r="BY21" s="278"/>
      <c r="CA21" s="278"/>
      <c r="CB21" s="278">
        <v>124</v>
      </c>
      <c r="CC21" s="278"/>
      <c r="CE21" s="278">
        <v>24</v>
      </c>
      <c r="CF21" s="278">
        <v>52</v>
      </c>
      <c r="CG21" s="278">
        <v>70</v>
      </c>
      <c r="CI21" s="278">
        <v>54</v>
      </c>
      <c r="CJ21" s="278">
        <v>83</v>
      </c>
      <c r="CK21" s="278"/>
    </row>
    <row r="22" spans="1:89" outlineLevel="1" x14ac:dyDescent="0.3">
      <c r="A22" s="277" t="s">
        <v>220</v>
      </c>
      <c r="B22" s="278">
        <v>610</v>
      </c>
      <c r="C22" s="278">
        <f t="shared" si="37"/>
        <v>382</v>
      </c>
      <c r="D22" s="278">
        <f t="shared" si="38"/>
        <v>358</v>
      </c>
      <c r="E22" s="278">
        <f t="shared" si="38"/>
        <v>353</v>
      </c>
      <c r="F22" s="278">
        <v>59</v>
      </c>
      <c r="G22" s="278">
        <f t="shared" si="39"/>
        <v>411</v>
      </c>
      <c r="H22" s="278">
        <f t="shared" si="40"/>
        <v>693</v>
      </c>
      <c r="I22" s="278">
        <f t="shared" si="40"/>
        <v>988</v>
      </c>
      <c r="J22" s="278">
        <v>321</v>
      </c>
      <c r="K22" s="278">
        <f t="shared" si="41"/>
        <v>729</v>
      </c>
      <c r="L22" s="278">
        <f t="shared" si="42"/>
        <v>839</v>
      </c>
      <c r="M22" s="278">
        <f t="shared" si="42"/>
        <v>812</v>
      </c>
      <c r="N22" s="278">
        <v>606</v>
      </c>
      <c r="O22" s="278">
        <f t="shared" si="43"/>
        <v>457</v>
      </c>
      <c r="P22" s="278">
        <f t="shared" si="44"/>
        <v>474</v>
      </c>
      <c r="Q22" s="278">
        <f t="shared" si="44"/>
        <v>518</v>
      </c>
      <c r="R22" s="278">
        <v>467</v>
      </c>
      <c r="S22" s="278">
        <f t="shared" si="45"/>
        <v>524</v>
      </c>
      <c r="T22" s="278">
        <f t="shared" si="46"/>
        <v>517</v>
      </c>
      <c r="U22" s="278">
        <f t="shared" si="46"/>
        <v>696</v>
      </c>
      <c r="V22" s="278">
        <v>537</v>
      </c>
      <c r="W22" s="278">
        <f t="shared" si="47"/>
        <v>524</v>
      </c>
      <c r="X22" s="278">
        <f t="shared" si="48"/>
        <v>454</v>
      </c>
      <c r="Y22" s="278">
        <f t="shared" si="48"/>
        <v>591</v>
      </c>
      <c r="Z22" s="278">
        <v>494</v>
      </c>
      <c r="AA22" s="278">
        <f t="shared" si="49"/>
        <v>505</v>
      </c>
      <c r="AB22" s="278">
        <f t="shared" si="50"/>
        <v>657</v>
      </c>
      <c r="AC22" s="278">
        <f t="shared" si="50"/>
        <v>-1656</v>
      </c>
      <c r="AF22" s="278">
        <v>2095</v>
      </c>
      <c r="AG22" s="278">
        <v>1970</v>
      </c>
      <c r="AH22" s="278">
        <v>2660</v>
      </c>
      <c r="AI22" s="278">
        <v>3366</v>
      </c>
      <c r="AJ22" s="278">
        <v>2307</v>
      </c>
      <c r="AK22" s="278">
        <v>2780</v>
      </c>
      <c r="AL22" s="278">
        <f t="shared" si="51"/>
        <v>1703</v>
      </c>
      <c r="AM22" s="278">
        <f t="shared" si="52"/>
        <v>2151</v>
      </c>
      <c r="AN22" s="278">
        <f t="shared" si="53"/>
        <v>2701</v>
      </c>
      <c r="AO22" s="278">
        <f t="shared" si="54"/>
        <v>2055</v>
      </c>
      <c r="AP22" s="278">
        <f t="shared" si="55"/>
        <v>2204</v>
      </c>
      <c r="AQ22" s="278">
        <f t="shared" si="56"/>
        <v>2106</v>
      </c>
      <c r="AR22" s="279"/>
      <c r="AU22" s="280" t="str">
        <f t="shared" si="35"/>
        <v>SML Isuzu Ltd</v>
      </c>
      <c r="AV22" s="281">
        <f t="shared" si="36"/>
        <v>1.2939367175388645E-2</v>
      </c>
      <c r="AW22" s="281">
        <f t="shared" si="36"/>
        <v>1.0055227186884308E-2</v>
      </c>
      <c r="AX22" s="281">
        <f t="shared" si="36"/>
        <v>1.0290613103896507E-2</v>
      </c>
      <c r="AY22" s="281">
        <f t="shared" si="36"/>
        <v>1.3186193279977436E-2</v>
      </c>
      <c r="AZ22" s="281">
        <f t="shared" si="36"/>
        <v>7.572276343775438E-3</v>
      </c>
      <c r="BA22" s="281">
        <f t="shared" si="36"/>
        <v>7.9173406848784492E-3</v>
      </c>
      <c r="BB22" s="281">
        <f t="shared" si="36"/>
        <v>9.234756957247901E-3</v>
      </c>
      <c r="BC22" s="281">
        <f t="shared" si="36"/>
        <v>1.4025272876648018E-2</v>
      </c>
      <c r="BD22" s="281">
        <f t="shared" si="36"/>
        <v>1.1806463175287293E-2</v>
      </c>
      <c r="BE22" s="281">
        <f t="shared" si="36"/>
        <v>6.4099964752817439E-3</v>
      </c>
      <c r="BF22" s="281">
        <f t="shared" si="36"/>
        <v>6.8862518668491336E-3</v>
      </c>
      <c r="BG22" s="281">
        <f t="shared" si="36"/>
        <v>6.8489809457837787E-3</v>
      </c>
      <c r="BK22" s="278">
        <v>992</v>
      </c>
      <c r="BL22" s="278">
        <v>1350</v>
      </c>
      <c r="BM22" s="278">
        <v>1703</v>
      </c>
      <c r="BO22" s="278">
        <v>470</v>
      </c>
      <c r="BP22" s="278">
        <v>1163</v>
      </c>
      <c r="BQ22" s="278">
        <v>2151</v>
      </c>
      <c r="BS22" s="278">
        <v>1050</v>
      </c>
      <c r="BT22" s="278">
        <v>1889</v>
      </c>
      <c r="BU22" s="278">
        <v>2701</v>
      </c>
      <c r="BW22" s="278">
        <v>1063</v>
      </c>
      <c r="BX22" s="278">
        <v>1537</v>
      </c>
      <c r="BY22" s="278">
        <v>2055</v>
      </c>
      <c r="CA22" s="278">
        <v>991</v>
      </c>
      <c r="CB22" s="278">
        <v>1508</v>
      </c>
      <c r="CC22" s="278">
        <v>2204</v>
      </c>
      <c r="CE22" s="278">
        <v>1061</v>
      </c>
      <c r="CF22" s="278">
        <v>1515</v>
      </c>
      <c r="CG22" s="278">
        <v>2106</v>
      </c>
      <c r="CI22" s="278">
        <v>999</v>
      </c>
      <c r="CJ22" s="278">
        <v>1656</v>
      </c>
      <c r="CK22" s="278"/>
    </row>
    <row r="23" spans="1:89" outlineLevel="1" x14ac:dyDescent="0.3">
      <c r="A23" s="277" t="s">
        <v>157</v>
      </c>
      <c r="B23" s="278">
        <v>33058</v>
      </c>
      <c r="C23" s="278">
        <f t="shared" si="37"/>
        <v>20912</v>
      </c>
      <c r="D23" s="278">
        <f t="shared" si="38"/>
        <v>23651</v>
      </c>
      <c r="E23" s="278">
        <f t="shared" si="38"/>
        <v>19798</v>
      </c>
      <c r="F23" s="278">
        <v>2512</v>
      </c>
      <c r="G23" s="278">
        <f t="shared" si="39"/>
        <v>12093</v>
      </c>
      <c r="H23" s="278">
        <f t="shared" si="40"/>
        <v>25879</v>
      </c>
      <c r="I23" s="278">
        <f t="shared" si="40"/>
        <v>39298</v>
      </c>
      <c r="J23" s="278">
        <v>16598</v>
      </c>
      <c r="K23" s="278">
        <f t="shared" si="41"/>
        <v>28594</v>
      </c>
      <c r="L23" s="278">
        <f t="shared" si="42"/>
        <v>32501</v>
      </c>
      <c r="M23" s="278">
        <f t="shared" si="42"/>
        <v>46117</v>
      </c>
      <c r="N23" s="278">
        <v>35241</v>
      </c>
      <c r="O23" s="278">
        <f t="shared" si="43"/>
        <v>35886</v>
      </c>
      <c r="P23" s="278">
        <f t="shared" si="44"/>
        <v>37653</v>
      </c>
      <c r="Q23" s="278">
        <f t="shared" si="44"/>
        <v>50228</v>
      </c>
      <c r="R23" s="278">
        <v>31660</v>
      </c>
      <c r="S23" s="278">
        <f t="shared" si="45"/>
        <v>41956</v>
      </c>
      <c r="T23" s="278">
        <f t="shared" si="46"/>
        <v>40913</v>
      </c>
      <c r="U23" s="278">
        <f t="shared" si="46"/>
        <v>43841</v>
      </c>
      <c r="V23" s="278">
        <v>34793</v>
      </c>
      <c r="W23" s="278">
        <f t="shared" si="47"/>
        <v>33342</v>
      </c>
      <c r="X23" s="278">
        <f t="shared" si="48"/>
        <v>38606</v>
      </c>
      <c r="Y23" s="278">
        <f t="shared" si="48"/>
        <v>44885</v>
      </c>
      <c r="Z23" s="278">
        <v>32135</v>
      </c>
      <c r="AA23" s="278">
        <f t="shared" si="49"/>
        <v>36864</v>
      </c>
      <c r="AB23" s="278">
        <f t="shared" si="50"/>
        <v>48934</v>
      </c>
      <c r="AC23" s="278">
        <f t="shared" si="50"/>
        <v>-117933</v>
      </c>
      <c r="AF23" s="278">
        <v>94659</v>
      </c>
      <c r="AG23" s="278">
        <v>112007</v>
      </c>
      <c r="AH23" s="278">
        <v>142044</v>
      </c>
      <c r="AI23" s="278">
        <v>130703</v>
      </c>
      <c r="AJ23" s="278">
        <v>154676</v>
      </c>
      <c r="AK23" s="278">
        <v>181265</v>
      </c>
      <c r="AL23" s="278">
        <f t="shared" si="51"/>
        <v>97419</v>
      </c>
      <c r="AM23" s="278">
        <f t="shared" si="52"/>
        <v>79782</v>
      </c>
      <c r="AN23" s="278">
        <f t="shared" si="53"/>
        <v>123810</v>
      </c>
      <c r="AO23" s="278">
        <f t="shared" si="54"/>
        <v>159008</v>
      </c>
      <c r="AP23" s="278">
        <f t="shared" si="55"/>
        <v>158370</v>
      </c>
      <c r="AQ23" s="278">
        <f t="shared" si="56"/>
        <v>151626</v>
      </c>
      <c r="AR23" s="279"/>
      <c r="AU23" s="280" t="str">
        <f t="shared" si="35"/>
        <v>Tata Motors Ltd</v>
      </c>
      <c r="AV23" s="281">
        <f t="shared" si="36"/>
        <v>0.58464322551556736</v>
      </c>
      <c r="AW23" s="281">
        <f t="shared" si="36"/>
        <v>0.57170346777733538</v>
      </c>
      <c r="AX23" s="281">
        <f t="shared" si="36"/>
        <v>0.54951873974807341</v>
      </c>
      <c r="AY23" s="281">
        <f t="shared" si="36"/>
        <v>0.51202466437103111</v>
      </c>
      <c r="AZ23" s="281">
        <f t="shared" si="36"/>
        <v>0.50769372160806658</v>
      </c>
      <c r="BA23" s="281">
        <f t="shared" si="36"/>
        <v>0.51623624433255111</v>
      </c>
      <c r="BB23" s="281">
        <f t="shared" si="36"/>
        <v>0.52826822549508712</v>
      </c>
      <c r="BC23" s="281">
        <f t="shared" si="36"/>
        <v>0.52020656468839244</v>
      </c>
      <c r="BD23" s="281">
        <f t="shared" si="36"/>
        <v>0.54119148675761564</v>
      </c>
      <c r="BE23" s="281">
        <f t="shared" si="36"/>
        <v>0.49598088542170293</v>
      </c>
      <c r="BF23" s="281">
        <f t="shared" si="36"/>
        <v>0.4948165644976848</v>
      </c>
      <c r="BG23" s="281">
        <f t="shared" si="36"/>
        <v>0.49310711533020479</v>
      </c>
      <c r="BK23" s="278">
        <v>53970</v>
      </c>
      <c r="BL23" s="278">
        <v>77621</v>
      </c>
      <c r="BM23" s="278">
        <v>97419</v>
      </c>
      <c r="BO23" s="278">
        <v>14605</v>
      </c>
      <c r="BP23" s="278">
        <v>40484</v>
      </c>
      <c r="BQ23" s="278">
        <v>79782</v>
      </c>
      <c r="BS23" s="278">
        <v>45192</v>
      </c>
      <c r="BT23" s="278">
        <v>77693</v>
      </c>
      <c r="BU23" s="278">
        <v>123810</v>
      </c>
      <c r="BW23" s="278">
        <v>71127</v>
      </c>
      <c r="BX23" s="278">
        <v>108780</v>
      </c>
      <c r="BY23" s="278">
        <v>159008</v>
      </c>
      <c r="CA23" s="278">
        <v>73616</v>
      </c>
      <c r="CB23" s="278">
        <v>114529</v>
      </c>
      <c r="CC23" s="278">
        <v>158370</v>
      </c>
      <c r="CE23" s="278">
        <v>68135</v>
      </c>
      <c r="CF23" s="278">
        <v>106741</v>
      </c>
      <c r="CG23" s="278">
        <v>151626</v>
      </c>
      <c r="CI23" s="278">
        <v>68999</v>
      </c>
      <c r="CJ23" s="278">
        <v>117933</v>
      </c>
      <c r="CK23" s="278"/>
    </row>
    <row r="24" spans="1:89" outlineLevel="1" x14ac:dyDescent="0.3">
      <c r="A24" s="277" t="s">
        <v>187</v>
      </c>
      <c r="B24" s="278"/>
      <c r="C24" s="278">
        <f t="shared" si="37"/>
        <v>0</v>
      </c>
      <c r="D24" s="278">
        <f t="shared" si="38"/>
        <v>0</v>
      </c>
      <c r="E24" s="278">
        <f t="shared" si="38"/>
        <v>0</v>
      </c>
      <c r="F24" s="278"/>
      <c r="G24" s="278">
        <f t="shared" si="39"/>
        <v>0</v>
      </c>
      <c r="H24" s="278">
        <f t="shared" si="40"/>
        <v>0</v>
      </c>
      <c r="I24" s="278">
        <f t="shared" si="40"/>
        <v>0</v>
      </c>
      <c r="J24" s="278"/>
      <c r="K24" s="278">
        <f t="shared" si="41"/>
        <v>0</v>
      </c>
      <c r="L24" s="278">
        <f t="shared" si="42"/>
        <v>0</v>
      </c>
      <c r="M24" s="278">
        <f t="shared" si="42"/>
        <v>0</v>
      </c>
      <c r="N24" s="278"/>
      <c r="O24" s="278">
        <f t="shared" si="43"/>
        <v>0</v>
      </c>
      <c r="P24" s="278">
        <f t="shared" si="44"/>
        <v>0</v>
      </c>
      <c r="Q24" s="278">
        <f t="shared" si="44"/>
        <v>0</v>
      </c>
      <c r="R24" s="278">
        <v>7</v>
      </c>
      <c r="S24" s="278">
        <f t="shared" si="45"/>
        <v>4</v>
      </c>
      <c r="T24" s="278">
        <f t="shared" si="46"/>
        <v>15</v>
      </c>
      <c r="U24" s="278">
        <f t="shared" si="46"/>
        <v>-26</v>
      </c>
      <c r="V24" s="278">
        <v>29</v>
      </c>
      <c r="W24" s="278">
        <f t="shared" si="47"/>
        <v>42</v>
      </c>
      <c r="X24" s="278">
        <f t="shared" si="48"/>
        <v>37</v>
      </c>
      <c r="Y24" s="278">
        <f t="shared" si="48"/>
        <v>65</v>
      </c>
      <c r="Z24" s="278">
        <v>45</v>
      </c>
      <c r="AA24" s="278">
        <f t="shared" si="49"/>
        <v>52</v>
      </c>
      <c r="AB24" s="278">
        <f t="shared" si="50"/>
        <v>48</v>
      </c>
      <c r="AC24" s="278">
        <f t="shared" si="50"/>
        <v>-145</v>
      </c>
      <c r="AF24" s="278"/>
      <c r="AG24" s="278"/>
      <c r="AH24" s="278"/>
      <c r="AI24" s="278"/>
      <c r="AJ24" s="278"/>
      <c r="AK24" s="278"/>
      <c r="AL24" s="278">
        <f t="shared" si="51"/>
        <v>0</v>
      </c>
      <c r="AM24" s="278">
        <f t="shared" si="52"/>
        <v>0</v>
      </c>
      <c r="AN24" s="278">
        <f t="shared" si="53"/>
        <v>0</v>
      </c>
      <c r="AO24" s="278">
        <f t="shared" si="54"/>
        <v>0</v>
      </c>
      <c r="AP24" s="278">
        <f t="shared" si="55"/>
        <v>0</v>
      </c>
      <c r="AQ24" s="278">
        <f t="shared" si="56"/>
        <v>173</v>
      </c>
      <c r="AR24" s="279"/>
      <c r="AU24" s="280" t="str">
        <f t="shared" si="35"/>
        <v>TI Clean Mobility Pvt Ltd</v>
      </c>
      <c r="AV24" s="281">
        <f t="shared" si="36"/>
        <v>0</v>
      </c>
      <c r="AW24" s="281">
        <f t="shared" si="36"/>
        <v>0</v>
      </c>
      <c r="AX24" s="281">
        <f t="shared" si="36"/>
        <v>0</v>
      </c>
      <c r="AY24" s="281">
        <f t="shared" si="36"/>
        <v>0</v>
      </c>
      <c r="AZ24" s="281">
        <f t="shared" si="36"/>
        <v>0</v>
      </c>
      <c r="BA24" s="281">
        <f t="shared" si="36"/>
        <v>0</v>
      </c>
      <c r="BB24" s="281">
        <f t="shared" si="36"/>
        <v>0</v>
      </c>
      <c r="BC24" s="281">
        <f t="shared" si="36"/>
        <v>0</v>
      </c>
      <c r="BD24" s="281">
        <f t="shared" si="36"/>
        <v>0</v>
      </c>
      <c r="BE24" s="281">
        <f t="shared" si="36"/>
        <v>0</v>
      </c>
      <c r="BF24" s="281">
        <f t="shared" si="36"/>
        <v>0</v>
      </c>
      <c r="BG24" s="281">
        <f t="shared" si="36"/>
        <v>5.6261809288727152E-4</v>
      </c>
      <c r="BK24" s="278"/>
      <c r="BL24" s="278"/>
      <c r="BM24" s="278"/>
      <c r="BO24" s="278"/>
      <c r="BP24" s="278"/>
      <c r="BQ24" s="278"/>
      <c r="BS24" s="278"/>
      <c r="BT24" s="278"/>
      <c r="BU24" s="278"/>
      <c r="BW24" s="278"/>
      <c r="BX24" s="278"/>
      <c r="BY24" s="278"/>
      <c r="CA24" s="278">
        <v>11</v>
      </c>
      <c r="CB24" s="278">
        <v>26</v>
      </c>
      <c r="CC24" s="278"/>
      <c r="CE24" s="278">
        <v>71</v>
      </c>
      <c r="CF24" s="278">
        <v>108</v>
      </c>
      <c r="CG24" s="278">
        <v>173</v>
      </c>
      <c r="CI24" s="278">
        <v>97</v>
      </c>
      <c r="CJ24" s="278">
        <v>145</v>
      </c>
      <c r="CK24" s="278"/>
    </row>
    <row r="25" spans="1:89" outlineLevel="1" x14ac:dyDescent="0.3">
      <c r="A25" s="277" t="s">
        <v>222</v>
      </c>
      <c r="B25" s="278">
        <v>7012</v>
      </c>
      <c r="C25" s="278">
        <f t="shared" si="37"/>
        <v>6107</v>
      </c>
      <c r="D25" s="278">
        <f t="shared" si="38"/>
        <v>6232</v>
      </c>
      <c r="E25" s="278">
        <f t="shared" si="38"/>
        <v>5748</v>
      </c>
      <c r="F25" s="278">
        <v>756</v>
      </c>
      <c r="G25" s="278">
        <f t="shared" si="39"/>
        <v>4059</v>
      </c>
      <c r="H25" s="278">
        <f t="shared" si="40"/>
        <v>7497</v>
      </c>
      <c r="I25" s="278">
        <f t="shared" si="40"/>
        <v>11739</v>
      </c>
      <c r="J25" s="278">
        <v>3017</v>
      </c>
      <c r="K25" s="278">
        <f t="shared" si="41"/>
        <v>9546</v>
      </c>
      <c r="L25" s="278">
        <f t="shared" si="42"/>
        <v>10078</v>
      </c>
      <c r="M25" s="278">
        <f t="shared" si="42"/>
        <v>12576</v>
      </c>
      <c r="N25" s="278">
        <v>9355</v>
      </c>
      <c r="O25" s="278">
        <f t="shared" si="43"/>
        <v>10692</v>
      </c>
      <c r="P25" s="278">
        <f t="shared" si="44"/>
        <v>12040</v>
      </c>
      <c r="Q25" s="278">
        <f t="shared" si="44"/>
        <v>16246</v>
      </c>
      <c r="R25" s="278">
        <v>11221</v>
      </c>
      <c r="S25" s="278">
        <f t="shared" si="45"/>
        <v>12118</v>
      </c>
      <c r="T25" s="278">
        <f t="shared" si="46"/>
        <v>13554</v>
      </c>
      <c r="U25" s="278">
        <f t="shared" si="46"/>
        <v>15195</v>
      </c>
      <c r="V25" s="278">
        <v>10861</v>
      </c>
      <c r="W25" s="278">
        <f t="shared" si="47"/>
        <v>12619</v>
      </c>
      <c r="X25" s="278">
        <f t="shared" si="48"/>
        <v>12892</v>
      </c>
      <c r="Y25" s="278">
        <f t="shared" si="48"/>
        <v>15886</v>
      </c>
      <c r="Z25" s="278">
        <v>11225</v>
      </c>
      <c r="AA25" s="278">
        <f t="shared" si="49"/>
        <v>13236</v>
      </c>
      <c r="AB25" s="278">
        <f t="shared" si="50"/>
        <v>16109</v>
      </c>
      <c r="AC25" s="278">
        <f t="shared" si="50"/>
        <v>-40570</v>
      </c>
      <c r="AF25" s="278">
        <v>20670</v>
      </c>
      <c r="AG25" s="278">
        <v>21145</v>
      </c>
      <c r="AH25" s="278">
        <v>26766</v>
      </c>
      <c r="AI25" s="278">
        <v>28611</v>
      </c>
      <c r="AJ25" s="278">
        <v>34316</v>
      </c>
      <c r="AK25" s="278">
        <v>39230</v>
      </c>
      <c r="AL25" s="278">
        <f t="shared" si="51"/>
        <v>25099</v>
      </c>
      <c r="AM25" s="278">
        <f t="shared" si="52"/>
        <v>24051</v>
      </c>
      <c r="AN25" s="278">
        <f t="shared" si="53"/>
        <v>35217</v>
      </c>
      <c r="AO25" s="278">
        <f t="shared" si="54"/>
        <v>48333</v>
      </c>
      <c r="AP25" s="278">
        <f t="shared" si="55"/>
        <v>52088</v>
      </c>
      <c r="AQ25" s="278">
        <f t="shared" si="56"/>
        <v>52258</v>
      </c>
      <c r="AR25" s="279"/>
      <c r="AU25" s="280" t="str">
        <f t="shared" si="35"/>
        <v>VECV-Eicher</v>
      </c>
      <c r="AV25" s="281">
        <f t="shared" si="36"/>
        <v>0.12766430525789177</v>
      </c>
      <c r="AW25" s="281">
        <f t="shared" si="36"/>
        <v>0.10792780653130392</v>
      </c>
      <c r="AX25" s="281">
        <f t="shared" si="36"/>
        <v>0.10354832719507288</v>
      </c>
      <c r="AY25" s="281">
        <f t="shared" si="36"/>
        <v>0.11208264287980819</v>
      </c>
      <c r="AZ25" s="281">
        <f t="shared" si="36"/>
        <v>0.11263555917338446</v>
      </c>
      <c r="BA25" s="281">
        <f t="shared" si="36"/>
        <v>0.11172563851359049</v>
      </c>
      <c r="BB25" s="281">
        <f t="shared" si="36"/>
        <v>0.13610285664707286</v>
      </c>
      <c r="BC25" s="281">
        <f t="shared" si="36"/>
        <v>0.15682093814795978</v>
      </c>
      <c r="BD25" s="281">
        <f t="shared" si="36"/>
        <v>0.15393862037915312</v>
      </c>
      <c r="BE25" s="281">
        <f t="shared" si="36"/>
        <v>0.150761245566809</v>
      </c>
      <c r="BF25" s="281">
        <f t="shared" si="36"/>
        <v>0.16274550237769406</v>
      </c>
      <c r="BG25" s="281">
        <f t="shared" si="36"/>
        <v>0.16994968958441059</v>
      </c>
      <c r="BK25" s="278">
        <v>13119</v>
      </c>
      <c r="BL25" s="278">
        <v>19351</v>
      </c>
      <c r="BM25" s="278">
        <v>25099</v>
      </c>
      <c r="BO25" s="278">
        <v>4815</v>
      </c>
      <c r="BP25" s="278">
        <v>12312</v>
      </c>
      <c r="BQ25" s="278">
        <v>24051</v>
      </c>
      <c r="BS25" s="278">
        <v>12563</v>
      </c>
      <c r="BT25" s="278">
        <v>22641</v>
      </c>
      <c r="BU25" s="278">
        <v>35217</v>
      </c>
      <c r="BW25" s="278">
        <v>20047</v>
      </c>
      <c r="BX25" s="278">
        <v>32087</v>
      </c>
      <c r="BY25" s="278">
        <v>48333</v>
      </c>
      <c r="CA25" s="278">
        <v>23339</v>
      </c>
      <c r="CB25" s="278">
        <v>36893</v>
      </c>
      <c r="CC25" s="278">
        <v>52088</v>
      </c>
      <c r="CE25" s="278">
        <v>23480</v>
      </c>
      <c r="CF25" s="278">
        <v>36372</v>
      </c>
      <c r="CG25" s="278">
        <v>52258</v>
      </c>
      <c r="CI25" s="278">
        <v>24461</v>
      </c>
      <c r="CJ25" s="278">
        <v>40570</v>
      </c>
      <c r="CK25" s="278"/>
    </row>
    <row r="26" spans="1:89" outlineLevel="1" x14ac:dyDescent="0.3">
      <c r="A26" s="277" t="s">
        <v>228</v>
      </c>
      <c r="B26" s="278">
        <v>197</v>
      </c>
      <c r="C26" s="278">
        <f t="shared" si="37"/>
        <v>234</v>
      </c>
      <c r="D26" s="278">
        <f t="shared" si="38"/>
        <v>350</v>
      </c>
      <c r="E26" s="278">
        <f t="shared" si="38"/>
        <v>326</v>
      </c>
      <c r="F26" s="278">
        <v>68</v>
      </c>
      <c r="G26" s="278">
        <f t="shared" si="39"/>
        <v>142</v>
      </c>
      <c r="H26" s="278">
        <f t="shared" si="40"/>
        <v>420</v>
      </c>
      <c r="I26" s="278">
        <f t="shared" si="40"/>
        <v>432</v>
      </c>
      <c r="J26" s="278">
        <v>154</v>
      </c>
      <c r="K26" s="278">
        <f t="shared" si="41"/>
        <v>247</v>
      </c>
      <c r="L26" s="278">
        <f t="shared" si="42"/>
        <v>376</v>
      </c>
      <c r="M26" s="278">
        <f t="shared" si="42"/>
        <v>423</v>
      </c>
      <c r="N26" s="278">
        <v>343</v>
      </c>
      <c r="O26" s="278">
        <f t="shared" si="43"/>
        <v>329</v>
      </c>
      <c r="P26" s="278">
        <f t="shared" si="44"/>
        <v>311</v>
      </c>
      <c r="Q26" s="278">
        <f t="shared" si="44"/>
        <v>335</v>
      </c>
      <c r="R26" s="278">
        <v>321</v>
      </c>
      <c r="S26" s="278">
        <f t="shared" si="45"/>
        <v>395</v>
      </c>
      <c r="T26" s="278">
        <f t="shared" si="46"/>
        <v>385</v>
      </c>
      <c r="U26" s="278">
        <f t="shared" si="46"/>
        <v>218</v>
      </c>
      <c r="V26" s="278">
        <v>142</v>
      </c>
      <c r="W26" s="278">
        <f t="shared" si="47"/>
        <v>261</v>
      </c>
      <c r="X26" s="278">
        <f t="shared" si="48"/>
        <v>311</v>
      </c>
      <c r="Y26" s="278">
        <f t="shared" si="48"/>
        <v>207</v>
      </c>
      <c r="Z26" s="278">
        <v>163</v>
      </c>
      <c r="AA26" s="278">
        <f t="shared" si="49"/>
        <v>225</v>
      </c>
      <c r="AB26" s="278">
        <f t="shared" si="50"/>
        <v>110</v>
      </c>
      <c r="AC26" s="278">
        <f t="shared" si="50"/>
        <v>-498</v>
      </c>
      <c r="AF26" s="278">
        <v>727</v>
      </c>
      <c r="AG26" s="278">
        <v>981</v>
      </c>
      <c r="AH26" s="278">
        <v>1242</v>
      </c>
      <c r="AI26" s="278">
        <v>1163</v>
      </c>
      <c r="AJ26" s="278">
        <v>1055</v>
      </c>
      <c r="AK26" s="278">
        <v>1226</v>
      </c>
      <c r="AL26" s="278">
        <f t="shared" si="51"/>
        <v>1107</v>
      </c>
      <c r="AM26" s="278">
        <f t="shared" si="52"/>
        <v>1062</v>
      </c>
      <c r="AN26" s="278">
        <f t="shared" si="53"/>
        <v>1200</v>
      </c>
      <c r="AO26" s="278">
        <f t="shared" si="54"/>
        <v>1318</v>
      </c>
      <c r="AP26" s="278">
        <f t="shared" si="55"/>
        <v>1319</v>
      </c>
      <c r="AQ26" s="278">
        <f t="shared" si="56"/>
        <v>921</v>
      </c>
      <c r="AR26" s="279"/>
      <c r="AU26" s="280" t="str">
        <f t="shared" si="35"/>
        <v>VECV-Volvo</v>
      </c>
      <c r="AV26" s="281">
        <f t="shared" si="36"/>
        <v>4.4901765806718589E-3</v>
      </c>
      <c r="AW26" s="281">
        <f t="shared" si="36"/>
        <v>5.0071968884941656E-3</v>
      </c>
      <c r="AX26" s="281">
        <f t="shared" si="36"/>
        <v>4.8048652161802484E-3</v>
      </c>
      <c r="AY26" s="281">
        <f t="shared" si="36"/>
        <v>4.5560138991722395E-3</v>
      </c>
      <c r="AZ26" s="281">
        <f t="shared" si="36"/>
        <v>3.4628311845180263E-3</v>
      </c>
      <c r="BA26" s="281">
        <f t="shared" si="36"/>
        <v>3.4916042013168986E-3</v>
      </c>
      <c r="BB26" s="281">
        <f t="shared" si="36"/>
        <v>6.0028631542415898E-3</v>
      </c>
      <c r="BC26" s="281">
        <f t="shared" si="36"/>
        <v>6.9246117131567626E-3</v>
      </c>
      <c r="BD26" s="281">
        <f t="shared" si="36"/>
        <v>5.2453742355959834E-3</v>
      </c>
      <c r="BE26" s="281">
        <f t="shared" si="36"/>
        <v>4.1111315593291183E-3</v>
      </c>
      <c r="BF26" s="281">
        <f t="shared" si="36"/>
        <v>4.1211280455417457E-3</v>
      </c>
      <c r="BG26" s="281">
        <f t="shared" si="36"/>
        <v>2.995209615891197E-3</v>
      </c>
      <c r="BK26" s="278">
        <v>431</v>
      </c>
      <c r="BL26" s="278">
        <v>781</v>
      </c>
      <c r="BM26" s="278">
        <v>1107</v>
      </c>
      <c r="BO26" s="278">
        <v>210</v>
      </c>
      <c r="BP26" s="278">
        <v>630</v>
      </c>
      <c r="BQ26" s="278">
        <v>1062</v>
      </c>
      <c r="BS26" s="278">
        <v>401</v>
      </c>
      <c r="BT26" s="278">
        <v>777</v>
      </c>
      <c r="BU26" s="278">
        <v>1200</v>
      </c>
      <c r="BW26" s="278">
        <v>672</v>
      </c>
      <c r="BX26" s="278">
        <v>983</v>
      </c>
      <c r="BY26" s="278">
        <v>1318</v>
      </c>
      <c r="CA26" s="278">
        <v>716</v>
      </c>
      <c r="CB26" s="278">
        <v>1101</v>
      </c>
      <c r="CC26" s="278">
        <v>1319</v>
      </c>
      <c r="CE26" s="278">
        <v>403</v>
      </c>
      <c r="CF26" s="278">
        <v>714</v>
      </c>
      <c r="CG26" s="278">
        <v>921</v>
      </c>
      <c r="CI26" s="278">
        <v>388</v>
      </c>
      <c r="CJ26" s="278">
        <v>498</v>
      </c>
      <c r="CK26" s="278"/>
    </row>
    <row r="27" spans="1:89" s="283" customFormat="1" x14ac:dyDescent="0.3">
      <c r="A27" s="280" t="s">
        <v>229</v>
      </c>
      <c r="B27" s="282">
        <f t="shared" ref="B27:AC27" si="57">SUM(B19:B26)</f>
        <v>64012</v>
      </c>
      <c r="C27" s="282">
        <f t="shared" si="57"/>
        <v>40158</v>
      </c>
      <c r="D27" s="282">
        <f t="shared" si="57"/>
        <v>42512</v>
      </c>
      <c r="E27" s="282">
        <f t="shared" si="57"/>
        <v>37730</v>
      </c>
      <c r="F27" s="282">
        <f t="shared" si="57"/>
        <v>4167</v>
      </c>
      <c r="G27" s="282">
        <f t="shared" si="57"/>
        <v>23936</v>
      </c>
      <c r="H27" s="282">
        <f t="shared" si="57"/>
        <v>49473</v>
      </c>
      <c r="I27" s="282">
        <f t="shared" si="57"/>
        <v>75790</v>
      </c>
      <c r="J27" s="282">
        <f t="shared" si="57"/>
        <v>28072</v>
      </c>
      <c r="K27" s="282">
        <f t="shared" si="57"/>
        <v>51740</v>
      </c>
      <c r="L27" s="282">
        <f t="shared" si="57"/>
        <v>60349</v>
      </c>
      <c r="M27" s="282">
        <f t="shared" si="57"/>
        <v>88612</v>
      </c>
      <c r="N27" s="282">
        <f t="shared" si="57"/>
        <v>67978</v>
      </c>
      <c r="O27" s="282">
        <f t="shared" si="57"/>
        <v>71999</v>
      </c>
      <c r="P27" s="282">
        <f t="shared" si="57"/>
        <v>77291</v>
      </c>
      <c r="Q27" s="282">
        <f t="shared" si="57"/>
        <v>103325</v>
      </c>
      <c r="R27" s="282">
        <f t="shared" si="57"/>
        <v>66842</v>
      </c>
      <c r="S27" s="282">
        <f t="shared" si="57"/>
        <v>82538</v>
      </c>
      <c r="T27" s="282">
        <f t="shared" si="57"/>
        <v>80618</v>
      </c>
      <c r="U27" s="282">
        <f t="shared" si="57"/>
        <v>90060</v>
      </c>
      <c r="V27" s="282">
        <f t="shared" si="57"/>
        <v>68581</v>
      </c>
      <c r="W27" s="282">
        <f t="shared" si="57"/>
        <v>69524</v>
      </c>
      <c r="X27" s="282">
        <f t="shared" si="57"/>
        <v>76733</v>
      </c>
      <c r="Y27" s="282">
        <f t="shared" si="57"/>
        <v>92653</v>
      </c>
      <c r="Z27" s="282">
        <f t="shared" si="57"/>
        <v>65502</v>
      </c>
      <c r="AA27" s="282">
        <f t="shared" si="57"/>
        <v>74332</v>
      </c>
      <c r="AB27" s="282">
        <f t="shared" si="57"/>
        <v>95661</v>
      </c>
      <c r="AC27" s="282">
        <f t="shared" si="57"/>
        <v>-235495</v>
      </c>
      <c r="AF27" s="282">
        <f>SUM(AF18:AF26)</f>
        <v>161909</v>
      </c>
      <c r="AG27" s="282">
        <f>SUM(AG18:AG26)</f>
        <v>195918</v>
      </c>
      <c r="AH27" s="282">
        <f>SUM(AH18:AH26)</f>
        <v>258488</v>
      </c>
      <c r="AI27" s="282">
        <f>SUM(AI18:AI26)</f>
        <v>255267</v>
      </c>
      <c r="AJ27" s="282">
        <f t="shared" ref="AJ27:AK27" si="58">SUM(AJ19:AJ26)</f>
        <v>304664</v>
      </c>
      <c r="AK27" s="282">
        <f t="shared" si="58"/>
        <v>351128</v>
      </c>
      <c r="AL27" s="282">
        <f t="shared" si="51"/>
        <v>184412</v>
      </c>
      <c r="AM27" s="282">
        <f t="shared" si="52"/>
        <v>153366</v>
      </c>
      <c r="AN27" s="282">
        <f t="shared" si="53"/>
        <v>228773</v>
      </c>
      <c r="AO27" s="282">
        <f t="shared" si="54"/>
        <v>320593</v>
      </c>
      <c r="AP27" s="282">
        <f t="shared" si="55"/>
        <v>320058</v>
      </c>
      <c r="AQ27" s="282">
        <f t="shared" si="56"/>
        <v>307491</v>
      </c>
      <c r="AR27" s="284"/>
      <c r="AU27" s="280" t="str">
        <f t="shared" si="35"/>
        <v>Total M&amp;HCV (G)</v>
      </c>
      <c r="AV27" s="281">
        <f t="shared" si="36"/>
        <v>1</v>
      </c>
      <c r="AW27" s="281">
        <f t="shared" si="36"/>
        <v>1</v>
      </c>
      <c r="AX27" s="281">
        <f t="shared" si="36"/>
        <v>1</v>
      </c>
      <c r="AY27" s="281">
        <f t="shared" si="36"/>
        <v>1</v>
      </c>
      <c r="AZ27" s="281">
        <f t="shared" si="36"/>
        <v>1</v>
      </c>
      <c r="BA27" s="281">
        <f t="shared" si="36"/>
        <v>1</v>
      </c>
      <c r="BB27" s="281">
        <f t="shared" si="36"/>
        <v>1</v>
      </c>
      <c r="BC27" s="281">
        <f t="shared" si="36"/>
        <v>1</v>
      </c>
      <c r="BD27" s="281">
        <f t="shared" si="36"/>
        <v>1</v>
      </c>
      <c r="BE27" s="281">
        <f t="shared" si="36"/>
        <v>1</v>
      </c>
      <c r="BF27" s="281">
        <f t="shared" si="36"/>
        <v>1</v>
      </c>
      <c r="BG27" s="281">
        <f t="shared" si="36"/>
        <v>1</v>
      </c>
      <c r="BK27" s="282">
        <f t="shared" ref="BK27:BL27" si="59">SUM(BK19:BK26)</f>
        <v>104170</v>
      </c>
      <c r="BL27" s="282">
        <f t="shared" si="59"/>
        <v>146682</v>
      </c>
      <c r="BM27" s="282">
        <f>SUM(BM19:BM26)</f>
        <v>184412</v>
      </c>
      <c r="BO27" s="282">
        <f>SUM(BO19:BO26)</f>
        <v>28103</v>
      </c>
      <c r="BP27" s="282">
        <f>SUM(BP19:BP26)</f>
        <v>77576</v>
      </c>
      <c r="BQ27" s="282">
        <f>SUM(BQ19:BQ26)</f>
        <v>153366</v>
      </c>
      <c r="BS27" s="282">
        <f>SUM(BS19:BS26)</f>
        <v>79812</v>
      </c>
      <c r="BT27" s="282">
        <f>SUM(BT19:BT26)</f>
        <v>140161</v>
      </c>
      <c r="BU27" s="282">
        <f>SUM(BU19:BU26)</f>
        <v>228773</v>
      </c>
      <c r="BW27" s="282">
        <f>SUM(BW19:BW26)</f>
        <v>139977</v>
      </c>
      <c r="BX27" s="282">
        <f>SUM(BX19:BX26)</f>
        <v>217268</v>
      </c>
      <c r="BY27" s="282">
        <f>SUM(BY19:BY26)</f>
        <v>320593</v>
      </c>
      <c r="CA27" s="282">
        <f>SUM(CA19:CA26)</f>
        <v>149380</v>
      </c>
      <c r="CB27" s="282">
        <f>SUM(CB19:CB26)</f>
        <v>229998</v>
      </c>
      <c r="CC27" s="282">
        <f>SUM(CC19:CC26)</f>
        <v>320058</v>
      </c>
      <c r="CE27" s="282">
        <f>SUM(CE19:CE26)</f>
        <v>138105</v>
      </c>
      <c r="CF27" s="282">
        <f>SUM(CF19:CF26)</f>
        <v>214838</v>
      </c>
      <c r="CG27" s="282">
        <f>SUM(CG19:CG26)</f>
        <v>307491</v>
      </c>
      <c r="CI27" s="282">
        <f>SUM(CI19:CI26)</f>
        <v>139834</v>
      </c>
      <c r="CJ27" s="282">
        <f>SUM(CJ19:CJ26)</f>
        <v>235495</v>
      </c>
      <c r="CK27" s="282"/>
    </row>
    <row r="28" spans="1:89" x14ac:dyDescent="0.3">
      <c r="A28" s="280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F28" s="285"/>
      <c r="AG28" s="285"/>
      <c r="AH28" s="285"/>
      <c r="AI28" s="285"/>
      <c r="AJ28" s="285"/>
      <c r="AK28" s="285"/>
      <c r="AL28" s="285"/>
      <c r="AM28" s="285"/>
      <c r="AN28" s="285"/>
      <c r="AO28" s="285"/>
      <c r="AP28" s="285"/>
      <c r="AQ28" s="285"/>
      <c r="AR28" s="275"/>
      <c r="AU28" s="280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K28" s="285"/>
      <c r="BL28" s="285"/>
      <c r="BM28" s="285"/>
      <c r="BO28" s="285"/>
      <c r="BP28" s="285"/>
      <c r="BQ28" s="285"/>
      <c r="BS28" s="285"/>
      <c r="BT28" s="285"/>
      <c r="BU28" s="285"/>
      <c r="BW28" s="285"/>
      <c r="BX28" s="285"/>
      <c r="BY28" s="285"/>
      <c r="CA28" s="285"/>
      <c r="CB28" s="285"/>
      <c r="CC28" s="285"/>
      <c r="CE28" s="285"/>
      <c r="CF28" s="285"/>
      <c r="CG28" s="285"/>
      <c r="CI28" s="285"/>
      <c r="CJ28" s="285"/>
      <c r="CK28" s="285"/>
    </row>
    <row r="29" spans="1:89" s="283" customFormat="1" x14ac:dyDescent="0.3">
      <c r="A29" s="280" t="s">
        <v>230</v>
      </c>
      <c r="B29" s="282">
        <f t="shared" ref="B29:AC29" si="60">B27+B15</f>
        <v>74333</v>
      </c>
      <c r="C29" s="282">
        <f t="shared" si="60"/>
        <v>48018</v>
      </c>
      <c r="D29" s="282">
        <f t="shared" si="60"/>
        <v>53537</v>
      </c>
      <c r="E29" s="282">
        <f t="shared" si="60"/>
        <v>48540</v>
      </c>
      <c r="F29" s="282">
        <f t="shared" si="60"/>
        <v>4403</v>
      </c>
      <c r="G29" s="282">
        <f t="shared" si="60"/>
        <v>24552</v>
      </c>
      <c r="H29" s="282">
        <f t="shared" si="60"/>
        <v>51199</v>
      </c>
      <c r="I29" s="282">
        <f t="shared" si="60"/>
        <v>80534</v>
      </c>
      <c r="J29" s="282">
        <f t="shared" si="60"/>
        <v>29158</v>
      </c>
      <c r="K29" s="282">
        <f t="shared" si="60"/>
        <v>53481</v>
      </c>
      <c r="L29" s="282">
        <f t="shared" si="60"/>
        <v>63964</v>
      </c>
      <c r="M29" s="282">
        <f t="shared" si="60"/>
        <v>93974</v>
      </c>
      <c r="N29" s="282">
        <f t="shared" si="60"/>
        <v>75685</v>
      </c>
      <c r="O29" s="282">
        <f t="shared" si="60"/>
        <v>79650</v>
      </c>
      <c r="P29" s="282">
        <f t="shared" si="60"/>
        <v>85678</v>
      </c>
      <c r="Q29" s="282">
        <f t="shared" si="60"/>
        <v>117990</v>
      </c>
      <c r="R29" s="282">
        <f t="shared" si="60"/>
        <v>77869</v>
      </c>
      <c r="S29" s="282">
        <f t="shared" si="60"/>
        <v>93874</v>
      </c>
      <c r="T29" s="282">
        <f t="shared" si="60"/>
        <v>91677</v>
      </c>
      <c r="U29" s="282">
        <f t="shared" si="60"/>
        <v>109774</v>
      </c>
      <c r="V29" s="282">
        <f t="shared" si="60"/>
        <v>85590</v>
      </c>
      <c r="W29" s="282">
        <f t="shared" si="60"/>
        <v>83105</v>
      </c>
      <c r="X29" s="282">
        <f t="shared" si="60"/>
        <v>89999</v>
      </c>
      <c r="Y29" s="282">
        <f t="shared" si="60"/>
        <v>115125</v>
      </c>
      <c r="Z29" s="282">
        <f t="shared" si="60"/>
        <v>83639</v>
      </c>
      <c r="AA29" s="282">
        <f t="shared" si="60"/>
        <v>88309</v>
      </c>
      <c r="AB29" s="282">
        <f t="shared" si="60"/>
        <v>110771</v>
      </c>
      <c r="AC29" s="282">
        <f t="shared" si="60"/>
        <v>-282719</v>
      </c>
      <c r="AF29" s="282">
        <f t="shared" ref="AF29:AK29" si="61">AF27+AF15</f>
        <v>200618</v>
      </c>
      <c r="AG29" s="282">
        <f t="shared" si="61"/>
        <v>232755</v>
      </c>
      <c r="AH29" s="282">
        <f t="shared" si="61"/>
        <v>302397</v>
      </c>
      <c r="AI29" s="282">
        <f t="shared" si="61"/>
        <v>302529</v>
      </c>
      <c r="AJ29" s="282">
        <f t="shared" si="61"/>
        <v>340781</v>
      </c>
      <c r="AK29" s="282">
        <f t="shared" si="61"/>
        <v>390740</v>
      </c>
      <c r="AL29" s="282">
        <f t="shared" ref="AL29" si="62">SUM(B29:E29)</f>
        <v>224428</v>
      </c>
      <c r="AM29" s="282">
        <f t="shared" ref="AM29" si="63">SUM(F29:I29)</f>
        <v>160688</v>
      </c>
      <c r="AN29" s="282">
        <f t="shared" ref="AN29" si="64">SUM(J29:M29)</f>
        <v>240577</v>
      </c>
      <c r="AO29" s="282">
        <f t="shared" ref="AO29" si="65">SUM(N29:Q29)</f>
        <v>359003</v>
      </c>
      <c r="AP29" s="282">
        <f t="shared" ref="AP29" si="66">SUM(R29:U29)</f>
        <v>373194</v>
      </c>
      <c r="AQ29" s="282">
        <f>SUM(V29:Y29)</f>
        <v>373819</v>
      </c>
      <c r="AR29" s="284"/>
      <c r="AU29" s="280"/>
      <c r="AV29" s="287"/>
      <c r="AW29" s="287"/>
      <c r="AX29" s="287"/>
      <c r="AY29" s="287"/>
      <c r="AZ29" s="287"/>
      <c r="BA29" s="287"/>
      <c r="BB29" s="287"/>
      <c r="BC29" s="287"/>
      <c r="BD29" s="287"/>
      <c r="BE29" s="287"/>
      <c r="BF29" s="287"/>
      <c r="BG29" s="287"/>
      <c r="BK29" s="282">
        <f>BK27+BK15</f>
        <v>122351</v>
      </c>
      <c r="BL29" s="282">
        <f>BL27+BL15</f>
        <v>175888</v>
      </c>
      <c r="BM29" s="282">
        <f>BM27+BM15</f>
        <v>224428</v>
      </c>
      <c r="BO29" s="282">
        <f>BO27+BO15</f>
        <v>28955</v>
      </c>
      <c r="BP29" s="282">
        <f>BP27+BP15</f>
        <v>80154</v>
      </c>
      <c r="BQ29" s="282">
        <f t="shared" ref="BQ29" si="67">BQ27+BQ15</f>
        <v>160688</v>
      </c>
      <c r="BS29" s="282">
        <f>BS27+BS15</f>
        <v>82639</v>
      </c>
      <c r="BT29" s="282">
        <f>BT27+BT15</f>
        <v>146603</v>
      </c>
      <c r="BU29" s="282">
        <f>BU27+BU15</f>
        <v>240577</v>
      </c>
      <c r="BW29" s="282">
        <f>BW27+BW15</f>
        <v>155335</v>
      </c>
      <c r="BX29" s="282">
        <f>BX27+BX15</f>
        <v>241013</v>
      </c>
      <c r="BY29" s="282">
        <f>BY27+BY15</f>
        <v>359003</v>
      </c>
      <c r="CA29" s="282">
        <f>CA27+CA15</f>
        <v>171743</v>
      </c>
      <c r="CB29" s="282">
        <f>CB27+CB15</f>
        <v>263420</v>
      </c>
      <c r="CC29" s="282">
        <f>CC27+CC15</f>
        <v>373194</v>
      </c>
      <c r="CE29" s="282">
        <f>CE27+CE15</f>
        <v>168695</v>
      </c>
      <c r="CF29" s="282">
        <f>CF27+CF15</f>
        <v>258694</v>
      </c>
      <c r="CG29" s="282">
        <f>CG27+CG15</f>
        <v>373819</v>
      </c>
      <c r="CI29" s="282">
        <f>CI27+CI15</f>
        <v>171948</v>
      </c>
      <c r="CJ29" s="282">
        <f>CJ27+CJ15</f>
        <v>282719</v>
      </c>
      <c r="CK29" s="282"/>
    </row>
    <row r="30" spans="1:89" x14ac:dyDescent="0.3">
      <c r="A30" s="280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F30" s="285"/>
      <c r="AG30" s="285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75"/>
      <c r="AU30" s="280"/>
      <c r="AV30" s="286"/>
      <c r="AW30" s="286"/>
      <c r="AX30" s="286"/>
      <c r="AY30" s="286"/>
      <c r="AZ30" s="286"/>
      <c r="BA30" s="286"/>
      <c r="BB30" s="286"/>
      <c r="BC30" s="286"/>
      <c r="BD30" s="286"/>
      <c r="BE30" s="286"/>
      <c r="BF30" s="286"/>
      <c r="BG30" s="286"/>
      <c r="BK30" s="285"/>
      <c r="BL30" s="285"/>
      <c r="BM30" s="285"/>
      <c r="BO30" s="285"/>
      <c r="BP30" s="285"/>
      <c r="BQ30" s="285"/>
      <c r="BS30" s="285"/>
      <c r="BT30" s="285"/>
      <c r="BU30" s="285"/>
      <c r="BW30" s="285"/>
      <c r="BX30" s="285"/>
      <c r="BY30" s="285"/>
      <c r="CA30" s="285"/>
      <c r="CB30" s="285"/>
      <c r="CC30" s="285"/>
      <c r="CE30" s="285"/>
      <c r="CF30" s="285"/>
      <c r="CG30" s="285"/>
      <c r="CI30" s="285"/>
      <c r="CJ30" s="285"/>
      <c r="CK30" s="285"/>
    </row>
    <row r="31" spans="1:89" x14ac:dyDescent="0.3">
      <c r="A31" s="280" t="s">
        <v>231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F31" s="285"/>
      <c r="AG31" s="285"/>
      <c r="AH31" s="285"/>
      <c r="AI31" s="285"/>
      <c r="AJ31" s="285"/>
      <c r="AK31" s="285"/>
      <c r="AL31" s="285"/>
      <c r="AM31" s="285"/>
      <c r="AN31" s="285"/>
      <c r="AO31" s="285"/>
      <c r="AP31" s="285"/>
      <c r="AQ31" s="285"/>
      <c r="AR31" s="275"/>
      <c r="AU31" s="280" t="str">
        <f t="shared" ref="AU31:AU39" si="68">A31</f>
        <v>LCV - Passenger</v>
      </c>
      <c r="AV31" s="286"/>
      <c r="AW31" s="286"/>
      <c r="AX31" s="286"/>
      <c r="AY31" s="286"/>
      <c r="AZ31" s="286"/>
      <c r="BA31" s="286"/>
      <c r="BB31" s="286"/>
      <c r="BC31" s="286"/>
      <c r="BD31" s="286"/>
      <c r="BE31" s="286"/>
      <c r="BF31" s="286"/>
      <c r="BG31" s="286"/>
      <c r="BK31" s="285"/>
      <c r="BL31" s="285"/>
      <c r="BM31" s="285"/>
      <c r="BO31" s="285"/>
      <c r="BP31" s="285"/>
      <c r="BQ31" s="285"/>
      <c r="BS31" s="285"/>
      <c r="BT31" s="285"/>
      <c r="BU31" s="285"/>
      <c r="BW31" s="285"/>
      <c r="BX31" s="285"/>
      <c r="BY31" s="285"/>
      <c r="CA31" s="285"/>
      <c r="CB31" s="285"/>
      <c r="CC31" s="285"/>
      <c r="CE31" s="285"/>
      <c r="CF31" s="285"/>
      <c r="CG31" s="285"/>
      <c r="CI31" s="285"/>
      <c r="CJ31" s="285"/>
      <c r="CK31" s="285"/>
    </row>
    <row r="32" spans="1:89" outlineLevel="1" x14ac:dyDescent="0.3">
      <c r="A32" s="277" t="s">
        <v>163</v>
      </c>
      <c r="B32" s="278">
        <v>715</v>
      </c>
      <c r="C32" s="278">
        <f t="shared" ref="C32:C38" si="69">BK32-B32</f>
        <v>125</v>
      </c>
      <c r="D32" s="278">
        <f t="shared" ref="D32:E38" si="70">BL32-BK32</f>
        <v>274</v>
      </c>
      <c r="E32" s="278">
        <f t="shared" si="70"/>
        <v>331</v>
      </c>
      <c r="F32" s="278">
        <v>0</v>
      </c>
      <c r="G32" s="278">
        <f t="shared" ref="G32:G38" si="71">BO32-F32</f>
        <v>4</v>
      </c>
      <c r="H32" s="278">
        <f t="shared" ref="H32:I38" si="72">BP32-BO32</f>
        <v>24</v>
      </c>
      <c r="I32" s="278">
        <f t="shared" si="72"/>
        <v>55</v>
      </c>
      <c r="J32" s="278">
        <v>7</v>
      </c>
      <c r="K32" s="278">
        <f t="shared" ref="K32:K38" si="73">BS32-J32</f>
        <v>19</v>
      </c>
      <c r="L32" s="278">
        <f t="shared" ref="L32:M38" si="74">BT32-BS32</f>
        <v>72</v>
      </c>
      <c r="M32" s="278">
        <f t="shared" si="74"/>
        <v>87</v>
      </c>
      <c r="N32" s="278">
        <v>175</v>
      </c>
      <c r="O32" s="278">
        <f t="shared" ref="O32:O38" si="75">BW32-N32</f>
        <v>229</v>
      </c>
      <c r="P32" s="278">
        <f t="shared" ref="P32:Q38" si="76">BX32-BW32</f>
        <v>248</v>
      </c>
      <c r="Q32" s="278">
        <f t="shared" si="76"/>
        <v>363</v>
      </c>
      <c r="R32" s="278">
        <v>272</v>
      </c>
      <c r="S32" s="278">
        <f t="shared" ref="S32:S38" si="77">CA32-R32</f>
        <v>120</v>
      </c>
      <c r="T32" s="278">
        <f t="shared" ref="T32:U38" si="78">CB32-CA32</f>
        <v>103</v>
      </c>
      <c r="U32" s="278">
        <f t="shared" si="78"/>
        <v>460</v>
      </c>
      <c r="V32" s="278">
        <v>415</v>
      </c>
      <c r="W32" s="278">
        <f t="shared" ref="W32:W38" si="79">CE32-V32</f>
        <v>195</v>
      </c>
      <c r="X32" s="278">
        <f t="shared" ref="X32:Y38" si="80">CF32-CE32</f>
        <v>159</v>
      </c>
      <c r="Y32" s="278">
        <f t="shared" si="80"/>
        <v>456</v>
      </c>
      <c r="Z32" s="278">
        <v>342</v>
      </c>
      <c r="AA32" s="278">
        <f t="shared" ref="AA32:AA38" si="81">CI32-Z32</f>
        <v>146</v>
      </c>
      <c r="AB32" s="278">
        <f t="shared" ref="AB32:AC38" si="82">CJ32-CI32</f>
        <v>195</v>
      </c>
      <c r="AC32" s="278">
        <f t="shared" si="82"/>
        <v>-683</v>
      </c>
      <c r="AF32" s="278">
        <v>47</v>
      </c>
      <c r="AG32" s="278">
        <v>330</v>
      </c>
      <c r="AH32" s="278">
        <v>529</v>
      </c>
      <c r="AI32" s="278">
        <v>253</v>
      </c>
      <c r="AJ32" s="278">
        <v>922</v>
      </c>
      <c r="AK32" s="278">
        <v>1489</v>
      </c>
      <c r="AL32" s="278">
        <f t="shared" ref="AL32:AL39" si="83">SUM(B32:E32)</f>
        <v>1445</v>
      </c>
      <c r="AM32" s="278">
        <f t="shared" ref="AM32:AM39" si="84">SUM(F32:I32)</f>
        <v>83</v>
      </c>
      <c r="AN32" s="278">
        <f t="shared" ref="AN32:AN39" si="85">SUM(J32:M32)</f>
        <v>185</v>
      </c>
      <c r="AO32" s="278">
        <f t="shared" ref="AO32:AO39" si="86">SUM(N32:Q32)</f>
        <v>1015</v>
      </c>
      <c r="AP32" s="278">
        <f t="shared" ref="AP32:AP39" si="87">SUM(R32:U32)</f>
        <v>955</v>
      </c>
      <c r="AQ32" s="278">
        <f t="shared" ref="AQ32:AQ39" si="88">SUM(V32:Y32)</f>
        <v>1225</v>
      </c>
      <c r="AR32" s="279"/>
      <c r="AU32" s="280" t="str">
        <f t="shared" si="68"/>
        <v>Ashok Leyland Ltd</v>
      </c>
      <c r="AV32" s="281">
        <f t="shared" ref="AV32:BG39" si="89">IFERROR(AF32/AF$39,"")</f>
        <v>1.0981564989836212E-3</v>
      </c>
      <c r="AW32" s="281">
        <f t="shared" si="89"/>
        <v>7.3634416279900038E-3</v>
      </c>
      <c r="AX32" s="281">
        <f t="shared" si="89"/>
        <v>1.0810037600130783E-2</v>
      </c>
      <c r="AY32" s="281">
        <f t="shared" si="89"/>
        <v>4.9740484429065743E-3</v>
      </c>
      <c r="AZ32" s="281">
        <f t="shared" si="89"/>
        <v>1.8815558548630668E-2</v>
      </c>
      <c r="BA32" s="281">
        <f t="shared" si="89"/>
        <v>2.8541307264711518E-2</v>
      </c>
      <c r="BB32" s="281">
        <f t="shared" si="89"/>
        <v>3.1540577116165362E-2</v>
      </c>
      <c r="BC32" s="281">
        <f t="shared" si="89"/>
        <v>6.8663136995367304E-3</v>
      </c>
      <c r="BD32" s="281">
        <f t="shared" si="89"/>
        <v>9.2699303502530445E-3</v>
      </c>
      <c r="BE32" s="281">
        <f t="shared" si="89"/>
        <v>2.2904208507277445E-2</v>
      </c>
      <c r="BF32" s="281">
        <f t="shared" si="89"/>
        <v>1.8454106280193238E-2</v>
      </c>
      <c r="BG32" s="281">
        <f t="shared" si="89"/>
        <v>2.235115952341854E-2</v>
      </c>
      <c r="BK32" s="278">
        <v>840</v>
      </c>
      <c r="BL32" s="278">
        <v>1114</v>
      </c>
      <c r="BM32" s="278">
        <v>1445</v>
      </c>
      <c r="BO32" s="278">
        <v>4</v>
      </c>
      <c r="BP32" s="278">
        <v>28</v>
      </c>
      <c r="BQ32" s="278">
        <v>83</v>
      </c>
      <c r="BS32" s="278">
        <v>26</v>
      </c>
      <c r="BT32" s="278">
        <v>98</v>
      </c>
      <c r="BU32" s="278">
        <v>185</v>
      </c>
      <c r="BW32" s="278">
        <v>404</v>
      </c>
      <c r="BX32" s="278">
        <v>652</v>
      </c>
      <c r="BY32" s="278">
        <v>1015</v>
      </c>
      <c r="CA32" s="278">
        <v>392</v>
      </c>
      <c r="CB32" s="278">
        <v>495</v>
      </c>
      <c r="CC32" s="278">
        <v>955</v>
      </c>
      <c r="CE32" s="278">
        <v>610</v>
      </c>
      <c r="CF32" s="278">
        <v>769</v>
      </c>
      <c r="CG32" s="278">
        <v>1225</v>
      </c>
      <c r="CI32" s="278">
        <v>488</v>
      </c>
      <c r="CJ32" s="278">
        <v>683</v>
      </c>
      <c r="CK32" s="278"/>
    </row>
    <row r="33" spans="1:89" outlineLevel="1" x14ac:dyDescent="0.3">
      <c r="A33" s="277" t="s">
        <v>165</v>
      </c>
      <c r="B33" s="278">
        <v>4395</v>
      </c>
      <c r="C33" s="278">
        <f t="shared" si="69"/>
        <v>4279</v>
      </c>
      <c r="D33" s="278">
        <f t="shared" si="70"/>
        <v>4613</v>
      </c>
      <c r="E33" s="278">
        <f t="shared" si="70"/>
        <v>3545</v>
      </c>
      <c r="F33" s="278">
        <v>417</v>
      </c>
      <c r="G33" s="278">
        <f t="shared" si="71"/>
        <v>2094</v>
      </c>
      <c r="H33" s="278">
        <f t="shared" si="72"/>
        <v>1358</v>
      </c>
      <c r="I33" s="278">
        <f t="shared" si="72"/>
        <v>2386</v>
      </c>
      <c r="J33" s="278">
        <v>2816</v>
      </c>
      <c r="K33" s="278">
        <f t="shared" si="73"/>
        <v>3408</v>
      </c>
      <c r="L33" s="278">
        <f t="shared" si="74"/>
        <v>1498</v>
      </c>
      <c r="M33" s="278">
        <f t="shared" si="74"/>
        <v>2656</v>
      </c>
      <c r="N33" s="278">
        <v>3282</v>
      </c>
      <c r="O33" s="278">
        <f t="shared" si="75"/>
        <v>4391</v>
      </c>
      <c r="P33" s="278">
        <f t="shared" si="76"/>
        <v>3728</v>
      </c>
      <c r="Q33" s="278">
        <f t="shared" si="76"/>
        <v>5291</v>
      </c>
      <c r="R33" s="278">
        <v>5226</v>
      </c>
      <c r="S33" s="278">
        <f t="shared" si="77"/>
        <v>6399</v>
      </c>
      <c r="T33" s="278">
        <f t="shared" si="78"/>
        <v>4954</v>
      </c>
      <c r="U33" s="278">
        <f t="shared" si="78"/>
        <v>7135</v>
      </c>
      <c r="V33" s="278">
        <v>6459</v>
      </c>
      <c r="W33" s="278">
        <f t="shared" si="79"/>
        <v>6276</v>
      </c>
      <c r="X33" s="278">
        <f t="shared" si="80"/>
        <v>5031</v>
      </c>
      <c r="Y33" s="278">
        <f t="shared" si="80"/>
        <v>9490</v>
      </c>
      <c r="Z33" s="278">
        <v>8047</v>
      </c>
      <c r="AA33" s="278">
        <f t="shared" si="81"/>
        <v>6550</v>
      </c>
      <c r="AB33" s="278">
        <f t="shared" si="82"/>
        <v>7122</v>
      </c>
      <c r="AC33" s="278">
        <f t="shared" si="82"/>
        <v>-21719</v>
      </c>
      <c r="AF33" s="278">
        <v>16259</v>
      </c>
      <c r="AG33" s="278">
        <v>19027</v>
      </c>
      <c r="AH33" s="278">
        <v>21320</v>
      </c>
      <c r="AI33" s="278">
        <v>21797</v>
      </c>
      <c r="AJ33" s="278">
        <v>20473</v>
      </c>
      <c r="AK33" s="278">
        <v>18098</v>
      </c>
      <c r="AL33" s="278">
        <f t="shared" si="83"/>
        <v>16832</v>
      </c>
      <c r="AM33" s="278">
        <f t="shared" si="84"/>
        <v>6255</v>
      </c>
      <c r="AN33" s="278">
        <f t="shared" si="85"/>
        <v>10378</v>
      </c>
      <c r="AO33" s="278">
        <f t="shared" si="86"/>
        <v>16692</v>
      </c>
      <c r="AP33" s="278">
        <f t="shared" si="87"/>
        <v>23714</v>
      </c>
      <c r="AQ33" s="278">
        <f t="shared" si="88"/>
        <v>27256</v>
      </c>
      <c r="AR33" s="279"/>
      <c r="AU33" s="280" t="str">
        <f t="shared" si="68"/>
        <v>Force Motors Ltd</v>
      </c>
      <c r="AV33" s="281">
        <f t="shared" si="89"/>
        <v>0.3798920535526531</v>
      </c>
      <c r="AW33" s="281">
        <f t="shared" si="89"/>
        <v>0.4245581935023206</v>
      </c>
      <c r="AX33" s="281">
        <f t="shared" si="89"/>
        <v>0.43567108059506293</v>
      </c>
      <c r="AY33" s="281">
        <f t="shared" si="89"/>
        <v>0.42853491664045296</v>
      </c>
      <c r="AZ33" s="281">
        <f t="shared" si="89"/>
        <v>0.41779927349904084</v>
      </c>
      <c r="BA33" s="281">
        <f t="shared" si="89"/>
        <v>0.34690435115967033</v>
      </c>
      <c r="BB33" s="281">
        <f t="shared" si="89"/>
        <v>0.3673986117780591</v>
      </c>
      <c r="BC33" s="281">
        <f t="shared" si="89"/>
        <v>0.51745532759761748</v>
      </c>
      <c r="BD33" s="281">
        <f t="shared" si="89"/>
        <v>0.52001803878338426</v>
      </c>
      <c r="BE33" s="281">
        <f t="shared" si="89"/>
        <v>0.37666704276204444</v>
      </c>
      <c r="BF33" s="281">
        <f t="shared" si="89"/>
        <v>0.45824154589371979</v>
      </c>
      <c r="BG33" s="281">
        <f t="shared" si="89"/>
        <v>0.4973087379349353</v>
      </c>
      <c r="BK33" s="278">
        <v>8674</v>
      </c>
      <c r="BL33" s="278">
        <v>13287</v>
      </c>
      <c r="BM33" s="278">
        <v>16832</v>
      </c>
      <c r="BO33" s="278">
        <v>2511</v>
      </c>
      <c r="BP33" s="278">
        <v>3869</v>
      </c>
      <c r="BQ33" s="278">
        <v>6255</v>
      </c>
      <c r="BS33" s="278">
        <v>6224</v>
      </c>
      <c r="BT33" s="278">
        <v>7722</v>
      </c>
      <c r="BU33" s="278">
        <v>10378</v>
      </c>
      <c r="BW33" s="278">
        <v>7673</v>
      </c>
      <c r="BX33" s="278">
        <v>11401</v>
      </c>
      <c r="BY33" s="278">
        <v>16692</v>
      </c>
      <c r="CA33" s="278">
        <v>11625</v>
      </c>
      <c r="CB33" s="278">
        <v>16579</v>
      </c>
      <c r="CC33" s="278">
        <v>23714</v>
      </c>
      <c r="CE33" s="278">
        <v>12735</v>
      </c>
      <c r="CF33" s="278">
        <v>17766</v>
      </c>
      <c r="CG33" s="278">
        <v>27256</v>
      </c>
      <c r="CI33" s="278">
        <v>14597</v>
      </c>
      <c r="CJ33" s="278">
        <v>21719</v>
      </c>
      <c r="CK33" s="278"/>
    </row>
    <row r="34" spans="1:89" outlineLevel="1" x14ac:dyDescent="0.3">
      <c r="A34" s="277" t="s">
        <v>150</v>
      </c>
      <c r="B34" s="278">
        <v>1140</v>
      </c>
      <c r="C34" s="278">
        <f t="shared" si="69"/>
        <v>541</v>
      </c>
      <c r="D34" s="278">
        <f t="shared" si="70"/>
        <v>449</v>
      </c>
      <c r="E34" s="278">
        <f t="shared" si="70"/>
        <v>353</v>
      </c>
      <c r="F34" s="278">
        <v>0</v>
      </c>
      <c r="G34" s="278">
        <f t="shared" si="71"/>
        <v>13</v>
      </c>
      <c r="H34" s="278">
        <f t="shared" si="72"/>
        <v>19</v>
      </c>
      <c r="I34" s="278">
        <f t="shared" si="72"/>
        <v>69</v>
      </c>
      <c r="J34" s="278">
        <v>5</v>
      </c>
      <c r="K34" s="278">
        <f t="shared" si="73"/>
        <v>33</v>
      </c>
      <c r="L34" s="278">
        <f t="shared" si="74"/>
        <v>44</v>
      </c>
      <c r="M34" s="278">
        <f t="shared" si="74"/>
        <v>59</v>
      </c>
      <c r="N34" s="278">
        <v>187</v>
      </c>
      <c r="O34" s="278">
        <f t="shared" si="75"/>
        <v>317</v>
      </c>
      <c r="P34" s="278">
        <f t="shared" si="76"/>
        <v>349</v>
      </c>
      <c r="Q34" s="278">
        <f t="shared" si="76"/>
        <v>825</v>
      </c>
      <c r="R34" s="278">
        <v>938</v>
      </c>
      <c r="S34" s="278">
        <f t="shared" si="77"/>
        <v>727</v>
      </c>
      <c r="T34" s="278">
        <f t="shared" si="78"/>
        <v>627</v>
      </c>
      <c r="U34" s="278">
        <f t="shared" si="78"/>
        <v>1049</v>
      </c>
      <c r="V34" s="278">
        <v>1452</v>
      </c>
      <c r="W34" s="278">
        <f t="shared" si="79"/>
        <v>668</v>
      </c>
      <c r="X34" s="278">
        <f t="shared" si="80"/>
        <v>723</v>
      </c>
      <c r="Y34" s="278">
        <f t="shared" si="80"/>
        <v>1453</v>
      </c>
      <c r="Z34" s="278">
        <v>1303</v>
      </c>
      <c r="AA34" s="278">
        <f t="shared" si="81"/>
        <v>678</v>
      </c>
      <c r="AB34" s="278">
        <f t="shared" si="82"/>
        <v>849</v>
      </c>
      <c r="AC34" s="278">
        <f t="shared" si="82"/>
        <v>-2830</v>
      </c>
      <c r="AF34" s="278">
        <v>2748</v>
      </c>
      <c r="AG34" s="278">
        <v>2491</v>
      </c>
      <c r="AH34" s="278">
        <v>2476</v>
      </c>
      <c r="AI34" s="278">
        <v>3165</v>
      </c>
      <c r="AJ34" s="278">
        <v>2657</v>
      </c>
      <c r="AK34" s="278">
        <v>2592</v>
      </c>
      <c r="AL34" s="278">
        <f t="shared" si="83"/>
        <v>2483</v>
      </c>
      <c r="AM34" s="278">
        <f t="shared" si="84"/>
        <v>101</v>
      </c>
      <c r="AN34" s="278">
        <f t="shared" si="85"/>
        <v>141</v>
      </c>
      <c r="AO34" s="278">
        <f t="shared" si="86"/>
        <v>1678</v>
      </c>
      <c r="AP34" s="278">
        <f t="shared" si="87"/>
        <v>3341</v>
      </c>
      <c r="AQ34" s="278">
        <f t="shared" si="88"/>
        <v>4296</v>
      </c>
      <c r="AR34" s="279"/>
      <c r="AU34" s="280" t="str">
        <f t="shared" si="68"/>
        <v>Mahindra &amp; Mahindra Ltd</v>
      </c>
      <c r="AV34" s="281">
        <f t="shared" si="89"/>
        <v>6.4207107642701933E-2</v>
      </c>
      <c r="AW34" s="281">
        <f t="shared" si="89"/>
        <v>5.5582827561585148E-2</v>
      </c>
      <c r="AX34" s="281">
        <f t="shared" si="89"/>
        <v>5.0596697727644267E-2</v>
      </c>
      <c r="AY34" s="281">
        <f t="shared" si="89"/>
        <v>6.2224756212645484E-2</v>
      </c>
      <c r="AZ34" s="281">
        <f t="shared" si="89"/>
        <v>5.4222276641769721E-2</v>
      </c>
      <c r="BA34" s="281">
        <f t="shared" si="89"/>
        <v>4.9683726279470958E-2</v>
      </c>
      <c r="BB34" s="281">
        <f t="shared" si="89"/>
        <v>5.419740690618588E-2</v>
      </c>
      <c r="BC34" s="281">
        <f t="shared" si="89"/>
        <v>8.3553937789543342E-3</v>
      </c>
      <c r="BD34" s="281">
        <f t="shared" si="89"/>
        <v>7.0651901588415092E-3</v>
      </c>
      <c r="BE34" s="281">
        <f t="shared" si="89"/>
        <v>3.7865282635676407E-2</v>
      </c>
      <c r="BF34" s="281">
        <f t="shared" si="89"/>
        <v>6.4560386473429945E-2</v>
      </c>
      <c r="BG34" s="281">
        <f t="shared" si="89"/>
        <v>7.8384148010290658E-2</v>
      </c>
      <c r="BK34" s="278">
        <v>1681</v>
      </c>
      <c r="BL34" s="278">
        <v>2130</v>
      </c>
      <c r="BM34" s="278">
        <v>2483</v>
      </c>
      <c r="BO34" s="278">
        <v>13</v>
      </c>
      <c r="BP34" s="278">
        <v>32</v>
      </c>
      <c r="BQ34" s="278">
        <v>101</v>
      </c>
      <c r="BS34" s="278">
        <v>38</v>
      </c>
      <c r="BT34" s="278">
        <v>82</v>
      </c>
      <c r="BU34" s="278">
        <v>141</v>
      </c>
      <c r="BW34" s="278">
        <v>504</v>
      </c>
      <c r="BX34" s="278">
        <v>853</v>
      </c>
      <c r="BY34" s="278">
        <v>1678</v>
      </c>
      <c r="CA34" s="278">
        <v>1665</v>
      </c>
      <c r="CB34" s="278">
        <v>2292</v>
      </c>
      <c r="CC34" s="278">
        <v>3341</v>
      </c>
      <c r="CE34" s="278">
        <v>2120</v>
      </c>
      <c r="CF34" s="278">
        <v>2843</v>
      </c>
      <c r="CG34" s="278">
        <v>4296</v>
      </c>
      <c r="CI34" s="278">
        <v>1981</v>
      </c>
      <c r="CJ34" s="278">
        <v>2830</v>
      </c>
      <c r="CK34" s="278"/>
    </row>
    <row r="35" spans="1:89" outlineLevel="1" x14ac:dyDescent="0.3">
      <c r="A35" s="277" t="s">
        <v>220</v>
      </c>
      <c r="B35" s="278">
        <v>1873</v>
      </c>
      <c r="C35" s="278">
        <f t="shared" si="69"/>
        <v>728</v>
      </c>
      <c r="D35" s="278">
        <f t="shared" si="70"/>
        <v>384</v>
      </c>
      <c r="E35" s="278">
        <f t="shared" si="70"/>
        <v>851</v>
      </c>
      <c r="F35" s="278">
        <v>51</v>
      </c>
      <c r="G35" s="278">
        <f t="shared" si="71"/>
        <v>179</v>
      </c>
      <c r="H35" s="278">
        <f t="shared" si="72"/>
        <v>186</v>
      </c>
      <c r="I35" s="278">
        <f t="shared" si="72"/>
        <v>215</v>
      </c>
      <c r="J35" s="278">
        <v>122</v>
      </c>
      <c r="K35" s="278">
        <f t="shared" si="73"/>
        <v>163</v>
      </c>
      <c r="L35" s="278">
        <f t="shared" si="74"/>
        <v>208</v>
      </c>
      <c r="M35" s="278">
        <f t="shared" si="74"/>
        <v>478</v>
      </c>
      <c r="N35" s="278">
        <v>1450</v>
      </c>
      <c r="O35" s="278">
        <f t="shared" si="75"/>
        <v>951</v>
      </c>
      <c r="P35" s="278">
        <f t="shared" si="76"/>
        <v>680</v>
      </c>
      <c r="Q35" s="278">
        <f t="shared" si="76"/>
        <v>1662</v>
      </c>
      <c r="R35" s="278">
        <v>1844</v>
      </c>
      <c r="S35" s="278">
        <f t="shared" si="77"/>
        <v>1128</v>
      </c>
      <c r="T35" s="278">
        <f t="shared" si="78"/>
        <v>708</v>
      </c>
      <c r="U35" s="278">
        <f t="shared" si="78"/>
        <v>1558</v>
      </c>
      <c r="V35" s="278">
        <v>2000</v>
      </c>
      <c r="W35" s="278">
        <f t="shared" si="79"/>
        <v>1048</v>
      </c>
      <c r="X35" s="278">
        <f t="shared" si="80"/>
        <v>540</v>
      </c>
      <c r="Y35" s="278">
        <f t="shared" si="80"/>
        <v>1541</v>
      </c>
      <c r="Z35" s="278">
        <v>1825</v>
      </c>
      <c r="AA35" s="278">
        <f t="shared" si="81"/>
        <v>1042</v>
      </c>
      <c r="AB35" s="278">
        <f t="shared" si="82"/>
        <v>1061</v>
      </c>
      <c r="AC35" s="278">
        <f t="shared" si="82"/>
        <v>-3928</v>
      </c>
      <c r="AF35" s="278">
        <v>2859</v>
      </c>
      <c r="AG35" s="278">
        <v>3805</v>
      </c>
      <c r="AH35" s="278">
        <v>3282</v>
      </c>
      <c r="AI35" s="278">
        <v>4103</v>
      </c>
      <c r="AJ35" s="278">
        <v>3674</v>
      </c>
      <c r="AK35" s="278">
        <v>5014</v>
      </c>
      <c r="AL35" s="278">
        <f t="shared" si="83"/>
        <v>3836</v>
      </c>
      <c r="AM35" s="278">
        <f t="shared" si="84"/>
        <v>631</v>
      </c>
      <c r="AN35" s="278">
        <f t="shared" si="85"/>
        <v>971</v>
      </c>
      <c r="AO35" s="278">
        <f t="shared" si="86"/>
        <v>4743</v>
      </c>
      <c r="AP35" s="278">
        <f t="shared" si="87"/>
        <v>5238</v>
      </c>
      <c r="AQ35" s="278">
        <f t="shared" si="88"/>
        <v>5129</v>
      </c>
      <c r="AR35" s="279"/>
      <c r="AU35" s="280" t="str">
        <f t="shared" si="68"/>
        <v>SML Isuzu Ltd</v>
      </c>
      <c r="AV35" s="281">
        <f t="shared" si="89"/>
        <v>6.6800626182854733E-2</v>
      </c>
      <c r="AW35" s="281">
        <f t="shared" si="89"/>
        <v>8.4902713316672623E-2</v>
      </c>
      <c r="AX35" s="281">
        <f t="shared" si="89"/>
        <v>6.706718979892104E-2</v>
      </c>
      <c r="AY35" s="281">
        <f t="shared" si="89"/>
        <v>8.0666089965397925E-2</v>
      </c>
      <c r="AZ35" s="281">
        <f t="shared" si="89"/>
        <v>7.497653157013999E-2</v>
      </c>
      <c r="BA35" s="281">
        <f t="shared" si="89"/>
        <v>9.610887483227909E-2</v>
      </c>
      <c r="BB35" s="281">
        <f t="shared" si="89"/>
        <v>8.3729864233640372E-2</v>
      </c>
      <c r="BC35" s="281">
        <f t="shared" si="89"/>
        <v>5.2200529450694907E-2</v>
      </c>
      <c r="BD35" s="281">
        <f t="shared" si="89"/>
        <v>4.8654607405922735E-2</v>
      </c>
      <c r="BE35" s="281">
        <f t="shared" si="89"/>
        <v>0.10702922261085411</v>
      </c>
      <c r="BF35" s="281">
        <f t="shared" si="89"/>
        <v>0.10121739130434783</v>
      </c>
      <c r="BG35" s="281">
        <f t="shared" si="89"/>
        <v>9.3582936486215268E-2</v>
      </c>
      <c r="BK35" s="278">
        <v>2601</v>
      </c>
      <c r="BL35" s="278">
        <v>2985</v>
      </c>
      <c r="BM35" s="278">
        <v>3836</v>
      </c>
      <c r="BO35" s="278">
        <v>230</v>
      </c>
      <c r="BP35" s="278">
        <v>416</v>
      </c>
      <c r="BQ35" s="278">
        <v>631</v>
      </c>
      <c r="BS35" s="278">
        <v>285</v>
      </c>
      <c r="BT35" s="278">
        <v>493</v>
      </c>
      <c r="BU35" s="278">
        <v>971</v>
      </c>
      <c r="BW35" s="278">
        <v>2401</v>
      </c>
      <c r="BX35" s="278">
        <v>3081</v>
      </c>
      <c r="BY35" s="278">
        <v>4743</v>
      </c>
      <c r="CA35" s="278">
        <v>2972</v>
      </c>
      <c r="CB35" s="278">
        <v>3680</v>
      </c>
      <c r="CC35" s="278">
        <v>5238</v>
      </c>
      <c r="CE35" s="278">
        <v>3048</v>
      </c>
      <c r="CF35" s="278">
        <v>3588</v>
      </c>
      <c r="CG35" s="278">
        <v>5129</v>
      </c>
      <c r="CI35" s="278">
        <v>2867</v>
      </c>
      <c r="CJ35" s="278">
        <v>3928</v>
      </c>
      <c r="CK35" s="278"/>
    </row>
    <row r="36" spans="1:89" outlineLevel="1" x14ac:dyDescent="0.3">
      <c r="A36" s="277" t="s">
        <v>157</v>
      </c>
      <c r="B36" s="278">
        <v>5757</v>
      </c>
      <c r="C36" s="278">
        <f t="shared" si="69"/>
        <v>3881</v>
      </c>
      <c r="D36" s="278">
        <f t="shared" si="70"/>
        <v>2641</v>
      </c>
      <c r="E36" s="278">
        <f t="shared" si="70"/>
        <v>3569</v>
      </c>
      <c r="F36" s="278">
        <v>257</v>
      </c>
      <c r="G36" s="278">
        <f t="shared" si="71"/>
        <v>1196</v>
      </c>
      <c r="H36" s="278">
        <f t="shared" si="72"/>
        <v>961</v>
      </c>
      <c r="I36" s="278">
        <f t="shared" si="72"/>
        <v>1585</v>
      </c>
      <c r="J36" s="278">
        <v>1230</v>
      </c>
      <c r="K36" s="278">
        <f t="shared" si="73"/>
        <v>1322</v>
      </c>
      <c r="L36" s="278">
        <f t="shared" si="74"/>
        <v>1547</v>
      </c>
      <c r="M36" s="278">
        <f t="shared" si="74"/>
        <v>3232</v>
      </c>
      <c r="N36" s="278">
        <v>5572</v>
      </c>
      <c r="O36" s="278">
        <f t="shared" si="75"/>
        <v>4263</v>
      </c>
      <c r="P36" s="278">
        <f t="shared" si="76"/>
        <v>2751</v>
      </c>
      <c r="Q36" s="278">
        <f t="shared" si="76"/>
        <v>4838</v>
      </c>
      <c r="R36" s="278">
        <v>5187</v>
      </c>
      <c r="S36" s="278">
        <f t="shared" si="77"/>
        <v>4309</v>
      </c>
      <c r="T36" s="278">
        <f t="shared" si="78"/>
        <v>1904</v>
      </c>
      <c r="U36" s="278">
        <f t="shared" si="78"/>
        <v>4061</v>
      </c>
      <c r="V36" s="278">
        <v>4209</v>
      </c>
      <c r="W36" s="278">
        <f t="shared" si="79"/>
        <v>2951</v>
      </c>
      <c r="X36" s="278">
        <f t="shared" si="80"/>
        <v>2133</v>
      </c>
      <c r="Y36" s="278">
        <f t="shared" si="80"/>
        <v>4232</v>
      </c>
      <c r="Z36" s="278">
        <v>4324</v>
      </c>
      <c r="AA36" s="278">
        <f t="shared" si="81"/>
        <v>2701</v>
      </c>
      <c r="AB36" s="278">
        <f t="shared" si="82"/>
        <v>2807</v>
      </c>
      <c r="AC36" s="278">
        <f t="shared" si="82"/>
        <v>-9832</v>
      </c>
      <c r="AF36" s="278">
        <v>16603</v>
      </c>
      <c r="AG36" s="278">
        <v>14216</v>
      </c>
      <c r="AH36" s="278">
        <v>15396</v>
      </c>
      <c r="AI36" s="278">
        <v>15249</v>
      </c>
      <c r="AJ36" s="278">
        <v>15654</v>
      </c>
      <c r="AK36" s="278">
        <v>18382</v>
      </c>
      <c r="AL36" s="278">
        <f t="shared" si="83"/>
        <v>15848</v>
      </c>
      <c r="AM36" s="278">
        <f t="shared" si="84"/>
        <v>3999</v>
      </c>
      <c r="AN36" s="278">
        <f t="shared" si="85"/>
        <v>7331</v>
      </c>
      <c r="AO36" s="278">
        <f t="shared" si="86"/>
        <v>17424</v>
      </c>
      <c r="AP36" s="278">
        <f t="shared" si="87"/>
        <v>15461</v>
      </c>
      <c r="AQ36" s="278">
        <f t="shared" si="88"/>
        <v>13525</v>
      </c>
      <c r="AR36" s="279"/>
      <c r="AU36" s="280" t="str">
        <f t="shared" si="68"/>
        <v>Tata Motors Ltd</v>
      </c>
      <c r="AV36" s="281">
        <f t="shared" si="89"/>
        <v>0.38792962452393748</v>
      </c>
      <c r="AW36" s="281">
        <f t="shared" si="89"/>
        <v>0.31720813995001784</v>
      </c>
      <c r="AX36" s="281">
        <f t="shared" si="89"/>
        <v>0.31461500735654735</v>
      </c>
      <c r="AY36" s="281">
        <f t="shared" si="89"/>
        <v>0.29979946524064172</v>
      </c>
      <c r="AZ36" s="281">
        <f t="shared" si="89"/>
        <v>0.31945634872046041</v>
      </c>
      <c r="BA36" s="281">
        <f t="shared" si="89"/>
        <v>0.35234809277362467</v>
      </c>
      <c r="BB36" s="281">
        <f t="shared" si="89"/>
        <v>0.34592046099445584</v>
      </c>
      <c r="BC36" s="281">
        <f t="shared" si="89"/>
        <v>0.3308239576439444</v>
      </c>
      <c r="BD36" s="281">
        <f t="shared" si="89"/>
        <v>0.36733978052813548</v>
      </c>
      <c r="BE36" s="281">
        <f t="shared" si="89"/>
        <v>0.39318515175448493</v>
      </c>
      <c r="BF36" s="281">
        <f t="shared" si="89"/>
        <v>0.29876328502415461</v>
      </c>
      <c r="BG36" s="281">
        <f t="shared" si="89"/>
        <v>0.24677504698304961</v>
      </c>
      <c r="BK36" s="278">
        <v>9638</v>
      </c>
      <c r="BL36" s="278">
        <v>12279</v>
      </c>
      <c r="BM36" s="278">
        <v>15848</v>
      </c>
      <c r="BO36" s="278">
        <v>1453</v>
      </c>
      <c r="BP36" s="278">
        <v>2414</v>
      </c>
      <c r="BQ36" s="278">
        <v>3999</v>
      </c>
      <c r="BS36" s="278">
        <v>2552</v>
      </c>
      <c r="BT36" s="278">
        <v>4099</v>
      </c>
      <c r="BU36" s="278">
        <v>7331</v>
      </c>
      <c r="BW36" s="278">
        <v>9835</v>
      </c>
      <c r="BX36" s="278">
        <v>12586</v>
      </c>
      <c r="BY36" s="278">
        <v>17424</v>
      </c>
      <c r="CA36" s="278">
        <v>9496</v>
      </c>
      <c r="CB36" s="278">
        <v>11400</v>
      </c>
      <c r="CC36" s="278">
        <v>15461</v>
      </c>
      <c r="CE36" s="278">
        <v>7160</v>
      </c>
      <c r="CF36" s="278">
        <v>9293</v>
      </c>
      <c r="CG36" s="278">
        <v>13525</v>
      </c>
      <c r="CI36" s="278">
        <v>7025</v>
      </c>
      <c r="CJ36" s="278">
        <v>9832</v>
      </c>
      <c r="CK36" s="278"/>
    </row>
    <row r="37" spans="1:89" outlineLevel="1" x14ac:dyDescent="0.3">
      <c r="A37" s="277" t="s">
        <v>158</v>
      </c>
      <c r="B37" s="278"/>
      <c r="C37" s="278">
        <f t="shared" si="69"/>
        <v>0</v>
      </c>
      <c r="D37" s="278">
        <f t="shared" si="70"/>
        <v>0</v>
      </c>
      <c r="E37" s="278">
        <f t="shared" si="70"/>
        <v>0</v>
      </c>
      <c r="F37" s="278"/>
      <c r="G37" s="278">
        <f t="shared" si="71"/>
        <v>0</v>
      </c>
      <c r="H37" s="278">
        <f t="shared" si="72"/>
        <v>0</v>
      </c>
      <c r="I37" s="278">
        <f t="shared" si="72"/>
        <v>10</v>
      </c>
      <c r="J37" s="278">
        <v>4</v>
      </c>
      <c r="K37" s="278">
        <f t="shared" si="73"/>
        <v>5</v>
      </c>
      <c r="L37" s="278">
        <f t="shared" si="74"/>
        <v>0</v>
      </c>
      <c r="M37" s="278">
        <f t="shared" si="74"/>
        <v>1</v>
      </c>
      <c r="N37" s="278">
        <v>0</v>
      </c>
      <c r="O37" s="278">
        <f t="shared" si="75"/>
        <v>0</v>
      </c>
      <c r="P37" s="278">
        <f t="shared" si="76"/>
        <v>0</v>
      </c>
      <c r="Q37" s="278">
        <f t="shared" si="76"/>
        <v>0</v>
      </c>
      <c r="R37" s="278"/>
      <c r="S37" s="278">
        <f t="shared" si="77"/>
        <v>0</v>
      </c>
      <c r="T37" s="278">
        <f t="shared" si="78"/>
        <v>0</v>
      </c>
      <c r="U37" s="278">
        <f t="shared" si="78"/>
        <v>0</v>
      </c>
      <c r="V37" s="278"/>
      <c r="W37" s="278">
        <f t="shared" si="79"/>
        <v>0</v>
      </c>
      <c r="X37" s="278">
        <f t="shared" si="80"/>
        <v>0</v>
      </c>
      <c r="Y37" s="278">
        <f t="shared" si="80"/>
        <v>0</v>
      </c>
      <c r="Z37" s="278">
        <v>0</v>
      </c>
      <c r="AA37" s="278">
        <f t="shared" si="81"/>
        <v>0</v>
      </c>
      <c r="AB37" s="278">
        <f t="shared" si="82"/>
        <v>0</v>
      </c>
      <c r="AC37" s="278">
        <f t="shared" si="82"/>
        <v>0</v>
      </c>
      <c r="AF37" s="278"/>
      <c r="AG37" s="278"/>
      <c r="AH37" s="278"/>
      <c r="AI37" s="278"/>
      <c r="AJ37" s="278"/>
      <c r="AK37" s="278"/>
      <c r="AL37" s="278">
        <f t="shared" si="83"/>
        <v>0</v>
      </c>
      <c r="AM37" s="278">
        <f t="shared" si="84"/>
        <v>10</v>
      </c>
      <c r="AN37" s="278">
        <f t="shared" si="85"/>
        <v>10</v>
      </c>
      <c r="AO37" s="278">
        <f t="shared" si="86"/>
        <v>0</v>
      </c>
      <c r="AP37" s="278">
        <f t="shared" si="87"/>
        <v>0</v>
      </c>
      <c r="AQ37" s="278">
        <f t="shared" si="88"/>
        <v>0</v>
      </c>
      <c r="AR37" s="279"/>
      <c r="AU37" s="280" t="str">
        <f t="shared" si="68"/>
        <v>Toyota Kirloskar Motor Pvt Ltd</v>
      </c>
      <c r="AV37" s="281">
        <f t="shared" si="89"/>
        <v>0</v>
      </c>
      <c r="AW37" s="281">
        <f t="shared" si="89"/>
        <v>0</v>
      </c>
      <c r="AX37" s="281">
        <f t="shared" si="89"/>
        <v>0</v>
      </c>
      <c r="AY37" s="281">
        <f t="shared" si="89"/>
        <v>0</v>
      </c>
      <c r="AZ37" s="281">
        <f t="shared" si="89"/>
        <v>0</v>
      </c>
      <c r="BA37" s="281">
        <f t="shared" si="89"/>
        <v>0</v>
      </c>
      <c r="BB37" s="281">
        <f t="shared" si="89"/>
        <v>0</v>
      </c>
      <c r="BC37" s="281">
        <f t="shared" si="89"/>
        <v>8.2726671078755794E-4</v>
      </c>
      <c r="BD37" s="281">
        <f t="shared" si="89"/>
        <v>5.0107731622989432E-4</v>
      </c>
      <c r="BE37" s="281">
        <f t="shared" si="89"/>
        <v>0</v>
      </c>
      <c r="BF37" s="281">
        <f t="shared" si="89"/>
        <v>0</v>
      </c>
      <c r="BG37" s="281">
        <f t="shared" si="89"/>
        <v>0</v>
      </c>
      <c r="BK37" s="278"/>
      <c r="BL37" s="288"/>
      <c r="BM37" s="278">
        <v>0</v>
      </c>
      <c r="BO37" s="278"/>
      <c r="BP37" s="288"/>
      <c r="BQ37" s="278">
        <v>10</v>
      </c>
      <c r="BS37" s="278">
        <v>9</v>
      </c>
      <c r="BT37" s="278">
        <v>9</v>
      </c>
      <c r="BU37" s="278">
        <v>10</v>
      </c>
      <c r="BW37" s="278">
        <v>0</v>
      </c>
      <c r="BX37" s="278">
        <v>0</v>
      </c>
      <c r="BY37" s="278"/>
      <c r="CA37" s="278"/>
      <c r="CB37" s="278"/>
      <c r="CC37" s="278"/>
      <c r="CE37" s="278"/>
      <c r="CF37" s="278"/>
      <c r="CG37" s="278"/>
      <c r="CI37" s="278"/>
      <c r="CJ37" s="278"/>
      <c r="CK37" s="278"/>
    </row>
    <row r="38" spans="1:89" outlineLevel="1" x14ac:dyDescent="0.3">
      <c r="A38" s="277" t="s">
        <v>222</v>
      </c>
      <c r="B38" s="278">
        <v>2039</v>
      </c>
      <c r="C38" s="278">
        <f t="shared" si="69"/>
        <v>917</v>
      </c>
      <c r="D38" s="278">
        <f t="shared" si="70"/>
        <v>893</v>
      </c>
      <c r="E38" s="278">
        <f t="shared" si="70"/>
        <v>1521</v>
      </c>
      <c r="F38" s="278">
        <v>135</v>
      </c>
      <c r="G38" s="278">
        <f t="shared" si="71"/>
        <v>277</v>
      </c>
      <c r="H38" s="278">
        <f t="shared" si="72"/>
        <v>255</v>
      </c>
      <c r="I38" s="278">
        <f t="shared" si="72"/>
        <v>342</v>
      </c>
      <c r="J38" s="278">
        <v>113</v>
      </c>
      <c r="K38" s="278">
        <f t="shared" si="73"/>
        <v>236</v>
      </c>
      <c r="L38" s="278">
        <f t="shared" si="74"/>
        <v>163</v>
      </c>
      <c r="M38" s="278">
        <f t="shared" si="74"/>
        <v>429</v>
      </c>
      <c r="N38" s="278">
        <v>924</v>
      </c>
      <c r="O38" s="278">
        <f t="shared" si="75"/>
        <v>444</v>
      </c>
      <c r="P38" s="278">
        <f t="shared" si="76"/>
        <v>337</v>
      </c>
      <c r="Q38" s="278">
        <f t="shared" si="76"/>
        <v>1058</v>
      </c>
      <c r="R38" s="278">
        <v>956</v>
      </c>
      <c r="S38" s="278">
        <f t="shared" si="77"/>
        <v>459</v>
      </c>
      <c r="T38" s="278">
        <f t="shared" si="78"/>
        <v>556</v>
      </c>
      <c r="U38" s="278">
        <f t="shared" si="78"/>
        <v>1070</v>
      </c>
      <c r="V38" s="278">
        <v>1036</v>
      </c>
      <c r="W38" s="278">
        <f t="shared" si="79"/>
        <v>726</v>
      </c>
      <c r="X38" s="278">
        <f t="shared" si="80"/>
        <v>476</v>
      </c>
      <c r="Y38" s="278">
        <f t="shared" si="80"/>
        <v>1138</v>
      </c>
      <c r="Z38" s="278">
        <v>1108</v>
      </c>
      <c r="AA38" s="278">
        <f t="shared" si="81"/>
        <v>635</v>
      </c>
      <c r="AB38" s="278">
        <f t="shared" si="82"/>
        <v>577</v>
      </c>
      <c r="AC38" s="278">
        <f t="shared" si="82"/>
        <v>-2320</v>
      </c>
      <c r="AF38" s="278">
        <v>4283</v>
      </c>
      <c r="AG38" s="278">
        <v>4947</v>
      </c>
      <c r="AH38" s="278">
        <v>5933</v>
      </c>
      <c r="AI38" s="278">
        <v>6297</v>
      </c>
      <c r="AJ38" s="278">
        <v>5622</v>
      </c>
      <c r="AK38" s="278">
        <v>6595</v>
      </c>
      <c r="AL38" s="278">
        <f t="shared" si="83"/>
        <v>5370</v>
      </c>
      <c r="AM38" s="278">
        <f t="shared" si="84"/>
        <v>1009</v>
      </c>
      <c r="AN38" s="278">
        <f t="shared" si="85"/>
        <v>941</v>
      </c>
      <c r="AO38" s="278">
        <f t="shared" si="86"/>
        <v>2763</v>
      </c>
      <c r="AP38" s="278">
        <f t="shared" si="87"/>
        <v>3041</v>
      </c>
      <c r="AQ38" s="278">
        <f t="shared" si="88"/>
        <v>3376</v>
      </c>
      <c r="AR38" s="279"/>
      <c r="AU38" s="280" t="str">
        <f t="shared" si="68"/>
        <v>VECV-Eicher</v>
      </c>
      <c r="AV38" s="281">
        <f t="shared" si="89"/>
        <v>0.10007243159886914</v>
      </c>
      <c r="AW38" s="281">
        <f t="shared" si="89"/>
        <v>0.11038468404141379</v>
      </c>
      <c r="AX38" s="281">
        <f t="shared" si="89"/>
        <v>0.12123998692169365</v>
      </c>
      <c r="AY38" s="281">
        <f t="shared" si="89"/>
        <v>0.12380072349795533</v>
      </c>
      <c r="AZ38" s="281">
        <f t="shared" si="89"/>
        <v>0.11473001101995838</v>
      </c>
      <c r="BA38" s="281">
        <f t="shared" si="89"/>
        <v>0.12641364769024344</v>
      </c>
      <c r="BB38" s="281">
        <f t="shared" si="89"/>
        <v>0.11721307897149343</v>
      </c>
      <c r="BC38" s="281">
        <f t="shared" si="89"/>
        <v>8.3471211118464589E-2</v>
      </c>
      <c r="BD38" s="281">
        <f t="shared" si="89"/>
        <v>4.7151375457233052E-2</v>
      </c>
      <c r="BE38" s="281">
        <f t="shared" si="89"/>
        <v>6.2349091729662645E-2</v>
      </c>
      <c r="BF38" s="281">
        <f t="shared" si="89"/>
        <v>5.8763285024154586E-2</v>
      </c>
      <c r="BG38" s="281">
        <f t="shared" si="89"/>
        <v>6.1597971062090612E-2</v>
      </c>
      <c r="BK38" s="278">
        <v>2956</v>
      </c>
      <c r="BL38" s="278">
        <v>3849</v>
      </c>
      <c r="BM38" s="278">
        <v>5370</v>
      </c>
      <c r="BO38" s="278">
        <v>412</v>
      </c>
      <c r="BP38" s="278">
        <v>667</v>
      </c>
      <c r="BQ38" s="278">
        <v>1009</v>
      </c>
      <c r="BS38" s="278">
        <v>349</v>
      </c>
      <c r="BT38" s="278">
        <v>512</v>
      </c>
      <c r="BU38" s="278">
        <v>941</v>
      </c>
      <c r="BW38" s="278">
        <v>1368</v>
      </c>
      <c r="BX38" s="278">
        <v>1705</v>
      </c>
      <c r="BY38" s="278">
        <v>2763</v>
      </c>
      <c r="CA38" s="278">
        <v>1415</v>
      </c>
      <c r="CB38" s="278">
        <v>1971</v>
      </c>
      <c r="CC38" s="278">
        <v>3041</v>
      </c>
      <c r="CE38" s="278">
        <v>1762</v>
      </c>
      <c r="CF38" s="278">
        <v>2238</v>
      </c>
      <c r="CG38" s="278">
        <v>3376</v>
      </c>
      <c r="CI38" s="278">
        <v>1743</v>
      </c>
      <c r="CJ38" s="278">
        <v>2320</v>
      </c>
      <c r="CK38" s="278"/>
    </row>
    <row r="39" spans="1:89" s="283" customFormat="1" x14ac:dyDescent="0.3">
      <c r="A39" s="280" t="s">
        <v>232</v>
      </c>
      <c r="B39" s="282">
        <f t="shared" ref="B39:X39" si="90">SUM(B32:B38)</f>
        <v>15919</v>
      </c>
      <c r="C39" s="282">
        <f t="shared" si="90"/>
        <v>10471</v>
      </c>
      <c r="D39" s="282">
        <f t="shared" si="90"/>
        <v>9254</v>
      </c>
      <c r="E39" s="282">
        <f t="shared" si="90"/>
        <v>10170</v>
      </c>
      <c r="F39" s="282">
        <f t="shared" si="90"/>
        <v>860</v>
      </c>
      <c r="G39" s="282">
        <f t="shared" si="90"/>
        <v>3763</v>
      </c>
      <c r="H39" s="282">
        <f t="shared" si="90"/>
        <v>2803</v>
      </c>
      <c r="I39" s="282">
        <f t="shared" si="90"/>
        <v>4662</v>
      </c>
      <c r="J39" s="282">
        <f t="shared" si="90"/>
        <v>4297</v>
      </c>
      <c r="K39" s="282">
        <f t="shared" si="90"/>
        <v>5186</v>
      </c>
      <c r="L39" s="282">
        <f t="shared" si="90"/>
        <v>3532</v>
      </c>
      <c r="M39" s="282">
        <f t="shared" si="90"/>
        <v>6942</v>
      </c>
      <c r="N39" s="282">
        <f t="shared" si="90"/>
        <v>11590</v>
      </c>
      <c r="O39" s="282">
        <f t="shared" si="90"/>
        <v>10595</v>
      </c>
      <c r="P39" s="282">
        <f t="shared" si="90"/>
        <v>8093</v>
      </c>
      <c r="Q39" s="282">
        <f t="shared" si="90"/>
        <v>14037</v>
      </c>
      <c r="R39" s="282">
        <f t="shared" si="90"/>
        <v>14423</v>
      </c>
      <c r="S39" s="282">
        <f t="shared" si="90"/>
        <v>13142</v>
      </c>
      <c r="T39" s="282">
        <f t="shared" si="90"/>
        <v>8852</v>
      </c>
      <c r="U39" s="282">
        <f t="shared" si="90"/>
        <v>15333</v>
      </c>
      <c r="V39" s="282">
        <f t="shared" si="90"/>
        <v>15571</v>
      </c>
      <c r="W39" s="282">
        <f t="shared" si="90"/>
        <v>11864</v>
      </c>
      <c r="X39" s="282">
        <f t="shared" si="90"/>
        <v>9062</v>
      </c>
      <c r="Y39" s="282">
        <f t="shared" ref="Y39:AC39" si="91">SUM(Y32:Y38)</f>
        <v>18310</v>
      </c>
      <c r="Z39" s="282">
        <f t="shared" si="91"/>
        <v>16949</v>
      </c>
      <c r="AA39" s="282">
        <f t="shared" si="91"/>
        <v>11752</v>
      </c>
      <c r="AB39" s="282">
        <f t="shared" si="91"/>
        <v>12611</v>
      </c>
      <c r="AC39" s="282">
        <f t="shared" si="91"/>
        <v>-41312</v>
      </c>
      <c r="AF39" s="282">
        <f>SUM(AF32:AF38)</f>
        <v>42799</v>
      </c>
      <c r="AG39" s="282">
        <f>SUM(AG32:AG38)</f>
        <v>44816</v>
      </c>
      <c r="AH39" s="282">
        <f>SUM(AH32:AH38)</f>
        <v>48936</v>
      </c>
      <c r="AI39" s="282">
        <f>SUM(AI32:AI38)</f>
        <v>50864</v>
      </c>
      <c r="AJ39" s="282">
        <f t="shared" ref="AJ39:AK39" si="92">SUM(AJ32:AJ38)</f>
        <v>49002</v>
      </c>
      <c r="AK39" s="282">
        <f t="shared" si="92"/>
        <v>52170</v>
      </c>
      <c r="AL39" s="282">
        <f t="shared" si="83"/>
        <v>45814</v>
      </c>
      <c r="AM39" s="282">
        <f t="shared" si="84"/>
        <v>12088</v>
      </c>
      <c r="AN39" s="282">
        <f t="shared" si="85"/>
        <v>19957</v>
      </c>
      <c r="AO39" s="282">
        <f t="shared" si="86"/>
        <v>44315</v>
      </c>
      <c r="AP39" s="282">
        <f t="shared" si="87"/>
        <v>51750</v>
      </c>
      <c r="AQ39" s="282">
        <f t="shared" si="88"/>
        <v>54807</v>
      </c>
      <c r="AR39" s="284"/>
      <c r="AU39" s="280" t="str">
        <f t="shared" si="68"/>
        <v>Total LCV (P)</v>
      </c>
      <c r="AV39" s="281">
        <f t="shared" si="89"/>
        <v>1</v>
      </c>
      <c r="AW39" s="281">
        <f t="shared" si="89"/>
        <v>1</v>
      </c>
      <c r="AX39" s="281">
        <f t="shared" si="89"/>
        <v>1</v>
      </c>
      <c r="AY39" s="281">
        <f t="shared" si="89"/>
        <v>1</v>
      </c>
      <c r="AZ39" s="281">
        <f t="shared" si="89"/>
        <v>1</v>
      </c>
      <c r="BA39" s="281">
        <f t="shared" si="89"/>
        <v>1</v>
      </c>
      <c r="BB39" s="281">
        <f t="shared" si="89"/>
        <v>1</v>
      </c>
      <c r="BC39" s="281">
        <f t="shared" si="89"/>
        <v>1</v>
      </c>
      <c r="BD39" s="281">
        <f t="shared" si="89"/>
        <v>1</v>
      </c>
      <c r="BE39" s="281">
        <f t="shared" si="89"/>
        <v>1</v>
      </c>
      <c r="BF39" s="281">
        <f t="shared" si="89"/>
        <v>1</v>
      </c>
      <c r="BG39" s="281">
        <f t="shared" si="89"/>
        <v>1</v>
      </c>
      <c r="BK39" s="282">
        <f>SUM(BK32:BK38)</f>
        <v>26390</v>
      </c>
      <c r="BL39" s="282">
        <f>SUM(BL32:BL38)</f>
        <v>35644</v>
      </c>
      <c r="BM39" s="282">
        <f>SUM(BM32:BM38)</f>
        <v>45814</v>
      </c>
      <c r="BO39" s="282">
        <f>SUM(BO32:BO38)</f>
        <v>4623</v>
      </c>
      <c r="BP39" s="282">
        <f>SUM(BP32:BP38)</f>
        <v>7426</v>
      </c>
      <c r="BQ39" s="282">
        <f t="shared" ref="BQ39" si="93">SUM(BQ32:BQ38)</f>
        <v>12088</v>
      </c>
      <c r="BS39" s="282">
        <f>SUM(BS32:BS38)</f>
        <v>9483</v>
      </c>
      <c r="BT39" s="282">
        <f>SUM(BT32:BT38)</f>
        <v>13015</v>
      </c>
      <c r="BU39" s="282">
        <f>SUM(BU32:BU38)</f>
        <v>19957</v>
      </c>
      <c r="BW39" s="282">
        <f>SUM(BW32:BW38)</f>
        <v>22185</v>
      </c>
      <c r="BX39" s="282">
        <f>SUM(BX32:BX38)</f>
        <v>30278</v>
      </c>
      <c r="BY39" s="282">
        <f>SUM(BY32:BY38)</f>
        <v>44315</v>
      </c>
      <c r="CA39" s="282">
        <f>SUM(CA32:CA38)</f>
        <v>27565</v>
      </c>
      <c r="CB39" s="282">
        <f>SUM(CB32:CB38)</f>
        <v>36417</v>
      </c>
      <c r="CC39" s="282">
        <f>SUM(CC32:CC38)</f>
        <v>51750</v>
      </c>
      <c r="CE39" s="282">
        <f>SUM(CE32:CE38)</f>
        <v>27435</v>
      </c>
      <c r="CF39" s="282">
        <f>SUM(CF32:CF38)</f>
        <v>36497</v>
      </c>
      <c r="CG39" s="282">
        <f>SUM(CG32:CG38)</f>
        <v>54807</v>
      </c>
      <c r="CI39" s="282">
        <f>SUM(CI32:CI38)</f>
        <v>28701</v>
      </c>
      <c r="CJ39" s="282">
        <f>SUM(CJ32:CJ38)</f>
        <v>41312</v>
      </c>
      <c r="CK39" s="282"/>
    </row>
    <row r="40" spans="1:89" x14ac:dyDescent="0.3">
      <c r="A40" s="280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F40" s="285"/>
      <c r="AG40" s="285"/>
      <c r="AH40" s="285"/>
      <c r="AI40" s="285"/>
      <c r="AJ40" s="285"/>
      <c r="AK40" s="285"/>
      <c r="AL40" s="285"/>
      <c r="AM40" s="285"/>
      <c r="AN40" s="285"/>
      <c r="AO40" s="285"/>
      <c r="AP40" s="285"/>
      <c r="AQ40" s="285"/>
      <c r="AR40" s="275"/>
      <c r="AU40" s="280"/>
      <c r="AV40" s="286"/>
      <c r="AW40" s="286"/>
      <c r="AX40" s="286"/>
      <c r="AY40" s="286"/>
      <c r="AZ40" s="286"/>
      <c r="BA40" s="286"/>
      <c r="BB40" s="286"/>
      <c r="BC40" s="286"/>
      <c r="BD40" s="286"/>
      <c r="BE40" s="286"/>
      <c r="BF40" s="286"/>
      <c r="BG40" s="286"/>
      <c r="BK40" s="285"/>
      <c r="BL40" s="285"/>
      <c r="BM40" s="285"/>
      <c r="BO40" s="285"/>
      <c r="BP40" s="285"/>
      <c r="BQ40" s="285"/>
      <c r="BS40" s="285"/>
      <c r="BT40" s="285"/>
      <c r="BU40" s="285"/>
      <c r="BW40" s="285"/>
      <c r="BX40" s="285"/>
      <c r="BY40" s="285"/>
      <c r="CA40" s="285"/>
      <c r="CB40" s="285"/>
      <c r="CC40" s="285"/>
      <c r="CE40" s="285"/>
      <c r="CF40" s="285"/>
      <c r="CG40" s="285"/>
      <c r="CI40" s="285"/>
      <c r="CJ40" s="285"/>
      <c r="CK40" s="285"/>
    </row>
    <row r="41" spans="1:89" x14ac:dyDescent="0.3">
      <c r="A41" s="280" t="s">
        <v>233</v>
      </c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F41" s="285"/>
      <c r="AG41" s="285"/>
      <c r="AH41" s="285"/>
      <c r="AI41" s="285"/>
      <c r="AJ41" s="285"/>
      <c r="AK41" s="285"/>
      <c r="AL41" s="285"/>
      <c r="AM41" s="285"/>
      <c r="AN41" s="285"/>
      <c r="AO41" s="285"/>
      <c r="AP41" s="285"/>
      <c r="AQ41" s="285"/>
      <c r="AR41" s="275"/>
      <c r="AU41" s="280" t="str">
        <f t="shared" ref="AU41:AU56" si="94">A41</f>
        <v>LCV - Goods</v>
      </c>
      <c r="AV41" s="286"/>
      <c r="AW41" s="286"/>
      <c r="AX41" s="286"/>
      <c r="AY41" s="286"/>
      <c r="AZ41" s="286"/>
      <c r="BA41" s="286"/>
      <c r="BB41" s="286"/>
      <c r="BC41" s="286"/>
      <c r="BD41" s="286"/>
      <c r="BE41" s="286"/>
      <c r="BF41" s="286"/>
      <c r="BG41" s="286"/>
      <c r="BK41" s="285"/>
      <c r="BL41" s="285"/>
      <c r="BM41" s="285"/>
      <c r="BO41" s="285"/>
      <c r="BP41" s="285"/>
      <c r="BQ41" s="285"/>
      <c r="BS41" s="285"/>
      <c r="BT41" s="285"/>
      <c r="BU41" s="285"/>
      <c r="BW41" s="285"/>
      <c r="BX41" s="285"/>
      <c r="BY41" s="285"/>
      <c r="CA41" s="285"/>
      <c r="CB41" s="285"/>
      <c r="CC41" s="285"/>
      <c r="CE41" s="285"/>
      <c r="CF41" s="285"/>
      <c r="CG41" s="285"/>
      <c r="CI41" s="285"/>
      <c r="CJ41" s="285"/>
      <c r="CK41" s="285"/>
    </row>
    <row r="42" spans="1:89" outlineLevel="1" x14ac:dyDescent="0.3">
      <c r="A42" s="277" t="s">
        <v>163</v>
      </c>
      <c r="B42" s="278">
        <v>11956</v>
      </c>
      <c r="C42" s="278">
        <f>BK42-B42</f>
        <v>11485</v>
      </c>
      <c r="D42" s="278">
        <f>BL42-BK42</f>
        <v>12300</v>
      </c>
      <c r="E42" s="278">
        <f>BM42-BL42</f>
        <v>7726</v>
      </c>
      <c r="F42" s="278">
        <v>2686</v>
      </c>
      <c r="G42" s="278">
        <f>BO42-F42</f>
        <v>10948</v>
      </c>
      <c r="H42" s="278">
        <f>BP42-BO42</f>
        <v>15967</v>
      </c>
      <c r="I42" s="278">
        <f>BQ42-BP42</f>
        <v>16987</v>
      </c>
      <c r="J42" s="278">
        <v>8683</v>
      </c>
      <c r="K42" s="278">
        <f>BS42-J42</f>
        <v>13309</v>
      </c>
      <c r="L42" s="278">
        <f>BT42-BS42</f>
        <v>14161</v>
      </c>
      <c r="M42" s="278">
        <f>BU42-BT42</f>
        <v>15884</v>
      </c>
      <c r="N42" s="278">
        <v>14209</v>
      </c>
      <c r="O42" s="278">
        <f>BW42-N42</f>
        <v>16811</v>
      </c>
      <c r="P42" s="278">
        <f>BX42-BW42</f>
        <v>16157</v>
      </c>
      <c r="Q42" s="278">
        <f>BY42-BX42</f>
        <v>18477</v>
      </c>
      <c r="R42" s="278">
        <v>14549</v>
      </c>
      <c r="S42" s="278">
        <f>CA42-R42</f>
        <v>16878</v>
      </c>
      <c r="T42" s="278">
        <f>CB42-CA42</f>
        <v>16760</v>
      </c>
      <c r="U42" s="278">
        <f>CC42-CB42</f>
        <v>17491</v>
      </c>
      <c r="V42" s="278">
        <v>14930</v>
      </c>
      <c r="W42" s="278">
        <f>CE42-V42</f>
        <v>16434</v>
      </c>
      <c r="X42" s="278">
        <f>CF42-CE42</f>
        <v>15256</v>
      </c>
      <c r="Y42" s="278">
        <f>CG42-CF42</f>
        <v>17204</v>
      </c>
      <c r="Z42" s="278">
        <v>15224</v>
      </c>
      <c r="AA42" s="278">
        <f>CI42-Z42</f>
        <v>17551</v>
      </c>
      <c r="AB42" s="278">
        <f>CJ42-CI42</f>
        <v>19063</v>
      </c>
      <c r="AC42" s="278">
        <f>CK42-CJ42</f>
        <v>-51838</v>
      </c>
      <c r="AF42" s="278">
        <v>27244</v>
      </c>
      <c r="AG42" s="278">
        <v>25244</v>
      </c>
      <c r="AH42" s="278">
        <v>27983</v>
      </c>
      <c r="AI42" s="278">
        <v>30698</v>
      </c>
      <c r="AJ42" s="278">
        <v>41156</v>
      </c>
      <c r="AK42" s="278">
        <v>51640</v>
      </c>
      <c r="AL42" s="278">
        <f t="shared" ref="AL42:AL56" si="95">SUM(B42:E42)</f>
        <v>43467</v>
      </c>
      <c r="AM42" s="278">
        <f t="shared" ref="AM42:AM56" si="96">SUM(F42:I42)</f>
        <v>46588</v>
      </c>
      <c r="AN42" s="278">
        <f t="shared" ref="AN42:AN56" si="97">SUM(J42:M42)</f>
        <v>52037</v>
      </c>
      <c r="AO42" s="278">
        <f t="shared" ref="AO42:AO56" si="98">SUM(N42:Q42)</f>
        <v>65654</v>
      </c>
      <c r="AP42" s="278">
        <f t="shared" ref="AP42:AP56" si="99">SUM(R42:U42)</f>
        <v>65678</v>
      </c>
      <c r="AQ42" s="278">
        <f>SUM(V42:Y42)</f>
        <v>63824</v>
      </c>
      <c r="AR42" s="279"/>
      <c r="AU42" s="280" t="str">
        <f t="shared" si="94"/>
        <v>Ashok Leyland Ltd</v>
      </c>
      <c r="AV42" s="281">
        <f t="shared" ref="AV42:BG50" si="100">IFERROR(AF42/AF$56,"")</f>
        <v>6.9957938957564053E-2</v>
      </c>
      <c r="AW42" s="281">
        <f t="shared" si="100"/>
        <v>7.4821423278698243E-2</v>
      </c>
      <c r="AX42" s="281">
        <f t="shared" si="100"/>
        <v>8.3688477768706013E-2</v>
      </c>
      <c r="AY42" s="281">
        <f t="shared" si="100"/>
        <v>8.507395264924246E-2</v>
      </c>
      <c r="AZ42" s="281">
        <f t="shared" si="100"/>
        <v>8.8103388114305778E-2</v>
      </c>
      <c r="BA42" s="281">
        <f t="shared" si="100"/>
        <v>9.1493934363201149E-2</v>
      </c>
      <c r="BB42" s="281">
        <f t="shared" si="100"/>
        <v>9.7165313143370638E-2</v>
      </c>
      <c r="BC42" s="281">
        <f t="shared" si="100"/>
        <v>0.11771096787886291</v>
      </c>
      <c r="BD42" s="281">
        <f t="shared" si="100"/>
        <v>0.11410822047575608</v>
      </c>
      <c r="BE42" s="281">
        <f t="shared" si="100"/>
        <v>0.11741750871859072</v>
      </c>
      <c r="BF42" s="281">
        <f t="shared" si="100"/>
        <v>0.12096866285773225</v>
      </c>
      <c r="BG42" s="281">
        <f t="shared" si="100"/>
        <v>0.12075665898504165</v>
      </c>
      <c r="BK42" s="278">
        <v>23441</v>
      </c>
      <c r="BL42" s="278">
        <v>35741</v>
      </c>
      <c r="BM42" s="278">
        <v>43467</v>
      </c>
      <c r="BO42" s="278">
        <v>13634</v>
      </c>
      <c r="BP42" s="278">
        <v>29601</v>
      </c>
      <c r="BQ42" s="278">
        <v>46588</v>
      </c>
      <c r="BS42" s="278">
        <v>21992</v>
      </c>
      <c r="BT42" s="278">
        <v>36153</v>
      </c>
      <c r="BU42" s="278">
        <v>52037</v>
      </c>
      <c r="BW42" s="278">
        <v>31020</v>
      </c>
      <c r="BX42" s="278">
        <v>47177</v>
      </c>
      <c r="BY42" s="278">
        <v>65654</v>
      </c>
      <c r="CA42" s="278">
        <v>31427</v>
      </c>
      <c r="CB42" s="278">
        <v>48187</v>
      </c>
      <c r="CC42" s="278">
        <v>65678</v>
      </c>
      <c r="CE42" s="278">
        <v>31364</v>
      </c>
      <c r="CF42" s="278">
        <v>46620</v>
      </c>
      <c r="CG42" s="278">
        <v>63824</v>
      </c>
      <c r="CI42" s="278">
        <v>32775</v>
      </c>
      <c r="CJ42" s="278">
        <v>51838</v>
      </c>
      <c r="CK42" s="278"/>
    </row>
    <row r="43" spans="1:89" outlineLevel="1" x14ac:dyDescent="0.3">
      <c r="A43" s="277" t="s">
        <v>165</v>
      </c>
      <c r="B43" s="278">
        <v>572</v>
      </c>
      <c r="C43" s="278">
        <f>BK43-B43</f>
        <v>471</v>
      </c>
      <c r="D43" s="278">
        <f>BL43-BK43</f>
        <v>518</v>
      </c>
      <c r="E43" s="278">
        <f>BM43-BL43</f>
        <v>451</v>
      </c>
      <c r="F43" s="278">
        <v>46</v>
      </c>
      <c r="G43" s="278">
        <f>BO43-F43</f>
        <v>197</v>
      </c>
      <c r="H43" s="278">
        <f>BP43-BO43</f>
        <v>317</v>
      </c>
      <c r="I43" s="278">
        <f>BQ43-BP43</f>
        <v>335</v>
      </c>
      <c r="J43" s="278">
        <v>189</v>
      </c>
      <c r="K43" s="278">
        <f>BS43-J43</f>
        <v>414</v>
      </c>
      <c r="L43" s="278">
        <f>BT43-BS43</f>
        <v>465</v>
      </c>
      <c r="M43" s="278">
        <f>BU43-BT43</f>
        <v>479</v>
      </c>
      <c r="N43" s="278">
        <v>295</v>
      </c>
      <c r="O43" s="278">
        <f>BW43-N43</f>
        <v>624</v>
      </c>
      <c r="P43" s="278">
        <f>BX43-BW43</f>
        <v>556</v>
      </c>
      <c r="Q43" s="278">
        <f>BY43-BX43</f>
        <v>298</v>
      </c>
      <c r="R43" s="278">
        <v>265</v>
      </c>
      <c r="S43" s="278">
        <f>CA43-R43</f>
        <v>289</v>
      </c>
      <c r="T43" s="278">
        <f>CB43-CA43</f>
        <v>202</v>
      </c>
      <c r="U43" s="278">
        <f>CC43-CB43</f>
        <v>365</v>
      </c>
      <c r="V43" s="278">
        <v>254</v>
      </c>
      <c r="W43" s="278">
        <f>CE43-V43</f>
        <v>296</v>
      </c>
      <c r="X43" s="278">
        <f>CF43-CE43</f>
        <v>214</v>
      </c>
      <c r="Y43" s="278">
        <f>CG43-CF43</f>
        <v>377</v>
      </c>
      <c r="Z43" s="278">
        <v>555</v>
      </c>
      <c r="AA43" s="278">
        <f>CI43-Z43</f>
        <v>331</v>
      </c>
      <c r="AB43" s="278">
        <f>CJ43-CI43</f>
        <v>312</v>
      </c>
      <c r="AC43" s="278">
        <f>CK43-CJ43</f>
        <v>-1198</v>
      </c>
      <c r="AF43" s="278">
        <v>2893</v>
      </c>
      <c r="AG43" s="278">
        <v>1891</v>
      </c>
      <c r="AH43" s="278">
        <v>1809</v>
      </c>
      <c r="AI43" s="278">
        <v>1990</v>
      </c>
      <c r="AJ43" s="278">
        <v>1689</v>
      </c>
      <c r="AK43" s="278">
        <v>2550</v>
      </c>
      <c r="AL43" s="278">
        <f t="shared" si="95"/>
        <v>2012</v>
      </c>
      <c r="AM43" s="278">
        <f t="shared" si="96"/>
        <v>895</v>
      </c>
      <c r="AN43" s="278">
        <f t="shared" si="97"/>
        <v>1547</v>
      </c>
      <c r="AO43" s="278">
        <f t="shared" si="98"/>
        <v>1773</v>
      </c>
      <c r="AP43" s="278">
        <f t="shared" si="99"/>
        <v>1121</v>
      </c>
      <c r="AQ43" s="278">
        <f>SUM(V43:Y43)</f>
        <v>1141</v>
      </c>
      <c r="AR43" s="279"/>
      <c r="AU43" s="280" t="str">
        <f t="shared" si="94"/>
        <v>Force Motors Ltd</v>
      </c>
      <c r="AV43" s="281">
        <f t="shared" si="100"/>
        <v>7.4287299003168699E-3</v>
      </c>
      <c r="AW43" s="281">
        <f t="shared" si="100"/>
        <v>5.604789709238567E-3</v>
      </c>
      <c r="AX43" s="281">
        <f t="shared" si="100"/>
        <v>5.4101581775931528E-3</v>
      </c>
      <c r="AY43" s="281">
        <f t="shared" si="100"/>
        <v>5.5149249388231313E-3</v>
      </c>
      <c r="AZ43" s="281">
        <f t="shared" si="100"/>
        <v>3.6156726242847327E-3</v>
      </c>
      <c r="BA43" s="281">
        <f t="shared" si="100"/>
        <v>4.5180002445035427E-3</v>
      </c>
      <c r="BB43" s="281">
        <f t="shared" si="100"/>
        <v>4.4975869060312817E-3</v>
      </c>
      <c r="BC43" s="281">
        <f t="shared" si="100"/>
        <v>2.261340178835372E-3</v>
      </c>
      <c r="BD43" s="281">
        <f t="shared" si="100"/>
        <v>3.3923058031015366E-3</v>
      </c>
      <c r="BE43" s="281">
        <f t="shared" si="100"/>
        <v>3.1708843780738623E-3</v>
      </c>
      <c r="BF43" s="281">
        <f t="shared" si="100"/>
        <v>2.0647076808599204E-3</v>
      </c>
      <c r="BG43" s="281">
        <f t="shared" si="100"/>
        <v>2.1588015151343151E-3</v>
      </c>
      <c r="BK43" s="278">
        <v>1043</v>
      </c>
      <c r="BL43" s="278">
        <v>1561</v>
      </c>
      <c r="BM43" s="278">
        <v>2012</v>
      </c>
      <c r="BO43" s="278">
        <v>243</v>
      </c>
      <c r="BP43" s="278">
        <v>560</v>
      </c>
      <c r="BQ43" s="278">
        <v>895</v>
      </c>
      <c r="BS43" s="278">
        <v>603</v>
      </c>
      <c r="BT43" s="278">
        <v>1068</v>
      </c>
      <c r="BU43" s="278">
        <v>1547</v>
      </c>
      <c r="BW43" s="278">
        <v>919</v>
      </c>
      <c r="BX43" s="278">
        <v>1475</v>
      </c>
      <c r="BY43" s="278">
        <v>1773</v>
      </c>
      <c r="CA43" s="278">
        <v>554</v>
      </c>
      <c r="CB43" s="278">
        <v>756</v>
      </c>
      <c r="CC43" s="278">
        <v>1121</v>
      </c>
      <c r="CE43" s="278">
        <v>550</v>
      </c>
      <c r="CF43" s="278">
        <v>764</v>
      </c>
      <c r="CG43" s="278">
        <v>1141</v>
      </c>
      <c r="CI43" s="278">
        <v>886</v>
      </c>
      <c r="CJ43" s="278">
        <v>1198</v>
      </c>
      <c r="CK43" s="278"/>
    </row>
    <row r="44" spans="1:89" outlineLevel="1" x14ac:dyDescent="0.3">
      <c r="A44" s="277" t="s">
        <v>147</v>
      </c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>
        <v>0</v>
      </c>
      <c r="AA44" s="278"/>
      <c r="AB44" s="278"/>
      <c r="AC44" s="278"/>
      <c r="AF44" s="278">
        <v>184</v>
      </c>
      <c r="AG44" s="278">
        <v>0</v>
      </c>
      <c r="AH44" s="278"/>
      <c r="AI44" s="278"/>
      <c r="AJ44" s="278"/>
      <c r="AK44" s="278"/>
      <c r="AL44" s="278">
        <f t="shared" si="95"/>
        <v>0</v>
      </c>
      <c r="AM44" s="278">
        <f t="shared" si="96"/>
        <v>0</v>
      </c>
      <c r="AN44" s="278">
        <f t="shared" si="97"/>
        <v>0</v>
      </c>
      <c r="AO44" s="278">
        <f t="shared" si="98"/>
        <v>0</v>
      </c>
      <c r="AP44" s="278">
        <f t="shared" si="99"/>
        <v>0</v>
      </c>
      <c r="AQ44" s="278">
        <f t="shared" ref="AQ44:AQ56" si="101">SUM(V44:Y44)</f>
        <v>0</v>
      </c>
      <c r="AR44" s="279"/>
      <c r="AU44" s="280" t="str">
        <f t="shared" si="94"/>
        <v>Hindustan Motors Ltd</v>
      </c>
      <c r="AV44" s="281">
        <f t="shared" si="100"/>
        <v>4.7248057437203735E-4</v>
      </c>
      <c r="AW44" s="281">
        <f t="shared" si="100"/>
        <v>0</v>
      </c>
      <c r="AX44" s="281">
        <f t="shared" si="100"/>
        <v>0</v>
      </c>
      <c r="AY44" s="281">
        <f t="shared" si="100"/>
        <v>0</v>
      </c>
      <c r="AZ44" s="281">
        <f t="shared" si="100"/>
        <v>0</v>
      </c>
      <c r="BA44" s="281">
        <f t="shared" si="100"/>
        <v>0</v>
      </c>
      <c r="BB44" s="281">
        <f t="shared" si="100"/>
        <v>0</v>
      </c>
      <c r="BC44" s="281">
        <f t="shared" si="100"/>
        <v>0</v>
      </c>
      <c r="BD44" s="281">
        <f t="shared" si="100"/>
        <v>0</v>
      </c>
      <c r="BE44" s="281">
        <f t="shared" si="100"/>
        <v>0</v>
      </c>
      <c r="BF44" s="281">
        <f t="shared" si="100"/>
        <v>0</v>
      </c>
      <c r="BG44" s="281">
        <f t="shared" si="100"/>
        <v>0</v>
      </c>
      <c r="BK44" s="278"/>
      <c r="BL44" s="278"/>
      <c r="BM44" s="278"/>
      <c r="BO44" s="278"/>
      <c r="BP44" s="278"/>
      <c r="BQ44" s="278"/>
      <c r="BS44" s="278"/>
      <c r="BT44" s="278"/>
      <c r="BU44" s="278"/>
      <c r="BW44" s="278"/>
      <c r="BX44" s="278"/>
      <c r="BY44" s="278"/>
      <c r="CA44" s="278"/>
      <c r="CB44" s="278"/>
      <c r="CC44" s="278"/>
      <c r="CE44" s="278"/>
      <c r="CF44" s="278"/>
      <c r="CG44" s="278"/>
      <c r="CI44" s="278"/>
      <c r="CJ44" s="278"/>
      <c r="CK44" s="278"/>
    </row>
    <row r="45" spans="1:89" outlineLevel="1" x14ac:dyDescent="0.3">
      <c r="A45" s="277" t="s">
        <v>234</v>
      </c>
      <c r="B45" s="278">
        <v>486</v>
      </c>
      <c r="C45" s="278">
        <f t="shared" ref="C45:C55" si="102">BK45-B45</f>
        <v>746</v>
      </c>
      <c r="D45" s="278">
        <f t="shared" ref="D45:E55" si="103">BL45-BK45</f>
        <v>897</v>
      </c>
      <c r="E45" s="278">
        <f t="shared" si="103"/>
        <v>677</v>
      </c>
      <c r="F45" s="278">
        <v>0</v>
      </c>
      <c r="G45" s="278">
        <f t="shared" ref="G45:G55" si="104">BO45-F45</f>
        <v>28</v>
      </c>
      <c r="H45" s="278">
        <f t="shared" ref="H45:I55" si="105">BP45-BO45</f>
        <v>703</v>
      </c>
      <c r="I45" s="278">
        <f t="shared" si="105"/>
        <v>679</v>
      </c>
      <c r="J45" s="278">
        <v>452</v>
      </c>
      <c r="K45" s="278">
        <f t="shared" ref="K45:K55" si="106">BS45-J45</f>
        <v>420</v>
      </c>
      <c r="L45" s="278">
        <f t="shared" ref="L45:M55" si="107">BT45-BS45</f>
        <v>534</v>
      </c>
      <c r="M45" s="278">
        <f t="shared" si="107"/>
        <v>489</v>
      </c>
      <c r="N45" s="278">
        <v>485</v>
      </c>
      <c r="O45" s="278">
        <f t="shared" ref="O45:O55" si="108">BW45-N45</f>
        <v>156</v>
      </c>
      <c r="P45" s="278">
        <f t="shared" ref="P45:Q55" si="109">BX45-BW45</f>
        <v>373</v>
      </c>
      <c r="Q45" s="278">
        <f t="shared" si="109"/>
        <v>255</v>
      </c>
      <c r="R45" s="278">
        <v>426</v>
      </c>
      <c r="S45" s="278">
        <f t="shared" ref="S45:S55" si="110">CA45-R45</f>
        <v>528</v>
      </c>
      <c r="T45" s="278">
        <f t="shared" ref="T45:U55" si="111">CB45-CA45</f>
        <v>425</v>
      </c>
      <c r="U45" s="278">
        <f t="shared" si="111"/>
        <v>795</v>
      </c>
      <c r="V45" s="278">
        <v>286</v>
      </c>
      <c r="W45" s="278">
        <f t="shared" ref="W45:W55" si="112">CE45-V45</f>
        <v>393</v>
      </c>
      <c r="X45" s="278">
        <f t="shared" ref="X45:Y55" si="113">CF45-CE45</f>
        <v>561</v>
      </c>
      <c r="Y45" s="278">
        <f t="shared" si="113"/>
        <v>831</v>
      </c>
      <c r="Z45" s="278">
        <v>414</v>
      </c>
      <c r="AA45" s="278">
        <f t="shared" ref="AA45:AA55" si="114">CI45-Z45</f>
        <v>494</v>
      </c>
      <c r="AB45" s="278">
        <f t="shared" ref="AB45:AC55" si="115">CJ45-CI45</f>
        <v>629</v>
      </c>
      <c r="AC45" s="278">
        <f t="shared" si="115"/>
        <v>-1537</v>
      </c>
      <c r="AF45" s="278">
        <v>114</v>
      </c>
      <c r="AG45" s="278">
        <v>913</v>
      </c>
      <c r="AH45" s="278">
        <v>1074</v>
      </c>
      <c r="AI45" s="278">
        <v>1192</v>
      </c>
      <c r="AJ45" s="278">
        <v>2382</v>
      </c>
      <c r="AK45" s="278">
        <v>3620</v>
      </c>
      <c r="AL45" s="278">
        <f t="shared" si="95"/>
        <v>2806</v>
      </c>
      <c r="AM45" s="278">
        <f t="shared" si="96"/>
        <v>1410</v>
      </c>
      <c r="AN45" s="278">
        <f t="shared" si="97"/>
        <v>1895</v>
      </c>
      <c r="AO45" s="278">
        <f t="shared" si="98"/>
        <v>1269</v>
      </c>
      <c r="AP45" s="278">
        <f t="shared" si="99"/>
        <v>2174</v>
      </c>
      <c r="AQ45" s="278">
        <f t="shared" si="101"/>
        <v>2071</v>
      </c>
      <c r="AR45" s="279"/>
      <c r="AU45" s="280" t="str">
        <f t="shared" si="94"/>
        <v>Isuzu Motors India Pvt Ltd</v>
      </c>
      <c r="AV45" s="281">
        <f t="shared" si="100"/>
        <v>2.9273252977397965E-4</v>
      </c>
      <c r="AW45" s="281">
        <f t="shared" si="100"/>
        <v>2.7060671626307833E-3</v>
      </c>
      <c r="AX45" s="281">
        <f t="shared" si="100"/>
        <v>3.212001040760114E-3</v>
      </c>
      <c r="AY45" s="281">
        <f t="shared" si="100"/>
        <v>3.3034123251644083E-3</v>
      </c>
      <c r="AZ45" s="281">
        <f t="shared" si="100"/>
        <v>5.0991901663980065E-3</v>
      </c>
      <c r="BA45" s="281">
        <f t="shared" si="100"/>
        <v>6.4137885823932648E-3</v>
      </c>
      <c r="BB45" s="281">
        <f t="shared" si="100"/>
        <v>6.2724795518507839E-3</v>
      </c>
      <c r="BC45" s="281">
        <f t="shared" si="100"/>
        <v>3.5625582705674573E-3</v>
      </c>
      <c r="BD45" s="281">
        <f t="shared" si="100"/>
        <v>4.1554101466563754E-3</v>
      </c>
      <c r="BE45" s="281">
        <f t="shared" si="100"/>
        <v>2.2695162299919522E-3</v>
      </c>
      <c r="BF45" s="281">
        <f t="shared" si="100"/>
        <v>4.004169935940648E-3</v>
      </c>
      <c r="BG45" s="281">
        <f t="shared" si="100"/>
        <v>3.9183855721675424E-3</v>
      </c>
      <c r="BK45" s="278">
        <v>1232</v>
      </c>
      <c r="BL45" s="278">
        <v>2129</v>
      </c>
      <c r="BM45" s="278">
        <v>2806</v>
      </c>
      <c r="BO45" s="278">
        <v>28</v>
      </c>
      <c r="BP45" s="278">
        <v>731</v>
      </c>
      <c r="BQ45" s="278">
        <v>1410</v>
      </c>
      <c r="BS45" s="278">
        <v>872</v>
      </c>
      <c r="BT45" s="278">
        <v>1406</v>
      </c>
      <c r="BU45" s="278">
        <v>1895</v>
      </c>
      <c r="BW45" s="278">
        <v>641</v>
      </c>
      <c r="BX45" s="278">
        <v>1014</v>
      </c>
      <c r="BY45" s="278">
        <v>1269</v>
      </c>
      <c r="CA45" s="278">
        <v>954</v>
      </c>
      <c r="CB45" s="278">
        <v>1379</v>
      </c>
      <c r="CC45" s="278">
        <v>2174</v>
      </c>
      <c r="CE45" s="278">
        <v>679</v>
      </c>
      <c r="CF45" s="278">
        <v>1240</v>
      </c>
      <c r="CG45" s="278">
        <v>2071</v>
      </c>
      <c r="CI45" s="278">
        <v>908</v>
      </c>
      <c r="CJ45" s="278">
        <v>1537</v>
      </c>
      <c r="CK45" s="278"/>
    </row>
    <row r="46" spans="1:89" outlineLevel="1" x14ac:dyDescent="0.3">
      <c r="A46" s="277" t="s">
        <v>150</v>
      </c>
      <c r="B46" s="278">
        <v>48414</v>
      </c>
      <c r="C46" s="278">
        <f t="shared" si="102"/>
        <v>47595</v>
      </c>
      <c r="D46" s="278">
        <f t="shared" si="103"/>
        <v>55209</v>
      </c>
      <c r="E46" s="278">
        <f t="shared" si="103"/>
        <v>39573</v>
      </c>
      <c r="F46" s="278">
        <v>15476</v>
      </c>
      <c r="G46" s="278">
        <f t="shared" si="104"/>
        <v>46793</v>
      </c>
      <c r="H46" s="278">
        <f t="shared" si="105"/>
        <v>52474</v>
      </c>
      <c r="I46" s="278">
        <f t="shared" si="105"/>
        <v>38205</v>
      </c>
      <c r="J46" s="278">
        <v>33394</v>
      </c>
      <c r="K46" s="278">
        <f t="shared" si="106"/>
        <v>34821</v>
      </c>
      <c r="L46" s="278">
        <f t="shared" si="107"/>
        <v>44688</v>
      </c>
      <c r="M46" s="278">
        <f t="shared" si="107"/>
        <v>59529</v>
      </c>
      <c r="N46" s="278">
        <v>57509</v>
      </c>
      <c r="O46" s="278">
        <f t="shared" si="108"/>
        <v>62417</v>
      </c>
      <c r="P46" s="278">
        <f t="shared" si="109"/>
        <v>58717</v>
      </c>
      <c r="Q46" s="278">
        <f t="shared" si="109"/>
        <v>61856</v>
      </c>
      <c r="R46" s="278">
        <v>58357</v>
      </c>
      <c r="S46" s="278">
        <f t="shared" si="110"/>
        <v>65892</v>
      </c>
      <c r="T46" s="278">
        <f t="shared" si="111"/>
        <v>63317</v>
      </c>
      <c r="U46" s="278">
        <f t="shared" si="111"/>
        <v>63939</v>
      </c>
      <c r="V46" s="278">
        <v>59471</v>
      </c>
      <c r="W46" s="278">
        <f t="shared" si="112"/>
        <v>62170</v>
      </c>
      <c r="X46" s="278">
        <f t="shared" si="113"/>
        <v>68024</v>
      </c>
      <c r="Y46" s="278">
        <f t="shared" si="113"/>
        <v>68329</v>
      </c>
      <c r="Z46" s="278">
        <v>62174</v>
      </c>
      <c r="AA46" s="278">
        <f t="shared" si="114"/>
        <v>70335</v>
      </c>
      <c r="AB46" s="278">
        <f t="shared" si="115"/>
        <v>82009</v>
      </c>
      <c r="AC46" s="278">
        <f t="shared" si="115"/>
        <v>-214518</v>
      </c>
      <c r="AF46" s="278">
        <v>154568</v>
      </c>
      <c r="AG46" s="278">
        <v>147029</v>
      </c>
      <c r="AH46" s="278">
        <v>157300</v>
      </c>
      <c r="AI46" s="278">
        <v>169594</v>
      </c>
      <c r="AJ46" s="278">
        <v>203360</v>
      </c>
      <c r="AK46" s="278">
        <v>233785</v>
      </c>
      <c r="AL46" s="278">
        <f t="shared" si="95"/>
        <v>190791</v>
      </c>
      <c r="AM46" s="278">
        <f t="shared" si="96"/>
        <v>152948</v>
      </c>
      <c r="AN46" s="278">
        <f t="shared" si="97"/>
        <v>172432</v>
      </c>
      <c r="AO46" s="278">
        <f t="shared" si="98"/>
        <v>240499</v>
      </c>
      <c r="AP46" s="278">
        <f t="shared" si="99"/>
        <v>251505</v>
      </c>
      <c r="AQ46" s="278">
        <f t="shared" si="101"/>
        <v>257994</v>
      </c>
      <c r="AR46" s="279"/>
      <c r="AU46" s="280" t="str">
        <f t="shared" si="94"/>
        <v>Mahindra &amp; Mahindra Ltd</v>
      </c>
      <c r="AV46" s="281">
        <f t="shared" si="100"/>
        <v>0.39690422510617973</v>
      </c>
      <c r="AW46" s="281">
        <f t="shared" si="100"/>
        <v>0.43578351462698955</v>
      </c>
      <c r="AX46" s="281">
        <f t="shared" si="100"/>
        <v>0.47043553418209116</v>
      </c>
      <c r="AY46" s="281">
        <f t="shared" si="100"/>
        <v>0.46999908546470864</v>
      </c>
      <c r="AZ46" s="281">
        <f t="shared" si="100"/>
        <v>0.43533640312287936</v>
      </c>
      <c r="BA46" s="281">
        <f t="shared" si="100"/>
        <v>0.41421203418088653</v>
      </c>
      <c r="BB46" s="281">
        <f t="shared" si="100"/>
        <v>0.42649060804603095</v>
      </c>
      <c r="BC46" s="281">
        <f t="shared" si="100"/>
        <v>0.38644408678493014</v>
      </c>
      <c r="BD46" s="281">
        <f t="shared" si="100"/>
        <v>0.37811381657427551</v>
      </c>
      <c r="BE46" s="281">
        <f t="shared" si="100"/>
        <v>0.43011535366180809</v>
      </c>
      <c r="BF46" s="281">
        <f t="shared" si="100"/>
        <v>0.46323310015582003</v>
      </c>
      <c r="BG46" s="281">
        <f t="shared" si="100"/>
        <v>0.4881313217314307</v>
      </c>
      <c r="BK46" s="278">
        <v>96009</v>
      </c>
      <c r="BL46" s="278">
        <v>151218</v>
      </c>
      <c r="BM46" s="278">
        <v>190791</v>
      </c>
      <c r="BO46" s="278">
        <v>62269</v>
      </c>
      <c r="BP46" s="278">
        <v>114743</v>
      </c>
      <c r="BQ46" s="278">
        <v>152948</v>
      </c>
      <c r="BS46" s="278">
        <v>68215</v>
      </c>
      <c r="BT46" s="278">
        <v>112903</v>
      </c>
      <c r="BU46" s="278">
        <v>172432</v>
      </c>
      <c r="BW46" s="278">
        <v>119926</v>
      </c>
      <c r="BX46" s="278">
        <v>178643</v>
      </c>
      <c r="BY46" s="278">
        <v>240499</v>
      </c>
      <c r="CA46" s="278">
        <v>124249</v>
      </c>
      <c r="CB46" s="278">
        <v>187566</v>
      </c>
      <c r="CC46" s="278">
        <v>251505</v>
      </c>
      <c r="CE46" s="278">
        <v>121641</v>
      </c>
      <c r="CF46" s="278">
        <v>189665</v>
      </c>
      <c r="CG46" s="278">
        <v>257994</v>
      </c>
      <c r="CI46" s="278">
        <v>132509</v>
      </c>
      <c r="CJ46" s="278">
        <v>214518</v>
      </c>
      <c r="CK46" s="278"/>
    </row>
    <row r="47" spans="1:89" outlineLevel="1" x14ac:dyDescent="0.3">
      <c r="A47" s="277" t="s">
        <v>152</v>
      </c>
      <c r="B47" s="278">
        <v>6568</v>
      </c>
      <c r="C47" s="278">
        <f t="shared" si="102"/>
        <v>5333</v>
      </c>
      <c r="D47" s="278">
        <f t="shared" si="103"/>
        <v>6287</v>
      </c>
      <c r="E47" s="278">
        <f t="shared" si="103"/>
        <v>3590</v>
      </c>
      <c r="F47" s="278">
        <v>1189</v>
      </c>
      <c r="G47" s="278">
        <f t="shared" si="104"/>
        <v>6652</v>
      </c>
      <c r="H47" s="278">
        <f t="shared" si="105"/>
        <v>12076</v>
      </c>
      <c r="I47" s="278">
        <f t="shared" si="105"/>
        <v>9639</v>
      </c>
      <c r="J47" s="278">
        <v>4056</v>
      </c>
      <c r="K47" s="278">
        <f t="shared" si="106"/>
        <v>8660</v>
      </c>
      <c r="L47" s="278">
        <f t="shared" si="107"/>
        <v>10103</v>
      </c>
      <c r="M47" s="278">
        <f t="shared" si="107"/>
        <v>10993</v>
      </c>
      <c r="N47" s="278">
        <v>10817</v>
      </c>
      <c r="O47" s="278">
        <f t="shared" si="108"/>
        <v>8692</v>
      </c>
      <c r="P47" s="278">
        <f t="shared" si="109"/>
        <v>7098</v>
      </c>
      <c r="Q47" s="278">
        <f t="shared" si="109"/>
        <v>11399</v>
      </c>
      <c r="R47" s="278">
        <v>8079</v>
      </c>
      <c r="S47" s="278">
        <f t="shared" si="110"/>
        <v>7417</v>
      </c>
      <c r="T47" s="278">
        <f t="shared" si="111"/>
        <v>8117</v>
      </c>
      <c r="U47" s="278">
        <f t="shared" si="111"/>
        <v>10150</v>
      </c>
      <c r="V47" s="278">
        <v>7946</v>
      </c>
      <c r="W47" s="278">
        <f t="shared" si="112"/>
        <v>8485</v>
      </c>
      <c r="X47" s="278">
        <f t="shared" si="113"/>
        <v>8871</v>
      </c>
      <c r="Y47" s="278">
        <f t="shared" si="113"/>
        <v>9190</v>
      </c>
      <c r="Z47" s="278">
        <v>8510</v>
      </c>
      <c r="AA47" s="278">
        <f t="shared" si="114"/>
        <v>8457</v>
      </c>
      <c r="AB47" s="278">
        <f t="shared" si="115"/>
        <v>11498</v>
      </c>
      <c r="AC47" s="278">
        <f t="shared" si="115"/>
        <v>-28465</v>
      </c>
      <c r="AF47" s="278"/>
      <c r="AG47" s="278"/>
      <c r="AH47" s="278">
        <v>0</v>
      </c>
      <c r="AI47" s="278">
        <v>900</v>
      </c>
      <c r="AJ47" s="278">
        <v>10033</v>
      </c>
      <c r="AK47" s="278">
        <v>23874</v>
      </c>
      <c r="AL47" s="278">
        <f t="shared" si="95"/>
        <v>21778</v>
      </c>
      <c r="AM47" s="278">
        <f t="shared" si="96"/>
        <v>29556</v>
      </c>
      <c r="AN47" s="278">
        <f t="shared" si="97"/>
        <v>33812</v>
      </c>
      <c r="AO47" s="278">
        <f t="shared" si="98"/>
        <v>38006</v>
      </c>
      <c r="AP47" s="278">
        <f t="shared" si="99"/>
        <v>33763</v>
      </c>
      <c r="AQ47" s="278">
        <f t="shared" si="101"/>
        <v>34492</v>
      </c>
      <c r="AR47" s="279"/>
      <c r="AU47" s="280" t="str">
        <f t="shared" si="94"/>
        <v>Maruti Suzuki India Ltd</v>
      </c>
      <c r="AV47" s="281">
        <f t="shared" si="100"/>
        <v>0</v>
      </c>
      <c r="AW47" s="281">
        <f t="shared" si="100"/>
        <v>0</v>
      </c>
      <c r="AX47" s="281">
        <f t="shared" si="100"/>
        <v>0</v>
      </c>
      <c r="AY47" s="281">
        <f t="shared" si="100"/>
        <v>2.4941871582617177E-3</v>
      </c>
      <c r="AZ47" s="281">
        <f t="shared" si="100"/>
        <v>2.1477823232355666E-2</v>
      </c>
      <c r="BA47" s="281">
        <f t="shared" si="100"/>
        <v>4.2299112877363758E-2</v>
      </c>
      <c r="BB47" s="281">
        <f t="shared" si="100"/>
        <v>4.8682131033573189E-2</v>
      </c>
      <c r="BC47" s="281">
        <f t="shared" si="100"/>
        <v>7.4677285280065092E-2</v>
      </c>
      <c r="BD47" s="281">
        <f t="shared" si="100"/>
        <v>7.414391972493159E-2</v>
      </c>
      <c r="BE47" s="281">
        <f t="shared" si="100"/>
        <v>6.7971027452383079E-2</v>
      </c>
      <c r="BF47" s="281">
        <f t="shared" si="100"/>
        <v>6.218619574386574E-2</v>
      </c>
      <c r="BG47" s="281">
        <f t="shared" si="100"/>
        <v>6.5259756231387189E-2</v>
      </c>
      <c r="BK47" s="278">
        <v>11901</v>
      </c>
      <c r="BL47" s="278">
        <v>18188</v>
      </c>
      <c r="BM47" s="278">
        <v>21778</v>
      </c>
      <c r="BO47" s="278">
        <v>7841</v>
      </c>
      <c r="BP47" s="278">
        <v>19917</v>
      </c>
      <c r="BQ47" s="278">
        <v>29556</v>
      </c>
      <c r="BS47" s="278">
        <v>12716</v>
      </c>
      <c r="BT47" s="278">
        <v>22819</v>
      </c>
      <c r="BU47" s="278">
        <v>33812</v>
      </c>
      <c r="BW47" s="278">
        <v>19509</v>
      </c>
      <c r="BX47" s="278">
        <v>26607</v>
      </c>
      <c r="BY47" s="278">
        <v>38006</v>
      </c>
      <c r="CA47" s="278">
        <v>15496</v>
      </c>
      <c r="CB47" s="278">
        <v>23613</v>
      </c>
      <c r="CC47" s="278">
        <v>33763</v>
      </c>
      <c r="CE47" s="278">
        <v>16431</v>
      </c>
      <c r="CF47" s="278">
        <v>25302</v>
      </c>
      <c r="CG47" s="278">
        <v>34492</v>
      </c>
      <c r="CI47" s="278">
        <v>16967</v>
      </c>
      <c r="CJ47" s="278">
        <v>28465</v>
      </c>
      <c r="CK47" s="278"/>
    </row>
    <row r="48" spans="1:89" outlineLevel="1" x14ac:dyDescent="0.3">
      <c r="A48" s="277" t="s">
        <v>122</v>
      </c>
      <c r="B48" s="278">
        <v>139</v>
      </c>
      <c r="C48" s="278">
        <f t="shared" si="102"/>
        <v>66</v>
      </c>
      <c r="D48" s="278">
        <f t="shared" si="103"/>
        <v>10</v>
      </c>
      <c r="E48" s="278">
        <f t="shared" si="103"/>
        <v>53</v>
      </c>
      <c r="F48" s="278">
        <v>0</v>
      </c>
      <c r="G48" s="278">
        <f t="shared" si="104"/>
        <v>0</v>
      </c>
      <c r="H48" s="278">
        <f t="shared" si="105"/>
        <v>0</v>
      </c>
      <c r="I48" s="278">
        <f t="shared" si="105"/>
        <v>0</v>
      </c>
      <c r="J48" s="278"/>
      <c r="K48" s="278">
        <f t="shared" si="106"/>
        <v>0</v>
      </c>
      <c r="L48" s="278">
        <f t="shared" si="107"/>
        <v>0</v>
      </c>
      <c r="M48" s="278">
        <f t="shared" si="107"/>
        <v>0</v>
      </c>
      <c r="N48" s="278"/>
      <c r="O48" s="278">
        <f t="shared" si="108"/>
        <v>0</v>
      </c>
      <c r="P48" s="278">
        <f t="shared" si="109"/>
        <v>0</v>
      </c>
      <c r="Q48" s="278">
        <f t="shared" si="109"/>
        <v>0</v>
      </c>
      <c r="R48" s="278"/>
      <c r="S48" s="278">
        <f t="shared" si="110"/>
        <v>0</v>
      </c>
      <c r="T48" s="278">
        <f t="shared" si="111"/>
        <v>0</v>
      </c>
      <c r="U48" s="278">
        <f t="shared" si="111"/>
        <v>0</v>
      </c>
      <c r="V48" s="278"/>
      <c r="W48" s="278">
        <f t="shared" si="112"/>
        <v>0</v>
      </c>
      <c r="X48" s="278">
        <f t="shared" si="113"/>
        <v>0</v>
      </c>
      <c r="Y48" s="278">
        <f t="shared" si="113"/>
        <v>0</v>
      </c>
      <c r="Z48" s="278">
        <v>0</v>
      </c>
      <c r="AA48" s="278">
        <f t="shared" si="114"/>
        <v>0</v>
      </c>
      <c r="AB48" s="278">
        <f t="shared" si="115"/>
        <v>0</v>
      </c>
      <c r="AC48" s="278">
        <f t="shared" si="115"/>
        <v>0</v>
      </c>
      <c r="AF48" s="278">
        <v>6968</v>
      </c>
      <c r="AG48" s="278">
        <v>6229</v>
      </c>
      <c r="AH48" s="278">
        <v>4583</v>
      </c>
      <c r="AI48" s="278">
        <v>3191</v>
      </c>
      <c r="AJ48" s="278">
        <v>2174</v>
      </c>
      <c r="AK48" s="278">
        <v>1592</v>
      </c>
      <c r="AL48" s="278">
        <f t="shared" si="95"/>
        <v>268</v>
      </c>
      <c r="AM48" s="278">
        <f t="shared" si="96"/>
        <v>0</v>
      </c>
      <c r="AN48" s="278">
        <f t="shared" si="97"/>
        <v>0</v>
      </c>
      <c r="AO48" s="278">
        <f t="shared" si="98"/>
        <v>0</v>
      </c>
      <c r="AP48" s="278">
        <f t="shared" si="99"/>
        <v>0</v>
      </c>
      <c r="AQ48" s="278">
        <f t="shared" si="101"/>
        <v>0</v>
      </c>
      <c r="AR48" s="279"/>
      <c r="AU48" s="280" t="str">
        <f t="shared" si="94"/>
        <v>Piaggio Vehicles Pvt Ltd</v>
      </c>
      <c r="AV48" s="281">
        <f t="shared" si="100"/>
        <v>1.7892633925132372E-2</v>
      </c>
      <c r="AW48" s="281">
        <f t="shared" si="100"/>
        <v>1.8462313642965116E-2</v>
      </c>
      <c r="AX48" s="281">
        <f t="shared" si="100"/>
        <v>1.3706332187899069E-2</v>
      </c>
      <c r="AY48" s="281">
        <f t="shared" si="100"/>
        <v>8.8432791355701566E-3</v>
      </c>
      <c r="AZ48" s="281">
        <f t="shared" si="100"/>
        <v>4.6539208319686257E-3</v>
      </c>
      <c r="BA48" s="281">
        <f t="shared" si="100"/>
        <v>2.8206495644116235E-3</v>
      </c>
      <c r="BB48" s="281">
        <f t="shared" si="100"/>
        <v>5.9908215249323236E-4</v>
      </c>
      <c r="BC48" s="281">
        <f t="shared" si="100"/>
        <v>0</v>
      </c>
      <c r="BD48" s="281">
        <f t="shared" si="100"/>
        <v>0</v>
      </c>
      <c r="BE48" s="281">
        <f t="shared" si="100"/>
        <v>0</v>
      </c>
      <c r="BF48" s="281">
        <f t="shared" si="100"/>
        <v>0</v>
      </c>
      <c r="BG48" s="281">
        <f t="shared" si="100"/>
        <v>0</v>
      </c>
      <c r="BK48" s="278">
        <v>205</v>
      </c>
      <c r="BL48" s="278">
        <v>215</v>
      </c>
      <c r="BM48" s="278">
        <v>268</v>
      </c>
      <c r="BO48" s="278">
        <v>0</v>
      </c>
      <c r="BP48" s="278">
        <v>0</v>
      </c>
      <c r="BQ48" s="278">
        <v>0</v>
      </c>
      <c r="BS48" s="278"/>
      <c r="BT48" s="278"/>
      <c r="BU48" s="278"/>
      <c r="BW48" s="278"/>
      <c r="BX48" s="278"/>
      <c r="BY48" s="278"/>
      <c r="CA48" s="278"/>
      <c r="CB48" s="278"/>
      <c r="CC48" s="278"/>
      <c r="CE48" s="278"/>
      <c r="CF48" s="278"/>
      <c r="CG48" s="278"/>
      <c r="CI48" s="278"/>
      <c r="CJ48" s="278"/>
      <c r="CK48" s="278"/>
    </row>
    <row r="49" spans="1:89" outlineLevel="1" x14ac:dyDescent="0.3">
      <c r="A49" s="277" t="s">
        <v>188</v>
      </c>
      <c r="B49" s="278"/>
      <c r="C49" s="278">
        <f t="shared" si="102"/>
        <v>0</v>
      </c>
      <c r="D49" s="278">
        <f t="shared" si="103"/>
        <v>0</v>
      </c>
      <c r="E49" s="278">
        <f t="shared" si="103"/>
        <v>0</v>
      </c>
      <c r="F49" s="278"/>
      <c r="G49" s="278">
        <f t="shared" si="104"/>
        <v>0</v>
      </c>
      <c r="H49" s="278">
        <f t="shared" si="105"/>
        <v>0</v>
      </c>
      <c r="I49" s="278">
        <f t="shared" si="105"/>
        <v>0</v>
      </c>
      <c r="J49" s="278"/>
      <c r="K49" s="278">
        <f t="shared" si="106"/>
        <v>0</v>
      </c>
      <c r="L49" s="278">
        <f t="shared" si="107"/>
        <v>0</v>
      </c>
      <c r="M49" s="278">
        <f t="shared" si="107"/>
        <v>0</v>
      </c>
      <c r="N49" s="278"/>
      <c r="O49" s="278">
        <f t="shared" si="108"/>
        <v>0</v>
      </c>
      <c r="P49" s="278">
        <f t="shared" si="109"/>
        <v>0</v>
      </c>
      <c r="Q49" s="278">
        <f t="shared" si="109"/>
        <v>0</v>
      </c>
      <c r="R49" s="278">
        <v>0</v>
      </c>
      <c r="S49" s="278">
        <f t="shared" si="110"/>
        <v>0</v>
      </c>
      <c r="T49" s="278">
        <f t="shared" si="111"/>
        <v>25</v>
      </c>
      <c r="U49" s="278">
        <f t="shared" si="111"/>
        <v>-25</v>
      </c>
      <c r="V49" s="278">
        <v>2</v>
      </c>
      <c r="W49" s="278">
        <f t="shared" si="112"/>
        <v>10</v>
      </c>
      <c r="X49" s="278">
        <f t="shared" si="113"/>
        <v>36</v>
      </c>
      <c r="Y49" s="278">
        <f t="shared" si="113"/>
        <v>34</v>
      </c>
      <c r="Z49" s="278">
        <v>11</v>
      </c>
      <c r="AA49" s="278">
        <f t="shared" si="114"/>
        <v>9</v>
      </c>
      <c r="AB49" s="278">
        <f t="shared" si="115"/>
        <v>27</v>
      </c>
      <c r="AC49" s="278">
        <f t="shared" si="115"/>
        <v>-47</v>
      </c>
      <c r="AF49" s="278"/>
      <c r="AG49" s="278"/>
      <c r="AH49" s="278"/>
      <c r="AI49" s="278"/>
      <c r="AJ49" s="278"/>
      <c r="AK49" s="278"/>
      <c r="AL49" s="278">
        <f t="shared" si="95"/>
        <v>0</v>
      </c>
      <c r="AM49" s="278">
        <f t="shared" si="96"/>
        <v>0</v>
      </c>
      <c r="AN49" s="278">
        <f t="shared" si="97"/>
        <v>0</v>
      </c>
      <c r="AO49" s="278">
        <f t="shared" si="98"/>
        <v>0</v>
      </c>
      <c r="AP49" s="278">
        <f t="shared" si="99"/>
        <v>0</v>
      </c>
      <c r="AQ49" s="278">
        <f t="shared" si="101"/>
        <v>82</v>
      </c>
      <c r="AR49" s="279"/>
      <c r="AU49" s="280" t="str">
        <f t="shared" si="94"/>
        <v>Pinnacle Mobility Solutions Pvt Ltd</v>
      </c>
      <c r="AV49" s="281">
        <f t="shared" si="100"/>
        <v>0</v>
      </c>
      <c r="AW49" s="281">
        <f t="shared" si="100"/>
        <v>0</v>
      </c>
      <c r="AX49" s="281">
        <f t="shared" si="100"/>
        <v>0</v>
      </c>
      <c r="AY49" s="281">
        <f t="shared" si="100"/>
        <v>0</v>
      </c>
      <c r="AZ49" s="281">
        <f t="shared" si="100"/>
        <v>0</v>
      </c>
      <c r="BA49" s="281">
        <f t="shared" si="100"/>
        <v>0</v>
      </c>
      <c r="BB49" s="281">
        <f t="shared" si="100"/>
        <v>0</v>
      </c>
      <c r="BC49" s="281">
        <f t="shared" si="100"/>
        <v>0</v>
      </c>
      <c r="BD49" s="281">
        <f t="shared" si="100"/>
        <v>0</v>
      </c>
      <c r="BE49" s="281">
        <f t="shared" si="100"/>
        <v>0</v>
      </c>
      <c r="BF49" s="281">
        <f t="shared" si="100"/>
        <v>0</v>
      </c>
      <c r="BG49" s="281">
        <f t="shared" si="100"/>
        <v>1.5514612115776846E-4</v>
      </c>
      <c r="BK49" s="278"/>
      <c r="BL49" s="278"/>
      <c r="BM49" s="278"/>
      <c r="BO49" s="278"/>
      <c r="BP49" s="278"/>
      <c r="BQ49" s="278"/>
      <c r="BS49" s="278"/>
      <c r="BT49" s="278"/>
      <c r="BU49" s="278"/>
      <c r="BW49" s="278"/>
      <c r="BX49" s="278"/>
      <c r="BY49" s="278"/>
      <c r="CA49" s="278">
        <v>0</v>
      </c>
      <c r="CB49" s="278">
        <v>25</v>
      </c>
      <c r="CC49" s="278"/>
      <c r="CE49" s="278">
        <v>12</v>
      </c>
      <c r="CF49" s="278">
        <v>48</v>
      </c>
      <c r="CG49" s="278">
        <v>82</v>
      </c>
      <c r="CI49" s="278">
        <v>20</v>
      </c>
      <c r="CJ49" s="278">
        <v>47</v>
      </c>
      <c r="CK49" s="278"/>
    </row>
    <row r="50" spans="1:89" outlineLevel="1" x14ac:dyDescent="0.3">
      <c r="A50" s="277" t="s">
        <v>220</v>
      </c>
      <c r="B50" s="278">
        <v>433</v>
      </c>
      <c r="C50" s="278">
        <f t="shared" si="102"/>
        <v>428</v>
      </c>
      <c r="D50" s="278">
        <f t="shared" si="103"/>
        <v>393</v>
      </c>
      <c r="E50" s="278">
        <f t="shared" si="103"/>
        <v>350</v>
      </c>
      <c r="F50" s="278">
        <v>49</v>
      </c>
      <c r="G50" s="278">
        <f t="shared" si="104"/>
        <v>278</v>
      </c>
      <c r="H50" s="278">
        <f t="shared" si="105"/>
        <v>525</v>
      </c>
      <c r="I50" s="278">
        <f t="shared" si="105"/>
        <v>644</v>
      </c>
      <c r="J50" s="278">
        <v>241</v>
      </c>
      <c r="K50" s="278">
        <f t="shared" si="106"/>
        <v>595</v>
      </c>
      <c r="L50" s="278">
        <f t="shared" si="107"/>
        <v>506</v>
      </c>
      <c r="M50" s="278">
        <f t="shared" si="107"/>
        <v>748</v>
      </c>
      <c r="N50" s="278">
        <v>466</v>
      </c>
      <c r="O50" s="278">
        <f t="shared" si="108"/>
        <v>496</v>
      </c>
      <c r="P50" s="278">
        <f t="shared" si="109"/>
        <v>432</v>
      </c>
      <c r="Q50" s="278">
        <f t="shared" si="109"/>
        <v>490</v>
      </c>
      <c r="R50" s="278">
        <v>287</v>
      </c>
      <c r="S50" s="278">
        <f t="shared" si="110"/>
        <v>449</v>
      </c>
      <c r="T50" s="278">
        <f t="shared" si="111"/>
        <v>619</v>
      </c>
      <c r="U50" s="278">
        <f t="shared" si="111"/>
        <v>684</v>
      </c>
      <c r="V50" s="278">
        <v>324</v>
      </c>
      <c r="W50" s="278">
        <f t="shared" si="112"/>
        <v>439</v>
      </c>
      <c r="X50" s="278">
        <f t="shared" si="113"/>
        <v>375</v>
      </c>
      <c r="Y50" s="278">
        <f t="shared" si="113"/>
        <v>678</v>
      </c>
      <c r="Z50" s="278">
        <v>706</v>
      </c>
      <c r="AA50" s="278">
        <f t="shared" si="114"/>
        <v>527</v>
      </c>
      <c r="AB50" s="278">
        <f t="shared" si="115"/>
        <v>663</v>
      </c>
      <c r="AC50" s="278">
        <f t="shared" si="115"/>
        <v>-1896</v>
      </c>
      <c r="AF50" s="278">
        <v>1034</v>
      </c>
      <c r="AG50" s="278">
        <v>1670</v>
      </c>
      <c r="AH50" s="278">
        <v>2748</v>
      </c>
      <c r="AI50" s="278">
        <v>3279</v>
      </c>
      <c r="AJ50" s="278">
        <v>2488</v>
      </c>
      <c r="AK50" s="278">
        <v>2363</v>
      </c>
      <c r="AL50" s="278">
        <f t="shared" si="95"/>
        <v>1604</v>
      </c>
      <c r="AM50" s="278">
        <f t="shared" si="96"/>
        <v>1496</v>
      </c>
      <c r="AN50" s="278">
        <f t="shared" si="97"/>
        <v>2090</v>
      </c>
      <c r="AO50" s="278">
        <f t="shared" si="98"/>
        <v>1884</v>
      </c>
      <c r="AP50" s="278">
        <f t="shared" si="99"/>
        <v>2039</v>
      </c>
      <c r="AQ50" s="278">
        <f t="shared" si="101"/>
        <v>1816</v>
      </c>
      <c r="AR50" s="279"/>
      <c r="AU50" s="280" t="str">
        <f t="shared" si="94"/>
        <v>SML Isuzu Ltd</v>
      </c>
      <c r="AV50" s="281">
        <f t="shared" si="100"/>
        <v>2.6551354016341663E-3</v>
      </c>
      <c r="AW50" s="281">
        <f t="shared" si="100"/>
        <v>4.9497614037167671E-3</v>
      </c>
      <c r="AX50" s="281">
        <f t="shared" si="100"/>
        <v>8.2184160707716881E-3</v>
      </c>
      <c r="AY50" s="281">
        <f t="shared" si="100"/>
        <v>9.0871552132668586E-3</v>
      </c>
      <c r="AZ50" s="281">
        <f t="shared" si="100"/>
        <v>5.326106269520672E-3</v>
      </c>
      <c r="BA50" s="281">
        <f t="shared" si="100"/>
        <v>4.1866802265732826E-3</v>
      </c>
      <c r="BB50" s="281">
        <f t="shared" si="100"/>
        <v>3.5855513902953162E-3</v>
      </c>
      <c r="BC50" s="281">
        <f t="shared" si="100"/>
        <v>3.7798490587013589E-3</v>
      </c>
      <c r="BD50" s="281">
        <f t="shared" si="100"/>
        <v>4.5830117184758965E-3</v>
      </c>
      <c r="BE50" s="281">
        <f t="shared" si="100"/>
        <v>3.3693999821157112E-3</v>
      </c>
      <c r="BF50" s="281">
        <f t="shared" si="100"/>
        <v>3.7555209288790167E-3</v>
      </c>
      <c r="BG50" s="281">
        <f t="shared" si="100"/>
        <v>3.4359189758842385E-3</v>
      </c>
      <c r="BK50" s="278">
        <v>861</v>
      </c>
      <c r="BL50" s="278">
        <v>1254</v>
      </c>
      <c r="BM50" s="278">
        <v>1604</v>
      </c>
      <c r="BO50" s="278">
        <v>327</v>
      </c>
      <c r="BP50" s="278">
        <v>852</v>
      </c>
      <c r="BQ50" s="278">
        <v>1496</v>
      </c>
      <c r="BS50" s="278">
        <v>836</v>
      </c>
      <c r="BT50" s="278">
        <v>1342</v>
      </c>
      <c r="BU50" s="278">
        <v>2090</v>
      </c>
      <c r="BW50" s="278">
        <v>962</v>
      </c>
      <c r="BX50" s="278">
        <v>1394</v>
      </c>
      <c r="BY50" s="278">
        <v>1884</v>
      </c>
      <c r="CA50" s="278">
        <v>736</v>
      </c>
      <c r="CB50" s="278">
        <v>1355</v>
      </c>
      <c r="CC50" s="278">
        <v>2039</v>
      </c>
      <c r="CE50" s="278">
        <v>763</v>
      </c>
      <c r="CF50" s="278">
        <v>1138</v>
      </c>
      <c r="CG50" s="278">
        <v>1816</v>
      </c>
      <c r="CI50" s="278">
        <v>1233</v>
      </c>
      <c r="CJ50" s="278">
        <v>1896</v>
      </c>
      <c r="CK50" s="278"/>
    </row>
    <row r="51" spans="1:89" outlineLevel="1" x14ac:dyDescent="0.3">
      <c r="A51" s="277" t="s">
        <v>221</v>
      </c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>
        <v>200</v>
      </c>
      <c r="W51" s="278">
        <f t="shared" si="112"/>
        <v>289</v>
      </c>
      <c r="X51" s="278"/>
      <c r="Y51" s="278"/>
      <c r="Z51" s="278">
        <v>0</v>
      </c>
      <c r="AA51" s="278">
        <f t="shared" si="114"/>
        <v>612</v>
      </c>
      <c r="AB51" s="278"/>
      <c r="AC51" s="278"/>
      <c r="AF51" s="278"/>
      <c r="AG51" s="278"/>
      <c r="AH51" s="278"/>
      <c r="AI51" s="278"/>
      <c r="AJ51" s="278"/>
      <c r="AK51" s="278"/>
      <c r="AL51" s="278">
        <f t="shared" si="95"/>
        <v>0</v>
      </c>
      <c r="AM51" s="278">
        <f t="shared" si="96"/>
        <v>0</v>
      </c>
      <c r="AN51" s="278">
        <f t="shared" si="97"/>
        <v>0</v>
      </c>
      <c r="AO51" s="278">
        <f t="shared" si="98"/>
        <v>0</v>
      </c>
      <c r="AP51" s="278">
        <f t="shared" si="99"/>
        <v>0</v>
      </c>
      <c r="AQ51" s="278">
        <f t="shared" si="101"/>
        <v>489</v>
      </c>
      <c r="AR51" s="279"/>
      <c r="AU51" s="280"/>
      <c r="AV51" s="281"/>
      <c r="AW51" s="281"/>
      <c r="AX51" s="281"/>
      <c r="AY51" s="281"/>
      <c r="AZ51" s="281"/>
      <c r="BA51" s="281"/>
      <c r="BB51" s="281"/>
      <c r="BC51" s="281"/>
      <c r="BD51" s="281"/>
      <c r="BE51" s="281"/>
      <c r="BF51" s="281"/>
      <c r="BG51" s="281"/>
      <c r="BK51" s="278"/>
      <c r="BL51" s="278"/>
      <c r="BM51" s="278"/>
      <c r="BO51" s="278"/>
      <c r="BP51" s="278"/>
      <c r="BQ51" s="278"/>
      <c r="BS51" s="278"/>
      <c r="BT51" s="278"/>
      <c r="BU51" s="278"/>
      <c r="BW51" s="278"/>
      <c r="BX51" s="278"/>
      <c r="BY51" s="278"/>
      <c r="CA51" s="278"/>
      <c r="CB51" s="278"/>
      <c r="CC51" s="278"/>
      <c r="CE51" s="278">
        <v>489</v>
      </c>
      <c r="CF51" s="278"/>
      <c r="CG51" s="278"/>
      <c r="CI51" s="278">
        <v>612</v>
      </c>
      <c r="CJ51" s="278">
        <v>1217</v>
      </c>
      <c r="CK51" s="278"/>
    </row>
    <row r="52" spans="1:89" outlineLevel="1" x14ac:dyDescent="0.3">
      <c r="A52" s="277" t="s">
        <v>157</v>
      </c>
      <c r="B52" s="278">
        <v>47324</v>
      </c>
      <c r="C52" s="278">
        <f t="shared" si="102"/>
        <v>40351</v>
      </c>
      <c r="D52" s="278">
        <f t="shared" si="103"/>
        <v>54250</v>
      </c>
      <c r="E52" s="278">
        <f t="shared" si="103"/>
        <v>33813</v>
      </c>
      <c r="F52" s="278">
        <v>6437</v>
      </c>
      <c r="G52" s="278">
        <f t="shared" si="104"/>
        <v>38052</v>
      </c>
      <c r="H52" s="278">
        <f t="shared" si="105"/>
        <v>54085</v>
      </c>
      <c r="I52" s="278">
        <f t="shared" si="105"/>
        <v>55537</v>
      </c>
      <c r="J52" s="278">
        <v>24618</v>
      </c>
      <c r="K52" s="278">
        <f t="shared" si="106"/>
        <v>46872</v>
      </c>
      <c r="L52" s="278">
        <f t="shared" si="107"/>
        <v>54507</v>
      </c>
      <c r="M52" s="278">
        <f t="shared" si="107"/>
        <v>57755</v>
      </c>
      <c r="N52" s="278">
        <v>50825</v>
      </c>
      <c r="O52" s="278">
        <f t="shared" si="108"/>
        <v>49839</v>
      </c>
      <c r="P52" s="278">
        <f t="shared" si="109"/>
        <v>47557</v>
      </c>
      <c r="Q52" s="278">
        <f t="shared" si="109"/>
        <v>51461</v>
      </c>
      <c r="R52" s="278">
        <v>39820</v>
      </c>
      <c r="S52" s="278">
        <f t="shared" si="110"/>
        <v>46600</v>
      </c>
      <c r="T52" s="278">
        <f t="shared" si="111"/>
        <v>43118</v>
      </c>
      <c r="U52" s="278">
        <f t="shared" si="111"/>
        <v>46663</v>
      </c>
      <c r="V52" s="278">
        <v>37929</v>
      </c>
      <c r="W52" s="278">
        <f t="shared" si="112"/>
        <v>35654</v>
      </c>
      <c r="X52" s="278">
        <f t="shared" si="113"/>
        <v>42653</v>
      </c>
      <c r="Y52" s="278">
        <f>CG52-CF52</f>
        <v>39854</v>
      </c>
      <c r="Z52" s="278">
        <v>32348</v>
      </c>
      <c r="AA52" s="278">
        <f t="shared" si="114"/>
        <v>38769</v>
      </c>
      <c r="AB52" s="278">
        <f t="shared" si="115"/>
        <v>48293</v>
      </c>
      <c r="AC52" s="278">
        <f>CK52-CJ52</f>
        <v>-119410</v>
      </c>
      <c r="AF52" s="278">
        <v>191097</v>
      </c>
      <c r="AG52" s="278">
        <v>149203</v>
      </c>
      <c r="AH52" s="278">
        <v>131899</v>
      </c>
      <c r="AI52" s="278">
        <v>141470</v>
      </c>
      <c r="AJ52" s="278">
        <v>192789</v>
      </c>
      <c r="AK52" s="278">
        <v>233229</v>
      </c>
      <c r="AL52" s="278">
        <f t="shared" si="95"/>
        <v>175738</v>
      </c>
      <c r="AM52" s="278">
        <f t="shared" si="96"/>
        <v>154111</v>
      </c>
      <c r="AN52" s="278">
        <f t="shared" si="97"/>
        <v>183752</v>
      </c>
      <c r="AO52" s="278">
        <f t="shared" si="98"/>
        <v>199682</v>
      </c>
      <c r="AP52" s="278">
        <f t="shared" si="99"/>
        <v>176201</v>
      </c>
      <c r="AQ52" s="278">
        <f t="shared" si="101"/>
        <v>156090</v>
      </c>
      <c r="AR52" s="279"/>
      <c r="AU52" s="280" t="str">
        <f t="shared" si="94"/>
        <v>Tata Motors Ltd</v>
      </c>
      <c r="AV52" s="281">
        <f t="shared" ref="AV52:BG52" si="116">IFERROR(AF52/AF$56,"")</f>
        <v>0.49070445826507186</v>
      </c>
      <c r="AW52" s="281">
        <f t="shared" si="116"/>
        <v>0.4422270962387741</v>
      </c>
      <c r="AX52" s="281">
        <f t="shared" si="116"/>
        <v>0.39446901794713057</v>
      </c>
      <c r="AY52" s="281">
        <f t="shared" si="116"/>
        <v>0.39205850808809467</v>
      </c>
      <c r="AZ52" s="281">
        <f t="shared" si="116"/>
        <v>0.41270687363127845</v>
      </c>
      <c r="BA52" s="281">
        <f t="shared" si="116"/>
        <v>0.41322693295110463</v>
      </c>
      <c r="BB52" s="281">
        <f t="shared" si="116"/>
        <v>0.39284141535393907</v>
      </c>
      <c r="BC52" s="281">
        <f t="shared" si="116"/>
        <v>0.38938256569888047</v>
      </c>
      <c r="BD52" s="281">
        <f t="shared" si="116"/>
        <v>0.40293663602554208</v>
      </c>
      <c r="BE52" s="281">
        <f t="shared" si="116"/>
        <v>0.35711705266923011</v>
      </c>
      <c r="BF52" s="281">
        <f t="shared" si="116"/>
        <v>0.32453484217234507</v>
      </c>
      <c r="BG52" s="281">
        <f t="shared" si="116"/>
        <v>0.2953263177014156</v>
      </c>
      <c r="BK52" s="278">
        <v>87675</v>
      </c>
      <c r="BL52" s="278">
        <v>141925</v>
      </c>
      <c r="BM52" s="278">
        <v>175738</v>
      </c>
      <c r="BO52" s="278">
        <v>44489</v>
      </c>
      <c r="BP52" s="278">
        <v>98574</v>
      </c>
      <c r="BQ52" s="278">
        <v>154111</v>
      </c>
      <c r="BS52" s="278">
        <v>71490</v>
      </c>
      <c r="BT52" s="278">
        <v>125997</v>
      </c>
      <c r="BU52" s="278">
        <v>183752</v>
      </c>
      <c r="BW52" s="278">
        <v>100664</v>
      </c>
      <c r="BX52" s="278">
        <v>148221</v>
      </c>
      <c r="BY52" s="278">
        <v>199682</v>
      </c>
      <c r="CA52" s="278">
        <v>86420</v>
      </c>
      <c r="CB52" s="278">
        <v>129538</v>
      </c>
      <c r="CC52" s="278">
        <v>176201</v>
      </c>
      <c r="CE52" s="278">
        <v>73583</v>
      </c>
      <c r="CF52" s="278">
        <v>116236</v>
      </c>
      <c r="CG52" s="278">
        <v>156090</v>
      </c>
      <c r="CI52" s="278">
        <v>71117</v>
      </c>
      <c r="CJ52" s="278">
        <v>119410</v>
      </c>
      <c r="CK52" s="278"/>
    </row>
    <row r="53" spans="1:89" outlineLevel="1" x14ac:dyDescent="0.3">
      <c r="A53" s="277" t="s">
        <v>187</v>
      </c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>
        <v>44</v>
      </c>
      <c r="AA53" s="278">
        <f t="shared" si="114"/>
        <v>167</v>
      </c>
      <c r="AB53" s="278"/>
      <c r="AC53" s="278"/>
      <c r="AF53" s="278"/>
      <c r="AG53" s="278"/>
      <c r="AH53" s="278"/>
      <c r="AI53" s="278"/>
      <c r="AJ53" s="278"/>
      <c r="AK53" s="278"/>
      <c r="AL53" s="278">
        <f t="shared" ref="AL53" si="117">SUM(B53:E53)</f>
        <v>0</v>
      </c>
      <c r="AM53" s="278">
        <f t="shared" si="96"/>
        <v>0</v>
      </c>
      <c r="AN53" s="278">
        <f t="shared" si="97"/>
        <v>0</v>
      </c>
      <c r="AO53" s="278">
        <f t="shared" si="98"/>
        <v>0</v>
      </c>
      <c r="AP53" s="278">
        <f t="shared" si="99"/>
        <v>0</v>
      </c>
      <c r="AQ53" s="278">
        <f t="shared" si="101"/>
        <v>0</v>
      </c>
      <c r="AR53" s="279"/>
      <c r="AU53" s="280"/>
      <c r="AV53" s="281"/>
      <c r="AW53" s="281"/>
      <c r="AX53" s="281"/>
      <c r="AY53" s="281"/>
      <c r="AZ53" s="281"/>
      <c r="BA53" s="281"/>
      <c r="BB53" s="281"/>
      <c r="BC53" s="281"/>
      <c r="BD53" s="281"/>
      <c r="BE53" s="281"/>
      <c r="BF53" s="281"/>
      <c r="BG53" s="281"/>
      <c r="BK53" s="278"/>
      <c r="BL53" s="278"/>
      <c r="BM53" s="278"/>
      <c r="BO53" s="278"/>
      <c r="BP53" s="278"/>
      <c r="BQ53" s="278"/>
      <c r="BS53" s="278"/>
      <c r="BT53" s="278"/>
      <c r="BU53" s="278"/>
      <c r="BW53" s="278"/>
      <c r="BX53" s="278"/>
      <c r="BY53" s="278"/>
      <c r="CA53" s="278"/>
      <c r="CB53" s="278"/>
      <c r="CC53" s="278"/>
      <c r="CE53" s="278"/>
      <c r="CF53" s="278"/>
      <c r="CG53" s="278"/>
      <c r="CI53" s="278">
        <v>211</v>
      </c>
      <c r="CJ53" s="278">
        <v>512</v>
      </c>
      <c r="CK53" s="278"/>
    </row>
    <row r="54" spans="1:89" outlineLevel="1" x14ac:dyDescent="0.3">
      <c r="A54" s="277" t="s">
        <v>158</v>
      </c>
      <c r="B54" s="278"/>
      <c r="C54" s="278">
        <f t="shared" si="102"/>
        <v>0</v>
      </c>
      <c r="D54" s="278">
        <f t="shared" si="103"/>
        <v>0</v>
      </c>
      <c r="E54" s="278">
        <f t="shared" si="103"/>
        <v>0</v>
      </c>
      <c r="F54" s="278"/>
      <c r="G54" s="278">
        <f t="shared" si="104"/>
        <v>0</v>
      </c>
      <c r="H54" s="278">
        <f t="shared" si="105"/>
        <v>0</v>
      </c>
      <c r="I54" s="278">
        <f t="shared" si="105"/>
        <v>0</v>
      </c>
      <c r="J54" s="278">
        <v>0</v>
      </c>
      <c r="K54" s="278">
        <f t="shared" si="106"/>
        <v>0</v>
      </c>
      <c r="L54" s="278">
        <f t="shared" si="107"/>
        <v>0</v>
      </c>
      <c r="M54" s="278">
        <f t="shared" si="107"/>
        <v>0</v>
      </c>
      <c r="N54" s="278">
        <v>433</v>
      </c>
      <c r="O54" s="278">
        <f t="shared" si="108"/>
        <v>24</v>
      </c>
      <c r="P54" s="278">
        <f t="shared" si="109"/>
        <v>117</v>
      </c>
      <c r="Q54" s="278">
        <f t="shared" si="109"/>
        <v>239</v>
      </c>
      <c r="R54" s="278">
        <v>293</v>
      </c>
      <c r="S54" s="278">
        <f t="shared" si="110"/>
        <v>47</v>
      </c>
      <c r="T54" s="278">
        <f t="shared" si="111"/>
        <v>52</v>
      </c>
      <c r="U54" s="278">
        <f t="shared" si="111"/>
        <v>61</v>
      </c>
      <c r="V54" s="278">
        <v>70</v>
      </c>
      <c r="W54" s="278">
        <f t="shared" si="112"/>
        <v>10</v>
      </c>
      <c r="X54" s="278">
        <f t="shared" si="113"/>
        <v>63</v>
      </c>
      <c r="Y54" s="278">
        <f>CG54-CF54</f>
        <v>135</v>
      </c>
      <c r="Z54" s="278">
        <v>134</v>
      </c>
      <c r="AA54" s="278">
        <f t="shared" si="114"/>
        <v>34</v>
      </c>
      <c r="AB54" s="278">
        <f t="shared" si="115"/>
        <v>33</v>
      </c>
      <c r="AC54" s="278">
        <f>CK54-CJ54</f>
        <v>-201</v>
      </c>
      <c r="AF54" s="278"/>
      <c r="AG54" s="278"/>
      <c r="AH54" s="278"/>
      <c r="AI54" s="278"/>
      <c r="AJ54" s="278"/>
      <c r="AK54" s="278"/>
      <c r="AL54" s="278">
        <f t="shared" si="95"/>
        <v>0</v>
      </c>
      <c r="AM54" s="278">
        <f t="shared" si="96"/>
        <v>0</v>
      </c>
      <c r="AN54" s="278">
        <f t="shared" si="97"/>
        <v>0</v>
      </c>
      <c r="AO54" s="278">
        <f t="shared" si="98"/>
        <v>813</v>
      </c>
      <c r="AP54" s="278">
        <f t="shared" si="99"/>
        <v>453</v>
      </c>
      <c r="AQ54" s="278">
        <f t="shared" si="101"/>
        <v>278</v>
      </c>
      <c r="AR54" s="279"/>
      <c r="AU54" s="280" t="str">
        <f t="shared" si="94"/>
        <v>Toyota Kirloskar Motor Pvt Ltd</v>
      </c>
      <c r="AV54" s="281">
        <f t="shared" ref="AV54:BG56" si="118">IFERROR(AF54/AF$56,"")</f>
        <v>0</v>
      </c>
      <c r="AW54" s="281">
        <f t="shared" si="118"/>
        <v>0</v>
      </c>
      <c r="AX54" s="281">
        <f t="shared" si="118"/>
        <v>0</v>
      </c>
      <c r="AY54" s="281">
        <f t="shared" si="118"/>
        <v>0</v>
      </c>
      <c r="AZ54" s="281">
        <f t="shared" si="118"/>
        <v>0</v>
      </c>
      <c r="BA54" s="281">
        <f t="shared" si="118"/>
        <v>0</v>
      </c>
      <c r="BB54" s="281">
        <f t="shared" si="118"/>
        <v>0</v>
      </c>
      <c r="BC54" s="281">
        <f t="shared" si="118"/>
        <v>0</v>
      </c>
      <c r="BD54" s="281">
        <f t="shared" si="118"/>
        <v>0</v>
      </c>
      <c r="BE54" s="281">
        <f t="shared" si="118"/>
        <v>1.4539926674416526E-3</v>
      </c>
      <c r="BF54" s="281">
        <f t="shared" si="118"/>
        <v>8.3435555702903114E-4</v>
      </c>
      <c r="BG54" s="281">
        <f t="shared" si="118"/>
        <v>5.2598319124219064E-4</v>
      </c>
      <c r="BK54" s="278"/>
      <c r="BL54" s="278"/>
      <c r="BM54" s="278"/>
      <c r="BO54" s="278"/>
      <c r="BP54" s="278"/>
      <c r="BQ54" s="278"/>
      <c r="BS54" s="278">
        <v>0</v>
      </c>
      <c r="BT54" s="278">
        <v>0</v>
      </c>
      <c r="BU54" s="278">
        <v>0</v>
      </c>
      <c r="BW54" s="278">
        <v>457</v>
      </c>
      <c r="BX54" s="278">
        <v>574</v>
      </c>
      <c r="BY54" s="278">
        <v>813</v>
      </c>
      <c r="CA54" s="278">
        <v>340</v>
      </c>
      <c r="CB54" s="278">
        <v>392</v>
      </c>
      <c r="CC54" s="278">
        <v>453</v>
      </c>
      <c r="CE54" s="278">
        <v>80</v>
      </c>
      <c r="CF54" s="278">
        <v>143</v>
      </c>
      <c r="CG54" s="278">
        <v>278</v>
      </c>
      <c r="CI54" s="278">
        <v>168</v>
      </c>
      <c r="CJ54" s="278">
        <v>201</v>
      </c>
      <c r="CK54" s="278"/>
    </row>
    <row r="55" spans="1:89" outlineLevel="1" x14ac:dyDescent="0.3">
      <c r="A55" s="277" t="s">
        <v>222</v>
      </c>
      <c r="B55" s="278">
        <v>2166</v>
      </c>
      <c r="C55" s="278">
        <f t="shared" si="102"/>
        <v>2209</v>
      </c>
      <c r="D55" s="278">
        <f t="shared" si="103"/>
        <v>2556</v>
      </c>
      <c r="E55" s="278">
        <f t="shared" si="103"/>
        <v>1956</v>
      </c>
      <c r="F55" s="278">
        <v>490</v>
      </c>
      <c r="G55" s="278">
        <f t="shared" si="104"/>
        <v>2261</v>
      </c>
      <c r="H55" s="278">
        <f t="shared" si="105"/>
        <v>2894</v>
      </c>
      <c r="I55" s="278">
        <f t="shared" si="105"/>
        <v>3134</v>
      </c>
      <c r="J55" s="278">
        <v>712</v>
      </c>
      <c r="K55" s="278">
        <f t="shared" si="106"/>
        <v>2493</v>
      </c>
      <c r="L55" s="278">
        <f t="shared" si="107"/>
        <v>2249</v>
      </c>
      <c r="M55" s="278">
        <f t="shared" si="107"/>
        <v>3013</v>
      </c>
      <c r="N55" s="278">
        <v>2198</v>
      </c>
      <c r="O55" s="278">
        <f t="shared" si="108"/>
        <v>2383</v>
      </c>
      <c r="P55" s="278">
        <f t="shared" si="109"/>
        <v>2333</v>
      </c>
      <c r="Q55" s="278">
        <f t="shared" si="109"/>
        <v>2656</v>
      </c>
      <c r="R55" s="278">
        <v>2182</v>
      </c>
      <c r="S55" s="278">
        <f t="shared" si="110"/>
        <v>2685</v>
      </c>
      <c r="T55" s="278">
        <f t="shared" si="111"/>
        <v>2335</v>
      </c>
      <c r="U55" s="278">
        <f t="shared" si="111"/>
        <v>2798</v>
      </c>
      <c r="V55" s="278">
        <v>2002</v>
      </c>
      <c r="W55" s="278">
        <f t="shared" si="112"/>
        <v>2479</v>
      </c>
      <c r="X55" s="278">
        <f t="shared" si="113"/>
        <v>2643</v>
      </c>
      <c r="Y55" s="278">
        <f>CG55-CF55</f>
        <v>3133</v>
      </c>
      <c r="Z55" s="278">
        <v>2507</v>
      </c>
      <c r="AA55" s="278">
        <f t="shared" si="114"/>
        <v>2940</v>
      </c>
      <c r="AB55" s="278">
        <f t="shared" si="115"/>
        <v>3750</v>
      </c>
      <c r="AC55" s="278">
        <f>CK55-CJ55</f>
        <v>-9197</v>
      </c>
      <c r="AF55" s="278">
        <v>5332</v>
      </c>
      <c r="AG55" s="278">
        <v>5211</v>
      </c>
      <c r="AH55" s="278">
        <v>6975</v>
      </c>
      <c r="AI55" s="278">
        <v>8525</v>
      </c>
      <c r="AJ55" s="278">
        <v>11062</v>
      </c>
      <c r="AK55" s="278">
        <v>11756</v>
      </c>
      <c r="AL55" s="278">
        <f t="shared" si="95"/>
        <v>8887</v>
      </c>
      <c r="AM55" s="278">
        <f t="shared" si="96"/>
        <v>8779</v>
      </c>
      <c r="AN55" s="278">
        <f t="shared" si="97"/>
        <v>8467</v>
      </c>
      <c r="AO55" s="278">
        <f t="shared" si="98"/>
        <v>9570</v>
      </c>
      <c r="AP55" s="278">
        <f t="shared" si="99"/>
        <v>10000</v>
      </c>
      <c r="AQ55" s="278">
        <f t="shared" si="101"/>
        <v>10257</v>
      </c>
      <c r="AR55" s="279"/>
      <c r="AU55" s="280" t="str">
        <f t="shared" si="94"/>
        <v>VECV-Eicher</v>
      </c>
      <c r="AV55" s="281">
        <f t="shared" si="118"/>
        <v>1.3691665339954908E-2</v>
      </c>
      <c r="AW55" s="281">
        <f t="shared" si="118"/>
        <v>1.544503393698687E-2</v>
      </c>
      <c r="AX55" s="281">
        <f t="shared" si="118"/>
        <v>2.0860062625048224E-2</v>
      </c>
      <c r="AY55" s="281">
        <f t="shared" si="118"/>
        <v>2.3625495026867938E-2</v>
      </c>
      <c r="AZ55" s="281">
        <f t="shared" si="118"/>
        <v>2.3680622007008711E-2</v>
      </c>
      <c r="BA55" s="281">
        <f t="shared" si="118"/>
        <v>2.0828867009562213E-2</v>
      </c>
      <c r="BB55" s="281">
        <f t="shared" si="118"/>
        <v>1.9865832422415509E-2</v>
      </c>
      <c r="BC55" s="281">
        <f t="shared" si="118"/>
        <v>2.2181346849157239E-2</v>
      </c>
      <c r="BD55" s="281">
        <f t="shared" si="118"/>
        <v>1.8566679531260965E-2</v>
      </c>
      <c r="BE55" s="281">
        <f t="shared" si="118"/>
        <v>1.7115264240364841E-2</v>
      </c>
      <c r="BF55" s="281">
        <f t="shared" si="118"/>
        <v>1.8418444967528282E-2</v>
      </c>
      <c r="BG55" s="281">
        <f t="shared" si="118"/>
        <v>1.9406509325795501E-2</v>
      </c>
      <c r="BK55" s="278">
        <v>4375</v>
      </c>
      <c r="BL55" s="278">
        <v>6931</v>
      </c>
      <c r="BM55" s="278">
        <v>8887</v>
      </c>
      <c r="BO55" s="278">
        <v>2751</v>
      </c>
      <c r="BP55" s="278">
        <v>5645</v>
      </c>
      <c r="BQ55" s="278">
        <v>8779</v>
      </c>
      <c r="BS55" s="278">
        <v>3205</v>
      </c>
      <c r="BT55" s="278">
        <v>5454</v>
      </c>
      <c r="BU55" s="278">
        <v>8467</v>
      </c>
      <c r="BW55" s="278">
        <v>4581</v>
      </c>
      <c r="BX55" s="278">
        <v>6914</v>
      </c>
      <c r="BY55" s="278">
        <v>9570</v>
      </c>
      <c r="CA55" s="278">
        <v>4867</v>
      </c>
      <c r="CB55" s="278">
        <v>7202</v>
      </c>
      <c r="CC55" s="278">
        <v>10000</v>
      </c>
      <c r="CE55" s="278">
        <v>4481</v>
      </c>
      <c r="CF55" s="278">
        <v>7124</v>
      </c>
      <c r="CG55" s="278">
        <v>10257</v>
      </c>
      <c r="CI55" s="278">
        <v>5447</v>
      </c>
      <c r="CJ55" s="278">
        <v>9197</v>
      </c>
      <c r="CK55" s="278"/>
    </row>
    <row r="56" spans="1:89" s="283" customFormat="1" x14ac:dyDescent="0.3">
      <c r="A56" s="280" t="s">
        <v>235</v>
      </c>
      <c r="B56" s="282">
        <f t="shared" ref="B56:X56" si="119">SUM(B42:B55)</f>
        <v>118058</v>
      </c>
      <c r="C56" s="282">
        <f t="shared" si="119"/>
        <v>108684</v>
      </c>
      <c r="D56" s="282">
        <f t="shared" si="119"/>
        <v>132420</v>
      </c>
      <c r="E56" s="282">
        <f t="shared" si="119"/>
        <v>88189</v>
      </c>
      <c r="F56" s="282">
        <f t="shared" si="119"/>
        <v>26373</v>
      </c>
      <c r="G56" s="282">
        <f t="shared" si="119"/>
        <v>105209</v>
      </c>
      <c r="H56" s="282">
        <f t="shared" si="119"/>
        <v>139041</v>
      </c>
      <c r="I56" s="282">
        <f t="shared" si="119"/>
        <v>125160</v>
      </c>
      <c r="J56" s="282">
        <f t="shared" si="119"/>
        <v>72345</v>
      </c>
      <c r="K56" s="282">
        <f t="shared" si="119"/>
        <v>107584</v>
      </c>
      <c r="L56" s="282">
        <f t="shared" si="119"/>
        <v>127213</v>
      </c>
      <c r="M56" s="282">
        <f t="shared" si="119"/>
        <v>148890</v>
      </c>
      <c r="N56" s="282">
        <f t="shared" si="119"/>
        <v>137237</v>
      </c>
      <c r="O56" s="282">
        <f t="shared" si="119"/>
        <v>141442</v>
      </c>
      <c r="P56" s="282">
        <f t="shared" si="119"/>
        <v>133340</v>
      </c>
      <c r="Q56" s="282">
        <f t="shared" si="119"/>
        <v>147131</v>
      </c>
      <c r="R56" s="282">
        <f t="shared" si="119"/>
        <v>124258</v>
      </c>
      <c r="S56" s="282">
        <f t="shared" si="119"/>
        <v>140785</v>
      </c>
      <c r="T56" s="282">
        <f t="shared" si="119"/>
        <v>134970</v>
      </c>
      <c r="U56" s="282">
        <f t="shared" si="119"/>
        <v>142921</v>
      </c>
      <c r="V56" s="282">
        <f t="shared" si="119"/>
        <v>123414</v>
      </c>
      <c r="W56" s="282">
        <f t="shared" si="119"/>
        <v>126659</v>
      </c>
      <c r="X56" s="282">
        <f t="shared" si="119"/>
        <v>138696</v>
      </c>
      <c r="Y56" s="282">
        <f t="shared" ref="Y56:AC56" si="120">SUM(Y42:Y55)</f>
        <v>139765</v>
      </c>
      <c r="Z56" s="282">
        <f t="shared" si="120"/>
        <v>122627</v>
      </c>
      <c r="AA56" s="282">
        <f t="shared" si="120"/>
        <v>140226</v>
      </c>
      <c r="AB56" s="282">
        <f t="shared" si="120"/>
        <v>166277</v>
      </c>
      <c r="AC56" s="282">
        <f t="shared" si="120"/>
        <v>-428307</v>
      </c>
      <c r="AF56" s="282">
        <f>SUM(AF42:AF55)</f>
        <v>389434</v>
      </c>
      <c r="AG56" s="282">
        <f>SUM(AG42:AG55)</f>
        <v>337390</v>
      </c>
      <c r="AH56" s="282">
        <f>SUM(AH42:AH55)</f>
        <v>334371</v>
      </c>
      <c r="AI56" s="282">
        <f>SUM(AI42:AI55)</f>
        <v>360839</v>
      </c>
      <c r="AJ56" s="282">
        <f t="shared" ref="AJ56:AK56" si="121">SUM(AJ42:AJ55)</f>
        <v>467133</v>
      </c>
      <c r="AK56" s="282">
        <f t="shared" si="121"/>
        <v>564409</v>
      </c>
      <c r="AL56" s="282">
        <f t="shared" si="95"/>
        <v>447351</v>
      </c>
      <c r="AM56" s="282">
        <f t="shared" si="96"/>
        <v>395783</v>
      </c>
      <c r="AN56" s="282">
        <f t="shared" si="97"/>
        <v>456032</v>
      </c>
      <c r="AO56" s="282">
        <f t="shared" si="98"/>
        <v>559150</v>
      </c>
      <c r="AP56" s="282">
        <f t="shared" si="99"/>
        <v>542934</v>
      </c>
      <c r="AQ56" s="282">
        <f t="shared" si="101"/>
        <v>528534</v>
      </c>
      <c r="AR56" s="284"/>
      <c r="AU56" s="280" t="str">
        <f t="shared" si="94"/>
        <v>Total LCV (G)</v>
      </c>
      <c r="AV56" s="281">
        <f t="shared" si="118"/>
        <v>1</v>
      </c>
      <c r="AW56" s="281">
        <f t="shared" si="118"/>
        <v>1</v>
      </c>
      <c r="AX56" s="281">
        <f t="shared" si="118"/>
        <v>1</v>
      </c>
      <c r="AY56" s="281">
        <f t="shared" si="118"/>
        <v>1</v>
      </c>
      <c r="AZ56" s="281">
        <f t="shared" si="118"/>
        <v>1</v>
      </c>
      <c r="BA56" s="281">
        <f t="shared" si="118"/>
        <v>1</v>
      </c>
      <c r="BB56" s="281">
        <f t="shared" si="118"/>
        <v>1</v>
      </c>
      <c r="BC56" s="281">
        <f t="shared" si="118"/>
        <v>1</v>
      </c>
      <c r="BD56" s="281">
        <f t="shared" si="118"/>
        <v>1</v>
      </c>
      <c r="BE56" s="281">
        <f t="shared" si="118"/>
        <v>1</v>
      </c>
      <c r="BF56" s="281">
        <f t="shared" si="118"/>
        <v>1</v>
      </c>
      <c r="BG56" s="281">
        <f t="shared" si="118"/>
        <v>1</v>
      </c>
      <c r="BK56" s="282">
        <f>SUM(BK42:BK55)</f>
        <v>226742</v>
      </c>
      <c r="BL56" s="282">
        <f>SUM(BL42:BL55)</f>
        <v>359162</v>
      </c>
      <c r="BM56" s="282">
        <f>SUM(BM42:BM55)</f>
        <v>447351</v>
      </c>
      <c r="BO56" s="282">
        <f>SUM(BO42:BO55)</f>
        <v>131582</v>
      </c>
      <c r="BP56" s="282">
        <f>SUM(BP42:BP55)</f>
        <v>270623</v>
      </c>
      <c r="BQ56" s="282">
        <f t="shared" ref="BQ56" si="122">SUM(BQ42:BQ55)</f>
        <v>395783</v>
      </c>
      <c r="BS56" s="282">
        <f>SUM(BS42:BS55)</f>
        <v>179929</v>
      </c>
      <c r="BT56" s="282">
        <f>SUM(BT42:BT55)</f>
        <v>307142</v>
      </c>
      <c r="BU56" s="282">
        <f>SUM(BU42:BU55)</f>
        <v>456032</v>
      </c>
      <c r="BW56" s="282">
        <f>SUM(BW42:BW55)</f>
        <v>278679</v>
      </c>
      <c r="BX56" s="282">
        <f>SUM(BX42:BX55)</f>
        <v>412019</v>
      </c>
      <c r="BY56" s="282">
        <f t="shared" ref="BY56" si="123">SUM(BY42:BY55)</f>
        <v>559150</v>
      </c>
      <c r="CA56" s="282">
        <f>SUM(CA42:CA55)</f>
        <v>265043</v>
      </c>
      <c r="CB56" s="282">
        <f>SUM(CB42:CB55)</f>
        <v>400013</v>
      </c>
      <c r="CC56" s="282">
        <f>SUM(CC42:CC55)</f>
        <v>542934</v>
      </c>
      <c r="CE56" s="282">
        <f>SUM(CE42:CE55)</f>
        <v>250073</v>
      </c>
      <c r="CF56" s="282">
        <f>SUM(CF42:CF55)</f>
        <v>388280</v>
      </c>
      <c r="CG56" s="282">
        <f>SUM(CG42:CG55)</f>
        <v>528045</v>
      </c>
      <c r="CI56" s="282">
        <f>SUM(CI42:CI55)</f>
        <v>262853</v>
      </c>
      <c r="CJ56" s="282">
        <f>SUM(CJ42:CJ55)</f>
        <v>430036</v>
      </c>
      <c r="CK56" s="282"/>
    </row>
    <row r="57" spans="1:89" x14ac:dyDescent="0.3">
      <c r="A57" s="280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75"/>
      <c r="AU57" s="280"/>
      <c r="AV57" s="281"/>
      <c r="AW57" s="281"/>
      <c r="AX57" s="281"/>
      <c r="AY57" s="281"/>
      <c r="AZ57" s="281"/>
      <c r="BA57" s="281"/>
      <c r="BB57" s="281"/>
      <c r="BC57" s="281"/>
      <c r="BD57" s="281"/>
      <c r="BE57" s="281"/>
      <c r="BF57" s="281"/>
      <c r="BG57" s="281"/>
      <c r="BK57" s="285"/>
      <c r="BL57" s="285"/>
      <c r="BM57" s="285"/>
      <c r="BO57" s="285"/>
      <c r="BP57" s="285"/>
      <c r="BQ57" s="285"/>
      <c r="BS57" s="285"/>
      <c r="BT57" s="285"/>
      <c r="BU57" s="285"/>
      <c r="BW57" s="285"/>
      <c r="BX57" s="285"/>
      <c r="BY57" s="285"/>
      <c r="CA57" s="285"/>
      <c r="CB57" s="285"/>
      <c r="CC57" s="285"/>
      <c r="CE57" s="285"/>
      <c r="CF57" s="285"/>
      <c r="CG57" s="285"/>
      <c r="CI57" s="285"/>
      <c r="CJ57" s="285"/>
      <c r="CK57" s="285"/>
    </row>
    <row r="58" spans="1:89" s="283" customFormat="1" x14ac:dyDescent="0.3">
      <c r="A58" s="280" t="s">
        <v>236</v>
      </c>
      <c r="B58" s="282">
        <f t="shared" ref="B58:AC58" si="124">B56+B39</f>
        <v>133977</v>
      </c>
      <c r="C58" s="282">
        <f t="shared" si="124"/>
        <v>119155</v>
      </c>
      <c r="D58" s="282">
        <f t="shared" si="124"/>
        <v>141674</v>
      </c>
      <c r="E58" s="282">
        <f t="shared" si="124"/>
        <v>98359</v>
      </c>
      <c r="F58" s="282">
        <f t="shared" si="124"/>
        <v>27233</v>
      </c>
      <c r="G58" s="282">
        <f t="shared" si="124"/>
        <v>108972</v>
      </c>
      <c r="H58" s="282">
        <f t="shared" si="124"/>
        <v>141844</v>
      </c>
      <c r="I58" s="282">
        <f t="shared" si="124"/>
        <v>129822</v>
      </c>
      <c r="J58" s="282">
        <f t="shared" si="124"/>
        <v>76642</v>
      </c>
      <c r="K58" s="282">
        <f t="shared" si="124"/>
        <v>112770</v>
      </c>
      <c r="L58" s="282">
        <f t="shared" si="124"/>
        <v>130745</v>
      </c>
      <c r="M58" s="282">
        <f t="shared" si="124"/>
        <v>155832</v>
      </c>
      <c r="N58" s="282">
        <f t="shared" si="124"/>
        <v>148827</v>
      </c>
      <c r="O58" s="282">
        <f t="shared" si="124"/>
        <v>152037</v>
      </c>
      <c r="P58" s="282">
        <f t="shared" si="124"/>
        <v>141433</v>
      </c>
      <c r="Q58" s="282">
        <f t="shared" si="124"/>
        <v>161168</v>
      </c>
      <c r="R58" s="282">
        <f t="shared" si="124"/>
        <v>138681</v>
      </c>
      <c r="S58" s="282">
        <f t="shared" si="124"/>
        <v>153927</v>
      </c>
      <c r="T58" s="282">
        <f t="shared" si="124"/>
        <v>143822</v>
      </c>
      <c r="U58" s="282">
        <f t="shared" si="124"/>
        <v>158254</v>
      </c>
      <c r="V58" s="282">
        <f t="shared" si="124"/>
        <v>138985</v>
      </c>
      <c r="W58" s="282">
        <f t="shared" si="124"/>
        <v>138523</v>
      </c>
      <c r="X58" s="282">
        <f t="shared" si="124"/>
        <v>147758</v>
      </c>
      <c r="Y58" s="282">
        <f t="shared" si="124"/>
        <v>158075</v>
      </c>
      <c r="Z58" s="282">
        <f t="shared" si="124"/>
        <v>139576</v>
      </c>
      <c r="AA58" s="282">
        <f t="shared" si="124"/>
        <v>151978</v>
      </c>
      <c r="AB58" s="282">
        <f t="shared" si="124"/>
        <v>178888</v>
      </c>
      <c r="AC58" s="282">
        <f t="shared" si="124"/>
        <v>-469619</v>
      </c>
      <c r="AF58" s="282">
        <f t="shared" ref="AF58:AK58" si="125">AF56+AF39</f>
        <v>432233</v>
      </c>
      <c r="AG58" s="282">
        <f t="shared" si="125"/>
        <v>382206</v>
      </c>
      <c r="AH58" s="282">
        <f t="shared" si="125"/>
        <v>383307</v>
      </c>
      <c r="AI58" s="282">
        <f t="shared" si="125"/>
        <v>411703</v>
      </c>
      <c r="AJ58" s="282">
        <f t="shared" si="125"/>
        <v>516135</v>
      </c>
      <c r="AK58" s="282">
        <f t="shared" si="125"/>
        <v>616579</v>
      </c>
      <c r="AL58" s="282">
        <f t="shared" ref="AL58" si="126">SUM(B58:E58)</f>
        <v>493165</v>
      </c>
      <c r="AM58" s="282">
        <f t="shared" ref="AM58" si="127">SUM(F58:I58)</f>
        <v>407871</v>
      </c>
      <c r="AN58" s="282">
        <f t="shared" ref="AN58" si="128">SUM(J58:M58)</f>
        <v>475989</v>
      </c>
      <c r="AO58" s="282">
        <f t="shared" ref="AO58" si="129">SUM(N58:Q58)</f>
        <v>603465</v>
      </c>
      <c r="AP58" s="282">
        <f t="shared" ref="AP58" si="130">SUM(R58:U58)</f>
        <v>594684</v>
      </c>
      <c r="AQ58" s="282">
        <f>SUM(V58:Y58)</f>
        <v>583341</v>
      </c>
      <c r="AR58" s="284"/>
      <c r="AU58" s="280"/>
      <c r="AV58" s="281"/>
      <c r="AW58" s="281"/>
      <c r="AX58" s="281"/>
      <c r="AY58" s="281"/>
      <c r="AZ58" s="281"/>
      <c r="BA58" s="281"/>
      <c r="BB58" s="281"/>
      <c r="BC58" s="281"/>
      <c r="BD58" s="281"/>
      <c r="BE58" s="281"/>
      <c r="BF58" s="281"/>
      <c r="BG58" s="281"/>
      <c r="BK58" s="282">
        <f>BK56+BK39</f>
        <v>253132</v>
      </c>
      <c r="BL58" s="282">
        <f>BL56+BL39</f>
        <v>394806</v>
      </c>
      <c r="BM58" s="282">
        <f>BM56+BM39</f>
        <v>493165</v>
      </c>
      <c r="BO58" s="282">
        <f>BO56+BO39</f>
        <v>136205</v>
      </c>
      <c r="BP58" s="282">
        <f>BP56+BP39</f>
        <v>278049</v>
      </c>
      <c r="BQ58" s="282">
        <f t="shared" ref="BQ58" si="131">BQ56+BQ39</f>
        <v>407871</v>
      </c>
      <c r="BS58" s="282">
        <f>BS56+BS39</f>
        <v>189412</v>
      </c>
      <c r="BT58" s="282">
        <f>BT56+BT39</f>
        <v>320157</v>
      </c>
      <c r="BU58" s="282">
        <f>BU56+BU39</f>
        <v>475989</v>
      </c>
      <c r="BW58" s="282">
        <f>BW56+BW39</f>
        <v>300864</v>
      </c>
      <c r="BX58" s="282">
        <f>BX56+BX39</f>
        <v>442297</v>
      </c>
      <c r="BY58" s="282">
        <f t="shared" ref="BY58" si="132">BY56+BY39</f>
        <v>603465</v>
      </c>
      <c r="CA58" s="282">
        <f>CA56+CA39</f>
        <v>292608</v>
      </c>
      <c r="CB58" s="282">
        <f>CB56+CB39</f>
        <v>436430</v>
      </c>
      <c r="CC58" s="282">
        <f>CC56+CC39</f>
        <v>594684</v>
      </c>
      <c r="CE58" s="282">
        <f>CE56+CE39</f>
        <v>277508</v>
      </c>
      <c r="CF58" s="282">
        <f>CF56+CF39</f>
        <v>424777</v>
      </c>
      <c r="CG58" s="282">
        <f>CG56+CG39</f>
        <v>582852</v>
      </c>
      <c r="CI58" s="282">
        <f>CI56+CI39</f>
        <v>291554</v>
      </c>
      <c r="CJ58" s="282">
        <f>CJ56+CJ39</f>
        <v>471348</v>
      </c>
      <c r="CK58" s="282"/>
    </row>
    <row r="59" spans="1:89" x14ac:dyDescent="0.3">
      <c r="A59" s="280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85"/>
      <c r="AB59" s="285"/>
      <c r="AC59" s="285"/>
      <c r="AF59" s="285"/>
      <c r="AG59" s="285"/>
      <c r="AH59" s="285"/>
      <c r="AI59" s="285"/>
      <c r="AJ59" s="285"/>
      <c r="AK59" s="285"/>
      <c r="AL59" s="285"/>
      <c r="AM59" s="285"/>
      <c r="AN59" s="285"/>
      <c r="AO59" s="285"/>
      <c r="AP59" s="285"/>
      <c r="AQ59" s="285"/>
      <c r="AR59" s="275"/>
      <c r="AU59" s="280"/>
      <c r="AV59" s="281"/>
      <c r="AW59" s="281"/>
      <c r="AX59" s="281"/>
      <c r="AY59" s="281"/>
      <c r="AZ59" s="281"/>
      <c r="BA59" s="281"/>
      <c r="BB59" s="281"/>
      <c r="BC59" s="281"/>
      <c r="BD59" s="281"/>
      <c r="BE59" s="281"/>
      <c r="BF59" s="281"/>
      <c r="BG59" s="281"/>
      <c r="BK59" s="285"/>
      <c r="BL59" s="285"/>
      <c r="BM59" s="285"/>
      <c r="BO59" s="285"/>
      <c r="BP59" s="285"/>
      <c r="BQ59" s="285"/>
      <c r="BS59" s="285"/>
      <c r="BT59" s="285"/>
      <c r="BU59" s="285"/>
      <c r="BW59" s="285"/>
      <c r="BX59" s="285"/>
      <c r="BY59" s="285"/>
      <c r="CA59" s="285"/>
      <c r="CB59" s="285"/>
      <c r="CC59" s="285"/>
      <c r="CE59" s="285"/>
      <c r="CF59" s="285"/>
      <c r="CG59" s="285"/>
      <c r="CI59" s="285"/>
      <c r="CJ59" s="285"/>
      <c r="CK59" s="285"/>
    </row>
    <row r="60" spans="1:89" s="283" customFormat="1" x14ac:dyDescent="0.3">
      <c r="A60" s="280" t="s">
        <v>237</v>
      </c>
      <c r="B60" s="282">
        <f t="shared" ref="B60:AC60" si="133">B58+B29</f>
        <v>208310</v>
      </c>
      <c r="C60" s="282">
        <f t="shared" si="133"/>
        <v>167173</v>
      </c>
      <c r="D60" s="282">
        <f t="shared" si="133"/>
        <v>195211</v>
      </c>
      <c r="E60" s="282">
        <f t="shared" si="133"/>
        <v>146899</v>
      </c>
      <c r="F60" s="282">
        <f t="shared" si="133"/>
        <v>31636</v>
      </c>
      <c r="G60" s="282">
        <f t="shared" si="133"/>
        <v>133524</v>
      </c>
      <c r="H60" s="282">
        <f t="shared" si="133"/>
        <v>193043</v>
      </c>
      <c r="I60" s="282">
        <f t="shared" si="133"/>
        <v>210356</v>
      </c>
      <c r="J60" s="282">
        <f t="shared" si="133"/>
        <v>105800</v>
      </c>
      <c r="K60" s="282">
        <f t="shared" si="133"/>
        <v>166251</v>
      </c>
      <c r="L60" s="282">
        <f t="shared" si="133"/>
        <v>194709</v>
      </c>
      <c r="M60" s="282">
        <f t="shared" si="133"/>
        <v>249806</v>
      </c>
      <c r="N60" s="282">
        <f t="shared" si="133"/>
        <v>224512</v>
      </c>
      <c r="O60" s="282">
        <f t="shared" si="133"/>
        <v>231687</v>
      </c>
      <c r="P60" s="282">
        <f t="shared" si="133"/>
        <v>227111</v>
      </c>
      <c r="Q60" s="282">
        <f t="shared" si="133"/>
        <v>279158</v>
      </c>
      <c r="R60" s="282">
        <f t="shared" si="133"/>
        <v>216550</v>
      </c>
      <c r="S60" s="282">
        <f t="shared" si="133"/>
        <v>247801</v>
      </c>
      <c r="T60" s="282">
        <f t="shared" si="133"/>
        <v>235499</v>
      </c>
      <c r="U60" s="282">
        <f t="shared" si="133"/>
        <v>268028</v>
      </c>
      <c r="V60" s="282">
        <f t="shared" si="133"/>
        <v>224575</v>
      </c>
      <c r="W60" s="282">
        <f t="shared" si="133"/>
        <v>221628</v>
      </c>
      <c r="X60" s="282">
        <f t="shared" si="133"/>
        <v>237757</v>
      </c>
      <c r="Y60" s="282">
        <f t="shared" si="133"/>
        <v>273200</v>
      </c>
      <c r="Z60" s="282">
        <f t="shared" si="133"/>
        <v>223215</v>
      </c>
      <c r="AA60" s="282">
        <f t="shared" si="133"/>
        <v>240287</v>
      </c>
      <c r="AB60" s="282">
        <f t="shared" si="133"/>
        <v>289659</v>
      </c>
      <c r="AC60" s="282">
        <f t="shared" si="133"/>
        <v>-752338</v>
      </c>
      <c r="AF60" s="282">
        <f t="shared" ref="AF60:AK60" si="134">AF58+AF29</f>
        <v>632851</v>
      </c>
      <c r="AG60" s="282">
        <f t="shared" si="134"/>
        <v>614961</v>
      </c>
      <c r="AH60" s="282">
        <f t="shared" si="134"/>
        <v>685704</v>
      </c>
      <c r="AI60" s="282">
        <f t="shared" si="134"/>
        <v>714232</v>
      </c>
      <c r="AJ60" s="282">
        <f t="shared" si="134"/>
        <v>856916</v>
      </c>
      <c r="AK60" s="282">
        <f t="shared" si="134"/>
        <v>1007319</v>
      </c>
      <c r="AL60" s="282">
        <f t="shared" ref="AL60" si="135">SUM(B60:E60)</f>
        <v>717593</v>
      </c>
      <c r="AM60" s="282">
        <f t="shared" ref="AM60" si="136">SUM(F60:I60)</f>
        <v>568559</v>
      </c>
      <c r="AN60" s="282">
        <f t="shared" ref="AN60" si="137">SUM(J60:M60)</f>
        <v>716566</v>
      </c>
      <c r="AO60" s="282">
        <f t="shared" ref="AO60" si="138">SUM(N60:Q60)</f>
        <v>962468</v>
      </c>
      <c r="AP60" s="282">
        <f t="shared" ref="AP60" si="139">SUM(R60:U60)</f>
        <v>967878</v>
      </c>
      <c r="AQ60" s="282">
        <f>SUM(V60:Y60)</f>
        <v>957160</v>
      </c>
      <c r="AR60" s="284"/>
      <c r="AU60" s="280"/>
      <c r="AV60" s="281"/>
      <c r="AW60" s="281"/>
      <c r="AX60" s="281"/>
      <c r="AY60" s="281"/>
      <c r="AZ60" s="281"/>
      <c r="BA60" s="281"/>
      <c r="BB60" s="281"/>
      <c r="BC60" s="281"/>
      <c r="BD60" s="281"/>
      <c r="BE60" s="281"/>
      <c r="BF60" s="281"/>
      <c r="BG60" s="281"/>
      <c r="BK60" s="282">
        <f>BK58+BK29</f>
        <v>375483</v>
      </c>
      <c r="BL60" s="282">
        <f>BL58+BL29</f>
        <v>570694</v>
      </c>
      <c r="BM60" s="282">
        <f>BM58+BM29</f>
        <v>717593</v>
      </c>
      <c r="BO60" s="282">
        <f>BO58+BO29</f>
        <v>165160</v>
      </c>
      <c r="BP60" s="282">
        <f>BP58+BP29</f>
        <v>358203</v>
      </c>
      <c r="BQ60" s="282">
        <f t="shared" ref="BQ60" si="140">BQ58+BQ29</f>
        <v>568559</v>
      </c>
      <c r="BS60" s="282">
        <f>BS58+BS29</f>
        <v>272051</v>
      </c>
      <c r="BT60" s="282">
        <f>BT58+BT29</f>
        <v>466760</v>
      </c>
      <c r="BU60" s="282">
        <f>BU58+BU29</f>
        <v>716566</v>
      </c>
      <c r="BW60" s="282">
        <f>BW58+BW29</f>
        <v>456199</v>
      </c>
      <c r="BX60" s="282">
        <f>BX58+BX29</f>
        <v>683310</v>
      </c>
      <c r="BY60" s="282">
        <f t="shared" ref="BY60" si="141">BY58+BY29</f>
        <v>962468</v>
      </c>
      <c r="CA60" s="282">
        <f>CA58+CA29</f>
        <v>464351</v>
      </c>
      <c r="CB60" s="282">
        <f>CB58+CB29</f>
        <v>699850</v>
      </c>
      <c r="CC60" s="282">
        <f>CC58+CC29</f>
        <v>967878</v>
      </c>
      <c r="CE60" s="282">
        <f>CE58+CE29</f>
        <v>446203</v>
      </c>
      <c r="CF60" s="282">
        <f>CF58+CF29</f>
        <v>683471</v>
      </c>
      <c r="CG60" s="282">
        <f>CG58+CG29</f>
        <v>956671</v>
      </c>
      <c r="CI60" s="282">
        <f>CI58+CI29</f>
        <v>463502</v>
      </c>
      <c r="CJ60" s="282">
        <f>CJ58+CJ29</f>
        <v>754067</v>
      </c>
      <c r="CK60" s="282"/>
    </row>
    <row r="61" spans="1:89" x14ac:dyDescent="0.3">
      <c r="A61" s="280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85"/>
      <c r="AB61" s="285"/>
      <c r="AC61" s="285"/>
      <c r="AF61" s="285"/>
      <c r="AG61" s="285"/>
      <c r="AH61" s="285"/>
      <c r="AI61" s="285"/>
      <c r="AJ61" s="285"/>
      <c r="AK61" s="285"/>
      <c r="AL61" s="285"/>
      <c r="AM61" s="285"/>
      <c r="AN61" s="285"/>
      <c r="AO61" s="285"/>
      <c r="AP61" s="285"/>
      <c r="AQ61" s="285"/>
      <c r="AR61" s="275"/>
      <c r="AU61" s="280"/>
      <c r="AV61" s="281"/>
      <c r="AW61" s="281"/>
      <c r="AX61" s="281"/>
      <c r="AY61" s="281"/>
      <c r="AZ61" s="281"/>
      <c r="BA61" s="281"/>
      <c r="BB61" s="281"/>
      <c r="BC61" s="281"/>
      <c r="BD61" s="281"/>
      <c r="BE61" s="281"/>
      <c r="BF61" s="281"/>
      <c r="BG61" s="281"/>
      <c r="BK61" s="285"/>
      <c r="BL61" s="285"/>
      <c r="BM61" s="285"/>
      <c r="BO61" s="285"/>
      <c r="BP61" s="285"/>
      <c r="BQ61" s="285"/>
      <c r="BS61" s="285"/>
      <c r="BT61" s="285"/>
      <c r="BU61" s="285"/>
      <c r="BW61" s="285"/>
      <c r="BX61" s="285"/>
      <c r="BY61" s="285"/>
      <c r="CA61" s="285"/>
      <c r="CB61" s="285"/>
      <c r="CC61" s="285"/>
      <c r="CE61" s="285"/>
      <c r="CF61" s="285"/>
      <c r="CG61" s="285"/>
      <c r="CI61" s="285"/>
      <c r="CJ61" s="285"/>
      <c r="CK61" s="285"/>
    </row>
    <row r="62" spans="1:89" x14ac:dyDescent="0.3">
      <c r="A62" s="268" t="s">
        <v>238</v>
      </c>
      <c r="B62" s="269" t="str">
        <f>B$1</f>
        <v>1QFY20</v>
      </c>
      <c r="C62" s="269" t="str">
        <f t="shared" ref="C62:AC62" si="142">C$1</f>
        <v>2QFY20</v>
      </c>
      <c r="D62" s="269" t="str">
        <f t="shared" si="142"/>
        <v>3QFY20</v>
      </c>
      <c r="E62" s="269" t="str">
        <f t="shared" si="142"/>
        <v>4QFY20</v>
      </c>
      <c r="F62" s="269" t="str">
        <f t="shared" si="142"/>
        <v>1QFY21</v>
      </c>
      <c r="G62" s="269" t="str">
        <f t="shared" si="142"/>
        <v>2QFY21</v>
      </c>
      <c r="H62" s="269" t="str">
        <f t="shared" si="142"/>
        <v>3QFY21</v>
      </c>
      <c r="I62" s="269" t="str">
        <f t="shared" si="142"/>
        <v>4QFY21</v>
      </c>
      <c r="J62" s="269" t="str">
        <f t="shared" si="142"/>
        <v>1QFY22</v>
      </c>
      <c r="K62" s="269" t="str">
        <f t="shared" si="142"/>
        <v>2QFY22</v>
      </c>
      <c r="L62" s="269" t="str">
        <f t="shared" si="142"/>
        <v>3QFY22</v>
      </c>
      <c r="M62" s="269" t="str">
        <f t="shared" si="142"/>
        <v>4QFY22</v>
      </c>
      <c r="N62" s="269" t="str">
        <f t="shared" si="142"/>
        <v>1QFY23</v>
      </c>
      <c r="O62" s="269" t="str">
        <f t="shared" si="142"/>
        <v>2QFY23</v>
      </c>
      <c r="P62" s="269" t="str">
        <f t="shared" si="142"/>
        <v>3QFY23</v>
      </c>
      <c r="Q62" s="269" t="str">
        <f t="shared" si="142"/>
        <v>4QFY23</v>
      </c>
      <c r="R62" s="269" t="str">
        <f t="shared" si="142"/>
        <v>1QFY24</v>
      </c>
      <c r="S62" s="269" t="str">
        <f t="shared" si="142"/>
        <v>2QFY24</v>
      </c>
      <c r="T62" s="269" t="str">
        <f t="shared" si="142"/>
        <v>3QFY24</v>
      </c>
      <c r="U62" s="269" t="str">
        <f t="shared" si="142"/>
        <v>4QFY24</v>
      </c>
      <c r="V62" s="269" t="str">
        <f t="shared" si="142"/>
        <v>1QFY25</v>
      </c>
      <c r="W62" s="269" t="str">
        <f t="shared" si="142"/>
        <v>2QFY25</v>
      </c>
      <c r="X62" s="269" t="str">
        <f t="shared" si="142"/>
        <v>3QFY25</v>
      </c>
      <c r="Y62" s="269" t="str">
        <f t="shared" si="142"/>
        <v>4QFY25</v>
      </c>
      <c r="Z62" s="269" t="str">
        <f t="shared" si="142"/>
        <v>1QFY26</v>
      </c>
      <c r="AA62" s="269" t="str">
        <f t="shared" si="142"/>
        <v>2QFY26</v>
      </c>
      <c r="AB62" s="269" t="str">
        <f t="shared" si="142"/>
        <v>3QFY26</v>
      </c>
      <c r="AC62" s="269" t="str">
        <f t="shared" si="142"/>
        <v>4QFY26</v>
      </c>
      <c r="AF62" s="269" t="str">
        <f t="shared" ref="AF62:AQ62" si="143">AF$1</f>
        <v>FY14</v>
      </c>
      <c r="AG62" s="269" t="str">
        <f t="shared" si="143"/>
        <v>FY15</v>
      </c>
      <c r="AH62" s="269" t="str">
        <f t="shared" si="143"/>
        <v>FY16</v>
      </c>
      <c r="AI62" s="269" t="str">
        <f t="shared" si="143"/>
        <v>FY17</v>
      </c>
      <c r="AJ62" s="269" t="str">
        <f t="shared" si="143"/>
        <v>FY18</v>
      </c>
      <c r="AK62" s="269" t="str">
        <f t="shared" si="143"/>
        <v>FY19</v>
      </c>
      <c r="AL62" s="269" t="str">
        <f t="shared" si="143"/>
        <v>FY20</v>
      </c>
      <c r="AM62" s="269" t="str">
        <f t="shared" si="143"/>
        <v>FY21</v>
      </c>
      <c r="AN62" s="269" t="str">
        <f t="shared" si="143"/>
        <v>FY22</v>
      </c>
      <c r="AO62" s="269" t="str">
        <f t="shared" si="143"/>
        <v>FY23</v>
      </c>
      <c r="AP62" s="269" t="str">
        <f t="shared" si="143"/>
        <v>FY24</v>
      </c>
      <c r="AQ62" s="269" t="str">
        <f t="shared" si="143"/>
        <v>FY25</v>
      </c>
      <c r="AR62" s="275"/>
      <c r="AU62" s="280" t="str">
        <f t="shared" ref="AU62:AU84" si="144">A62</f>
        <v>Domestic Sales - Overall</v>
      </c>
      <c r="AV62" s="281" t="str">
        <f t="shared" ref="AV62:BG62" si="145">IFERROR(AF62/AF$56,"")</f>
        <v/>
      </c>
      <c r="AW62" s="281" t="str">
        <f t="shared" si="145"/>
        <v/>
      </c>
      <c r="AX62" s="281" t="str">
        <f t="shared" si="145"/>
        <v/>
      </c>
      <c r="AY62" s="281" t="str">
        <f t="shared" si="145"/>
        <v/>
      </c>
      <c r="AZ62" s="281" t="str">
        <f t="shared" si="145"/>
        <v/>
      </c>
      <c r="BA62" s="281" t="str">
        <f t="shared" si="145"/>
        <v/>
      </c>
      <c r="BB62" s="281" t="str">
        <f t="shared" si="145"/>
        <v/>
      </c>
      <c r="BC62" s="281" t="str">
        <f t="shared" si="145"/>
        <v/>
      </c>
      <c r="BD62" s="281" t="str">
        <f t="shared" si="145"/>
        <v/>
      </c>
      <c r="BE62" s="281" t="str">
        <f t="shared" si="145"/>
        <v/>
      </c>
      <c r="BF62" s="281" t="str">
        <f t="shared" si="145"/>
        <v/>
      </c>
      <c r="BG62" s="281" t="str">
        <f t="shared" si="145"/>
        <v/>
      </c>
      <c r="BK62" s="289"/>
      <c r="BL62" s="289"/>
      <c r="BM62" s="289"/>
      <c r="BO62" s="289"/>
      <c r="BP62" s="289"/>
      <c r="BQ62" s="289"/>
      <c r="BS62" s="289"/>
      <c r="BT62" s="289"/>
      <c r="BU62" s="289"/>
      <c r="BW62" s="289"/>
      <c r="BX62" s="289"/>
      <c r="BY62" s="289"/>
      <c r="CA62" s="289"/>
      <c r="CB62" s="289"/>
      <c r="CC62" s="289"/>
      <c r="CE62" s="289"/>
      <c r="CF62" s="289"/>
      <c r="CG62" s="289"/>
      <c r="CI62" s="289"/>
      <c r="CJ62" s="289"/>
      <c r="CK62" s="289"/>
    </row>
    <row r="63" spans="1:89" outlineLevel="1" x14ac:dyDescent="0.3">
      <c r="A63" s="290" t="s">
        <v>163</v>
      </c>
      <c r="B63" s="291">
        <f t="shared" ref="B63:Q78" si="146">SUMIF($A$3:$A$60,$A63,B$3:B$60)</f>
        <v>38004</v>
      </c>
      <c r="C63" s="291">
        <f t="shared" si="146"/>
        <v>26247</v>
      </c>
      <c r="D63" s="291">
        <f t="shared" si="146"/>
        <v>28833</v>
      </c>
      <c r="E63" s="291">
        <f t="shared" si="146"/>
        <v>23196</v>
      </c>
      <c r="F63" s="291">
        <f t="shared" si="146"/>
        <v>3375</v>
      </c>
      <c r="G63" s="291">
        <f t="shared" si="146"/>
        <v>17946</v>
      </c>
      <c r="H63" s="291">
        <f t="shared" si="146"/>
        <v>30459</v>
      </c>
      <c r="I63" s="291">
        <f t="shared" si="146"/>
        <v>40896</v>
      </c>
      <c r="J63" s="291">
        <f t="shared" si="146"/>
        <v>16550</v>
      </c>
      <c r="K63" s="291">
        <f t="shared" si="146"/>
        <v>25316</v>
      </c>
      <c r="L63" s="291">
        <f t="shared" si="146"/>
        <v>30900</v>
      </c>
      <c r="M63" s="291">
        <f t="shared" si="146"/>
        <v>44546</v>
      </c>
      <c r="N63" s="291">
        <f t="shared" si="146"/>
        <v>37124</v>
      </c>
      <c r="O63" s="291">
        <f t="shared" si="146"/>
        <v>42515</v>
      </c>
      <c r="P63" s="291">
        <f t="shared" si="146"/>
        <v>44626</v>
      </c>
      <c r="Q63" s="291">
        <f t="shared" si="146"/>
        <v>56651</v>
      </c>
      <c r="R63" s="291">
        <f t="shared" ref="R63:AC78" si="147">SUMIF($A$3:$A$60,$A63,R$3:R$60)</f>
        <v>39107</v>
      </c>
      <c r="S63" s="291">
        <f t="shared" si="147"/>
        <v>46945</v>
      </c>
      <c r="T63" s="291">
        <f t="shared" si="147"/>
        <v>43943</v>
      </c>
      <c r="U63" s="291">
        <f t="shared" si="147"/>
        <v>52837</v>
      </c>
      <c r="V63" s="291">
        <f t="shared" si="147"/>
        <v>41559</v>
      </c>
      <c r="W63" s="291">
        <f t="shared" si="147"/>
        <v>42314</v>
      </c>
      <c r="X63" s="291">
        <f t="shared" si="147"/>
        <v>42253</v>
      </c>
      <c r="Y63" s="291">
        <f t="shared" si="147"/>
        <v>53716</v>
      </c>
      <c r="Z63" s="291">
        <f t="shared" si="147"/>
        <v>41227</v>
      </c>
      <c r="AA63" s="291">
        <f t="shared" si="147"/>
        <v>44332</v>
      </c>
      <c r="AB63" s="291">
        <f t="shared" si="147"/>
        <v>52660</v>
      </c>
      <c r="AC63" s="291">
        <f t="shared" si="147"/>
        <v>-138219</v>
      </c>
      <c r="AF63" s="291">
        <f t="shared" ref="AF63:AQ78" si="148">SUMIF($A$3:$A$60,$A63,AF$3:AF$60)</f>
        <v>79109</v>
      </c>
      <c r="AG63" s="291">
        <f t="shared" si="148"/>
        <v>92016</v>
      </c>
      <c r="AH63" s="291">
        <f t="shared" si="148"/>
        <v>127321</v>
      </c>
      <c r="AI63" s="291">
        <f t="shared" si="148"/>
        <v>133264</v>
      </c>
      <c r="AJ63" s="291">
        <f t="shared" si="148"/>
        <v>158612</v>
      </c>
      <c r="AK63" s="291">
        <f t="shared" si="148"/>
        <v>185065</v>
      </c>
      <c r="AL63" s="291">
        <f t="shared" si="148"/>
        <v>116280</v>
      </c>
      <c r="AM63" s="291">
        <f t="shared" si="148"/>
        <v>92676</v>
      </c>
      <c r="AN63" s="291">
        <f t="shared" si="148"/>
        <v>117312</v>
      </c>
      <c r="AO63" s="291">
        <f t="shared" si="148"/>
        <v>180916</v>
      </c>
      <c r="AP63" s="291">
        <f t="shared" si="148"/>
        <v>182832</v>
      </c>
      <c r="AQ63" s="291">
        <f t="shared" si="148"/>
        <v>179842</v>
      </c>
      <c r="AR63" s="275"/>
      <c r="AU63" s="280" t="str">
        <f t="shared" si="144"/>
        <v>Ashok Leyland Ltd</v>
      </c>
      <c r="AV63" s="281">
        <f t="shared" ref="AV63:BG84" si="149">IFERROR(AF63/AF$84,"")</f>
        <v>0.12500414789579223</v>
      </c>
      <c r="AW63" s="281">
        <f t="shared" si="149"/>
        <v>0.14962900086346939</v>
      </c>
      <c r="AX63" s="281">
        <f t="shared" si="149"/>
        <v>0.18567924352198617</v>
      </c>
      <c r="AY63" s="281">
        <f t="shared" si="149"/>
        <v>0.1865836310890579</v>
      </c>
      <c r="AZ63" s="281">
        <f t="shared" si="149"/>
        <v>0.18509632215993166</v>
      </c>
      <c r="BA63" s="281">
        <f t="shared" si="149"/>
        <v>0.18372035075283996</v>
      </c>
      <c r="BB63" s="281">
        <f t="shared" si="149"/>
        <v>0.1620417144537363</v>
      </c>
      <c r="BC63" s="281">
        <f t="shared" si="149"/>
        <v>0.16300155304902395</v>
      </c>
      <c r="BD63" s="281">
        <f t="shared" si="149"/>
        <v>0.16371415891906677</v>
      </c>
      <c r="BE63" s="281">
        <f t="shared" si="149"/>
        <v>0.18797092474762797</v>
      </c>
      <c r="BF63" s="281">
        <f t="shared" si="149"/>
        <v>0.18889984068240007</v>
      </c>
      <c r="BG63" s="281">
        <f t="shared" si="149"/>
        <v>0.1878912616490451</v>
      </c>
      <c r="BK63" s="289"/>
      <c r="BL63" s="289"/>
      <c r="BM63" s="289"/>
      <c r="BO63" s="289"/>
      <c r="BP63" s="289"/>
      <c r="BQ63" s="289"/>
      <c r="BS63" s="289"/>
      <c r="BT63" s="289"/>
      <c r="BU63" s="289"/>
      <c r="BW63" s="289"/>
      <c r="BX63" s="289"/>
      <c r="BY63" s="289"/>
      <c r="CA63" s="289"/>
      <c r="CB63" s="289"/>
      <c r="CC63" s="289"/>
      <c r="CE63" s="289"/>
      <c r="CF63" s="289"/>
      <c r="CG63" s="289"/>
      <c r="CI63" s="289"/>
      <c r="CJ63" s="289"/>
      <c r="CK63" s="289"/>
    </row>
    <row r="64" spans="1:89" outlineLevel="1" x14ac:dyDescent="0.3">
      <c r="A64" s="290" t="s">
        <v>165</v>
      </c>
      <c r="B64" s="291">
        <f t="shared" si="146"/>
        <v>4967</v>
      </c>
      <c r="C64" s="291">
        <f t="shared" si="146"/>
        <v>4750</v>
      </c>
      <c r="D64" s="291">
        <f t="shared" si="146"/>
        <v>5131</v>
      </c>
      <c r="E64" s="291">
        <f t="shared" si="146"/>
        <v>3996</v>
      </c>
      <c r="F64" s="291">
        <f t="shared" si="146"/>
        <v>463</v>
      </c>
      <c r="G64" s="291">
        <f t="shared" si="146"/>
        <v>2291</v>
      </c>
      <c r="H64" s="291">
        <f t="shared" si="146"/>
        <v>1675</v>
      </c>
      <c r="I64" s="291">
        <f t="shared" si="146"/>
        <v>2721</v>
      </c>
      <c r="J64" s="291">
        <f t="shared" si="146"/>
        <v>3005</v>
      </c>
      <c r="K64" s="291">
        <f t="shared" si="146"/>
        <v>3823</v>
      </c>
      <c r="L64" s="291">
        <f t="shared" si="146"/>
        <v>1963</v>
      </c>
      <c r="M64" s="291">
        <f t="shared" si="146"/>
        <v>3146</v>
      </c>
      <c r="N64" s="291">
        <f t="shared" si="146"/>
        <v>3614</v>
      </c>
      <c r="O64" s="291">
        <f t="shared" si="146"/>
        <v>5015</v>
      </c>
      <c r="P64" s="291">
        <f t="shared" si="146"/>
        <v>4284</v>
      </c>
      <c r="Q64" s="291">
        <f t="shared" si="146"/>
        <v>5589</v>
      </c>
      <c r="R64" s="291">
        <f t="shared" si="147"/>
        <v>5491</v>
      </c>
      <c r="S64" s="291">
        <f t="shared" si="147"/>
        <v>6688</v>
      </c>
      <c r="T64" s="291">
        <f t="shared" si="147"/>
        <v>5156</v>
      </c>
      <c r="U64" s="291">
        <f t="shared" si="147"/>
        <v>7500</v>
      </c>
      <c r="V64" s="291">
        <f t="shared" si="147"/>
        <v>6713</v>
      </c>
      <c r="W64" s="291">
        <f t="shared" si="147"/>
        <v>6572</v>
      </c>
      <c r="X64" s="291">
        <f t="shared" si="147"/>
        <v>5245</v>
      </c>
      <c r="Y64" s="291">
        <f t="shared" si="147"/>
        <v>9867</v>
      </c>
      <c r="Z64" s="291">
        <f t="shared" si="147"/>
        <v>8602</v>
      </c>
      <c r="AA64" s="291">
        <f t="shared" si="147"/>
        <v>6949</v>
      </c>
      <c r="AB64" s="291">
        <f t="shared" si="147"/>
        <v>7734</v>
      </c>
      <c r="AC64" s="291">
        <f t="shared" si="147"/>
        <v>-23285</v>
      </c>
      <c r="AF64" s="291">
        <f t="shared" si="148"/>
        <v>19152</v>
      </c>
      <c r="AG64" s="291">
        <f t="shared" si="148"/>
        <v>20918</v>
      </c>
      <c r="AH64" s="291">
        <f t="shared" si="148"/>
        <v>23129</v>
      </c>
      <c r="AI64" s="291">
        <f t="shared" si="148"/>
        <v>23787</v>
      </c>
      <c r="AJ64" s="291">
        <f t="shared" si="148"/>
        <v>22162</v>
      </c>
      <c r="AK64" s="291">
        <f t="shared" si="148"/>
        <v>20648</v>
      </c>
      <c r="AL64" s="291">
        <f t="shared" si="148"/>
        <v>18844</v>
      </c>
      <c r="AM64" s="291">
        <f t="shared" si="148"/>
        <v>7150</v>
      </c>
      <c r="AN64" s="291">
        <f t="shared" si="148"/>
        <v>11937</v>
      </c>
      <c r="AO64" s="291">
        <f t="shared" si="148"/>
        <v>18502</v>
      </c>
      <c r="AP64" s="291">
        <f t="shared" si="148"/>
        <v>24835</v>
      </c>
      <c r="AQ64" s="291">
        <f t="shared" si="148"/>
        <v>28397</v>
      </c>
      <c r="AR64" s="275"/>
      <c r="AU64" s="280" t="str">
        <f t="shared" si="144"/>
        <v>Force Motors Ltd</v>
      </c>
      <c r="AV64" s="281">
        <f t="shared" si="149"/>
        <v>3.0263047700011536E-2</v>
      </c>
      <c r="AW64" s="281">
        <f t="shared" si="149"/>
        <v>3.4015165189337213E-2</v>
      </c>
      <c r="AX64" s="281">
        <f t="shared" si="149"/>
        <v>3.3730297621130986E-2</v>
      </c>
      <c r="AY64" s="281">
        <f t="shared" si="149"/>
        <v>3.3304304483697172E-2</v>
      </c>
      <c r="AZ64" s="281">
        <f t="shared" si="149"/>
        <v>2.5862511611406486E-2</v>
      </c>
      <c r="BA64" s="281">
        <f t="shared" si="149"/>
        <v>2.0497975318642853E-2</v>
      </c>
      <c r="BB64" s="281">
        <f t="shared" si="149"/>
        <v>2.6260010897542201E-2</v>
      </c>
      <c r="BC64" s="281">
        <f t="shared" si="149"/>
        <v>1.2575651779322815E-2</v>
      </c>
      <c r="BD64" s="281">
        <f t="shared" si="149"/>
        <v>1.6658619024625784E-2</v>
      </c>
      <c r="BE64" s="281">
        <f t="shared" si="149"/>
        <v>1.9223496261693895E-2</v>
      </c>
      <c r="BF64" s="281">
        <f t="shared" si="149"/>
        <v>2.5659225646207477E-2</v>
      </c>
      <c r="BG64" s="281">
        <f t="shared" si="149"/>
        <v>2.9667976095950521E-2</v>
      </c>
      <c r="BK64" s="289"/>
      <c r="BL64" s="289"/>
      <c r="BM64" s="289"/>
      <c r="BO64" s="289"/>
      <c r="BP64" s="289"/>
      <c r="BQ64" s="289"/>
      <c r="BS64" s="289"/>
      <c r="BT64" s="289"/>
      <c r="BU64" s="289"/>
      <c r="BW64" s="289"/>
      <c r="BX64" s="289"/>
      <c r="BY64" s="289"/>
      <c r="CA64" s="289"/>
      <c r="CB64" s="289"/>
      <c r="CC64" s="289"/>
      <c r="CE64" s="289"/>
      <c r="CF64" s="289"/>
      <c r="CG64" s="289"/>
      <c r="CI64" s="289"/>
      <c r="CJ64" s="289"/>
      <c r="CK64" s="289"/>
    </row>
    <row r="65" spans="1:89" outlineLevel="1" x14ac:dyDescent="0.3">
      <c r="A65" s="290" t="s">
        <v>217</v>
      </c>
      <c r="B65" s="291">
        <f t="shared" si="146"/>
        <v>30</v>
      </c>
      <c r="C65" s="291">
        <f t="shared" si="146"/>
        <v>46</v>
      </c>
      <c r="D65" s="291">
        <f t="shared" si="146"/>
        <v>0</v>
      </c>
      <c r="E65" s="291">
        <f t="shared" si="146"/>
        <v>250</v>
      </c>
      <c r="F65" s="291">
        <f t="shared" si="146"/>
        <v>0</v>
      </c>
      <c r="G65" s="291">
        <f t="shared" si="146"/>
        <v>0</v>
      </c>
      <c r="H65" s="291">
        <f t="shared" si="146"/>
        <v>78</v>
      </c>
      <c r="I65" s="291">
        <f t="shared" si="146"/>
        <v>271</v>
      </c>
      <c r="J65" s="291">
        <f t="shared" si="146"/>
        <v>18</v>
      </c>
      <c r="K65" s="291">
        <f t="shared" si="146"/>
        <v>0</v>
      </c>
      <c r="L65" s="291">
        <f t="shared" si="146"/>
        <v>0</v>
      </c>
      <c r="M65" s="291">
        <f t="shared" si="146"/>
        <v>0</v>
      </c>
      <c r="N65" s="291">
        <f t="shared" si="146"/>
        <v>0</v>
      </c>
      <c r="O65" s="291">
        <f t="shared" si="146"/>
        <v>0</v>
      </c>
      <c r="P65" s="291">
        <f t="shared" si="146"/>
        <v>0</v>
      </c>
      <c r="Q65" s="291">
        <f t="shared" si="146"/>
        <v>0</v>
      </c>
      <c r="R65" s="291">
        <f t="shared" si="147"/>
        <v>0</v>
      </c>
      <c r="S65" s="291">
        <f t="shared" si="147"/>
        <v>0</v>
      </c>
      <c r="T65" s="291">
        <f t="shared" si="147"/>
        <v>0</v>
      </c>
      <c r="U65" s="291">
        <f t="shared" si="147"/>
        <v>0</v>
      </c>
      <c r="V65" s="291">
        <f t="shared" si="147"/>
        <v>0</v>
      </c>
      <c r="W65" s="291">
        <f t="shared" si="147"/>
        <v>293</v>
      </c>
      <c r="X65" s="291">
        <f t="shared" si="147"/>
        <v>-293</v>
      </c>
      <c r="Y65" s="291">
        <f t="shared" si="147"/>
        <v>0</v>
      </c>
      <c r="Z65" s="291">
        <f t="shared" si="147"/>
        <v>0</v>
      </c>
      <c r="AA65" s="291">
        <f t="shared" si="147"/>
        <v>504</v>
      </c>
      <c r="AB65" s="291">
        <f t="shared" si="147"/>
        <v>269</v>
      </c>
      <c r="AC65" s="291">
        <f t="shared" si="147"/>
        <v>-773</v>
      </c>
      <c r="AF65" s="291">
        <f t="shared" si="148"/>
        <v>0</v>
      </c>
      <c r="AG65" s="291">
        <f t="shared" si="148"/>
        <v>0</v>
      </c>
      <c r="AH65" s="291">
        <f t="shared" si="148"/>
        <v>0</v>
      </c>
      <c r="AI65" s="291">
        <f t="shared" si="148"/>
        <v>0</v>
      </c>
      <c r="AJ65" s="291">
        <f t="shared" si="148"/>
        <v>7</v>
      </c>
      <c r="AK65" s="291">
        <f t="shared" si="148"/>
        <v>175</v>
      </c>
      <c r="AL65" s="291">
        <f t="shared" si="148"/>
        <v>326</v>
      </c>
      <c r="AM65" s="291">
        <f t="shared" si="148"/>
        <v>349</v>
      </c>
      <c r="AN65" s="291">
        <f t="shared" si="148"/>
        <v>18</v>
      </c>
      <c r="AO65" s="291">
        <f t="shared" si="148"/>
        <v>0</v>
      </c>
      <c r="AP65" s="291">
        <f t="shared" si="148"/>
        <v>0</v>
      </c>
      <c r="AQ65" s="291">
        <f t="shared" si="148"/>
        <v>0</v>
      </c>
      <c r="AR65" s="275"/>
      <c r="AU65" s="280" t="str">
        <f t="shared" si="144"/>
        <v>JBM Auto Ltd</v>
      </c>
      <c r="AV65" s="281">
        <f t="shared" si="149"/>
        <v>0</v>
      </c>
      <c r="AW65" s="281">
        <f t="shared" si="149"/>
        <v>0</v>
      </c>
      <c r="AX65" s="281">
        <f t="shared" si="149"/>
        <v>0</v>
      </c>
      <c r="AY65" s="281">
        <f t="shared" si="149"/>
        <v>0</v>
      </c>
      <c r="AZ65" s="281">
        <f t="shared" si="149"/>
        <v>8.1688286833248537E-6</v>
      </c>
      <c r="BA65" s="281">
        <f t="shared" si="149"/>
        <v>1.7372848124576226E-4</v>
      </c>
      <c r="BB65" s="281">
        <f t="shared" si="149"/>
        <v>4.5429651627036498E-4</v>
      </c>
      <c r="BC65" s="281">
        <f t="shared" si="149"/>
        <v>6.1383251342428846E-4</v>
      </c>
      <c r="BD65" s="281">
        <f t="shared" si="149"/>
        <v>2.5119807526452554E-5</v>
      </c>
      <c r="BE65" s="281">
        <f t="shared" si="149"/>
        <v>0</v>
      </c>
      <c r="BF65" s="281">
        <f t="shared" si="149"/>
        <v>0</v>
      </c>
      <c r="BG65" s="281">
        <f t="shared" si="149"/>
        <v>0</v>
      </c>
      <c r="BK65" s="289"/>
      <c r="BL65" s="289"/>
      <c r="BM65" s="289"/>
      <c r="BO65" s="289"/>
      <c r="BP65" s="289"/>
      <c r="BQ65" s="289"/>
      <c r="BS65" s="289"/>
      <c r="BT65" s="289"/>
      <c r="BU65" s="289"/>
      <c r="BW65" s="289"/>
      <c r="BX65" s="289"/>
      <c r="BY65" s="289"/>
      <c r="CA65" s="289"/>
      <c r="CB65" s="289"/>
      <c r="CC65" s="289"/>
      <c r="CE65" s="289"/>
      <c r="CF65" s="289"/>
      <c r="CG65" s="289"/>
      <c r="CI65" s="289"/>
      <c r="CJ65" s="289"/>
      <c r="CK65" s="289"/>
    </row>
    <row r="66" spans="1:89" outlineLevel="1" x14ac:dyDescent="0.3">
      <c r="A66" s="290" t="s">
        <v>218</v>
      </c>
      <c r="B66" s="291">
        <f t="shared" si="146"/>
        <v>0</v>
      </c>
      <c r="C66" s="291">
        <f t="shared" si="146"/>
        <v>0</v>
      </c>
      <c r="D66" s="291">
        <f t="shared" si="146"/>
        <v>0</v>
      </c>
      <c r="E66" s="291">
        <f t="shared" si="146"/>
        <v>0</v>
      </c>
      <c r="F66" s="291">
        <f t="shared" si="146"/>
        <v>0</v>
      </c>
      <c r="G66" s="291">
        <f t="shared" si="146"/>
        <v>0</v>
      </c>
      <c r="H66" s="291">
        <f t="shared" si="146"/>
        <v>0</v>
      </c>
      <c r="I66" s="291">
        <f t="shared" si="146"/>
        <v>0</v>
      </c>
      <c r="J66" s="291">
        <f t="shared" si="146"/>
        <v>0</v>
      </c>
      <c r="K66" s="291">
        <f t="shared" si="146"/>
        <v>0</v>
      </c>
      <c r="L66" s="291">
        <f t="shared" si="146"/>
        <v>0</v>
      </c>
      <c r="M66" s="291">
        <f t="shared" si="146"/>
        <v>0</v>
      </c>
      <c r="N66" s="291">
        <f t="shared" si="146"/>
        <v>0</v>
      </c>
      <c r="O66" s="291">
        <f t="shared" si="146"/>
        <v>0</v>
      </c>
      <c r="P66" s="291">
        <f t="shared" si="146"/>
        <v>148</v>
      </c>
      <c r="Q66" s="291">
        <f t="shared" si="146"/>
        <v>421</v>
      </c>
      <c r="R66" s="291">
        <f t="shared" si="147"/>
        <v>75</v>
      </c>
      <c r="S66" s="291">
        <f t="shared" si="147"/>
        <v>139</v>
      </c>
      <c r="T66" s="291">
        <f t="shared" si="147"/>
        <v>162</v>
      </c>
      <c r="U66" s="291">
        <f t="shared" si="147"/>
        <v>53</v>
      </c>
      <c r="V66" s="291">
        <f t="shared" si="147"/>
        <v>156</v>
      </c>
      <c r="W66" s="291">
        <f t="shared" si="147"/>
        <v>315</v>
      </c>
      <c r="X66" s="291">
        <f t="shared" si="147"/>
        <v>73</v>
      </c>
      <c r="Y66" s="291">
        <f t="shared" si="147"/>
        <v>261</v>
      </c>
      <c r="Z66" s="291">
        <f t="shared" si="147"/>
        <v>20</v>
      </c>
      <c r="AA66" s="291">
        <f t="shared" si="147"/>
        <v>0</v>
      </c>
      <c r="AB66" s="291">
        <f t="shared" si="147"/>
        <v>836</v>
      </c>
      <c r="AC66" s="291">
        <f t="shared" si="147"/>
        <v>-856</v>
      </c>
      <c r="AF66" s="291">
        <f t="shared" si="148"/>
        <v>0</v>
      </c>
      <c r="AG66" s="291">
        <f t="shared" si="148"/>
        <v>0</v>
      </c>
      <c r="AH66" s="291">
        <f t="shared" si="148"/>
        <v>0</v>
      </c>
      <c r="AI66" s="291">
        <f t="shared" si="148"/>
        <v>0</v>
      </c>
      <c r="AJ66" s="291">
        <f t="shared" si="148"/>
        <v>0</v>
      </c>
      <c r="AK66" s="291">
        <f t="shared" si="148"/>
        <v>0</v>
      </c>
      <c r="AL66" s="291">
        <f t="shared" si="148"/>
        <v>0</v>
      </c>
      <c r="AM66" s="291">
        <f t="shared" si="148"/>
        <v>0</v>
      </c>
      <c r="AN66" s="291">
        <f t="shared" si="148"/>
        <v>0</v>
      </c>
      <c r="AO66" s="291">
        <f t="shared" si="148"/>
        <v>569</v>
      </c>
      <c r="AP66" s="291">
        <f t="shared" si="148"/>
        <v>429</v>
      </c>
      <c r="AQ66" s="291">
        <f t="shared" si="148"/>
        <v>805</v>
      </c>
      <c r="AR66" s="275"/>
      <c r="AU66" s="280" t="str">
        <f t="shared" si="144"/>
        <v>Olectra Greentech Limited</v>
      </c>
      <c r="AV66" s="281">
        <f t="shared" si="149"/>
        <v>0</v>
      </c>
      <c r="AW66" s="281">
        <f t="shared" si="149"/>
        <v>0</v>
      </c>
      <c r="AX66" s="281">
        <f t="shared" si="149"/>
        <v>0</v>
      </c>
      <c r="AY66" s="281">
        <f t="shared" si="149"/>
        <v>0</v>
      </c>
      <c r="AZ66" s="281">
        <f t="shared" si="149"/>
        <v>0</v>
      </c>
      <c r="BA66" s="281">
        <f t="shared" si="149"/>
        <v>0</v>
      </c>
      <c r="BB66" s="281">
        <f t="shared" si="149"/>
        <v>0</v>
      </c>
      <c r="BC66" s="281">
        <f t="shared" si="149"/>
        <v>0</v>
      </c>
      <c r="BD66" s="281">
        <f t="shared" si="149"/>
        <v>0</v>
      </c>
      <c r="BE66" s="281">
        <f t="shared" si="149"/>
        <v>5.911884862665564E-4</v>
      </c>
      <c r="BF66" s="281">
        <f t="shared" si="149"/>
        <v>4.4323768078208205E-4</v>
      </c>
      <c r="BG66" s="281">
        <f t="shared" si="149"/>
        <v>8.4102971290066447E-4</v>
      </c>
      <c r="BK66" s="289"/>
      <c r="BL66" s="289"/>
      <c r="BM66" s="289"/>
      <c r="BO66" s="289"/>
      <c r="BP66" s="289"/>
      <c r="BQ66" s="289"/>
      <c r="BS66" s="289"/>
      <c r="BT66" s="289"/>
      <c r="BU66" s="289"/>
      <c r="BW66" s="289"/>
      <c r="BX66" s="289"/>
      <c r="BY66" s="289"/>
      <c r="CA66" s="289"/>
      <c r="CB66" s="289"/>
      <c r="CC66" s="289"/>
      <c r="CE66" s="289"/>
      <c r="CF66" s="289"/>
      <c r="CG66" s="289"/>
      <c r="CI66" s="289"/>
      <c r="CJ66" s="289"/>
      <c r="CK66" s="289"/>
    </row>
    <row r="67" spans="1:89" outlineLevel="1" x14ac:dyDescent="0.3">
      <c r="A67" s="290" t="s">
        <v>188</v>
      </c>
      <c r="B67" s="291">
        <f t="shared" si="146"/>
        <v>0</v>
      </c>
      <c r="C67" s="291">
        <f t="shared" si="146"/>
        <v>0</v>
      </c>
      <c r="D67" s="291">
        <f t="shared" si="146"/>
        <v>0</v>
      </c>
      <c r="E67" s="291">
        <f t="shared" si="146"/>
        <v>0</v>
      </c>
      <c r="F67" s="291">
        <f t="shared" si="146"/>
        <v>0</v>
      </c>
      <c r="G67" s="291">
        <f t="shared" si="146"/>
        <v>0</v>
      </c>
      <c r="H67" s="291">
        <f t="shared" si="146"/>
        <v>0</v>
      </c>
      <c r="I67" s="291">
        <f t="shared" si="146"/>
        <v>0</v>
      </c>
      <c r="J67" s="291">
        <f t="shared" si="146"/>
        <v>0</v>
      </c>
      <c r="K67" s="291">
        <f t="shared" si="146"/>
        <v>0</v>
      </c>
      <c r="L67" s="291">
        <f t="shared" si="146"/>
        <v>0</v>
      </c>
      <c r="M67" s="291">
        <f t="shared" si="146"/>
        <v>0</v>
      </c>
      <c r="N67" s="291">
        <f t="shared" si="146"/>
        <v>0</v>
      </c>
      <c r="O67" s="291">
        <f t="shared" si="146"/>
        <v>0</v>
      </c>
      <c r="P67" s="291">
        <f t="shared" si="146"/>
        <v>0</v>
      </c>
      <c r="Q67" s="291">
        <f t="shared" si="146"/>
        <v>0</v>
      </c>
      <c r="R67" s="291">
        <f t="shared" si="147"/>
        <v>0</v>
      </c>
      <c r="S67" s="291">
        <f t="shared" si="147"/>
        <v>0</v>
      </c>
      <c r="T67" s="291">
        <f t="shared" si="147"/>
        <v>55</v>
      </c>
      <c r="U67" s="291">
        <f t="shared" si="147"/>
        <v>-55</v>
      </c>
      <c r="V67" s="291">
        <f t="shared" si="147"/>
        <v>5</v>
      </c>
      <c r="W67" s="291">
        <f t="shared" si="147"/>
        <v>30</v>
      </c>
      <c r="X67" s="291">
        <f t="shared" si="147"/>
        <v>54</v>
      </c>
      <c r="Y67" s="291">
        <f t="shared" si="147"/>
        <v>172</v>
      </c>
      <c r="Z67" s="291">
        <f t="shared" si="147"/>
        <v>14</v>
      </c>
      <c r="AA67" s="291">
        <f t="shared" si="147"/>
        <v>62</v>
      </c>
      <c r="AB67" s="291">
        <f t="shared" si="147"/>
        <v>268</v>
      </c>
      <c r="AC67" s="291">
        <f t="shared" si="147"/>
        <v>-344</v>
      </c>
      <c r="AF67" s="291">
        <f t="shared" si="148"/>
        <v>0</v>
      </c>
      <c r="AG67" s="291">
        <f t="shared" si="148"/>
        <v>0</v>
      </c>
      <c r="AH67" s="291">
        <f t="shared" si="148"/>
        <v>0</v>
      </c>
      <c r="AI67" s="291">
        <f t="shared" si="148"/>
        <v>0</v>
      </c>
      <c r="AJ67" s="291">
        <f t="shared" si="148"/>
        <v>0</v>
      </c>
      <c r="AK67" s="291">
        <f t="shared" si="148"/>
        <v>0</v>
      </c>
      <c r="AL67" s="291">
        <f t="shared" si="148"/>
        <v>0</v>
      </c>
      <c r="AM67" s="291">
        <f t="shared" si="148"/>
        <v>0</v>
      </c>
      <c r="AN67" s="291">
        <f t="shared" si="148"/>
        <v>0</v>
      </c>
      <c r="AO67" s="291">
        <f t="shared" si="148"/>
        <v>0</v>
      </c>
      <c r="AP67" s="291">
        <f t="shared" si="148"/>
        <v>0</v>
      </c>
      <c r="AQ67" s="291">
        <f t="shared" si="148"/>
        <v>261</v>
      </c>
      <c r="AR67" s="275"/>
      <c r="AU67" s="280" t="str">
        <f t="shared" si="144"/>
        <v>Pinnacle Mobility Solutions Pvt Ltd</v>
      </c>
      <c r="AV67" s="281">
        <f t="shared" si="149"/>
        <v>0</v>
      </c>
      <c r="AW67" s="281">
        <f t="shared" si="149"/>
        <v>0</v>
      </c>
      <c r="AX67" s="281">
        <f t="shared" si="149"/>
        <v>0</v>
      </c>
      <c r="AY67" s="281">
        <f t="shared" si="149"/>
        <v>0</v>
      </c>
      <c r="AZ67" s="281">
        <f t="shared" si="149"/>
        <v>0</v>
      </c>
      <c r="BA67" s="281">
        <f t="shared" si="149"/>
        <v>0</v>
      </c>
      <c r="BB67" s="281">
        <f t="shared" si="149"/>
        <v>0</v>
      </c>
      <c r="BC67" s="281">
        <f t="shared" si="149"/>
        <v>0</v>
      </c>
      <c r="BD67" s="281">
        <f t="shared" si="149"/>
        <v>0</v>
      </c>
      <c r="BE67" s="281">
        <f t="shared" si="149"/>
        <v>0</v>
      </c>
      <c r="BF67" s="281">
        <f t="shared" si="149"/>
        <v>0</v>
      </c>
      <c r="BG67" s="281">
        <f t="shared" si="149"/>
        <v>2.7268168331313469E-4</v>
      </c>
      <c r="BK67" s="289"/>
      <c r="BL67" s="289"/>
      <c r="BM67" s="289"/>
      <c r="BO67" s="289"/>
      <c r="BP67" s="289"/>
      <c r="BQ67" s="289"/>
      <c r="BS67" s="289"/>
      <c r="BT67" s="289"/>
      <c r="BU67" s="289"/>
      <c r="BW67" s="289"/>
      <c r="BX67" s="289"/>
      <c r="BY67" s="289"/>
      <c r="CA67" s="289"/>
      <c r="CB67" s="289"/>
      <c r="CC67" s="289"/>
      <c r="CE67" s="289"/>
      <c r="CF67" s="289"/>
      <c r="CG67" s="289"/>
      <c r="CI67" s="289"/>
      <c r="CJ67" s="289"/>
      <c r="CK67" s="289"/>
    </row>
    <row r="68" spans="1:89" outlineLevel="1" x14ac:dyDescent="0.3">
      <c r="A68" s="290" t="s">
        <v>219</v>
      </c>
      <c r="B68" s="291">
        <f t="shared" si="146"/>
        <v>0</v>
      </c>
      <c r="C68" s="291">
        <f t="shared" si="146"/>
        <v>0</v>
      </c>
      <c r="D68" s="291">
        <f t="shared" si="146"/>
        <v>0</v>
      </c>
      <c r="E68" s="291">
        <f t="shared" si="146"/>
        <v>0</v>
      </c>
      <c r="F68" s="291">
        <f t="shared" si="146"/>
        <v>0</v>
      </c>
      <c r="G68" s="291">
        <f t="shared" si="146"/>
        <v>0</v>
      </c>
      <c r="H68" s="291">
        <f t="shared" si="146"/>
        <v>0</v>
      </c>
      <c r="I68" s="291">
        <f t="shared" si="146"/>
        <v>0</v>
      </c>
      <c r="J68" s="291">
        <f t="shared" si="146"/>
        <v>0</v>
      </c>
      <c r="K68" s="291">
        <f t="shared" si="146"/>
        <v>0</v>
      </c>
      <c r="L68" s="291">
        <f t="shared" si="146"/>
        <v>0</v>
      </c>
      <c r="M68" s="291">
        <f t="shared" si="146"/>
        <v>0</v>
      </c>
      <c r="N68" s="291">
        <f t="shared" si="146"/>
        <v>0</v>
      </c>
      <c r="O68" s="291">
        <f t="shared" si="146"/>
        <v>0</v>
      </c>
      <c r="P68" s="291">
        <f t="shared" si="146"/>
        <v>0</v>
      </c>
      <c r="Q68" s="291">
        <f t="shared" si="146"/>
        <v>0</v>
      </c>
      <c r="R68" s="291">
        <f t="shared" si="147"/>
        <v>0</v>
      </c>
      <c r="S68" s="291">
        <f t="shared" si="147"/>
        <v>0</v>
      </c>
      <c r="T68" s="291">
        <f t="shared" si="147"/>
        <v>231</v>
      </c>
      <c r="U68" s="291">
        <f t="shared" si="147"/>
        <v>-231</v>
      </c>
      <c r="V68" s="291">
        <f t="shared" si="147"/>
        <v>0</v>
      </c>
      <c r="W68" s="291">
        <f t="shared" si="147"/>
        <v>78</v>
      </c>
      <c r="X68" s="291">
        <f t="shared" si="147"/>
        <v>247</v>
      </c>
      <c r="Y68" s="291">
        <f t="shared" si="147"/>
        <v>421</v>
      </c>
      <c r="Z68" s="291">
        <f t="shared" si="147"/>
        <v>174</v>
      </c>
      <c r="AA68" s="291">
        <f t="shared" si="147"/>
        <v>233</v>
      </c>
      <c r="AB68" s="291">
        <f t="shared" si="147"/>
        <v>0</v>
      </c>
      <c r="AC68" s="291">
        <f t="shared" si="147"/>
        <v>-407</v>
      </c>
      <c r="AF68" s="291">
        <f t="shared" si="148"/>
        <v>0</v>
      </c>
      <c r="AG68" s="291">
        <f t="shared" si="148"/>
        <v>0</v>
      </c>
      <c r="AH68" s="291">
        <f t="shared" si="148"/>
        <v>0</v>
      </c>
      <c r="AI68" s="291">
        <f t="shared" si="148"/>
        <v>0</v>
      </c>
      <c r="AJ68" s="291">
        <f t="shared" si="148"/>
        <v>0</v>
      </c>
      <c r="AK68" s="291">
        <f t="shared" si="148"/>
        <v>0</v>
      </c>
      <c r="AL68" s="291">
        <f t="shared" si="148"/>
        <v>0</v>
      </c>
      <c r="AM68" s="291">
        <f t="shared" si="148"/>
        <v>0</v>
      </c>
      <c r="AN68" s="291">
        <f t="shared" si="148"/>
        <v>0</v>
      </c>
      <c r="AO68" s="291">
        <f t="shared" si="148"/>
        <v>0</v>
      </c>
      <c r="AP68" s="291">
        <f t="shared" si="148"/>
        <v>0</v>
      </c>
      <c r="AQ68" s="291">
        <f t="shared" si="148"/>
        <v>746</v>
      </c>
      <c r="AR68" s="275"/>
      <c r="AU68" s="280" t="str">
        <f t="shared" si="144"/>
        <v>PMI Electro Mobility Solutions Pvt Ltd</v>
      </c>
      <c r="AV68" s="281">
        <f t="shared" si="149"/>
        <v>0</v>
      </c>
      <c r="AW68" s="281">
        <f t="shared" si="149"/>
        <v>0</v>
      </c>
      <c r="AX68" s="281">
        <f t="shared" si="149"/>
        <v>0</v>
      </c>
      <c r="AY68" s="281">
        <f t="shared" si="149"/>
        <v>0</v>
      </c>
      <c r="AZ68" s="281">
        <f t="shared" si="149"/>
        <v>0</v>
      </c>
      <c r="BA68" s="281">
        <f t="shared" si="149"/>
        <v>0</v>
      </c>
      <c r="BB68" s="281">
        <f t="shared" si="149"/>
        <v>0</v>
      </c>
      <c r="BC68" s="281">
        <f t="shared" si="149"/>
        <v>0</v>
      </c>
      <c r="BD68" s="281">
        <f t="shared" si="149"/>
        <v>0</v>
      </c>
      <c r="BE68" s="281">
        <f t="shared" si="149"/>
        <v>0</v>
      </c>
      <c r="BF68" s="281">
        <f t="shared" si="149"/>
        <v>0</v>
      </c>
      <c r="BG68" s="281">
        <f t="shared" si="149"/>
        <v>7.7938902586819345E-4</v>
      </c>
      <c r="BK68" s="289"/>
      <c r="BL68" s="289"/>
      <c r="BM68" s="289"/>
      <c r="BO68" s="289"/>
      <c r="BP68" s="289"/>
      <c r="BQ68" s="289"/>
      <c r="BS68" s="289"/>
      <c r="BT68" s="289"/>
      <c r="BU68" s="289"/>
      <c r="BW68" s="289"/>
      <c r="BX68" s="289"/>
      <c r="BY68" s="289"/>
      <c r="CA68" s="289"/>
      <c r="CB68" s="289"/>
      <c r="CC68" s="289"/>
      <c r="CE68" s="289"/>
      <c r="CF68" s="289"/>
      <c r="CG68" s="289"/>
      <c r="CI68" s="289"/>
      <c r="CJ68" s="289"/>
      <c r="CK68" s="289"/>
    </row>
    <row r="69" spans="1:89" outlineLevel="1" x14ac:dyDescent="0.3">
      <c r="A69" s="290" t="s">
        <v>150</v>
      </c>
      <c r="B69" s="291">
        <f t="shared" si="146"/>
        <v>51594</v>
      </c>
      <c r="C69" s="291">
        <f t="shared" si="146"/>
        <v>49525</v>
      </c>
      <c r="D69" s="291">
        <f t="shared" si="146"/>
        <v>56984</v>
      </c>
      <c r="E69" s="291">
        <f t="shared" si="146"/>
        <v>41028</v>
      </c>
      <c r="F69" s="291">
        <f t="shared" si="146"/>
        <v>15587</v>
      </c>
      <c r="G69" s="291">
        <f t="shared" si="146"/>
        <v>47309</v>
      </c>
      <c r="H69" s="291">
        <f t="shared" si="146"/>
        <v>53557</v>
      </c>
      <c r="I69" s="291">
        <f t="shared" si="146"/>
        <v>39706</v>
      </c>
      <c r="J69" s="291">
        <f t="shared" si="146"/>
        <v>34034</v>
      </c>
      <c r="K69" s="291">
        <f t="shared" si="146"/>
        <v>35975</v>
      </c>
      <c r="L69" s="291">
        <f t="shared" si="146"/>
        <v>45994</v>
      </c>
      <c r="M69" s="291">
        <f t="shared" si="146"/>
        <v>61114</v>
      </c>
      <c r="N69" s="291">
        <f t="shared" si="146"/>
        <v>58982</v>
      </c>
      <c r="O69" s="291">
        <f t="shared" si="146"/>
        <v>64094</v>
      </c>
      <c r="P69" s="291">
        <f t="shared" si="146"/>
        <v>60651</v>
      </c>
      <c r="Q69" s="291">
        <f t="shared" si="146"/>
        <v>64849</v>
      </c>
      <c r="R69" s="291">
        <f t="shared" si="147"/>
        <v>61252</v>
      </c>
      <c r="S69" s="291">
        <f t="shared" si="147"/>
        <v>68508</v>
      </c>
      <c r="T69" s="291">
        <f t="shared" si="147"/>
        <v>65814</v>
      </c>
      <c r="U69" s="291">
        <f t="shared" si="147"/>
        <v>67236</v>
      </c>
      <c r="V69" s="291">
        <f t="shared" si="147"/>
        <v>62526</v>
      </c>
      <c r="W69" s="291">
        <f t="shared" si="147"/>
        <v>64511</v>
      </c>
      <c r="X69" s="291">
        <f t="shared" si="147"/>
        <v>70356</v>
      </c>
      <c r="Y69" s="291">
        <f t="shared" si="147"/>
        <v>71694</v>
      </c>
      <c r="Z69" s="291">
        <f t="shared" si="147"/>
        <v>64956</v>
      </c>
      <c r="AA69" s="291">
        <f t="shared" si="147"/>
        <v>72539</v>
      </c>
      <c r="AB69" s="291">
        <f t="shared" si="147"/>
        <v>84697</v>
      </c>
      <c r="AC69" s="291">
        <f t="shared" si="147"/>
        <v>-222192</v>
      </c>
      <c r="AF69" s="291">
        <f t="shared" si="148"/>
        <v>160559</v>
      </c>
      <c r="AG69" s="291">
        <f t="shared" si="148"/>
        <v>153922</v>
      </c>
      <c r="AH69" s="291">
        <f t="shared" si="148"/>
        <v>166783</v>
      </c>
      <c r="AI69" s="291">
        <f t="shared" si="148"/>
        <v>180947</v>
      </c>
      <c r="AJ69" s="291">
        <f t="shared" si="148"/>
        <v>216803</v>
      </c>
      <c r="AK69" s="291">
        <f t="shared" si="148"/>
        <v>248601</v>
      </c>
      <c r="AL69" s="291">
        <f t="shared" si="148"/>
        <v>199131</v>
      </c>
      <c r="AM69" s="291">
        <f t="shared" si="148"/>
        <v>156159</v>
      </c>
      <c r="AN69" s="291">
        <f t="shared" si="148"/>
        <v>177117</v>
      </c>
      <c r="AO69" s="291">
        <f t="shared" si="148"/>
        <v>248576</v>
      </c>
      <c r="AP69" s="291">
        <f t="shared" si="148"/>
        <v>262810</v>
      </c>
      <c r="AQ69" s="291">
        <f t="shared" si="148"/>
        <v>269087</v>
      </c>
      <c r="AR69" s="275"/>
      <c r="AU69" s="280" t="str">
        <f t="shared" si="144"/>
        <v>Mahindra &amp; Mahindra Ltd</v>
      </c>
      <c r="AV69" s="281">
        <f t="shared" si="149"/>
        <v>0.25370742876285257</v>
      </c>
      <c r="AW69" s="281">
        <f t="shared" si="149"/>
        <v>0.25029554719730196</v>
      </c>
      <c r="AX69" s="281">
        <f t="shared" si="149"/>
        <v>0.24322885676618483</v>
      </c>
      <c r="AY69" s="281">
        <f t="shared" si="149"/>
        <v>0.25334485153283526</v>
      </c>
      <c r="AZ69" s="281">
        <f t="shared" si="149"/>
        <v>0.25300379500441117</v>
      </c>
      <c r="BA69" s="281">
        <f t="shared" si="149"/>
        <v>0.24679470952101568</v>
      </c>
      <c r="BB69" s="281">
        <f t="shared" si="149"/>
        <v>0.27749852632341732</v>
      </c>
      <c r="BC69" s="281">
        <f t="shared" si="149"/>
        <v>0.27465751135766031</v>
      </c>
      <c r="BD69" s="281">
        <f t="shared" si="149"/>
        <v>0.24717471942570537</v>
      </c>
      <c r="BE69" s="281">
        <f t="shared" si="149"/>
        <v>0.25826936583865645</v>
      </c>
      <c r="BF69" s="281">
        <f t="shared" si="149"/>
        <v>0.27153215591221208</v>
      </c>
      <c r="BG69" s="281">
        <f t="shared" si="149"/>
        <v>0.28113063646621256</v>
      </c>
      <c r="BK69" s="289"/>
      <c r="BL69" s="289"/>
      <c r="BM69" s="289"/>
      <c r="BO69" s="289"/>
      <c r="BP69" s="289"/>
      <c r="BQ69" s="289"/>
      <c r="BS69" s="289"/>
      <c r="BT69" s="289"/>
      <c r="BU69" s="289"/>
      <c r="BW69" s="289"/>
      <c r="BX69" s="289"/>
      <c r="BY69" s="289"/>
      <c r="CA69" s="289"/>
      <c r="CB69" s="289"/>
      <c r="CC69" s="289"/>
      <c r="CE69" s="289"/>
      <c r="CF69" s="289"/>
      <c r="CG69" s="289"/>
      <c r="CI69" s="289"/>
      <c r="CJ69" s="289"/>
      <c r="CK69" s="289"/>
    </row>
    <row r="70" spans="1:89" outlineLevel="1" x14ac:dyDescent="0.3">
      <c r="A70" s="290" t="s">
        <v>220</v>
      </c>
      <c r="B70" s="291">
        <f t="shared" si="146"/>
        <v>4165</v>
      </c>
      <c r="C70" s="291">
        <f t="shared" si="146"/>
        <v>1987</v>
      </c>
      <c r="D70" s="291">
        <f t="shared" si="146"/>
        <v>1500</v>
      </c>
      <c r="E70" s="291">
        <f t="shared" si="146"/>
        <v>2247</v>
      </c>
      <c r="F70" s="291">
        <f t="shared" si="146"/>
        <v>194</v>
      </c>
      <c r="G70" s="291">
        <f t="shared" si="146"/>
        <v>910</v>
      </c>
      <c r="H70" s="291">
        <f t="shared" si="146"/>
        <v>1458</v>
      </c>
      <c r="I70" s="291">
        <f t="shared" si="146"/>
        <v>2032</v>
      </c>
      <c r="J70" s="291">
        <f t="shared" si="146"/>
        <v>731</v>
      </c>
      <c r="K70" s="291">
        <f t="shared" si="146"/>
        <v>1567</v>
      </c>
      <c r="L70" s="291">
        <f t="shared" si="146"/>
        <v>1793</v>
      </c>
      <c r="M70" s="291">
        <f t="shared" si="146"/>
        <v>2360</v>
      </c>
      <c r="N70" s="291">
        <f t="shared" si="146"/>
        <v>3443</v>
      </c>
      <c r="O70" s="291">
        <f t="shared" si="146"/>
        <v>2735</v>
      </c>
      <c r="P70" s="291">
        <f t="shared" si="146"/>
        <v>2095</v>
      </c>
      <c r="Q70" s="291">
        <f t="shared" si="146"/>
        <v>3833</v>
      </c>
      <c r="R70" s="291">
        <f t="shared" si="147"/>
        <v>3968</v>
      </c>
      <c r="S70" s="291">
        <f t="shared" si="147"/>
        <v>3085</v>
      </c>
      <c r="T70" s="291">
        <f t="shared" si="147"/>
        <v>2381</v>
      </c>
      <c r="U70" s="291">
        <f t="shared" si="147"/>
        <v>4127</v>
      </c>
      <c r="V70" s="291">
        <f t="shared" si="147"/>
        <v>4323</v>
      </c>
      <c r="W70" s="291">
        <f t="shared" si="147"/>
        <v>3106</v>
      </c>
      <c r="X70" s="291">
        <f t="shared" si="147"/>
        <v>1799</v>
      </c>
      <c r="Y70" s="291">
        <f t="shared" si="147"/>
        <v>4283</v>
      </c>
      <c r="Z70" s="291">
        <f t="shared" si="147"/>
        <v>4802</v>
      </c>
      <c r="AA70" s="291">
        <f t="shared" si="147"/>
        <v>3007</v>
      </c>
      <c r="AB70" s="291">
        <f t="shared" si="147"/>
        <v>2966</v>
      </c>
      <c r="AC70" s="291">
        <f t="shared" si="147"/>
        <v>-10775</v>
      </c>
      <c r="AF70" s="291">
        <f t="shared" si="148"/>
        <v>9389</v>
      </c>
      <c r="AG70" s="291">
        <f t="shared" si="148"/>
        <v>11399</v>
      </c>
      <c r="AH70" s="291">
        <f t="shared" si="148"/>
        <v>12197</v>
      </c>
      <c r="AI70" s="291">
        <f t="shared" si="148"/>
        <v>14640</v>
      </c>
      <c r="AJ70" s="291">
        <f t="shared" si="148"/>
        <v>10900</v>
      </c>
      <c r="AK70" s="291">
        <f t="shared" si="148"/>
        <v>12970</v>
      </c>
      <c r="AL70" s="291">
        <f t="shared" si="148"/>
        <v>9899</v>
      </c>
      <c r="AM70" s="291">
        <f t="shared" si="148"/>
        <v>4594</v>
      </c>
      <c r="AN70" s="291">
        <f t="shared" si="148"/>
        <v>6451</v>
      </c>
      <c r="AO70" s="291">
        <f t="shared" si="148"/>
        <v>12106</v>
      </c>
      <c r="AP70" s="291">
        <f t="shared" si="148"/>
        <v>13561</v>
      </c>
      <c r="AQ70" s="291">
        <f t="shared" si="148"/>
        <v>13511</v>
      </c>
      <c r="AR70" s="275"/>
      <c r="AU70" s="280" t="str">
        <f t="shared" si="144"/>
        <v>SML Isuzu Ltd</v>
      </c>
      <c r="AV70" s="281">
        <f t="shared" si="149"/>
        <v>1.4836035654522154E-2</v>
      </c>
      <c r="AW70" s="281">
        <f t="shared" si="149"/>
        <v>1.8536134811801074E-2</v>
      </c>
      <c r="AX70" s="281">
        <f t="shared" si="149"/>
        <v>1.7787558480043868E-2</v>
      </c>
      <c r="AY70" s="281">
        <f t="shared" si="149"/>
        <v>2.0497541415114416E-2</v>
      </c>
      <c r="AZ70" s="281">
        <f t="shared" si="149"/>
        <v>1.2720033235462986E-2</v>
      </c>
      <c r="BA70" s="281">
        <f t="shared" si="149"/>
        <v>1.2875762295757352E-2</v>
      </c>
      <c r="BB70" s="281">
        <f t="shared" si="149"/>
        <v>1.3794727652025591E-2</v>
      </c>
      <c r="BC70" s="281">
        <f t="shared" si="149"/>
        <v>8.0800761222669937E-3</v>
      </c>
      <c r="BD70" s="281">
        <f t="shared" si="149"/>
        <v>9.0026599085080792E-3</v>
      </c>
      <c r="BE70" s="281">
        <f t="shared" si="149"/>
        <v>1.2578080518001638E-2</v>
      </c>
      <c r="BF70" s="281">
        <f t="shared" si="149"/>
        <v>1.4011063377822411E-2</v>
      </c>
      <c r="BG70" s="281">
        <f t="shared" si="149"/>
        <v>1.4115717330435873E-2</v>
      </c>
      <c r="BK70" s="289"/>
      <c r="BL70" s="289"/>
      <c r="BM70" s="289"/>
      <c r="BO70" s="289"/>
      <c r="BP70" s="289"/>
      <c r="BQ70" s="289"/>
      <c r="BS70" s="289"/>
      <c r="BT70" s="289"/>
      <c r="BU70" s="289"/>
      <c r="BW70" s="289"/>
      <c r="BX70" s="289"/>
      <c r="BY70" s="289"/>
      <c r="CA70" s="289"/>
      <c r="CB70" s="289"/>
      <c r="CC70" s="289"/>
      <c r="CE70" s="289"/>
      <c r="CF70" s="289"/>
      <c r="CG70" s="289"/>
      <c r="CI70" s="289"/>
      <c r="CJ70" s="289"/>
      <c r="CK70" s="289"/>
    </row>
    <row r="71" spans="1:89" outlineLevel="1" x14ac:dyDescent="0.3">
      <c r="A71" s="290" t="s">
        <v>221</v>
      </c>
      <c r="B71" s="291">
        <f t="shared" si="146"/>
        <v>0</v>
      </c>
      <c r="C71" s="291">
        <f t="shared" si="146"/>
        <v>0</v>
      </c>
      <c r="D71" s="291">
        <f t="shared" si="146"/>
        <v>0</v>
      </c>
      <c r="E71" s="291">
        <f t="shared" si="146"/>
        <v>0</v>
      </c>
      <c r="F71" s="291">
        <f t="shared" si="146"/>
        <v>0</v>
      </c>
      <c r="G71" s="291">
        <f t="shared" si="146"/>
        <v>0</v>
      </c>
      <c r="H71" s="291">
        <f t="shared" si="146"/>
        <v>0</v>
      </c>
      <c r="I71" s="291">
        <f t="shared" si="146"/>
        <v>0</v>
      </c>
      <c r="J71" s="291">
        <f t="shared" si="146"/>
        <v>0</v>
      </c>
      <c r="K71" s="291">
        <f t="shared" si="146"/>
        <v>0</v>
      </c>
      <c r="L71" s="291">
        <f t="shared" si="146"/>
        <v>0</v>
      </c>
      <c r="M71" s="291">
        <f t="shared" si="146"/>
        <v>0</v>
      </c>
      <c r="N71" s="291">
        <f t="shared" si="146"/>
        <v>0</v>
      </c>
      <c r="O71" s="291">
        <f t="shared" si="146"/>
        <v>0</v>
      </c>
      <c r="P71" s="291">
        <f t="shared" si="146"/>
        <v>0</v>
      </c>
      <c r="Q71" s="291">
        <f t="shared" si="146"/>
        <v>0</v>
      </c>
      <c r="R71" s="291">
        <f t="shared" si="147"/>
        <v>23</v>
      </c>
      <c r="S71" s="291">
        <f t="shared" si="147"/>
        <v>29</v>
      </c>
      <c r="T71" s="291">
        <f t="shared" si="147"/>
        <v>21</v>
      </c>
      <c r="U71" s="291">
        <f t="shared" si="147"/>
        <v>162</v>
      </c>
      <c r="V71" s="291">
        <f t="shared" si="147"/>
        <v>224</v>
      </c>
      <c r="W71" s="291">
        <f t="shared" si="147"/>
        <v>312</v>
      </c>
      <c r="X71" s="291">
        <f t="shared" si="147"/>
        <v>230</v>
      </c>
      <c r="Y71" s="291">
        <f t="shared" si="147"/>
        <v>287</v>
      </c>
      <c r="Z71" s="291">
        <f t="shared" si="147"/>
        <v>305</v>
      </c>
      <c r="AA71" s="291">
        <f t="shared" si="147"/>
        <v>880</v>
      </c>
      <c r="AB71" s="291">
        <f t="shared" si="147"/>
        <v>360</v>
      </c>
      <c r="AC71" s="291">
        <f t="shared" si="147"/>
        <v>-933</v>
      </c>
      <c r="AF71" s="291">
        <f t="shared" si="148"/>
        <v>0</v>
      </c>
      <c r="AG71" s="291">
        <f t="shared" si="148"/>
        <v>0</v>
      </c>
      <c r="AH71" s="291">
        <f t="shared" si="148"/>
        <v>0</v>
      </c>
      <c r="AI71" s="291">
        <f t="shared" si="148"/>
        <v>0</v>
      </c>
      <c r="AJ71" s="291">
        <f t="shared" si="148"/>
        <v>0</v>
      </c>
      <c r="AK71" s="291">
        <f t="shared" si="148"/>
        <v>0</v>
      </c>
      <c r="AL71" s="291">
        <f t="shared" si="148"/>
        <v>0</v>
      </c>
      <c r="AM71" s="291">
        <f t="shared" si="148"/>
        <v>0</v>
      </c>
      <c r="AN71" s="291">
        <f t="shared" si="148"/>
        <v>0</v>
      </c>
      <c r="AO71" s="291">
        <f t="shared" si="148"/>
        <v>0</v>
      </c>
      <c r="AP71" s="291">
        <f t="shared" si="148"/>
        <v>235</v>
      </c>
      <c r="AQ71" s="291">
        <f t="shared" si="148"/>
        <v>1053</v>
      </c>
      <c r="AR71" s="275"/>
      <c r="AU71" s="280" t="str">
        <f t="shared" si="144"/>
        <v>Switch Mobility Automotive Ltd</v>
      </c>
      <c r="AV71" s="281">
        <f t="shared" si="149"/>
        <v>0</v>
      </c>
      <c r="AW71" s="281">
        <f t="shared" si="149"/>
        <v>0</v>
      </c>
      <c r="AX71" s="281">
        <f t="shared" si="149"/>
        <v>0</v>
      </c>
      <c r="AY71" s="281">
        <f t="shared" si="149"/>
        <v>0</v>
      </c>
      <c r="AZ71" s="281">
        <f t="shared" si="149"/>
        <v>0</v>
      </c>
      <c r="BA71" s="281">
        <f t="shared" si="149"/>
        <v>0</v>
      </c>
      <c r="BB71" s="281">
        <f t="shared" si="149"/>
        <v>0</v>
      </c>
      <c r="BC71" s="281">
        <f t="shared" si="149"/>
        <v>0</v>
      </c>
      <c r="BD71" s="281">
        <f t="shared" si="149"/>
        <v>0</v>
      </c>
      <c r="BE71" s="281">
        <f t="shared" si="149"/>
        <v>0</v>
      </c>
      <c r="BF71" s="281">
        <f t="shared" si="149"/>
        <v>2.4279919576640857E-4</v>
      </c>
      <c r="BG71" s="281">
        <f t="shared" si="149"/>
        <v>1.100129549918509E-3</v>
      </c>
      <c r="BK71" s="289"/>
      <c r="BL71" s="289"/>
      <c r="BM71" s="289"/>
      <c r="BO71" s="289"/>
      <c r="BP71" s="289"/>
      <c r="BQ71" s="289"/>
      <c r="BS71" s="289"/>
      <c r="BT71" s="289"/>
      <c r="BU71" s="289"/>
      <c r="BW71" s="289"/>
      <c r="BX71" s="289"/>
      <c r="BY71" s="289"/>
      <c r="CA71" s="289"/>
      <c r="CB71" s="289"/>
      <c r="CC71" s="289"/>
      <c r="CE71" s="289"/>
      <c r="CF71" s="289"/>
      <c r="CG71" s="289"/>
      <c r="CI71" s="289"/>
      <c r="CJ71" s="289"/>
      <c r="CK71" s="289"/>
    </row>
    <row r="72" spans="1:89" outlineLevel="1" x14ac:dyDescent="0.3">
      <c r="A72" s="290" t="s">
        <v>157</v>
      </c>
      <c r="B72" s="291">
        <f t="shared" si="146"/>
        <v>89845</v>
      </c>
      <c r="C72" s="291">
        <f t="shared" si="146"/>
        <v>68202</v>
      </c>
      <c r="D72" s="291">
        <f t="shared" si="146"/>
        <v>84451</v>
      </c>
      <c r="E72" s="291">
        <f t="shared" si="146"/>
        <v>61316</v>
      </c>
      <c r="F72" s="291">
        <f t="shared" si="146"/>
        <v>9274</v>
      </c>
      <c r="G72" s="291">
        <f t="shared" si="146"/>
        <v>51378</v>
      </c>
      <c r="H72" s="291">
        <f t="shared" si="146"/>
        <v>81640</v>
      </c>
      <c r="I72" s="291">
        <f t="shared" si="146"/>
        <v>98114</v>
      </c>
      <c r="J72" s="291">
        <f t="shared" si="146"/>
        <v>42825</v>
      </c>
      <c r="K72" s="291">
        <f t="shared" si="146"/>
        <v>77595</v>
      </c>
      <c r="L72" s="291">
        <f t="shared" si="146"/>
        <v>89807</v>
      </c>
      <c r="M72" s="291">
        <f t="shared" si="146"/>
        <v>109189</v>
      </c>
      <c r="N72" s="291">
        <f t="shared" si="146"/>
        <v>93888</v>
      </c>
      <c r="O72" s="291">
        <f t="shared" si="146"/>
        <v>92245</v>
      </c>
      <c r="P72" s="291">
        <f t="shared" si="146"/>
        <v>90699</v>
      </c>
      <c r="Q72" s="291">
        <f t="shared" si="146"/>
        <v>110734</v>
      </c>
      <c r="R72" s="291">
        <f t="shared" si="147"/>
        <v>79263</v>
      </c>
      <c r="S72" s="291">
        <f t="shared" si="147"/>
        <v>96083</v>
      </c>
      <c r="T72" s="291">
        <f t="shared" si="147"/>
        <v>89387</v>
      </c>
      <c r="U72" s="291">
        <f t="shared" si="147"/>
        <v>101367</v>
      </c>
      <c r="V72" s="291">
        <f t="shared" si="147"/>
        <v>82487</v>
      </c>
      <c r="W72" s="291">
        <f t="shared" si="147"/>
        <v>75977</v>
      </c>
      <c r="X72" s="291">
        <f t="shared" si="147"/>
        <v>88809</v>
      </c>
      <c r="Y72" s="291">
        <f t="shared" si="147"/>
        <v>95637</v>
      </c>
      <c r="Z72" s="291">
        <f t="shared" si="147"/>
        <v>74042</v>
      </c>
      <c r="AA72" s="291">
        <f t="shared" si="147"/>
        <v>82931</v>
      </c>
      <c r="AB72" s="291">
        <f t="shared" si="147"/>
        <v>104205</v>
      </c>
      <c r="AC72" s="291">
        <f t="shared" si="147"/>
        <v>-261178</v>
      </c>
      <c r="AF72" s="291">
        <f t="shared" si="148"/>
        <v>317887</v>
      </c>
      <c r="AG72" s="291">
        <f t="shared" si="148"/>
        <v>290430</v>
      </c>
      <c r="AH72" s="291">
        <f t="shared" si="148"/>
        <v>304256</v>
      </c>
      <c r="AI72" s="291">
        <f t="shared" si="148"/>
        <v>305620</v>
      </c>
      <c r="AJ72" s="291">
        <f t="shared" si="148"/>
        <v>376456</v>
      </c>
      <c r="AK72" s="291">
        <f t="shared" si="148"/>
        <v>447323</v>
      </c>
      <c r="AL72" s="291">
        <f t="shared" si="148"/>
        <v>303814</v>
      </c>
      <c r="AM72" s="291">
        <f t="shared" si="148"/>
        <v>240406</v>
      </c>
      <c r="AN72" s="291">
        <f t="shared" si="148"/>
        <v>319416</v>
      </c>
      <c r="AO72" s="291">
        <f t="shared" si="148"/>
        <v>387566</v>
      </c>
      <c r="AP72" s="291">
        <f t="shared" si="148"/>
        <v>366100</v>
      </c>
      <c r="AQ72" s="291">
        <f t="shared" si="148"/>
        <v>342910</v>
      </c>
      <c r="AR72" s="275"/>
      <c r="AU72" s="280" t="str">
        <f t="shared" si="144"/>
        <v>Tata Motors Ltd</v>
      </c>
      <c r="AV72" s="281">
        <f t="shared" si="149"/>
        <v>0.50230939036202837</v>
      </c>
      <c r="AW72" s="281">
        <f t="shared" si="149"/>
        <v>0.47227385151253493</v>
      </c>
      <c r="AX72" s="281">
        <f t="shared" si="149"/>
        <v>0.44371332236650218</v>
      </c>
      <c r="AY72" s="281">
        <f t="shared" si="149"/>
        <v>0.42790017809339265</v>
      </c>
      <c r="AZ72" s="281">
        <f t="shared" si="149"/>
        <v>0.43931493868710586</v>
      </c>
      <c r="BA72" s="281">
        <f t="shared" si="149"/>
        <v>0.44407283095027494</v>
      </c>
      <c r="BB72" s="281">
        <f t="shared" si="149"/>
        <v>0.42337926930725356</v>
      </c>
      <c r="BC72" s="281">
        <f t="shared" si="149"/>
        <v>0.42283386596641687</v>
      </c>
      <c r="BD72" s="281">
        <f t="shared" si="149"/>
        <v>0.44575935782607601</v>
      </c>
      <c r="BE72" s="281">
        <f t="shared" si="149"/>
        <v>0.40267936180735359</v>
      </c>
      <c r="BF72" s="281">
        <f t="shared" si="149"/>
        <v>0.37825015136205181</v>
      </c>
      <c r="BG72" s="281">
        <f t="shared" si="149"/>
        <v>0.35825776254753644</v>
      </c>
      <c r="BK72" s="289"/>
      <c r="BL72" s="289"/>
      <c r="BM72" s="289"/>
      <c r="BO72" s="289"/>
      <c r="BP72" s="289"/>
      <c r="BQ72" s="289"/>
      <c r="BS72" s="289"/>
      <c r="BT72" s="289"/>
      <c r="BU72" s="289"/>
      <c r="BW72" s="289"/>
      <c r="BX72" s="289"/>
      <c r="BY72" s="289"/>
      <c r="CA72" s="289"/>
      <c r="CB72" s="289"/>
      <c r="CC72" s="289"/>
      <c r="CE72" s="289"/>
      <c r="CF72" s="289"/>
      <c r="CG72" s="289"/>
      <c r="CI72" s="289"/>
      <c r="CJ72" s="289"/>
      <c r="CK72" s="289"/>
    </row>
    <row r="73" spans="1:89" outlineLevel="1" x14ac:dyDescent="0.3">
      <c r="A73" s="290" t="s">
        <v>222</v>
      </c>
      <c r="B73" s="291">
        <f t="shared" si="146"/>
        <v>12245</v>
      </c>
      <c r="C73" s="291">
        <f t="shared" si="146"/>
        <v>9979</v>
      </c>
      <c r="D73" s="291">
        <f t="shared" si="146"/>
        <v>10667</v>
      </c>
      <c r="E73" s="291">
        <f t="shared" si="146"/>
        <v>10155</v>
      </c>
      <c r="F73" s="291">
        <f t="shared" si="146"/>
        <v>1484</v>
      </c>
      <c r="G73" s="291">
        <f t="shared" si="146"/>
        <v>6864</v>
      </c>
      <c r="H73" s="291">
        <f t="shared" si="146"/>
        <v>10972</v>
      </c>
      <c r="I73" s="291">
        <f t="shared" si="146"/>
        <v>15843</v>
      </c>
      <c r="J73" s="291">
        <f t="shared" si="146"/>
        <v>3971</v>
      </c>
      <c r="K73" s="291">
        <f t="shared" si="146"/>
        <v>12643</v>
      </c>
      <c r="L73" s="291">
        <f t="shared" si="146"/>
        <v>13239</v>
      </c>
      <c r="M73" s="291">
        <f t="shared" si="146"/>
        <v>17545</v>
      </c>
      <c r="N73" s="291">
        <f t="shared" si="146"/>
        <v>15383</v>
      </c>
      <c r="O73" s="291">
        <f t="shared" si="146"/>
        <v>15882</v>
      </c>
      <c r="P73" s="291">
        <f t="shared" si="146"/>
        <v>16709</v>
      </c>
      <c r="Q73" s="291">
        <f t="shared" si="146"/>
        <v>24853</v>
      </c>
      <c r="R73" s="291">
        <f t="shared" si="147"/>
        <v>18245</v>
      </c>
      <c r="S73" s="291">
        <f t="shared" si="147"/>
        <v>17933</v>
      </c>
      <c r="T73" s="291">
        <f t="shared" si="147"/>
        <v>19231</v>
      </c>
      <c r="U73" s="291">
        <f t="shared" si="147"/>
        <v>23958</v>
      </c>
      <c r="V73" s="291">
        <f t="shared" si="147"/>
        <v>18095</v>
      </c>
      <c r="W73" s="291">
        <f t="shared" si="147"/>
        <v>18919</v>
      </c>
      <c r="X73" s="291">
        <f t="shared" si="147"/>
        <v>19113</v>
      </c>
      <c r="Y73" s="291">
        <f t="shared" si="147"/>
        <v>26416</v>
      </c>
      <c r="Z73" s="291">
        <f t="shared" si="147"/>
        <v>19737</v>
      </c>
      <c r="AA73" s="291">
        <f t="shared" si="147"/>
        <v>19393</v>
      </c>
      <c r="AB73" s="291">
        <f t="shared" si="147"/>
        <v>23317</v>
      </c>
      <c r="AC73" s="291">
        <f t="shared" si="147"/>
        <v>-62447</v>
      </c>
      <c r="AF73" s="291">
        <f t="shared" si="148"/>
        <v>34006</v>
      </c>
      <c r="AG73" s="291">
        <f t="shared" si="148"/>
        <v>35128</v>
      </c>
      <c r="AH73" s="291">
        <f t="shared" si="148"/>
        <v>44271</v>
      </c>
      <c r="AI73" s="291">
        <f t="shared" si="148"/>
        <v>49406</v>
      </c>
      <c r="AJ73" s="291">
        <f t="shared" si="148"/>
        <v>55872</v>
      </c>
      <c r="AK73" s="291">
        <f t="shared" si="148"/>
        <v>61732</v>
      </c>
      <c r="AL73" s="291">
        <f t="shared" si="148"/>
        <v>43046</v>
      </c>
      <c r="AM73" s="291">
        <f t="shared" si="148"/>
        <v>35163</v>
      </c>
      <c r="AN73" s="291">
        <f t="shared" si="148"/>
        <v>47398</v>
      </c>
      <c r="AO73" s="291">
        <f t="shared" si="148"/>
        <v>72827</v>
      </c>
      <c r="AP73" s="291">
        <f t="shared" si="148"/>
        <v>79367</v>
      </c>
      <c r="AQ73" s="291">
        <f t="shared" si="148"/>
        <v>82543</v>
      </c>
      <c r="AR73" s="275"/>
      <c r="AU73" s="280" t="str">
        <f t="shared" si="144"/>
        <v>VECV-Eicher</v>
      </c>
      <c r="AV73" s="281">
        <f t="shared" si="149"/>
        <v>5.3734607356233935E-2</v>
      </c>
      <c r="AW73" s="281">
        <f t="shared" si="149"/>
        <v>5.7122321578116336E-2</v>
      </c>
      <c r="AX73" s="281">
        <f t="shared" si="149"/>
        <v>6.4562843442651646E-2</v>
      </c>
      <c r="AY73" s="281">
        <f t="shared" si="149"/>
        <v>6.917360185485949E-2</v>
      </c>
      <c r="AZ73" s="281">
        <f t="shared" si="149"/>
        <v>6.5201256599246596E-2</v>
      </c>
      <c r="BA73" s="281">
        <f t="shared" si="149"/>
        <v>6.1283466310076549E-2</v>
      </c>
      <c r="BB73" s="281">
        <f t="shared" si="149"/>
        <v>5.9986649814031075E-2</v>
      </c>
      <c r="BC73" s="281">
        <f t="shared" si="149"/>
        <v>6.1845824268017921E-2</v>
      </c>
      <c r="BD73" s="281">
        <f t="shared" si="149"/>
        <v>6.6146035396599898E-2</v>
      </c>
      <c r="BE73" s="281">
        <f t="shared" si="149"/>
        <v>7.5666931264208259E-2</v>
      </c>
      <c r="BF73" s="281">
        <f t="shared" si="149"/>
        <v>8.2001037320819356E-2</v>
      </c>
      <c r="BG73" s="281">
        <f t="shared" si="149"/>
        <v>8.6237410673241671E-2</v>
      </c>
      <c r="BK73" s="289"/>
      <c r="BL73" s="289"/>
      <c r="BM73" s="289"/>
      <c r="BO73" s="289"/>
      <c r="BP73" s="289"/>
      <c r="BQ73" s="289"/>
      <c r="BS73" s="289"/>
      <c r="BT73" s="289"/>
      <c r="BU73" s="289"/>
      <c r="BW73" s="289"/>
      <c r="BX73" s="289"/>
      <c r="BY73" s="289"/>
      <c r="CA73" s="289"/>
      <c r="CB73" s="289"/>
      <c r="CC73" s="289"/>
      <c r="CE73" s="289"/>
      <c r="CF73" s="289"/>
      <c r="CG73" s="289"/>
      <c r="CI73" s="289"/>
      <c r="CJ73" s="289"/>
      <c r="CK73" s="289"/>
    </row>
    <row r="74" spans="1:89" outlineLevel="1" x14ac:dyDescent="0.3">
      <c r="A74" s="290" t="s">
        <v>223</v>
      </c>
      <c r="B74" s="291">
        <f t="shared" si="146"/>
        <v>70</v>
      </c>
      <c r="C74" s="291">
        <f t="shared" si="146"/>
        <v>58</v>
      </c>
      <c r="D74" s="291">
        <f t="shared" si="146"/>
        <v>101</v>
      </c>
      <c r="E74" s="291">
        <f t="shared" si="146"/>
        <v>65</v>
      </c>
      <c r="F74" s="291">
        <f t="shared" si="146"/>
        <v>2</v>
      </c>
      <c r="G74" s="291">
        <f t="shared" si="146"/>
        <v>4</v>
      </c>
      <c r="H74" s="291">
        <f t="shared" si="146"/>
        <v>5</v>
      </c>
      <c r="I74" s="291">
        <f t="shared" si="146"/>
        <v>13</v>
      </c>
      <c r="J74" s="291">
        <f t="shared" si="146"/>
        <v>0</v>
      </c>
      <c r="K74" s="291">
        <f t="shared" si="146"/>
        <v>0</v>
      </c>
      <c r="L74" s="291">
        <f t="shared" si="146"/>
        <v>0</v>
      </c>
      <c r="M74" s="291">
        <f t="shared" si="146"/>
        <v>0</v>
      </c>
      <c r="N74" s="291">
        <f t="shared" si="146"/>
        <v>0</v>
      </c>
      <c r="O74" s="291">
        <f t="shared" si="146"/>
        <v>0</v>
      </c>
      <c r="P74" s="291">
        <f t="shared" si="146"/>
        <v>0</v>
      </c>
      <c r="Q74" s="291">
        <f t="shared" si="146"/>
        <v>0</v>
      </c>
      <c r="R74" s="291">
        <f t="shared" si="147"/>
        <v>0</v>
      </c>
      <c r="S74" s="291">
        <f t="shared" si="147"/>
        <v>0</v>
      </c>
      <c r="T74" s="291">
        <f t="shared" si="147"/>
        <v>0</v>
      </c>
      <c r="U74" s="291">
        <f t="shared" si="147"/>
        <v>0</v>
      </c>
      <c r="V74" s="291">
        <f t="shared" si="147"/>
        <v>0</v>
      </c>
      <c r="W74" s="291">
        <f t="shared" si="147"/>
        <v>0</v>
      </c>
      <c r="X74" s="291">
        <f t="shared" si="147"/>
        <v>0</v>
      </c>
      <c r="Y74" s="291">
        <f t="shared" si="147"/>
        <v>0</v>
      </c>
      <c r="Z74" s="291">
        <f t="shared" si="147"/>
        <v>0</v>
      </c>
      <c r="AA74" s="291">
        <f t="shared" si="147"/>
        <v>0</v>
      </c>
      <c r="AB74" s="291">
        <f t="shared" si="147"/>
        <v>0</v>
      </c>
      <c r="AC74" s="291">
        <f t="shared" si="147"/>
        <v>0</v>
      </c>
      <c r="AF74" s="291">
        <f t="shared" si="148"/>
        <v>150</v>
      </c>
      <c r="AG74" s="291">
        <f t="shared" si="148"/>
        <v>0</v>
      </c>
      <c r="AH74" s="291">
        <f t="shared" si="148"/>
        <v>0</v>
      </c>
      <c r="AI74" s="291">
        <f t="shared" si="148"/>
        <v>0</v>
      </c>
      <c r="AJ74" s="291">
        <f t="shared" si="148"/>
        <v>460</v>
      </c>
      <c r="AK74" s="291">
        <f t="shared" si="148"/>
        <v>493</v>
      </c>
      <c r="AL74" s="291">
        <f t="shared" si="148"/>
        <v>294</v>
      </c>
      <c r="AM74" s="291">
        <f t="shared" si="148"/>
        <v>24</v>
      </c>
      <c r="AN74" s="291">
        <f t="shared" si="148"/>
        <v>0</v>
      </c>
      <c r="AO74" s="291">
        <f t="shared" si="148"/>
        <v>0</v>
      </c>
      <c r="AP74" s="291">
        <f t="shared" si="148"/>
        <v>0</v>
      </c>
      <c r="AQ74" s="291">
        <f t="shared" si="148"/>
        <v>0</v>
      </c>
      <c r="AR74" s="275"/>
      <c r="AU74" s="280" t="str">
        <f t="shared" si="144"/>
        <v>Volvo Group India Pvt Ltd</v>
      </c>
      <c r="AV74" s="281">
        <f t="shared" si="149"/>
        <v>2.3702261669808532E-4</v>
      </c>
      <c r="AW74" s="281">
        <f t="shared" si="149"/>
        <v>0</v>
      </c>
      <c r="AX74" s="281">
        <f t="shared" si="149"/>
        <v>0</v>
      </c>
      <c r="AY74" s="281">
        <f t="shared" si="149"/>
        <v>0</v>
      </c>
      <c r="AZ74" s="281">
        <f t="shared" si="149"/>
        <v>5.3680874204706176E-4</v>
      </c>
      <c r="BA74" s="281">
        <f t="shared" si="149"/>
        <v>4.8941795002377603E-4</v>
      </c>
      <c r="BB74" s="281">
        <f t="shared" si="149"/>
        <v>4.0970299320088125E-4</v>
      </c>
      <c r="BC74" s="281">
        <f t="shared" si="149"/>
        <v>4.2211978000524132E-5</v>
      </c>
      <c r="BD74" s="281">
        <f t="shared" si="149"/>
        <v>0</v>
      </c>
      <c r="BE74" s="281">
        <f t="shared" si="149"/>
        <v>0</v>
      </c>
      <c r="BF74" s="281">
        <f t="shared" si="149"/>
        <v>0</v>
      </c>
      <c r="BG74" s="281">
        <f t="shared" si="149"/>
        <v>0</v>
      </c>
      <c r="BK74" s="289"/>
      <c r="BL74" s="289"/>
      <c r="BM74" s="289"/>
      <c r="BO74" s="289"/>
      <c r="BP74" s="289"/>
      <c r="BQ74" s="289"/>
      <c r="BS74" s="289"/>
      <c r="BT74" s="289"/>
      <c r="BU74" s="289"/>
      <c r="BW74" s="289"/>
      <c r="BX74" s="289"/>
      <c r="BY74" s="289"/>
      <c r="CA74" s="289"/>
      <c r="CB74" s="289"/>
      <c r="CC74" s="289"/>
      <c r="CE74" s="289"/>
      <c r="CF74" s="289"/>
      <c r="CG74" s="289"/>
      <c r="CI74" s="289"/>
      <c r="CJ74" s="289"/>
      <c r="CK74" s="289"/>
    </row>
    <row r="75" spans="1:89" outlineLevel="1" x14ac:dyDescent="0.3">
      <c r="A75" s="290" t="s">
        <v>226</v>
      </c>
      <c r="B75" s="291">
        <f t="shared" si="146"/>
        <v>0</v>
      </c>
      <c r="C75" s="291">
        <f t="shared" si="146"/>
        <v>0</v>
      </c>
      <c r="D75" s="291">
        <f t="shared" si="146"/>
        <v>0</v>
      </c>
      <c r="E75" s="291">
        <f t="shared" si="146"/>
        <v>0</v>
      </c>
      <c r="F75" s="291">
        <f t="shared" si="146"/>
        <v>0</v>
      </c>
      <c r="G75" s="291">
        <f t="shared" si="146"/>
        <v>0</v>
      </c>
      <c r="H75" s="291">
        <f t="shared" si="146"/>
        <v>0</v>
      </c>
      <c r="I75" s="291">
        <f t="shared" si="146"/>
        <v>0</v>
      </c>
      <c r="J75" s="291">
        <f t="shared" si="146"/>
        <v>0</v>
      </c>
      <c r="K75" s="291">
        <f t="shared" si="146"/>
        <v>0</v>
      </c>
      <c r="L75" s="291">
        <f t="shared" si="146"/>
        <v>0</v>
      </c>
      <c r="M75" s="291">
        <f t="shared" si="146"/>
        <v>0</v>
      </c>
      <c r="N75" s="291">
        <f t="shared" si="146"/>
        <v>0</v>
      </c>
      <c r="O75" s="291">
        <f t="shared" si="146"/>
        <v>0</v>
      </c>
      <c r="P75" s="291">
        <f t="shared" si="146"/>
        <v>0</v>
      </c>
      <c r="Q75" s="291">
        <f t="shared" si="146"/>
        <v>0</v>
      </c>
      <c r="R75" s="291">
        <f t="shared" si="147"/>
        <v>0</v>
      </c>
      <c r="S75" s="291">
        <f t="shared" si="147"/>
        <v>0</v>
      </c>
      <c r="T75" s="291">
        <f t="shared" si="147"/>
        <v>0</v>
      </c>
      <c r="U75" s="291">
        <f t="shared" si="147"/>
        <v>0</v>
      </c>
      <c r="V75" s="291">
        <f t="shared" si="147"/>
        <v>0</v>
      </c>
      <c r="W75" s="291">
        <f t="shared" si="147"/>
        <v>0</v>
      </c>
      <c r="X75" s="291">
        <f t="shared" si="147"/>
        <v>0</v>
      </c>
      <c r="Y75" s="291">
        <f t="shared" si="147"/>
        <v>0</v>
      </c>
      <c r="Z75" s="291">
        <f t="shared" si="147"/>
        <v>0</v>
      </c>
      <c r="AA75" s="291">
        <f t="shared" si="147"/>
        <v>0</v>
      </c>
      <c r="AB75" s="291">
        <f t="shared" si="147"/>
        <v>0</v>
      </c>
      <c r="AC75" s="291">
        <f t="shared" si="147"/>
        <v>0</v>
      </c>
      <c r="AF75" s="291">
        <f t="shared" si="148"/>
        <v>4606</v>
      </c>
      <c r="AG75" s="291">
        <f t="shared" si="148"/>
        <v>3025</v>
      </c>
      <c r="AH75" s="291">
        <f t="shared" si="148"/>
        <v>848</v>
      </c>
      <c r="AI75" s="291">
        <f t="shared" si="148"/>
        <v>122</v>
      </c>
      <c r="AJ75" s="291">
        <f t="shared" si="148"/>
        <v>0</v>
      </c>
      <c r="AK75" s="291">
        <f t="shared" si="148"/>
        <v>0</v>
      </c>
      <c r="AL75" s="291">
        <f t="shared" si="148"/>
        <v>0</v>
      </c>
      <c r="AM75" s="291">
        <f t="shared" si="148"/>
        <v>0</v>
      </c>
      <c r="AN75" s="291">
        <f t="shared" si="148"/>
        <v>0</v>
      </c>
      <c r="AO75" s="291">
        <f t="shared" si="148"/>
        <v>0</v>
      </c>
      <c r="AP75" s="291">
        <f t="shared" si="148"/>
        <v>0</v>
      </c>
      <c r="AQ75" s="291">
        <f t="shared" si="148"/>
        <v>0</v>
      </c>
      <c r="AR75" s="275"/>
      <c r="AU75" s="280" t="str">
        <f t="shared" si="144"/>
        <v>AMW Motors Ltd</v>
      </c>
      <c r="AV75" s="281">
        <f t="shared" si="149"/>
        <v>7.2781744834092069E-3</v>
      </c>
      <c r="AW75" s="281">
        <f t="shared" si="149"/>
        <v>4.9190111242826779E-3</v>
      </c>
      <c r="AX75" s="281">
        <f t="shared" si="149"/>
        <v>1.2366852169449207E-3</v>
      </c>
      <c r="AY75" s="281">
        <f t="shared" si="149"/>
        <v>1.7081284512595346E-4</v>
      </c>
      <c r="AZ75" s="281">
        <f t="shared" si="149"/>
        <v>0</v>
      </c>
      <c r="BA75" s="281">
        <f t="shared" si="149"/>
        <v>0</v>
      </c>
      <c r="BB75" s="281">
        <f t="shared" si="149"/>
        <v>0</v>
      </c>
      <c r="BC75" s="281">
        <f t="shared" si="149"/>
        <v>0</v>
      </c>
      <c r="BD75" s="281">
        <f t="shared" si="149"/>
        <v>0</v>
      </c>
      <c r="BE75" s="281">
        <f t="shared" si="149"/>
        <v>0</v>
      </c>
      <c r="BF75" s="281">
        <f t="shared" si="149"/>
        <v>0</v>
      </c>
      <c r="BG75" s="281">
        <f t="shared" si="149"/>
        <v>0</v>
      </c>
      <c r="BK75" s="289"/>
      <c r="BL75" s="289"/>
      <c r="BM75" s="289"/>
      <c r="BO75" s="289"/>
      <c r="BP75" s="289"/>
      <c r="BQ75" s="289"/>
      <c r="BS75" s="289"/>
      <c r="BT75" s="289"/>
      <c r="BU75" s="289"/>
      <c r="BW75" s="289"/>
      <c r="BX75" s="289"/>
      <c r="BY75" s="289"/>
      <c r="CA75" s="289"/>
      <c r="CB75" s="289"/>
      <c r="CC75" s="289"/>
      <c r="CE75" s="289"/>
      <c r="CF75" s="289"/>
      <c r="CG75" s="289"/>
      <c r="CI75" s="289"/>
      <c r="CJ75" s="289"/>
      <c r="CK75" s="289"/>
    </row>
    <row r="76" spans="1:89" outlineLevel="1" x14ac:dyDescent="0.3">
      <c r="A76" s="290" t="s">
        <v>227</v>
      </c>
      <c r="B76" s="291">
        <f t="shared" si="146"/>
        <v>0</v>
      </c>
      <c r="C76" s="291">
        <f t="shared" si="146"/>
        <v>0</v>
      </c>
      <c r="D76" s="291">
        <f t="shared" si="146"/>
        <v>0</v>
      </c>
      <c r="E76" s="291">
        <f t="shared" si="146"/>
        <v>0</v>
      </c>
      <c r="F76" s="291">
        <f t="shared" si="146"/>
        <v>0</v>
      </c>
      <c r="G76" s="291">
        <f t="shared" si="146"/>
        <v>0</v>
      </c>
      <c r="H76" s="291">
        <f t="shared" si="146"/>
        <v>0</v>
      </c>
      <c r="I76" s="291">
        <f t="shared" si="146"/>
        <v>0</v>
      </c>
      <c r="J76" s="291">
        <f t="shared" si="146"/>
        <v>0</v>
      </c>
      <c r="K76" s="291">
        <f t="shared" si="146"/>
        <v>0</v>
      </c>
      <c r="L76" s="291">
        <f t="shared" si="146"/>
        <v>0</v>
      </c>
      <c r="M76" s="291">
        <f t="shared" si="146"/>
        <v>0</v>
      </c>
      <c r="N76" s="291">
        <f t="shared" si="146"/>
        <v>0</v>
      </c>
      <c r="O76" s="291">
        <f t="shared" si="146"/>
        <v>0</v>
      </c>
      <c r="P76" s="291">
        <f t="shared" si="146"/>
        <v>0</v>
      </c>
      <c r="Q76" s="291">
        <f t="shared" si="146"/>
        <v>0</v>
      </c>
      <c r="R76" s="291">
        <f t="shared" si="147"/>
        <v>0</v>
      </c>
      <c r="S76" s="291">
        <f t="shared" si="147"/>
        <v>0</v>
      </c>
      <c r="T76" s="291">
        <f t="shared" si="147"/>
        <v>124</v>
      </c>
      <c r="U76" s="291">
        <f t="shared" si="147"/>
        <v>-124</v>
      </c>
      <c r="V76" s="291">
        <f t="shared" si="147"/>
        <v>14</v>
      </c>
      <c r="W76" s="291">
        <f t="shared" si="147"/>
        <v>10</v>
      </c>
      <c r="X76" s="291">
        <f t="shared" si="147"/>
        <v>28</v>
      </c>
      <c r="Y76" s="291">
        <f t="shared" si="147"/>
        <v>18</v>
      </c>
      <c r="Z76" s="291">
        <f t="shared" si="147"/>
        <v>26</v>
      </c>
      <c r="AA76" s="291">
        <f t="shared" si="147"/>
        <v>28</v>
      </c>
      <c r="AB76" s="291">
        <f t="shared" si="147"/>
        <v>29</v>
      </c>
      <c r="AC76" s="291">
        <f t="shared" si="147"/>
        <v>-83</v>
      </c>
      <c r="AF76" s="291">
        <f t="shared" si="148"/>
        <v>0</v>
      </c>
      <c r="AG76" s="291">
        <f t="shared" si="148"/>
        <v>0</v>
      </c>
      <c r="AH76" s="291">
        <f t="shared" si="148"/>
        <v>0</v>
      </c>
      <c r="AI76" s="291">
        <f t="shared" si="148"/>
        <v>0</v>
      </c>
      <c r="AJ76" s="291">
        <f t="shared" si="148"/>
        <v>0</v>
      </c>
      <c r="AK76" s="291">
        <f t="shared" si="148"/>
        <v>0</v>
      </c>
      <c r="AL76" s="291">
        <f t="shared" si="148"/>
        <v>0</v>
      </c>
      <c r="AM76" s="291">
        <f t="shared" si="148"/>
        <v>0</v>
      </c>
      <c r="AN76" s="291">
        <f t="shared" si="148"/>
        <v>0</v>
      </c>
      <c r="AO76" s="291">
        <f t="shared" si="148"/>
        <v>0</v>
      </c>
      <c r="AP76" s="291">
        <f t="shared" si="148"/>
        <v>0</v>
      </c>
      <c r="AQ76" s="291">
        <f t="shared" si="148"/>
        <v>70</v>
      </c>
      <c r="AR76" s="275"/>
      <c r="AU76" s="280" t="str">
        <f t="shared" si="144"/>
        <v>Scania Commercial Vehicles India Pvt Ltd</v>
      </c>
      <c r="AV76" s="281">
        <f t="shared" si="149"/>
        <v>0</v>
      </c>
      <c r="AW76" s="281">
        <f t="shared" si="149"/>
        <v>0</v>
      </c>
      <c r="AX76" s="281">
        <f t="shared" si="149"/>
        <v>0</v>
      </c>
      <c r="AY76" s="281">
        <f t="shared" si="149"/>
        <v>0</v>
      </c>
      <c r="AZ76" s="281">
        <f t="shared" si="149"/>
        <v>0</v>
      </c>
      <c r="BA76" s="281">
        <f t="shared" si="149"/>
        <v>0</v>
      </c>
      <c r="BB76" s="281">
        <f t="shared" si="149"/>
        <v>0</v>
      </c>
      <c r="BC76" s="281">
        <f t="shared" si="149"/>
        <v>0</v>
      </c>
      <c r="BD76" s="281">
        <f t="shared" si="149"/>
        <v>0</v>
      </c>
      <c r="BE76" s="281">
        <f t="shared" si="149"/>
        <v>0</v>
      </c>
      <c r="BF76" s="281">
        <f t="shared" si="149"/>
        <v>0</v>
      </c>
      <c r="BG76" s="281">
        <f t="shared" si="149"/>
        <v>7.3133018513101255E-5</v>
      </c>
      <c r="BK76" s="289"/>
      <c r="BL76" s="289"/>
      <c r="BM76" s="289"/>
      <c r="BO76" s="289"/>
      <c r="BP76" s="289"/>
      <c r="BQ76" s="289"/>
      <c r="BS76" s="289"/>
      <c r="BT76" s="289"/>
      <c r="BU76" s="289"/>
      <c r="BW76" s="289"/>
      <c r="BX76" s="289"/>
      <c r="BY76" s="289"/>
      <c r="CA76" s="289"/>
      <c r="CB76" s="289"/>
      <c r="CC76" s="289"/>
      <c r="CE76" s="289"/>
      <c r="CF76" s="289"/>
      <c r="CG76" s="289"/>
      <c r="CI76" s="289"/>
      <c r="CJ76" s="289"/>
      <c r="CK76" s="289"/>
    </row>
    <row r="77" spans="1:89" outlineLevel="1" x14ac:dyDescent="0.3">
      <c r="A77" s="290" t="s">
        <v>187</v>
      </c>
      <c r="B77" s="291">
        <f t="shared" si="146"/>
        <v>0</v>
      </c>
      <c r="C77" s="291">
        <f t="shared" si="146"/>
        <v>0</v>
      </c>
      <c r="D77" s="291">
        <f t="shared" si="146"/>
        <v>0</v>
      </c>
      <c r="E77" s="291">
        <f t="shared" si="146"/>
        <v>0</v>
      </c>
      <c r="F77" s="291">
        <f t="shared" si="146"/>
        <v>0</v>
      </c>
      <c r="G77" s="291">
        <f t="shared" si="146"/>
        <v>0</v>
      </c>
      <c r="H77" s="291">
        <f t="shared" si="146"/>
        <v>0</v>
      </c>
      <c r="I77" s="291">
        <f t="shared" si="146"/>
        <v>0</v>
      </c>
      <c r="J77" s="291">
        <f t="shared" si="146"/>
        <v>0</v>
      </c>
      <c r="K77" s="291">
        <f t="shared" si="146"/>
        <v>0</v>
      </c>
      <c r="L77" s="291">
        <f t="shared" si="146"/>
        <v>0</v>
      </c>
      <c r="M77" s="291">
        <f t="shared" si="146"/>
        <v>0</v>
      </c>
      <c r="N77" s="291">
        <f t="shared" si="146"/>
        <v>0</v>
      </c>
      <c r="O77" s="291">
        <f t="shared" si="146"/>
        <v>0</v>
      </c>
      <c r="P77" s="291">
        <f t="shared" si="146"/>
        <v>0</v>
      </c>
      <c r="Q77" s="291">
        <f t="shared" si="146"/>
        <v>0</v>
      </c>
      <c r="R77" s="291">
        <f t="shared" si="147"/>
        <v>7</v>
      </c>
      <c r="S77" s="291">
        <f t="shared" si="147"/>
        <v>4</v>
      </c>
      <c r="T77" s="291">
        <f t="shared" si="147"/>
        <v>15</v>
      </c>
      <c r="U77" s="291">
        <f t="shared" si="147"/>
        <v>-26</v>
      </c>
      <c r="V77" s="291">
        <f t="shared" si="147"/>
        <v>29</v>
      </c>
      <c r="W77" s="291">
        <f t="shared" si="147"/>
        <v>42</v>
      </c>
      <c r="X77" s="291">
        <f t="shared" si="147"/>
        <v>37</v>
      </c>
      <c r="Y77" s="291">
        <f t="shared" si="147"/>
        <v>65</v>
      </c>
      <c r="Z77" s="291">
        <f t="shared" si="147"/>
        <v>89</v>
      </c>
      <c r="AA77" s="291">
        <f t="shared" si="147"/>
        <v>219</v>
      </c>
      <c r="AB77" s="291">
        <f t="shared" si="147"/>
        <v>48</v>
      </c>
      <c r="AC77" s="291">
        <f t="shared" si="147"/>
        <v>-145</v>
      </c>
      <c r="AF77" s="291">
        <f t="shared" si="148"/>
        <v>0</v>
      </c>
      <c r="AG77" s="291">
        <f t="shared" si="148"/>
        <v>0</v>
      </c>
      <c r="AH77" s="291">
        <f t="shared" si="148"/>
        <v>0</v>
      </c>
      <c r="AI77" s="291">
        <f t="shared" si="148"/>
        <v>0</v>
      </c>
      <c r="AJ77" s="291">
        <f t="shared" si="148"/>
        <v>0</v>
      </c>
      <c r="AK77" s="291">
        <f t="shared" si="148"/>
        <v>0</v>
      </c>
      <c r="AL77" s="291">
        <f t="shared" si="148"/>
        <v>0</v>
      </c>
      <c r="AM77" s="291">
        <f t="shared" si="148"/>
        <v>0</v>
      </c>
      <c r="AN77" s="291">
        <f t="shared" si="148"/>
        <v>0</v>
      </c>
      <c r="AO77" s="291">
        <f t="shared" si="148"/>
        <v>0</v>
      </c>
      <c r="AP77" s="291">
        <f t="shared" si="148"/>
        <v>0</v>
      </c>
      <c r="AQ77" s="291">
        <f t="shared" si="148"/>
        <v>173</v>
      </c>
      <c r="AR77" s="275"/>
      <c r="AU77" s="280" t="str">
        <f t="shared" si="144"/>
        <v>TI Clean Mobility Pvt Ltd</v>
      </c>
      <c r="AV77" s="281">
        <f t="shared" si="149"/>
        <v>0</v>
      </c>
      <c r="AW77" s="281">
        <f t="shared" si="149"/>
        <v>0</v>
      </c>
      <c r="AX77" s="281">
        <f t="shared" si="149"/>
        <v>0</v>
      </c>
      <c r="AY77" s="281">
        <f t="shared" si="149"/>
        <v>0</v>
      </c>
      <c r="AZ77" s="281">
        <f t="shared" si="149"/>
        <v>0</v>
      </c>
      <c r="BA77" s="281">
        <f t="shared" si="149"/>
        <v>0</v>
      </c>
      <c r="BB77" s="281">
        <f t="shared" si="149"/>
        <v>0</v>
      </c>
      <c r="BC77" s="281">
        <f t="shared" si="149"/>
        <v>0</v>
      </c>
      <c r="BD77" s="281">
        <f t="shared" si="149"/>
        <v>0</v>
      </c>
      <c r="BE77" s="281">
        <f t="shared" si="149"/>
        <v>0</v>
      </c>
      <c r="BF77" s="281">
        <f t="shared" si="149"/>
        <v>0</v>
      </c>
      <c r="BG77" s="281">
        <f t="shared" si="149"/>
        <v>1.8074303146809311E-4</v>
      </c>
      <c r="BK77" s="289"/>
      <c r="BL77" s="289"/>
      <c r="BM77" s="289"/>
      <c r="BO77" s="289"/>
      <c r="BP77" s="289"/>
      <c r="BQ77" s="289"/>
      <c r="BS77" s="289"/>
      <c r="BT77" s="289"/>
      <c r="BU77" s="289"/>
      <c r="BW77" s="289"/>
      <c r="BX77" s="289"/>
      <c r="BY77" s="289"/>
      <c r="CA77" s="289"/>
      <c r="CB77" s="289"/>
      <c r="CC77" s="289"/>
      <c r="CE77" s="289"/>
      <c r="CF77" s="289"/>
      <c r="CG77" s="289"/>
      <c r="CI77" s="289"/>
      <c r="CJ77" s="289"/>
      <c r="CK77" s="289"/>
    </row>
    <row r="78" spans="1:89" outlineLevel="1" x14ac:dyDescent="0.3">
      <c r="A78" s="290" t="s">
        <v>228</v>
      </c>
      <c r="B78" s="291">
        <f t="shared" si="146"/>
        <v>197</v>
      </c>
      <c r="C78" s="291">
        <f t="shared" si="146"/>
        <v>234</v>
      </c>
      <c r="D78" s="291">
        <f t="shared" si="146"/>
        <v>350</v>
      </c>
      <c r="E78" s="291">
        <f t="shared" si="146"/>
        <v>326</v>
      </c>
      <c r="F78" s="291">
        <f t="shared" si="146"/>
        <v>68</v>
      </c>
      <c r="G78" s="291">
        <f t="shared" si="146"/>
        <v>142</v>
      </c>
      <c r="H78" s="291">
        <f t="shared" si="146"/>
        <v>420</v>
      </c>
      <c r="I78" s="291">
        <f t="shared" si="146"/>
        <v>432</v>
      </c>
      <c r="J78" s="291">
        <f t="shared" si="146"/>
        <v>154</v>
      </c>
      <c r="K78" s="291">
        <f t="shared" si="146"/>
        <v>247</v>
      </c>
      <c r="L78" s="291">
        <f t="shared" si="146"/>
        <v>376</v>
      </c>
      <c r="M78" s="291">
        <f t="shared" si="146"/>
        <v>423</v>
      </c>
      <c r="N78" s="291">
        <f t="shared" si="146"/>
        <v>343</v>
      </c>
      <c r="O78" s="291">
        <f t="shared" si="146"/>
        <v>329</v>
      </c>
      <c r="P78" s="291">
        <f t="shared" si="146"/>
        <v>311</v>
      </c>
      <c r="Q78" s="291">
        <f t="shared" ref="L78:AA83" si="150">SUMIF($A$3:$A$60,$A78,Q$3:Q$60)</f>
        <v>335</v>
      </c>
      <c r="R78" s="291">
        <f t="shared" si="150"/>
        <v>321</v>
      </c>
      <c r="S78" s="291">
        <f t="shared" si="150"/>
        <v>395</v>
      </c>
      <c r="T78" s="291">
        <f t="shared" si="150"/>
        <v>385</v>
      </c>
      <c r="U78" s="291">
        <f t="shared" si="150"/>
        <v>218</v>
      </c>
      <c r="V78" s="291">
        <f t="shared" si="147"/>
        <v>142</v>
      </c>
      <c r="W78" s="291">
        <f t="shared" si="147"/>
        <v>261</v>
      </c>
      <c r="X78" s="291">
        <f t="shared" si="147"/>
        <v>311</v>
      </c>
      <c r="Y78" s="291">
        <f t="shared" si="147"/>
        <v>207</v>
      </c>
      <c r="Z78" s="291">
        <f t="shared" si="147"/>
        <v>163</v>
      </c>
      <c r="AA78" s="291">
        <f t="shared" si="147"/>
        <v>225</v>
      </c>
      <c r="AB78" s="291">
        <f t="shared" si="147"/>
        <v>110</v>
      </c>
      <c r="AC78" s="291">
        <f t="shared" si="147"/>
        <v>-498</v>
      </c>
      <c r="AF78" s="291">
        <f t="shared" si="148"/>
        <v>727</v>
      </c>
      <c r="AG78" s="291">
        <f t="shared" si="148"/>
        <v>981</v>
      </c>
      <c r="AH78" s="291">
        <f t="shared" si="148"/>
        <v>1242</v>
      </c>
      <c r="AI78" s="291">
        <f t="shared" si="148"/>
        <v>1163</v>
      </c>
      <c r="AJ78" s="291">
        <f t="shared" si="148"/>
        <v>1055</v>
      </c>
      <c r="AK78" s="291">
        <f t="shared" si="148"/>
        <v>1226</v>
      </c>
      <c r="AL78" s="291">
        <f t="shared" si="148"/>
        <v>1107</v>
      </c>
      <c r="AM78" s="291">
        <f t="shared" si="148"/>
        <v>1062</v>
      </c>
      <c r="AN78" s="291">
        <f t="shared" si="148"/>
        <v>1200</v>
      </c>
      <c r="AO78" s="291">
        <f t="shared" si="148"/>
        <v>1318</v>
      </c>
      <c r="AP78" s="291">
        <f t="shared" si="148"/>
        <v>1319</v>
      </c>
      <c r="AQ78" s="291">
        <f t="shared" si="148"/>
        <v>921</v>
      </c>
      <c r="AR78" s="275"/>
      <c r="AU78" s="280" t="str">
        <f t="shared" si="144"/>
        <v>VECV-Volvo</v>
      </c>
      <c r="AV78" s="281">
        <f t="shared" si="149"/>
        <v>1.1487696155967203E-3</v>
      </c>
      <c r="AW78" s="281">
        <f t="shared" si="149"/>
        <v>1.5952231117095231E-3</v>
      </c>
      <c r="AX78" s="281">
        <f t="shared" si="149"/>
        <v>1.8112771691575374E-3</v>
      </c>
      <c r="AY78" s="281">
        <f t="shared" si="149"/>
        <v>1.6283224498482285E-3</v>
      </c>
      <c r="AZ78" s="281">
        <f t="shared" si="149"/>
        <v>1.2311591801296743E-3</v>
      </c>
      <c r="BA78" s="281">
        <f t="shared" si="149"/>
        <v>1.2170921028988831E-3</v>
      </c>
      <c r="BB78" s="281">
        <f t="shared" si="149"/>
        <v>1.5426571886849509E-3</v>
      </c>
      <c r="BC78" s="281">
        <f t="shared" si="149"/>
        <v>1.8678800265231929E-3</v>
      </c>
      <c r="BD78" s="281">
        <f t="shared" si="149"/>
        <v>1.6746538350968369E-3</v>
      </c>
      <c r="BE78" s="281">
        <f t="shared" si="149"/>
        <v>1.3693961773274541E-3</v>
      </c>
      <c r="BF78" s="281">
        <f t="shared" si="149"/>
        <v>1.3627750604931614E-3</v>
      </c>
      <c r="BG78" s="281">
        <f t="shared" si="149"/>
        <v>9.622215721509466E-4</v>
      </c>
      <c r="BK78" s="289"/>
      <c r="BL78" s="289"/>
      <c r="BM78" s="289"/>
      <c r="BO78" s="289"/>
      <c r="BP78" s="289"/>
      <c r="BQ78" s="289"/>
      <c r="BS78" s="289"/>
      <c r="BT78" s="289"/>
      <c r="BU78" s="289"/>
      <c r="BW78" s="289"/>
      <c r="BX78" s="289"/>
      <c r="BY78" s="289"/>
      <c r="CA78" s="289"/>
      <c r="CB78" s="289"/>
      <c r="CC78" s="289"/>
      <c r="CE78" s="289"/>
      <c r="CF78" s="289"/>
      <c r="CG78" s="289"/>
      <c r="CI78" s="289"/>
      <c r="CJ78" s="289"/>
      <c r="CK78" s="289"/>
    </row>
    <row r="79" spans="1:89" outlineLevel="1" x14ac:dyDescent="0.3">
      <c r="A79" s="290" t="s">
        <v>158</v>
      </c>
      <c r="B79" s="291">
        <f t="shared" ref="B79:K83" si="151">SUMIF($A$3:$A$60,$A79,B$3:B$60)</f>
        <v>0</v>
      </c>
      <c r="C79" s="291">
        <f t="shared" si="151"/>
        <v>0</v>
      </c>
      <c r="D79" s="291">
        <f t="shared" si="151"/>
        <v>0</v>
      </c>
      <c r="E79" s="291">
        <f t="shared" si="151"/>
        <v>0</v>
      </c>
      <c r="F79" s="291">
        <f t="shared" si="151"/>
        <v>0</v>
      </c>
      <c r="G79" s="291">
        <f t="shared" si="151"/>
        <v>0</v>
      </c>
      <c r="H79" s="291">
        <f t="shared" si="151"/>
        <v>0</v>
      </c>
      <c r="I79" s="291">
        <f t="shared" si="151"/>
        <v>10</v>
      </c>
      <c r="J79" s="291">
        <f t="shared" si="151"/>
        <v>4</v>
      </c>
      <c r="K79" s="291">
        <f t="shared" si="151"/>
        <v>5</v>
      </c>
      <c r="L79" s="291">
        <f t="shared" si="150"/>
        <v>0</v>
      </c>
      <c r="M79" s="291">
        <f t="shared" si="150"/>
        <v>1</v>
      </c>
      <c r="N79" s="291">
        <f t="shared" si="150"/>
        <v>433</v>
      </c>
      <c r="O79" s="291">
        <f t="shared" si="150"/>
        <v>24</v>
      </c>
      <c r="P79" s="291">
        <f t="shared" si="150"/>
        <v>117</v>
      </c>
      <c r="Q79" s="291">
        <f t="shared" si="150"/>
        <v>239</v>
      </c>
      <c r="R79" s="291">
        <f t="shared" si="150"/>
        <v>293</v>
      </c>
      <c r="S79" s="291">
        <f t="shared" si="150"/>
        <v>47</v>
      </c>
      <c r="T79" s="291">
        <f t="shared" si="150"/>
        <v>52</v>
      </c>
      <c r="U79" s="291">
        <f t="shared" si="150"/>
        <v>61</v>
      </c>
      <c r="V79" s="291">
        <f t="shared" si="150"/>
        <v>70</v>
      </c>
      <c r="W79" s="291">
        <f t="shared" si="150"/>
        <v>10</v>
      </c>
      <c r="X79" s="291">
        <f t="shared" si="150"/>
        <v>63</v>
      </c>
      <c r="Y79" s="291">
        <f t="shared" si="150"/>
        <v>135</v>
      </c>
      <c r="Z79" s="291">
        <f t="shared" si="150"/>
        <v>134</v>
      </c>
      <c r="AA79" s="291">
        <f t="shared" si="150"/>
        <v>34</v>
      </c>
      <c r="AB79" s="291">
        <f t="shared" ref="V79:AC83" si="152">SUMIF($A$3:$A$60,$A79,AB$3:AB$60)</f>
        <v>33</v>
      </c>
      <c r="AC79" s="291">
        <f t="shared" si="152"/>
        <v>-201</v>
      </c>
      <c r="AF79" s="291">
        <f t="shared" ref="AF79:AQ83" si="153">SUMIF($A$3:$A$60,$A79,AF$3:AF$60)</f>
        <v>0</v>
      </c>
      <c r="AG79" s="291">
        <f t="shared" si="153"/>
        <v>0</v>
      </c>
      <c r="AH79" s="291">
        <f t="shared" si="153"/>
        <v>0</v>
      </c>
      <c r="AI79" s="291">
        <f t="shared" si="153"/>
        <v>0</v>
      </c>
      <c r="AJ79" s="291">
        <f t="shared" si="153"/>
        <v>0</v>
      </c>
      <c r="AK79" s="291">
        <f t="shared" si="153"/>
        <v>0</v>
      </c>
      <c r="AL79" s="291">
        <f t="shared" si="153"/>
        <v>0</v>
      </c>
      <c r="AM79" s="291">
        <f t="shared" si="153"/>
        <v>10</v>
      </c>
      <c r="AN79" s="291">
        <f t="shared" si="153"/>
        <v>10</v>
      </c>
      <c r="AO79" s="291">
        <f t="shared" si="153"/>
        <v>813</v>
      </c>
      <c r="AP79" s="291">
        <f t="shared" si="153"/>
        <v>453</v>
      </c>
      <c r="AQ79" s="291">
        <f t="shared" si="153"/>
        <v>278</v>
      </c>
      <c r="AR79" s="275"/>
      <c r="AU79" s="280" t="str">
        <f t="shared" si="144"/>
        <v>Toyota Kirloskar Motor Pvt Ltd</v>
      </c>
      <c r="AV79" s="281">
        <f t="shared" si="149"/>
        <v>0</v>
      </c>
      <c r="AW79" s="281">
        <f t="shared" si="149"/>
        <v>0</v>
      </c>
      <c r="AX79" s="281">
        <f t="shared" si="149"/>
        <v>0</v>
      </c>
      <c r="AY79" s="281">
        <f t="shared" si="149"/>
        <v>0</v>
      </c>
      <c r="AZ79" s="281">
        <f t="shared" si="149"/>
        <v>0</v>
      </c>
      <c r="BA79" s="281">
        <f t="shared" si="149"/>
        <v>0</v>
      </c>
      <c r="BB79" s="281">
        <f t="shared" si="149"/>
        <v>0</v>
      </c>
      <c r="BC79" s="281">
        <f t="shared" si="149"/>
        <v>1.7588324166885055E-5</v>
      </c>
      <c r="BD79" s="281">
        <f t="shared" si="149"/>
        <v>1.3955448625806974E-5</v>
      </c>
      <c r="BE79" s="281">
        <f t="shared" si="149"/>
        <v>8.4470340832110786E-4</v>
      </c>
      <c r="BF79" s="281">
        <f t="shared" si="149"/>
        <v>4.6803419439226843E-4</v>
      </c>
      <c r="BG79" s="281">
        <f t="shared" si="149"/>
        <v>2.90442559237745E-4</v>
      </c>
      <c r="BK79" s="289"/>
      <c r="BL79" s="289"/>
      <c r="BM79" s="289"/>
      <c r="BO79" s="289"/>
      <c r="BP79" s="289"/>
      <c r="BQ79" s="289"/>
      <c r="BS79" s="289"/>
      <c r="BT79" s="289"/>
      <c r="BU79" s="289"/>
      <c r="BW79" s="289"/>
      <c r="BX79" s="289"/>
      <c r="BY79" s="289"/>
      <c r="CA79" s="289"/>
      <c r="CB79" s="289"/>
      <c r="CC79" s="289"/>
      <c r="CE79" s="289"/>
      <c r="CF79" s="289"/>
      <c r="CG79" s="289"/>
      <c r="CI79" s="289"/>
      <c r="CJ79" s="289"/>
      <c r="CK79" s="289"/>
    </row>
    <row r="80" spans="1:89" outlineLevel="1" x14ac:dyDescent="0.3">
      <c r="A80" s="290" t="s">
        <v>147</v>
      </c>
      <c r="B80" s="291">
        <f t="shared" si="151"/>
        <v>0</v>
      </c>
      <c r="C80" s="291">
        <f t="shared" si="151"/>
        <v>0</v>
      </c>
      <c r="D80" s="291">
        <f t="shared" si="151"/>
        <v>0</v>
      </c>
      <c r="E80" s="291">
        <f t="shared" si="151"/>
        <v>0</v>
      </c>
      <c r="F80" s="291">
        <f t="shared" si="151"/>
        <v>0</v>
      </c>
      <c r="G80" s="291">
        <f t="shared" si="151"/>
        <v>0</v>
      </c>
      <c r="H80" s="291">
        <f t="shared" si="151"/>
        <v>0</v>
      </c>
      <c r="I80" s="291">
        <f t="shared" si="151"/>
        <v>0</v>
      </c>
      <c r="J80" s="291">
        <f t="shared" si="151"/>
        <v>0</v>
      </c>
      <c r="K80" s="291">
        <f t="shared" si="151"/>
        <v>0</v>
      </c>
      <c r="L80" s="291">
        <f t="shared" si="150"/>
        <v>0</v>
      </c>
      <c r="M80" s="291">
        <f t="shared" si="150"/>
        <v>0</v>
      </c>
      <c r="N80" s="291">
        <f t="shared" si="150"/>
        <v>0</v>
      </c>
      <c r="O80" s="291">
        <f t="shared" si="150"/>
        <v>0</v>
      </c>
      <c r="P80" s="291">
        <f t="shared" si="150"/>
        <v>0</v>
      </c>
      <c r="Q80" s="291">
        <f t="shared" si="150"/>
        <v>0</v>
      </c>
      <c r="R80" s="291">
        <f t="shared" si="150"/>
        <v>0</v>
      </c>
      <c r="S80" s="291">
        <f t="shared" si="150"/>
        <v>0</v>
      </c>
      <c r="T80" s="291">
        <f t="shared" si="150"/>
        <v>0</v>
      </c>
      <c r="U80" s="291">
        <f t="shared" si="150"/>
        <v>0</v>
      </c>
      <c r="V80" s="291">
        <f t="shared" si="152"/>
        <v>0</v>
      </c>
      <c r="W80" s="291">
        <f t="shared" si="152"/>
        <v>0</v>
      </c>
      <c r="X80" s="291">
        <f t="shared" si="152"/>
        <v>0</v>
      </c>
      <c r="Y80" s="291">
        <f t="shared" si="152"/>
        <v>0</v>
      </c>
      <c r="Z80" s="291">
        <f t="shared" si="152"/>
        <v>0</v>
      </c>
      <c r="AA80" s="291">
        <f t="shared" si="152"/>
        <v>0</v>
      </c>
      <c r="AB80" s="291">
        <f t="shared" si="152"/>
        <v>0</v>
      </c>
      <c r="AC80" s="291">
        <f t="shared" si="152"/>
        <v>0</v>
      </c>
      <c r="AF80" s="291">
        <f t="shared" si="153"/>
        <v>184</v>
      </c>
      <c r="AG80" s="291">
        <f t="shared" si="153"/>
        <v>0</v>
      </c>
      <c r="AH80" s="291">
        <f t="shared" si="153"/>
        <v>0</v>
      </c>
      <c r="AI80" s="291">
        <f t="shared" si="153"/>
        <v>0</v>
      </c>
      <c r="AJ80" s="291">
        <f t="shared" si="153"/>
        <v>0</v>
      </c>
      <c r="AK80" s="291">
        <f t="shared" si="153"/>
        <v>0</v>
      </c>
      <c r="AL80" s="291">
        <f t="shared" si="153"/>
        <v>0</v>
      </c>
      <c r="AM80" s="291">
        <f t="shared" si="153"/>
        <v>0</v>
      </c>
      <c r="AN80" s="291">
        <f t="shared" si="153"/>
        <v>0</v>
      </c>
      <c r="AO80" s="291">
        <f t="shared" si="153"/>
        <v>0</v>
      </c>
      <c r="AP80" s="291">
        <f t="shared" si="153"/>
        <v>0</v>
      </c>
      <c r="AQ80" s="291">
        <f t="shared" si="153"/>
        <v>0</v>
      </c>
      <c r="AR80" s="275"/>
      <c r="AU80" s="280" t="str">
        <f t="shared" si="144"/>
        <v>Hindustan Motors Ltd</v>
      </c>
      <c r="AV80" s="281">
        <f t="shared" si="149"/>
        <v>2.9074774314965135E-4</v>
      </c>
      <c r="AW80" s="281">
        <f t="shared" si="149"/>
        <v>0</v>
      </c>
      <c r="AX80" s="281">
        <f t="shared" si="149"/>
        <v>0</v>
      </c>
      <c r="AY80" s="281">
        <f t="shared" si="149"/>
        <v>0</v>
      </c>
      <c r="AZ80" s="281">
        <f t="shared" si="149"/>
        <v>0</v>
      </c>
      <c r="BA80" s="281">
        <f t="shared" si="149"/>
        <v>0</v>
      </c>
      <c r="BB80" s="281">
        <f t="shared" si="149"/>
        <v>0</v>
      </c>
      <c r="BC80" s="281">
        <f t="shared" si="149"/>
        <v>0</v>
      </c>
      <c r="BD80" s="281">
        <f t="shared" si="149"/>
        <v>0</v>
      </c>
      <c r="BE80" s="281">
        <f t="shared" si="149"/>
        <v>0</v>
      </c>
      <c r="BF80" s="281">
        <f t="shared" si="149"/>
        <v>0</v>
      </c>
      <c r="BG80" s="281">
        <f t="shared" si="149"/>
        <v>0</v>
      </c>
      <c r="BK80" s="289"/>
      <c r="BL80" s="289"/>
      <c r="BM80" s="289"/>
      <c r="BO80" s="289"/>
      <c r="BP80" s="289"/>
      <c r="BQ80" s="289"/>
      <c r="BS80" s="289"/>
      <c r="BT80" s="289"/>
      <c r="BU80" s="289"/>
      <c r="BW80" s="289"/>
      <c r="BX80" s="289"/>
      <c r="BY80" s="289"/>
      <c r="CA80" s="289"/>
      <c r="CB80" s="289"/>
      <c r="CC80" s="289"/>
      <c r="CE80" s="289"/>
      <c r="CF80" s="289"/>
      <c r="CG80" s="289"/>
      <c r="CI80" s="289"/>
      <c r="CJ80" s="289"/>
      <c r="CK80" s="289"/>
    </row>
    <row r="81" spans="1:89" outlineLevel="1" x14ac:dyDescent="0.3">
      <c r="A81" s="290" t="s">
        <v>234</v>
      </c>
      <c r="B81" s="291">
        <f t="shared" si="151"/>
        <v>486</v>
      </c>
      <c r="C81" s="291">
        <f t="shared" si="151"/>
        <v>746</v>
      </c>
      <c r="D81" s="291">
        <f t="shared" si="151"/>
        <v>897</v>
      </c>
      <c r="E81" s="291">
        <f t="shared" si="151"/>
        <v>677</v>
      </c>
      <c r="F81" s="291">
        <f t="shared" si="151"/>
        <v>0</v>
      </c>
      <c r="G81" s="291">
        <f t="shared" si="151"/>
        <v>28</v>
      </c>
      <c r="H81" s="291">
        <f t="shared" si="151"/>
        <v>703</v>
      </c>
      <c r="I81" s="291">
        <f t="shared" si="151"/>
        <v>679</v>
      </c>
      <c r="J81" s="291">
        <f t="shared" si="151"/>
        <v>452</v>
      </c>
      <c r="K81" s="291">
        <f t="shared" si="151"/>
        <v>420</v>
      </c>
      <c r="L81" s="291">
        <f t="shared" si="150"/>
        <v>534</v>
      </c>
      <c r="M81" s="291">
        <f t="shared" si="150"/>
        <v>489</v>
      </c>
      <c r="N81" s="291">
        <f t="shared" si="150"/>
        <v>485</v>
      </c>
      <c r="O81" s="291">
        <f t="shared" si="150"/>
        <v>156</v>
      </c>
      <c r="P81" s="291">
        <f t="shared" si="150"/>
        <v>373</v>
      </c>
      <c r="Q81" s="291">
        <f t="shared" si="150"/>
        <v>255</v>
      </c>
      <c r="R81" s="291">
        <f t="shared" si="150"/>
        <v>426</v>
      </c>
      <c r="S81" s="291">
        <f t="shared" si="150"/>
        <v>528</v>
      </c>
      <c r="T81" s="291">
        <f t="shared" si="150"/>
        <v>425</v>
      </c>
      <c r="U81" s="291">
        <f t="shared" si="150"/>
        <v>795</v>
      </c>
      <c r="V81" s="291">
        <f t="shared" si="152"/>
        <v>286</v>
      </c>
      <c r="W81" s="291">
        <f t="shared" si="152"/>
        <v>393</v>
      </c>
      <c r="X81" s="291">
        <f t="shared" si="152"/>
        <v>561</v>
      </c>
      <c r="Y81" s="291">
        <f t="shared" si="152"/>
        <v>831</v>
      </c>
      <c r="Z81" s="291">
        <f t="shared" si="152"/>
        <v>414</v>
      </c>
      <c r="AA81" s="291">
        <f t="shared" si="152"/>
        <v>494</v>
      </c>
      <c r="AB81" s="291">
        <f t="shared" si="152"/>
        <v>629</v>
      </c>
      <c r="AC81" s="291">
        <f t="shared" si="152"/>
        <v>-1537</v>
      </c>
      <c r="AF81" s="291">
        <f t="shared" si="153"/>
        <v>114</v>
      </c>
      <c r="AG81" s="291">
        <f t="shared" si="153"/>
        <v>913</v>
      </c>
      <c r="AH81" s="291">
        <f t="shared" si="153"/>
        <v>1074</v>
      </c>
      <c r="AI81" s="291">
        <f t="shared" si="153"/>
        <v>1192</v>
      </c>
      <c r="AJ81" s="291">
        <f t="shared" si="153"/>
        <v>2382</v>
      </c>
      <c r="AK81" s="291">
        <f t="shared" si="153"/>
        <v>3620</v>
      </c>
      <c r="AL81" s="291">
        <f t="shared" si="153"/>
        <v>2806</v>
      </c>
      <c r="AM81" s="291">
        <f t="shared" si="153"/>
        <v>1410</v>
      </c>
      <c r="AN81" s="291">
        <f t="shared" si="153"/>
        <v>1895</v>
      </c>
      <c r="AO81" s="291">
        <f t="shared" si="153"/>
        <v>1269</v>
      </c>
      <c r="AP81" s="291">
        <f t="shared" si="153"/>
        <v>2174</v>
      </c>
      <c r="AQ81" s="291">
        <f t="shared" si="153"/>
        <v>2071</v>
      </c>
      <c r="AR81" s="275"/>
      <c r="AU81" s="280" t="str">
        <f t="shared" si="144"/>
        <v>Isuzu Motors India Pvt Ltd</v>
      </c>
      <c r="AV81" s="281">
        <f t="shared" si="149"/>
        <v>1.8013718869054485E-4</v>
      </c>
      <c r="AW81" s="281">
        <f t="shared" si="149"/>
        <v>1.4846469938744084E-3</v>
      </c>
      <c r="AX81" s="281">
        <f t="shared" si="149"/>
        <v>1.5662734941024115E-3</v>
      </c>
      <c r="AY81" s="281">
        <f t="shared" si="149"/>
        <v>1.6689255031978405E-3</v>
      </c>
      <c r="AZ81" s="281">
        <f t="shared" si="149"/>
        <v>2.7797357033828287E-3</v>
      </c>
      <c r="BA81" s="281">
        <f t="shared" si="149"/>
        <v>3.5936977263409109E-3</v>
      </c>
      <c r="BB81" s="281">
        <f t="shared" si="149"/>
        <v>3.91029455415535E-3</v>
      </c>
      <c r="BC81" s="281">
        <f t="shared" si="149"/>
        <v>2.4799537075307927E-3</v>
      </c>
      <c r="BD81" s="281">
        <f t="shared" si="149"/>
        <v>2.6445575145904216E-3</v>
      </c>
      <c r="BE81" s="281">
        <f t="shared" si="149"/>
        <v>1.3184853938001055E-3</v>
      </c>
      <c r="BF81" s="281">
        <f t="shared" si="149"/>
        <v>2.246150857856052E-3</v>
      </c>
      <c r="BG81" s="281">
        <f t="shared" si="149"/>
        <v>2.1636925905804674E-3</v>
      </c>
      <c r="BK81" s="289"/>
      <c r="BL81" s="289"/>
      <c r="BM81" s="289"/>
      <c r="BO81" s="289"/>
      <c r="BP81" s="289"/>
      <c r="BQ81" s="289"/>
      <c r="BS81" s="289"/>
      <c r="BT81" s="289"/>
      <c r="BU81" s="289"/>
      <c r="BW81" s="289"/>
      <c r="BX81" s="289"/>
      <c r="BY81" s="289"/>
      <c r="CA81" s="289"/>
      <c r="CB81" s="289"/>
      <c r="CC81" s="289"/>
      <c r="CE81" s="289"/>
      <c r="CF81" s="289"/>
      <c r="CG81" s="289"/>
      <c r="CI81" s="289"/>
      <c r="CJ81" s="289"/>
      <c r="CK81" s="289"/>
    </row>
    <row r="82" spans="1:89" outlineLevel="1" x14ac:dyDescent="0.3">
      <c r="A82" s="290" t="s">
        <v>152</v>
      </c>
      <c r="B82" s="291">
        <f t="shared" si="151"/>
        <v>6568</v>
      </c>
      <c r="C82" s="291">
        <f t="shared" si="151"/>
        <v>5333</v>
      </c>
      <c r="D82" s="291">
        <f t="shared" si="151"/>
        <v>6287</v>
      </c>
      <c r="E82" s="291">
        <f t="shared" si="151"/>
        <v>3590</v>
      </c>
      <c r="F82" s="291">
        <f t="shared" si="151"/>
        <v>1189</v>
      </c>
      <c r="G82" s="291">
        <f t="shared" si="151"/>
        <v>6652</v>
      </c>
      <c r="H82" s="291">
        <f t="shared" si="151"/>
        <v>12076</v>
      </c>
      <c r="I82" s="291">
        <f t="shared" si="151"/>
        <v>9639</v>
      </c>
      <c r="J82" s="291">
        <f t="shared" si="151"/>
        <v>4056</v>
      </c>
      <c r="K82" s="291">
        <f t="shared" si="151"/>
        <v>8660</v>
      </c>
      <c r="L82" s="291">
        <f t="shared" si="150"/>
        <v>10103</v>
      </c>
      <c r="M82" s="291">
        <f t="shared" si="150"/>
        <v>10993</v>
      </c>
      <c r="N82" s="291">
        <f t="shared" si="150"/>
        <v>10817</v>
      </c>
      <c r="O82" s="291">
        <f t="shared" si="150"/>
        <v>8692</v>
      </c>
      <c r="P82" s="291">
        <f t="shared" si="150"/>
        <v>7098</v>
      </c>
      <c r="Q82" s="291">
        <f t="shared" si="150"/>
        <v>11399</v>
      </c>
      <c r="R82" s="291">
        <f t="shared" si="150"/>
        <v>8079</v>
      </c>
      <c r="S82" s="291">
        <f t="shared" si="150"/>
        <v>7417</v>
      </c>
      <c r="T82" s="291">
        <f t="shared" si="150"/>
        <v>8117</v>
      </c>
      <c r="U82" s="291">
        <f t="shared" si="150"/>
        <v>10150</v>
      </c>
      <c r="V82" s="291">
        <f t="shared" si="152"/>
        <v>7946</v>
      </c>
      <c r="W82" s="291">
        <f t="shared" si="152"/>
        <v>8485</v>
      </c>
      <c r="X82" s="291">
        <f t="shared" si="152"/>
        <v>8871</v>
      </c>
      <c r="Y82" s="291">
        <f t="shared" si="152"/>
        <v>9190</v>
      </c>
      <c r="Z82" s="291">
        <f t="shared" si="152"/>
        <v>8510</v>
      </c>
      <c r="AA82" s="291">
        <f t="shared" si="152"/>
        <v>8457</v>
      </c>
      <c r="AB82" s="291">
        <f t="shared" si="152"/>
        <v>11498</v>
      </c>
      <c r="AC82" s="291">
        <f t="shared" si="152"/>
        <v>-28465</v>
      </c>
      <c r="AF82" s="291">
        <f t="shared" si="153"/>
        <v>0</v>
      </c>
      <c r="AG82" s="291">
        <f t="shared" si="153"/>
        <v>0</v>
      </c>
      <c r="AH82" s="291">
        <f t="shared" si="153"/>
        <v>0</v>
      </c>
      <c r="AI82" s="291">
        <f t="shared" si="153"/>
        <v>900</v>
      </c>
      <c r="AJ82" s="291">
        <f t="shared" si="153"/>
        <v>10033</v>
      </c>
      <c r="AK82" s="291">
        <f t="shared" si="153"/>
        <v>23874</v>
      </c>
      <c r="AL82" s="291">
        <f t="shared" si="153"/>
        <v>21778</v>
      </c>
      <c r="AM82" s="291">
        <f t="shared" si="153"/>
        <v>29556</v>
      </c>
      <c r="AN82" s="291">
        <f t="shared" si="153"/>
        <v>33812</v>
      </c>
      <c r="AO82" s="291">
        <f t="shared" si="153"/>
        <v>38006</v>
      </c>
      <c r="AP82" s="291">
        <f t="shared" si="153"/>
        <v>33763</v>
      </c>
      <c r="AQ82" s="291">
        <f t="shared" si="153"/>
        <v>34492</v>
      </c>
      <c r="AR82" s="275"/>
      <c r="AU82" s="280" t="str">
        <f t="shared" si="144"/>
        <v>Maruti Suzuki India Ltd</v>
      </c>
      <c r="AV82" s="281">
        <f t="shared" si="149"/>
        <v>0</v>
      </c>
      <c r="AW82" s="281">
        <f t="shared" si="149"/>
        <v>0</v>
      </c>
      <c r="AX82" s="281">
        <f t="shared" si="149"/>
        <v>0</v>
      </c>
      <c r="AY82" s="281">
        <f t="shared" si="149"/>
        <v>1.2600947591258863E-3</v>
      </c>
      <c r="AZ82" s="281">
        <f t="shared" si="149"/>
        <v>1.1708265454256893E-2</v>
      </c>
      <c r="BA82" s="281">
        <f t="shared" si="149"/>
        <v>2.3700535778636161E-2</v>
      </c>
      <c r="BB82" s="281">
        <f t="shared" si="149"/>
        <v>3.0348679543975486E-2</v>
      </c>
      <c r="BC82" s="281">
        <f t="shared" si="149"/>
        <v>5.198405090764547E-2</v>
      </c>
      <c r="BD82" s="281">
        <f t="shared" si="149"/>
        <v>4.7186162893578541E-2</v>
      </c>
      <c r="BE82" s="281">
        <f t="shared" si="149"/>
        <v>3.9488066096742956E-2</v>
      </c>
      <c r="BF82" s="281">
        <f t="shared" si="149"/>
        <v>3.4883528709196823E-2</v>
      </c>
      <c r="BG82" s="281">
        <f t="shared" si="149"/>
        <v>3.603577249362698E-2</v>
      </c>
      <c r="BK82" s="289"/>
      <c r="BL82" s="289"/>
      <c r="BM82" s="289"/>
      <c r="BO82" s="289"/>
      <c r="BP82" s="289"/>
      <c r="BQ82" s="289"/>
      <c r="BS82" s="289"/>
      <c r="BT82" s="289"/>
      <c r="BU82" s="289"/>
      <c r="BW82" s="289"/>
      <c r="BX82" s="289"/>
      <c r="BY82" s="289"/>
      <c r="CA82" s="289"/>
      <c r="CB82" s="289"/>
      <c r="CC82" s="289"/>
      <c r="CE82" s="289"/>
      <c r="CF82" s="289"/>
      <c r="CG82" s="289"/>
      <c r="CI82" s="289"/>
      <c r="CJ82" s="289"/>
      <c r="CK82" s="289"/>
    </row>
    <row r="83" spans="1:89" outlineLevel="1" x14ac:dyDescent="0.3">
      <c r="A83" s="290" t="s">
        <v>122</v>
      </c>
      <c r="B83" s="291">
        <f t="shared" si="151"/>
        <v>139</v>
      </c>
      <c r="C83" s="291">
        <f t="shared" si="151"/>
        <v>66</v>
      </c>
      <c r="D83" s="291">
        <f t="shared" si="151"/>
        <v>10</v>
      </c>
      <c r="E83" s="291">
        <f t="shared" si="151"/>
        <v>53</v>
      </c>
      <c r="F83" s="291">
        <f t="shared" si="151"/>
        <v>0</v>
      </c>
      <c r="G83" s="291">
        <f t="shared" si="151"/>
        <v>0</v>
      </c>
      <c r="H83" s="291">
        <f t="shared" si="151"/>
        <v>0</v>
      </c>
      <c r="I83" s="291">
        <f t="shared" si="151"/>
        <v>0</v>
      </c>
      <c r="J83" s="291">
        <f t="shared" si="151"/>
        <v>0</v>
      </c>
      <c r="K83" s="291">
        <f t="shared" si="151"/>
        <v>0</v>
      </c>
      <c r="L83" s="291">
        <f t="shared" si="150"/>
        <v>0</v>
      </c>
      <c r="M83" s="291">
        <f t="shared" si="150"/>
        <v>0</v>
      </c>
      <c r="N83" s="291">
        <f t="shared" si="150"/>
        <v>0</v>
      </c>
      <c r="O83" s="291">
        <f t="shared" si="150"/>
        <v>0</v>
      </c>
      <c r="P83" s="291">
        <f t="shared" si="150"/>
        <v>0</v>
      </c>
      <c r="Q83" s="291">
        <f t="shared" si="150"/>
        <v>0</v>
      </c>
      <c r="R83" s="291">
        <f t="shared" si="150"/>
        <v>0</v>
      </c>
      <c r="S83" s="291">
        <f t="shared" si="150"/>
        <v>0</v>
      </c>
      <c r="T83" s="291">
        <f t="shared" si="150"/>
        <v>0</v>
      </c>
      <c r="U83" s="291">
        <f t="shared" si="150"/>
        <v>0</v>
      </c>
      <c r="V83" s="291">
        <f t="shared" si="152"/>
        <v>0</v>
      </c>
      <c r="W83" s="291">
        <f t="shared" si="152"/>
        <v>0</v>
      </c>
      <c r="X83" s="291">
        <f t="shared" si="152"/>
        <v>0</v>
      </c>
      <c r="Y83" s="291">
        <f t="shared" si="152"/>
        <v>0</v>
      </c>
      <c r="Z83" s="291">
        <f t="shared" si="152"/>
        <v>0</v>
      </c>
      <c r="AA83" s="291">
        <f t="shared" si="152"/>
        <v>0</v>
      </c>
      <c r="AB83" s="291">
        <f t="shared" si="152"/>
        <v>0</v>
      </c>
      <c r="AC83" s="291">
        <f t="shared" si="152"/>
        <v>0</v>
      </c>
      <c r="AF83" s="291">
        <f t="shared" si="153"/>
        <v>6968</v>
      </c>
      <c r="AG83" s="291">
        <f t="shared" si="153"/>
        <v>6229</v>
      </c>
      <c r="AH83" s="291">
        <f t="shared" si="153"/>
        <v>4583</v>
      </c>
      <c r="AI83" s="291">
        <f t="shared" si="153"/>
        <v>3191</v>
      </c>
      <c r="AJ83" s="291">
        <f t="shared" si="153"/>
        <v>2174</v>
      </c>
      <c r="AK83" s="291">
        <f t="shared" si="153"/>
        <v>1592</v>
      </c>
      <c r="AL83" s="291">
        <f t="shared" si="153"/>
        <v>268</v>
      </c>
      <c r="AM83" s="291">
        <f t="shared" si="153"/>
        <v>0</v>
      </c>
      <c r="AN83" s="291">
        <f t="shared" si="153"/>
        <v>0</v>
      </c>
      <c r="AO83" s="291">
        <f t="shared" si="153"/>
        <v>0</v>
      </c>
      <c r="AP83" s="291">
        <f t="shared" si="153"/>
        <v>0</v>
      </c>
      <c r="AQ83" s="291">
        <f t="shared" si="153"/>
        <v>0</v>
      </c>
      <c r="AR83" s="275"/>
      <c r="AU83" s="280" t="str">
        <f t="shared" si="144"/>
        <v>Piaggio Vehicles Pvt Ltd</v>
      </c>
      <c r="AV83" s="281">
        <f t="shared" si="149"/>
        <v>1.1010490621015057E-2</v>
      </c>
      <c r="AW83" s="281">
        <f t="shared" si="149"/>
        <v>1.0129097617572497E-2</v>
      </c>
      <c r="AX83" s="281">
        <f t="shared" si="149"/>
        <v>6.6836419212954858E-3</v>
      </c>
      <c r="AY83" s="281">
        <f t="shared" si="149"/>
        <v>4.4677359737452255E-3</v>
      </c>
      <c r="AZ83" s="281">
        <f t="shared" si="149"/>
        <v>2.5370047939354615E-3</v>
      </c>
      <c r="BA83" s="281">
        <f t="shared" si="149"/>
        <v>1.5804328122471631E-3</v>
      </c>
      <c r="BB83" s="281">
        <f t="shared" si="149"/>
        <v>3.7347075570692579E-4</v>
      </c>
      <c r="BC83" s="281">
        <f t="shared" si="149"/>
        <v>0</v>
      </c>
      <c r="BD83" s="281">
        <f t="shared" si="149"/>
        <v>0</v>
      </c>
      <c r="BE83" s="281">
        <f t="shared" si="149"/>
        <v>0</v>
      </c>
      <c r="BF83" s="281">
        <f t="shared" si="149"/>
        <v>0</v>
      </c>
      <c r="BG83" s="281">
        <f t="shared" si="149"/>
        <v>0</v>
      </c>
      <c r="BK83" s="289"/>
      <c r="BL83" s="289"/>
      <c r="BM83" s="289"/>
      <c r="BO83" s="289"/>
      <c r="BP83" s="289"/>
      <c r="BQ83" s="289"/>
      <c r="BS83" s="289"/>
      <c r="BT83" s="289"/>
      <c r="BU83" s="289"/>
      <c r="BW83" s="289"/>
      <c r="BX83" s="289"/>
      <c r="BY83" s="289"/>
      <c r="CA83" s="289"/>
      <c r="CB83" s="289"/>
      <c r="CC83" s="289"/>
      <c r="CE83" s="289"/>
      <c r="CF83" s="289"/>
      <c r="CG83" s="289"/>
      <c r="CI83" s="289"/>
      <c r="CJ83" s="289"/>
      <c r="CK83" s="289"/>
    </row>
    <row r="84" spans="1:89" x14ac:dyDescent="0.3">
      <c r="A84" s="292" t="s">
        <v>239</v>
      </c>
      <c r="B84" s="293">
        <f>SUM(B63:B83)</f>
        <v>208310</v>
      </c>
      <c r="C84" s="293">
        <f t="shared" ref="C84:AC84" si="154">SUM(C63:C83)</f>
        <v>167173</v>
      </c>
      <c r="D84" s="293">
        <f t="shared" si="154"/>
        <v>195211</v>
      </c>
      <c r="E84" s="293">
        <f t="shared" si="154"/>
        <v>146899</v>
      </c>
      <c r="F84" s="293">
        <f t="shared" si="154"/>
        <v>31636</v>
      </c>
      <c r="G84" s="293">
        <f t="shared" si="154"/>
        <v>133524</v>
      </c>
      <c r="H84" s="293">
        <f t="shared" si="154"/>
        <v>193043</v>
      </c>
      <c r="I84" s="293">
        <f t="shared" si="154"/>
        <v>210356</v>
      </c>
      <c r="J84" s="293">
        <f t="shared" si="154"/>
        <v>105800</v>
      </c>
      <c r="K84" s="293">
        <f t="shared" si="154"/>
        <v>166251</v>
      </c>
      <c r="L84" s="293">
        <f t="shared" si="154"/>
        <v>194709</v>
      </c>
      <c r="M84" s="293">
        <f t="shared" si="154"/>
        <v>249806</v>
      </c>
      <c r="N84" s="293">
        <f t="shared" si="154"/>
        <v>224512</v>
      </c>
      <c r="O84" s="293">
        <f t="shared" si="154"/>
        <v>231687</v>
      </c>
      <c r="P84" s="293">
        <f t="shared" si="154"/>
        <v>227111</v>
      </c>
      <c r="Q84" s="293">
        <f t="shared" si="154"/>
        <v>279158</v>
      </c>
      <c r="R84" s="293">
        <f t="shared" si="154"/>
        <v>216550</v>
      </c>
      <c r="S84" s="293">
        <f t="shared" si="154"/>
        <v>247801</v>
      </c>
      <c r="T84" s="293">
        <f t="shared" si="154"/>
        <v>235499</v>
      </c>
      <c r="U84" s="293">
        <f t="shared" si="154"/>
        <v>268028</v>
      </c>
      <c r="V84" s="293">
        <f t="shared" si="154"/>
        <v>224575</v>
      </c>
      <c r="W84" s="293">
        <f t="shared" si="154"/>
        <v>221628</v>
      </c>
      <c r="X84" s="293">
        <f t="shared" si="154"/>
        <v>237757</v>
      </c>
      <c r="Y84" s="293">
        <f t="shared" si="154"/>
        <v>273200</v>
      </c>
      <c r="Z84" s="293">
        <f t="shared" si="154"/>
        <v>223215</v>
      </c>
      <c r="AA84" s="293">
        <f t="shared" si="154"/>
        <v>240287</v>
      </c>
      <c r="AB84" s="293">
        <f t="shared" si="154"/>
        <v>289659</v>
      </c>
      <c r="AC84" s="293">
        <f t="shared" si="154"/>
        <v>-752338</v>
      </c>
      <c r="AF84" s="293">
        <f t="shared" ref="AF84:AQ84" si="155">SUM(AF63:AF83)</f>
        <v>632851</v>
      </c>
      <c r="AG84" s="293">
        <f t="shared" si="155"/>
        <v>614961</v>
      </c>
      <c r="AH84" s="293">
        <f t="shared" si="155"/>
        <v>685704</v>
      </c>
      <c r="AI84" s="293">
        <f t="shared" si="155"/>
        <v>714232</v>
      </c>
      <c r="AJ84" s="293">
        <f t="shared" si="155"/>
        <v>856916</v>
      </c>
      <c r="AK84" s="293">
        <f t="shared" si="155"/>
        <v>1007319</v>
      </c>
      <c r="AL84" s="293">
        <f t="shared" si="155"/>
        <v>717593</v>
      </c>
      <c r="AM84" s="293">
        <f t="shared" si="155"/>
        <v>568559</v>
      </c>
      <c r="AN84" s="293">
        <f t="shared" si="155"/>
        <v>716566</v>
      </c>
      <c r="AO84" s="293">
        <f t="shared" si="155"/>
        <v>962468</v>
      </c>
      <c r="AP84" s="293">
        <f t="shared" si="155"/>
        <v>967878</v>
      </c>
      <c r="AQ84" s="293">
        <f t="shared" si="155"/>
        <v>957160</v>
      </c>
      <c r="AR84" s="275"/>
      <c r="AU84" s="280" t="str">
        <f t="shared" si="144"/>
        <v>Overall CVs</v>
      </c>
      <c r="AV84" s="281">
        <f t="shared" si="149"/>
        <v>1</v>
      </c>
      <c r="AW84" s="281">
        <f t="shared" si="149"/>
        <v>1</v>
      </c>
      <c r="AX84" s="281">
        <f t="shared" si="149"/>
        <v>1</v>
      </c>
      <c r="AY84" s="281">
        <f t="shared" ref="AY84:BG84" si="156">IFERROR(AI84/AI$84,"")</f>
        <v>1</v>
      </c>
      <c r="AZ84" s="281">
        <f t="shared" si="156"/>
        <v>1</v>
      </c>
      <c r="BA84" s="281">
        <f t="shared" si="156"/>
        <v>1</v>
      </c>
      <c r="BB84" s="281">
        <f t="shared" si="156"/>
        <v>1</v>
      </c>
      <c r="BC84" s="281">
        <f t="shared" si="156"/>
        <v>1</v>
      </c>
      <c r="BD84" s="281">
        <f t="shared" si="156"/>
        <v>1</v>
      </c>
      <c r="BE84" s="281">
        <f t="shared" si="156"/>
        <v>1</v>
      </c>
      <c r="BF84" s="281">
        <f t="shared" si="156"/>
        <v>1</v>
      </c>
      <c r="BG84" s="281">
        <f t="shared" si="156"/>
        <v>1</v>
      </c>
      <c r="BK84" s="289"/>
      <c r="BL84" s="289"/>
      <c r="BM84" s="289"/>
      <c r="BO84" s="289"/>
      <c r="BP84" s="289"/>
      <c r="BQ84" s="289"/>
      <c r="BS84" s="289"/>
      <c r="BT84" s="289"/>
      <c r="BU84" s="289"/>
      <c r="BW84" s="289"/>
      <c r="BX84" s="289"/>
      <c r="BY84" s="289"/>
      <c r="CA84" s="289"/>
      <c r="CB84" s="289"/>
      <c r="CC84" s="289"/>
      <c r="CE84" s="289"/>
      <c r="CF84" s="289"/>
      <c r="CG84" s="289"/>
      <c r="CI84" s="289"/>
      <c r="CJ84" s="289"/>
      <c r="CK84" s="289"/>
    </row>
    <row r="85" spans="1:89" x14ac:dyDescent="0.3">
      <c r="A85" s="292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  <c r="AC85" s="289"/>
      <c r="AF85" s="289"/>
      <c r="AG85" s="289"/>
      <c r="AH85" s="289"/>
      <c r="AI85" s="289"/>
      <c r="AJ85" s="289"/>
      <c r="AK85" s="289"/>
      <c r="AL85" s="289"/>
      <c r="AM85" s="289"/>
      <c r="AN85" s="289"/>
      <c r="AO85" s="289"/>
      <c r="AP85" s="289"/>
      <c r="AQ85" s="289"/>
      <c r="AR85" s="275"/>
      <c r="BK85" s="289"/>
      <c r="BL85" s="289"/>
      <c r="BM85" s="289"/>
      <c r="BO85" s="289"/>
      <c r="BP85" s="289"/>
      <c r="BQ85" s="289"/>
      <c r="BS85" s="289"/>
      <c r="BT85" s="289"/>
      <c r="BU85" s="289"/>
      <c r="BW85" s="289"/>
      <c r="BX85" s="289"/>
      <c r="BY85" s="289"/>
      <c r="CA85" s="289"/>
      <c r="CB85" s="289"/>
      <c r="CC85" s="289"/>
      <c r="CE85" s="289"/>
      <c r="CF85" s="289"/>
      <c r="CG85" s="289"/>
      <c r="CI85" s="289"/>
      <c r="CJ85" s="289"/>
      <c r="CK85" s="289"/>
    </row>
    <row r="86" spans="1:89" x14ac:dyDescent="0.3">
      <c r="A86" s="268" t="s">
        <v>240</v>
      </c>
      <c r="B86" s="269" t="str">
        <f>B$1</f>
        <v>1QFY20</v>
      </c>
      <c r="C86" s="269" t="str">
        <f t="shared" ref="C86:AC86" si="157">C$1</f>
        <v>2QFY20</v>
      </c>
      <c r="D86" s="269" t="str">
        <f t="shared" si="157"/>
        <v>3QFY20</v>
      </c>
      <c r="E86" s="269" t="str">
        <f t="shared" si="157"/>
        <v>4QFY20</v>
      </c>
      <c r="F86" s="269" t="str">
        <f>F$1</f>
        <v>1QFY21</v>
      </c>
      <c r="G86" s="269" t="str">
        <f t="shared" si="157"/>
        <v>2QFY21</v>
      </c>
      <c r="H86" s="269" t="str">
        <f t="shared" si="157"/>
        <v>3QFY21</v>
      </c>
      <c r="I86" s="269" t="str">
        <f t="shared" si="157"/>
        <v>4QFY21</v>
      </c>
      <c r="J86" s="269" t="str">
        <f>J$1</f>
        <v>1QFY22</v>
      </c>
      <c r="K86" s="269" t="str">
        <f t="shared" si="157"/>
        <v>2QFY22</v>
      </c>
      <c r="L86" s="269" t="str">
        <f t="shared" si="157"/>
        <v>3QFY22</v>
      </c>
      <c r="M86" s="269" t="str">
        <f t="shared" si="157"/>
        <v>4QFY22</v>
      </c>
      <c r="N86" s="269" t="str">
        <f>N$1</f>
        <v>1QFY23</v>
      </c>
      <c r="O86" s="269" t="str">
        <f t="shared" si="157"/>
        <v>2QFY23</v>
      </c>
      <c r="P86" s="269" t="str">
        <f t="shared" si="157"/>
        <v>3QFY23</v>
      </c>
      <c r="Q86" s="269" t="str">
        <f t="shared" si="157"/>
        <v>4QFY23</v>
      </c>
      <c r="R86" s="269" t="str">
        <f>R$1</f>
        <v>1QFY24</v>
      </c>
      <c r="S86" s="269" t="str">
        <f t="shared" si="157"/>
        <v>2QFY24</v>
      </c>
      <c r="T86" s="269" t="str">
        <f t="shared" si="157"/>
        <v>3QFY24</v>
      </c>
      <c r="U86" s="269" t="str">
        <f t="shared" si="157"/>
        <v>4QFY24</v>
      </c>
      <c r="V86" s="269" t="str">
        <f>V$1</f>
        <v>1QFY25</v>
      </c>
      <c r="W86" s="269" t="str">
        <f t="shared" si="157"/>
        <v>2QFY25</v>
      </c>
      <c r="X86" s="269" t="str">
        <f t="shared" si="157"/>
        <v>3QFY25</v>
      </c>
      <c r="Y86" s="269" t="str">
        <f t="shared" si="157"/>
        <v>4QFY25</v>
      </c>
      <c r="Z86" s="269" t="str">
        <f>Z$1</f>
        <v>1QFY26</v>
      </c>
      <c r="AA86" s="269" t="str">
        <f t="shared" si="157"/>
        <v>2QFY26</v>
      </c>
      <c r="AB86" s="269" t="str">
        <f t="shared" si="157"/>
        <v>3QFY26</v>
      </c>
      <c r="AC86" s="269" t="str">
        <f t="shared" si="157"/>
        <v>4QFY26</v>
      </c>
      <c r="AF86" s="269" t="str">
        <f t="shared" ref="AF86:AQ86" si="158">AF$1</f>
        <v>FY14</v>
      </c>
      <c r="AG86" s="269" t="str">
        <f t="shared" si="158"/>
        <v>FY15</v>
      </c>
      <c r="AH86" s="269" t="str">
        <f t="shared" si="158"/>
        <v>FY16</v>
      </c>
      <c r="AI86" s="269" t="str">
        <f t="shared" si="158"/>
        <v>FY17</v>
      </c>
      <c r="AJ86" s="269" t="str">
        <f t="shared" si="158"/>
        <v>FY18</v>
      </c>
      <c r="AK86" s="269" t="str">
        <f t="shared" si="158"/>
        <v>FY19</v>
      </c>
      <c r="AL86" s="269" t="str">
        <f t="shared" si="158"/>
        <v>FY20</v>
      </c>
      <c r="AM86" s="269" t="str">
        <f t="shared" si="158"/>
        <v>FY21</v>
      </c>
      <c r="AN86" s="269" t="str">
        <f t="shared" si="158"/>
        <v>FY22</v>
      </c>
      <c r="AO86" s="269" t="str">
        <f t="shared" si="158"/>
        <v>FY23</v>
      </c>
      <c r="AP86" s="269" t="str">
        <f t="shared" si="158"/>
        <v>FY24</v>
      </c>
      <c r="AQ86" s="269" t="str">
        <f t="shared" si="158"/>
        <v>FY25</v>
      </c>
      <c r="AR86" s="270"/>
      <c r="BK86" s="269" t="str">
        <f>BK$1</f>
        <v>1HFY20</v>
      </c>
      <c r="BL86" s="269" t="str">
        <f>BL$1</f>
        <v>9MFY20</v>
      </c>
      <c r="BM86" s="269" t="str">
        <f>BM$1</f>
        <v>FY20</v>
      </c>
      <c r="BO86" s="269" t="str">
        <f>BO$1</f>
        <v>1HFY21</v>
      </c>
      <c r="BP86" s="269" t="str">
        <f>BP$1</f>
        <v>9MFY21</v>
      </c>
      <c r="BQ86" s="269" t="str">
        <f>BQ$1</f>
        <v>FY21</v>
      </c>
      <c r="BS86" s="269" t="str">
        <f>BS$1</f>
        <v>1HFY22</v>
      </c>
      <c r="BT86" s="269" t="str">
        <f>BT$1</f>
        <v>9MFY22</v>
      </c>
      <c r="BU86" s="269" t="str">
        <f>BU$1</f>
        <v>FY22</v>
      </c>
      <c r="BW86" s="269" t="str">
        <f>BW$1</f>
        <v>1HFY23</v>
      </c>
      <c r="BX86" s="269" t="str">
        <f>BX$1</f>
        <v>9MFY23</v>
      </c>
      <c r="BY86" s="269" t="str">
        <f>BY$1</f>
        <v>FY23</v>
      </c>
      <c r="CA86" s="269" t="str">
        <f>CA$1</f>
        <v>1HFY24</v>
      </c>
      <c r="CB86" s="269" t="str">
        <f>CB$1</f>
        <v>9MFY24</v>
      </c>
      <c r="CC86" s="269" t="str">
        <f>CC$1</f>
        <v>FY24</v>
      </c>
      <c r="CE86" s="269" t="str">
        <f>CE$1</f>
        <v>1HFY25</v>
      </c>
      <c r="CF86" s="269" t="str">
        <f>CF$1</f>
        <v>9MFY25</v>
      </c>
      <c r="CG86" s="269" t="str">
        <f>CG$1</f>
        <v>FY25</v>
      </c>
      <c r="CI86" s="269" t="str">
        <f>CI$1</f>
        <v>1HFY26</v>
      </c>
      <c r="CJ86" s="269" t="str">
        <f>CJ$1</f>
        <v>9MFY26</v>
      </c>
      <c r="CK86" s="269" t="str">
        <f>CK$1</f>
        <v>FY26</v>
      </c>
    </row>
    <row r="87" spans="1:89" x14ac:dyDescent="0.3">
      <c r="A87" s="280" t="s">
        <v>216</v>
      </c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  <c r="AF87" s="285"/>
      <c r="AG87" s="285"/>
      <c r="AH87" s="285"/>
      <c r="AI87" s="285"/>
      <c r="AJ87" s="285"/>
      <c r="AK87" s="285"/>
      <c r="AL87" s="285"/>
      <c r="AM87" s="285"/>
      <c r="AN87" s="285"/>
      <c r="AO87" s="285"/>
      <c r="AP87" s="285"/>
      <c r="AQ87" s="285"/>
      <c r="AR87" s="275"/>
      <c r="BK87" s="285"/>
      <c r="BL87" s="285"/>
      <c r="BM87" s="285"/>
      <c r="BO87" s="285"/>
      <c r="BP87" s="285"/>
      <c r="BQ87" s="285"/>
      <c r="BS87" s="285"/>
      <c r="BT87" s="285"/>
      <c r="BU87" s="285"/>
      <c r="BW87" s="285"/>
      <c r="BX87" s="285"/>
      <c r="BY87" s="285"/>
      <c r="CA87" s="285"/>
      <c r="CB87" s="285"/>
      <c r="CC87" s="285"/>
      <c r="CE87" s="285"/>
      <c r="CF87" s="285"/>
      <c r="CG87" s="285"/>
      <c r="CI87" s="285"/>
      <c r="CJ87" s="285"/>
      <c r="CK87" s="285"/>
    </row>
    <row r="88" spans="1:89" outlineLevel="1" x14ac:dyDescent="0.3">
      <c r="A88" s="277" t="s">
        <v>163</v>
      </c>
      <c r="B88" s="278">
        <v>1009</v>
      </c>
      <c r="C88" s="278">
        <f t="shared" ref="C88:C93" si="159">BK88-B88</f>
        <v>1561</v>
      </c>
      <c r="D88" s="278">
        <f t="shared" ref="D88:E93" si="160">BL88-BK88</f>
        <v>1293</v>
      </c>
      <c r="E88" s="278">
        <f t="shared" si="160"/>
        <v>1319</v>
      </c>
      <c r="F88" s="278">
        <v>44</v>
      </c>
      <c r="G88" s="278">
        <f t="shared" ref="G88:G93" si="161">BO88-F88</f>
        <v>676</v>
      </c>
      <c r="H88" s="278">
        <f t="shared" ref="H88:I93" si="162">BP88-BO88</f>
        <v>1285</v>
      </c>
      <c r="I88" s="278">
        <f t="shared" si="162"/>
        <v>832</v>
      </c>
      <c r="J88" s="278">
        <v>544</v>
      </c>
      <c r="K88" s="278">
        <f t="shared" ref="K88:K93" si="163">BS88-J88</f>
        <v>611</v>
      </c>
      <c r="L88" s="278">
        <f t="shared" ref="L88:M93" si="164">BT88-BS88</f>
        <v>1096</v>
      </c>
      <c r="M88" s="278">
        <f t="shared" si="164"/>
        <v>1759</v>
      </c>
      <c r="N88" s="278">
        <v>1434</v>
      </c>
      <c r="O88" s="278">
        <f t="shared" ref="O88:O93" si="165">BW88-N88</f>
        <v>1462</v>
      </c>
      <c r="P88" s="278">
        <f t="shared" ref="P88:Q93" si="166">BX88-BW88</f>
        <v>2281</v>
      </c>
      <c r="Q88" s="278">
        <f t="shared" si="166"/>
        <v>2352</v>
      </c>
      <c r="R88" s="278">
        <v>1520</v>
      </c>
      <c r="S88" s="278">
        <f t="shared" ref="S88:S93" si="167">CA88-R88</f>
        <v>1666</v>
      </c>
      <c r="T88" s="278">
        <f t="shared" ref="T88:U93" si="168">CB88-CA88</f>
        <v>1769</v>
      </c>
      <c r="U88" s="278">
        <f t="shared" si="168"/>
        <v>1622</v>
      </c>
      <c r="V88" s="278">
        <v>1252</v>
      </c>
      <c r="W88" s="278">
        <f t="shared" ref="W88:W93" si="169">CE88-V88</f>
        <v>1759</v>
      </c>
      <c r="X88" s="278">
        <f t="shared" ref="X88:Y93" si="170">CF88-CE88</f>
        <v>2174</v>
      </c>
      <c r="Y88" s="278">
        <f t="shared" si="170"/>
        <v>2731</v>
      </c>
      <c r="Z88" s="278">
        <v>1963</v>
      </c>
      <c r="AA88" s="278">
        <f t="shared" ref="AA88:AA100" si="171">CI88-Z88</f>
        <v>3276</v>
      </c>
      <c r="AB88" s="278">
        <f t="shared" ref="AB88:AC93" si="172">CJ88-CI88</f>
        <v>3112</v>
      </c>
      <c r="AC88" s="278">
        <f t="shared" si="172"/>
        <v>-8351</v>
      </c>
      <c r="AF88" s="278">
        <v>4377</v>
      </c>
      <c r="AG88" s="278">
        <v>7571</v>
      </c>
      <c r="AH88" s="278">
        <v>6135</v>
      </c>
      <c r="AI88" s="278">
        <v>4877</v>
      </c>
      <c r="AJ88" s="278">
        <v>6512</v>
      </c>
      <c r="AK88" s="278">
        <v>3548</v>
      </c>
      <c r="AL88" s="278">
        <f t="shared" ref="AL88:AL101" si="173">SUM(B88:E88)</f>
        <v>5182</v>
      </c>
      <c r="AM88" s="278">
        <f t="shared" ref="AM88:AM101" si="174">SUM(F88:I88)</f>
        <v>2837</v>
      </c>
      <c r="AN88" s="278">
        <f t="shared" ref="AN88:AN101" si="175">SUM(J88:M88)</f>
        <v>4010</v>
      </c>
      <c r="AO88" s="278">
        <f t="shared" ref="AO88:AO101" si="176">SUM(N88:Q88)</f>
        <v>7529</v>
      </c>
      <c r="AP88" s="278">
        <f t="shared" ref="AP88:AP101" si="177">SUM(R88:U88)</f>
        <v>6577</v>
      </c>
      <c r="AQ88" s="278">
        <f t="shared" ref="AQ88:AQ101" si="178">SUM(V88:Y88)</f>
        <v>7916</v>
      </c>
      <c r="AR88" s="279"/>
      <c r="BK88" s="278">
        <v>2570</v>
      </c>
      <c r="BL88" s="278">
        <v>3863</v>
      </c>
      <c r="BM88" s="278">
        <v>5182</v>
      </c>
      <c r="BO88" s="278">
        <v>720</v>
      </c>
      <c r="BP88" s="278">
        <v>2005</v>
      </c>
      <c r="BQ88" s="278">
        <v>2837</v>
      </c>
      <c r="BS88" s="278">
        <v>1155</v>
      </c>
      <c r="BT88" s="278">
        <v>2251</v>
      </c>
      <c r="BU88" s="278">
        <v>4010</v>
      </c>
      <c r="BW88" s="278">
        <v>2896</v>
      </c>
      <c r="BX88" s="278">
        <v>5177</v>
      </c>
      <c r="BY88" s="278">
        <v>7529</v>
      </c>
      <c r="CA88" s="278">
        <v>3186</v>
      </c>
      <c r="CB88" s="278">
        <v>4955</v>
      </c>
      <c r="CC88" s="278">
        <v>6577</v>
      </c>
      <c r="CE88" s="278">
        <v>3011</v>
      </c>
      <c r="CF88" s="278">
        <v>5185</v>
      </c>
      <c r="CG88" s="278">
        <v>7916</v>
      </c>
      <c r="CI88" s="278">
        <v>5239</v>
      </c>
      <c r="CJ88" s="278">
        <v>8351</v>
      </c>
      <c r="CK88" s="278"/>
    </row>
    <row r="89" spans="1:89" outlineLevel="1" x14ac:dyDescent="0.3">
      <c r="A89" s="277" t="s">
        <v>165</v>
      </c>
      <c r="B89" s="278"/>
      <c r="C89" s="278">
        <f t="shared" si="159"/>
        <v>0</v>
      </c>
      <c r="D89" s="278">
        <f t="shared" si="160"/>
        <v>0</v>
      </c>
      <c r="E89" s="278">
        <f t="shared" si="160"/>
        <v>0</v>
      </c>
      <c r="F89" s="278"/>
      <c r="G89" s="278">
        <f t="shared" si="161"/>
        <v>0</v>
      </c>
      <c r="H89" s="278">
        <f t="shared" si="162"/>
        <v>0</v>
      </c>
      <c r="I89" s="278">
        <f t="shared" si="162"/>
        <v>0</v>
      </c>
      <c r="J89" s="278">
        <v>0</v>
      </c>
      <c r="K89" s="278">
        <f t="shared" si="163"/>
        <v>0</v>
      </c>
      <c r="L89" s="278">
        <f t="shared" si="164"/>
        <v>0</v>
      </c>
      <c r="M89" s="278">
        <f t="shared" si="164"/>
        <v>0</v>
      </c>
      <c r="N89" s="278">
        <v>0</v>
      </c>
      <c r="O89" s="278">
        <f t="shared" si="165"/>
        <v>0</v>
      </c>
      <c r="P89" s="278">
        <f t="shared" si="166"/>
        <v>0</v>
      </c>
      <c r="Q89" s="278">
        <f t="shared" si="166"/>
        <v>0</v>
      </c>
      <c r="R89" s="278"/>
      <c r="S89" s="278">
        <f t="shared" si="167"/>
        <v>0</v>
      </c>
      <c r="T89" s="278">
        <f t="shared" si="168"/>
        <v>0</v>
      </c>
      <c r="U89" s="278">
        <f t="shared" si="168"/>
        <v>0</v>
      </c>
      <c r="V89" s="278"/>
      <c r="W89" s="278">
        <f t="shared" si="169"/>
        <v>0</v>
      </c>
      <c r="X89" s="278">
        <f t="shared" si="170"/>
        <v>0</v>
      </c>
      <c r="Y89" s="278">
        <f t="shared" si="170"/>
        <v>0</v>
      </c>
      <c r="Z89" s="278">
        <v>0</v>
      </c>
      <c r="AA89" s="278">
        <f t="shared" si="171"/>
        <v>0</v>
      </c>
      <c r="AB89" s="278">
        <f t="shared" si="172"/>
        <v>0</v>
      </c>
      <c r="AC89" s="278">
        <f t="shared" si="172"/>
        <v>0</v>
      </c>
      <c r="AF89" s="278"/>
      <c r="AG89" s="278"/>
      <c r="AH89" s="278"/>
      <c r="AI89" s="278"/>
      <c r="AJ89" s="278"/>
      <c r="AK89" s="278"/>
      <c r="AL89" s="278">
        <f t="shared" si="173"/>
        <v>0</v>
      </c>
      <c r="AM89" s="278">
        <f t="shared" si="174"/>
        <v>0</v>
      </c>
      <c r="AN89" s="278">
        <f t="shared" si="175"/>
        <v>0</v>
      </c>
      <c r="AO89" s="278">
        <f t="shared" si="176"/>
        <v>0</v>
      </c>
      <c r="AP89" s="278">
        <f t="shared" si="177"/>
        <v>0</v>
      </c>
      <c r="AQ89" s="278">
        <f t="shared" si="178"/>
        <v>0</v>
      </c>
      <c r="AR89" s="279"/>
      <c r="BK89" s="278"/>
      <c r="BL89" s="278"/>
      <c r="BM89" s="278"/>
      <c r="BO89" s="278"/>
      <c r="BP89" s="278"/>
      <c r="BQ89" s="278"/>
      <c r="BS89" s="278">
        <v>0</v>
      </c>
      <c r="BT89" s="278">
        <v>0</v>
      </c>
      <c r="BU89" s="278">
        <v>0</v>
      </c>
      <c r="BW89" s="278">
        <v>0</v>
      </c>
      <c r="BX89" s="278">
        <v>0</v>
      </c>
      <c r="BY89" s="278">
        <v>0</v>
      </c>
      <c r="CA89" s="278"/>
      <c r="CB89" s="278"/>
      <c r="CC89" s="278">
        <v>0</v>
      </c>
      <c r="CE89" s="278"/>
      <c r="CF89" s="278"/>
      <c r="CG89" s="278"/>
      <c r="CI89" s="278"/>
      <c r="CJ89" s="278"/>
      <c r="CK89" s="278"/>
    </row>
    <row r="90" spans="1:89" outlineLevel="1" x14ac:dyDescent="0.3">
      <c r="A90" s="277" t="s">
        <v>217</v>
      </c>
      <c r="B90" s="278"/>
      <c r="C90" s="278">
        <f t="shared" si="159"/>
        <v>0</v>
      </c>
      <c r="D90" s="278">
        <f t="shared" si="160"/>
        <v>0</v>
      </c>
      <c r="E90" s="278">
        <f t="shared" si="160"/>
        <v>0</v>
      </c>
      <c r="F90" s="278"/>
      <c r="G90" s="278">
        <f t="shared" si="161"/>
        <v>0</v>
      </c>
      <c r="H90" s="278">
        <f t="shared" si="162"/>
        <v>0</v>
      </c>
      <c r="I90" s="278">
        <f t="shared" si="162"/>
        <v>0</v>
      </c>
      <c r="J90" s="278">
        <v>0</v>
      </c>
      <c r="K90" s="278">
        <f t="shared" si="163"/>
        <v>0</v>
      </c>
      <c r="L90" s="278">
        <f t="shared" si="164"/>
        <v>0</v>
      </c>
      <c r="M90" s="278">
        <f t="shared" si="164"/>
        <v>0</v>
      </c>
      <c r="N90" s="278">
        <v>0</v>
      </c>
      <c r="O90" s="278">
        <f t="shared" si="165"/>
        <v>0</v>
      </c>
      <c r="P90" s="278">
        <f t="shared" si="166"/>
        <v>0</v>
      </c>
      <c r="Q90" s="278">
        <f t="shared" si="166"/>
        <v>0</v>
      </c>
      <c r="R90" s="278"/>
      <c r="S90" s="278">
        <f t="shared" si="167"/>
        <v>0</v>
      </c>
      <c r="T90" s="278">
        <f t="shared" si="168"/>
        <v>0</v>
      </c>
      <c r="U90" s="278">
        <f t="shared" si="168"/>
        <v>0</v>
      </c>
      <c r="V90" s="278"/>
      <c r="W90" s="278">
        <f t="shared" si="169"/>
        <v>0</v>
      </c>
      <c r="X90" s="278">
        <f t="shared" si="170"/>
        <v>0</v>
      </c>
      <c r="Y90" s="278">
        <f t="shared" si="170"/>
        <v>0</v>
      </c>
      <c r="Z90" s="278">
        <v>0</v>
      </c>
      <c r="AA90" s="278">
        <f t="shared" si="171"/>
        <v>2</v>
      </c>
      <c r="AB90" s="278">
        <f t="shared" si="172"/>
        <v>0</v>
      </c>
      <c r="AC90" s="278">
        <f t="shared" si="172"/>
        <v>-2</v>
      </c>
      <c r="AF90" s="278"/>
      <c r="AG90" s="278"/>
      <c r="AH90" s="278"/>
      <c r="AI90" s="278"/>
      <c r="AJ90" s="278"/>
      <c r="AK90" s="278"/>
      <c r="AL90" s="278">
        <f t="shared" si="173"/>
        <v>0</v>
      </c>
      <c r="AM90" s="278">
        <f t="shared" si="174"/>
        <v>0</v>
      </c>
      <c r="AN90" s="278">
        <f t="shared" si="175"/>
        <v>0</v>
      </c>
      <c r="AO90" s="278">
        <f t="shared" si="176"/>
        <v>0</v>
      </c>
      <c r="AP90" s="278">
        <f t="shared" si="177"/>
        <v>0</v>
      </c>
      <c r="AQ90" s="278">
        <f t="shared" si="178"/>
        <v>0</v>
      </c>
      <c r="AR90" s="279"/>
      <c r="BK90" s="278"/>
      <c r="BL90" s="278"/>
      <c r="BM90" s="278"/>
      <c r="BO90" s="278"/>
      <c r="BP90" s="278"/>
      <c r="BQ90" s="278"/>
      <c r="BS90" s="278">
        <v>0</v>
      </c>
      <c r="BT90" s="278">
        <v>0</v>
      </c>
      <c r="BU90" s="278">
        <v>0</v>
      </c>
      <c r="BW90" s="278">
        <v>0</v>
      </c>
      <c r="BX90" s="278">
        <v>0</v>
      </c>
      <c r="BY90" s="278"/>
      <c r="CA90" s="278"/>
      <c r="CB90" s="278"/>
      <c r="CC90" s="278"/>
      <c r="CE90" s="278"/>
      <c r="CF90" s="278"/>
      <c r="CG90" s="278"/>
      <c r="CI90" s="278">
        <v>2</v>
      </c>
      <c r="CJ90" s="278">
        <v>2</v>
      </c>
      <c r="CK90" s="278"/>
    </row>
    <row r="91" spans="1:89" outlineLevel="1" x14ac:dyDescent="0.3">
      <c r="A91" s="277" t="s">
        <v>218</v>
      </c>
      <c r="B91" s="278"/>
      <c r="C91" s="278">
        <f t="shared" si="159"/>
        <v>0</v>
      </c>
      <c r="D91" s="278">
        <f t="shared" si="160"/>
        <v>0</v>
      </c>
      <c r="E91" s="278">
        <f t="shared" si="160"/>
        <v>0</v>
      </c>
      <c r="F91" s="278"/>
      <c r="G91" s="278">
        <f t="shared" si="161"/>
        <v>0</v>
      </c>
      <c r="H91" s="278">
        <f t="shared" si="162"/>
        <v>0</v>
      </c>
      <c r="I91" s="278">
        <f t="shared" si="162"/>
        <v>0</v>
      </c>
      <c r="J91" s="278"/>
      <c r="K91" s="278">
        <f t="shared" si="163"/>
        <v>0</v>
      </c>
      <c r="L91" s="278">
        <f t="shared" si="164"/>
        <v>0</v>
      </c>
      <c r="M91" s="278">
        <f t="shared" si="164"/>
        <v>0</v>
      </c>
      <c r="N91" s="278"/>
      <c r="O91" s="278">
        <f t="shared" si="165"/>
        <v>0</v>
      </c>
      <c r="P91" s="278">
        <f t="shared" si="166"/>
        <v>0</v>
      </c>
      <c r="Q91" s="278">
        <f t="shared" si="166"/>
        <v>0</v>
      </c>
      <c r="R91" s="278">
        <v>0</v>
      </c>
      <c r="S91" s="278">
        <f t="shared" si="167"/>
        <v>0</v>
      </c>
      <c r="T91" s="278">
        <f t="shared" si="168"/>
        <v>0</v>
      </c>
      <c r="U91" s="278">
        <f t="shared" si="168"/>
        <v>0</v>
      </c>
      <c r="V91" s="278">
        <v>0</v>
      </c>
      <c r="W91" s="278">
        <f t="shared" si="169"/>
        <v>0</v>
      </c>
      <c r="X91" s="278">
        <f t="shared" si="170"/>
        <v>0</v>
      </c>
      <c r="Y91" s="278">
        <f t="shared" si="170"/>
        <v>0</v>
      </c>
      <c r="Z91" s="278">
        <v>0</v>
      </c>
      <c r="AA91" s="278">
        <f t="shared" si="171"/>
        <v>0</v>
      </c>
      <c r="AB91" s="278">
        <f t="shared" si="172"/>
        <v>0</v>
      </c>
      <c r="AC91" s="278">
        <f t="shared" si="172"/>
        <v>0</v>
      </c>
      <c r="AF91" s="278"/>
      <c r="AG91" s="278"/>
      <c r="AH91" s="278"/>
      <c r="AI91" s="278"/>
      <c r="AJ91" s="278"/>
      <c r="AK91" s="278"/>
      <c r="AL91" s="278">
        <f t="shared" si="173"/>
        <v>0</v>
      </c>
      <c r="AM91" s="278">
        <f t="shared" si="174"/>
        <v>0</v>
      </c>
      <c r="AN91" s="278">
        <f t="shared" si="175"/>
        <v>0</v>
      </c>
      <c r="AO91" s="278">
        <f t="shared" si="176"/>
        <v>0</v>
      </c>
      <c r="AP91" s="278">
        <f t="shared" si="177"/>
        <v>0</v>
      </c>
      <c r="AQ91" s="278">
        <f t="shared" si="178"/>
        <v>0</v>
      </c>
      <c r="AR91" s="279"/>
      <c r="BK91" s="278"/>
      <c r="BL91" s="278"/>
      <c r="BM91" s="278"/>
      <c r="BO91" s="278"/>
      <c r="BP91" s="278"/>
      <c r="BQ91" s="278"/>
      <c r="BS91" s="278"/>
      <c r="BT91" s="278">
        <v>0</v>
      </c>
      <c r="BU91" s="278">
        <v>0</v>
      </c>
      <c r="BW91" s="278"/>
      <c r="BX91" s="278">
        <v>0</v>
      </c>
      <c r="BY91" s="278">
        <v>0</v>
      </c>
      <c r="CA91" s="278">
        <v>0</v>
      </c>
      <c r="CB91" s="278">
        <v>0</v>
      </c>
      <c r="CC91" s="278">
        <v>0</v>
      </c>
      <c r="CE91" s="278">
        <v>0</v>
      </c>
      <c r="CF91" s="278">
        <v>0</v>
      </c>
      <c r="CG91" s="278"/>
      <c r="CI91" s="278"/>
      <c r="CJ91" s="278"/>
      <c r="CK91" s="278"/>
    </row>
    <row r="92" spans="1:89" outlineLevel="1" x14ac:dyDescent="0.3">
      <c r="A92" s="277" t="s">
        <v>188</v>
      </c>
      <c r="B92" s="278"/>
      <c r="C92" s="278">
        <f t="shared" si="159"/>
        <v>0</v>
      </c>
      <c r="D92" s="278">
        <f t="shared" si="160"/>
        <v>0</v>
      </c>
      <c r="E92" s="278">
        <f t="shared" si="160"/>
        <v>0</v>
      </c>
      <c r="F92" s="278"/>
      <c r="G92" s="278">
        <f t="shared" si="161"/>
        <v>0</v>
      </c>
      <c r="H92" s="278">
        <f t="shared" si="162"/>
        <v>0</v>
      </c>
      <c r="I92" s="278">
        <f t="shared" si="162"/>
        <v>0</v>
      </c>
      <c r="J92" s="278"/>
      <c r="K92" s="278">
        <f t="shared" si="163"/>
        <v>0</v>
      </c>
      <c r="L92" s="278">
        <f t="shared" si="164"/>
        <v>0</v>
      </c>
      <c r="M92" s="278">
        <f t="shared" si="164"/>
        <v>0</v>
      </c>
      <c r="N92" s="278"/>
      <c r="O92" s="278">
        <f t="shared" si="165"/>
        <v>0</v>
      </c>
      <c r="P92" s="278">
        <f t="shared" si="166"/>
        <v>0</v>
      </c>
      <c r="Q92" s="278">
        <f t="shared" si="166"/>
        <v>0</v>
      </c>
      <c r="R92" s="278">
        <v>0</v>
      </c>
      <c r="S92" s="278">
        <f t="shared" si="167"/>
        <v>0</v>
      </c>
      <c r="T92" s="278">
        <f t="shared" si="168"/>
        <v>0</v>
      </c>
      <c r="U92" s="278">
        <f t="shared" si="168"/>
        <v>0</v>
      </c>
      <c r="V92" s="278">
        <v>0</v>
      </c>
      <c r="W92" s="278">
        <f t="shared" si="169"/>
        <v>0</v>
      </c>
      <c r="X92" s="278">
        <f t="shared" si="170"/>
        <v>0</v>
      </c>
      <c r="Y92" s="278">
        <f t="shared" si="170"/>
        <v>0</v>
      </c>
      <c r="Z92" s="278">
        <v>0</v>
      </c>
      <c r="AA92" s="278">
        <f t="shared" si="171"/>
        <v>0</v>
      </c>
      <c r="AB92" s="278">
        <f t="shared" si="172"/>
        <v>16</v>
      </c>
      <c r="AC92" s="278">
        <f t="shared" si="172"/>
        <v>-16</v>
      </c>
      <c r="AF92" s="278"/>
      <c r="AG92" s="278"/>
      <c r="AH92" s="278"/>
      <c r="AI92" s="278"/>
      <c r="AJ92" s="278"/>
      <c r="AK92" s="278"/>
      <c r="AL92" s="278">
        <f t="shared" si="173"/>
        <v>0</v>
      </c>
      <c r="AM92" s="278">
        <f t="shared" si="174"/>
        <v>0</v>
      </c>
      <c r="AN92" s="278">
        <f t="shared" si="175"/>
        <v>0</v>
      </c>
      <c r="AO92" s="278">
        <f t="shared" si="176"/>
        <v>0</v>
      </c>
      <c r="AP92" s="278">
        <f t="shared" si="177"/>
        <v>0</v>
      </c>
      <c r="AQ92" s="278">
        <f t="shared" si="178"/>
        <v>0</v>
      </c>
      <c r="AR92" s="279"/>
      <c r="BK92" s="278"/>
      <c r="BL92" s="278"/>
      <c r="BM92" s="278"/>
      <c r="BO92" s="278"/>
      <c r="BP92" s="278"/>
      <c r="BQ92" s="278"/>
      <c r="BS92" s="278"/>
      <c r="BT92" s="278"/>
      <c r="BU92" s="278"/>
      <c r="BW92" s="278"/>
      <c r="BX92" s="278"/>
      <c r="BY92" s="278"/>
      <c r="CA92" s="278">
        <v>0</v>
      </c>
      <c r="CB92" s="278">
        <v>0</v>
      </c>
      <c r="CC92" s="278"/>
      <c r="CE92" s="278">
        <v>0</v>
      </c>
      <c r="CF92" s="278">
        <v>0</v>
      </c>
      <c r="CG92" s="278"/>
      <c r="CI92" s="278"/>
      <c r="CJ92" s="278">
        <v>16</v>
      </c>
      <c r="CK92" s="278"/>
    </row>
    <row r="93" spans="1:89" outlineLevel="1" x14ac:dyDescent="0.3">
      <c r="A93" s="277" t="s">
        <v>219</v>
      </c>
      <c r="B93" s="278"/>
      <c r="C93" s="278">
        <f t="shared" si="159"/>
        <v>0</v>
      </c>
      <c r="D93" s="278">
        <f t="shared" si="160"/>
        <v>0</v>
      </c>
      <c r="E93" s="278">
        <f t="shared" si="160"/>
        <v>0</v>
      </c>
      <c r="F93" s="278"/>
      <c r="G93" s="278">
        <f t="shared" si="161"/>
        <v>0</v>
      </c>
      <c r="H93" s="278">
        <f t="shared" si="162"/>
        <v>0</v>
      </c>
      <c r="I93" s="278">
        <f t="shared" si="162"/>
        <v>0</v>
      </c>
      <c r="J93" s="278"/>
      <c r="K93" s="278">
        <f t="shared" si="163"/>
        <v>0</v>
      </c>
      <c r="L93" s="278">
        <f t="shared" si="164"/>
        <v>0</v>
      </c>
      <c r="M93" s="278">
        <f t="shared" si="164"/>
        <v>0</v>
      </c>
      <c r="N93" s="278"/>
      <c r="O93" s="278">
        <f t="shared" si="165"/>
        <v>0</v>
      </c>
      <c r="P93" s="278">
        <f t="shared" si="166"/>
        <v>0</v>
      </c>
      <c r="Q93" s="278">
        <f t="shared" si="166"/>
        <v>0</v>
      </c>
      <c r="R93" s="278"/>
      <c r="S93" s="278">
        <f t="shared" si="167"/>
        <v>0</v>
      </c>
      <c r="T93" s="278">
        <f t="shared" si="168"/>
        <v>0</v>
      </c>
      <c r="U93" s="278">
        <f t="shared" si="168"/>
        <v>0</v>
      </c>
      <c r="V93" s="278"/>
      <c r="W93" s="278">
        <f t="shared" si="169"/>
        <v>0</v>
      </c>
      <c r="X93" s="278">
        <f t="shared" si="170"/>
        <v>0</v>
      </c>
      <c r="Y93" s="278">
        <f t="shared" si="170"/>
        <v>0</v>
      </c>
      <c r="Z93" s="278">
        <v>0</v>
      </c>
      <c r="AA93" s="278">
        <f t="shared" si="171"/>
        <v>0</v>
      </c>
      <c r="AB93" s="278">
        <f t="shared" si="172"/>
        <v>0</v>
      </c>
      <c r="AC93" s="278">
        <f t="shared" si="172"/>
        <v>0</v>
      </c>
      <c r="AF93" s="278"/>
      <c r="AG93" s="278"/>
      <c r="AH93" s="278"/>
      <c r="AI93" s="278"/>
      <c r="AJ93" s="278"/>
      <c r="AK93" s="278"/>
      <c r="AL93" s="278">
        <f t="shared" si="173"/>
        <v>0</v>
      </c>
      <c r="AM93" s="278">
        <f t="shared" si="174"/>
        <v>0</v>
      </c>
      <c r="AN93" s="278">
        <f t="shared" si="175"/>
        <v>0</v>
      </c>
      <c r="AO93" s="278">
        <f t="shared" si="176"/>
        <v>0</v>
      </c>
      <c r="AP93" s="278">
        <f t="shared" si="177"/>
        <v>0</v>
      </c>
      <c r="AQ93" s="278">
        <f t="shared" si="178"/>
        <v>0</v>
      </c>
      <c r="AR93" s="279"/>
      <c r="BK93" s="278"/>
      <c r="BL93" s="278"/>
      <c r="BM93" s="278"/>
      <c r="BO93" s="278"/>
      <c r="BP93" s="278"/>
      <c r="BQ93" s="278"/>
      <c r="BS93" s="278"/>
      <c r="BT93" s="278"/>
      <c r="BU93" s="278"/>
      <c r="BW93" s="278"/>
      <c r="BX93" s="278"/>
      <c r="BY93" s="278"/>
      <c r="CA93" s="278">
        <v>0</v>
      </c>
      <c r="CB93" s="278">
        <v>0</v>
      </c>
      <c r="CC93" s="278"/>
      <c r="CE93" s="278">
        <v>0</v>
      </c>
      <c r="CF93" s="278">
        <v>0</v>
      </c>
      <c r="CG93" s="278"/>
      <c r="CI93" s="278"/>
      <c r="CJ93" s="278"/>
      <c r="CK93" s="278"/>
    </row>
    <row r="94" spans="1:89" outlineLevel="1" x14ac:dyDescent="0.3">
      <c r="A94" s="277" t="s">
        <v>150</v>
      </c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>
        <v>0</v>
      </c>
      <c r="AA94" s="278">
        <f t="shared" si="171"/>
        <v>0</v>
      </c>
      <c r="AB94" s="278"/>
      <c r="AC94" s="278"/>
      <c r="AF94" s="278">
        <v>14</v>
      </c>
      <c r="AG94" s="278">
        <v>5</v>
      </c>
      <c r="AH94" s="278">
        <v>25</v>
      </c>
      <c r="AI94" s="278">
        <v>47</v>
      </c>
      <c r="AJ94" s="278">
        <v>43</v>
      </c>
      <c r="AK94" s="278">
        <v>2</v>
      </c>
      <c r="AL94" s="278">
        <f t="shared" si="173"/>
        <v>0</v>
      </c>
      <c r="AM94" s="278">
        <f t="shared" si="174"/>
        <v>0</v>
      </c>
      <c r="AN94" s="278">
        <f t="shared" si="175"/>
        <v>0</v>
      </c>
      <c r="AO94" s="278">
        <f t="shared" si="176"/>
        <v>0</v>
      </c>
      <c r="AP94" s="278">
        <f t="shared" si="177"/>
        <v>0</v>
      </c>
      <c r="AQ94" s="278">
        <f t="shared" si="178"/>
        <v>0</v>
      </c>
      <c r="AR94" s="279"/>
      <c r="BK94" s="278"/>
      <c r="BL94" s="278"/>
      <c r="BM94" s="278"/>
      <c r="BO94" s="278"/>
      <c r="BP94" s="278"/>
      <c r="BQ94" s="278"/>
      <c r="BS94" s="278"/>
      <c r="BT94" s="278"/>
      <c r="BU94" s="278"/>
      <c r="BW94" s="278"/>
      <c r="BX94" s="278"/>
      <c r="BY94" s="278"/>
      <c r="CA94" s="278"/>
      <c r="CB94" s="278"/>
      <c r="CC94" s="278"/>
      <c r="CE94" s="278"/>
      <c r="CF94" s="278"/>
      <c r="CG94" s="278"/>
      <c r="CI94" s="278"/>
      <c r="CJ94" s="278"/>
      <c r="CK94" s="278"/>
    </row>
    <row r="95" spans="1:89" outlineLevel="1" x14ac:dyDescent="0.3">
      <c r="A95" s="277" t="s">
        <v>220</v>
      </c>
      <c r="B95" s="278">
        <v>22</v>
      </c>
      <c r="C95" s="278">
        <f t="shared" ref="C95:C100" si="179">BK95-B95</f>
        <v>15</v>
      </c>
      <c r="D95" s="278">
        <f t="shared" ref="D95:E100" si="180">BL95-BK95</f>
        <v>1</v>
      </c>
      <c r="E95" s="278">
        <f t="shared" si="180"/>
        <v>12</v>
      </c>
      <c r="F95" s="278">
        <v>0</v>
      </c>
      <c r="G95" s="278">
        <f t="shared" ref="G95:G100" si="181">BO95-F95</f>
        <v>1</v>
      </c>
      <c r="H95" s="278">
        <f t="shared" ref="H95:I100" si="182">BP95-BO95</f>
        <v>0</v>
      </c>
      <c r="I95" s="278">
        <f t="shared" si="182"/>
        <v>0</v>
      </c>
      <c r="J95" s="278">
        <v>2</v>
      </c>
      <c r="K95" s="278">
        <f t="shared" ref="K95:K100" si="183">BS95-J95</f>
        <v>28</v>
      </c>
      <c r="L95" s="278">
        <f t="shared" ref="L95:M100" si="184">BT95-BS95</f>
        <v>1</v>
      </c>
      <c r="M95" s="278">
        <f t="shared" si="184"/>
        <v>3</v>
      </c>
      <c r="N95" s="278">
        <v>8</v>
      </c>
      <c r="O95" s="278">
        <f t="shared" ref="O95:O100" si="185">BW95-N95</f>
        <v>1</v>
      </c>
      <c r="P95" s="278">
        <f t="shared" ref="P95:Q100" si="186">BX95-BW95</f>
        <v>9</v>
      </c>
      <c r="Q95" s="278">
        <f t="shared" si="186"/>
        <v>14</v>
      </c>
      <c r="R95" s="278">
        <v>12</v>
      </c>
      <c r="S95" s="278">
        <f t="shared" ref="S95:S100" si="187">CA95-R95</f>
        <v>29</v>
      </c>
      <c r="T95" s="278">
        <f t="shared" ref="T95:U100" si="188">CB95-CA95</f>
        <v>10</v>
      </c>
      <c r="U95" s="278">
        <f t="shared" si="188"/>
        <v>5</v>
      </c>
      <c r="V95" s="278">
        <v>7</v>
      </c>
      <c r="W95" s="278">
        <f t="shared" ref="W95:W100" si="189">CE95-V95</f>
        <v>10</v>
      </c>
      <c r="X95" s="278">
        <f t="shared" ref="X95:Y100" si="190">CF95-CE95</f>
        <v>18</v>
      </c>
      <c r="Y95" s="278">
        <f t="shared" si="190"/>
        <v>36</v>
      </c>
      <c r="Z95" s="278">
        <v>12</v>
      </c>
      <c r="AA95" s="278">
        <f t="shared" si="171"/>
        <v>6</v>
      </c>
      <c r="AB95" s="278">
        <f t="shared" ref="AB95:AC100" si="191">CJ95-CI95</f>
        <v>29</v>
      </c>
      <c r="AC95" s="278">
        <f t="shared" si="191"/>
        <v>-47</v>
      </c>
      <c r="AF95" s="278">
        <v>7</v>
      </c>
      <c r="AG95" s="278">
        <v>32</v>
      </c>
      <c r="AH95" s="278">
        <v>10</v>
      </c>
      <c r="AI95" s="278">
        <v>6</v>
      </c>
      <c r="AJ95" s="278"/>
      <c r="AK95" s="278"/>
      <c r="AL95" s="278">
        <f t="shared" si="173"/>
        <v>50</v>
      </c>
      <c r="AM95" s="278">
        <f t="shared" si="174"/>
        <v>1</v>
      </c>
      <c r="AN95" s="278">
        <f t="shared" si="175"/>
        <v>34</v>
      </c>
      <c r="AO95" s="278">
        <f t="shared" si="176"/>
        <v>32</v>
      </c>
      <c r="AP95" s="278">
        <f t="shared" si="177"/>
        <v>56</v>
      </c>
      <c r="AQ95" s="278">
        <f t="shared" si="178"/>
        <v>71</v>
      </c>
      <c r="AR95" s="279"/>
      <c r="BK95" s="278">
        <v>37</v>
      </c>
      <c r="BL95" s="278">
        <v>38</v>
      </c>
      <c r="BM95" s="278">
        <v>50</v>
      </c>
      <c r="BO95" s="278">
        <v>1</v>
      </c>
      <c r="BP95" s="278">
        <v>1</v>
      </c>
      <c r="BQ95" s="278">
        <v>1</v>
      </c>
      <c r="BS95" s="278">
        <v>30</v>
      </c>
      <c r="BT95" s="278">
        <v>31</v>
      </c>
      <c r="BU95" s="278">
        <v>34</v>
      </c>
      <c r="BW95" s="278">
        <v>9</v>
      </c>
      <c r="BX95" s="278">
        <v>18</v>
      </c>
      <c r="BY95" s="278">
        <v>32</v>
      </c>
      <c r="CA95" s="278">
        <v>41</v>
      </c>
      <c r="CB95" s="278">
        <v>51</v>
      </c>
      <c r="CC95" s="278">
        <v>56</v>
      </c>
      <c r="CE95" s="278">
        <v>17</v>
      </c>
      <c r="CF95" s="278">
        <v>35</v>
      </c>
      <c r="CG95" s="278">
        <v>71</v>
      </c>
      <c r="CI95" s="278">
        <v>18</v>
      </c>
      <c r="CJ95" s="278">
        <v>47</v>
      </c>
      <c r="CK95" s="278"/>
    </row>
    <row r="96" spans="1:89" outlineLevel="1" x14ac:dyDescent="0.3">
      <c r="A96" s="277" t="s">
        <v>221</v>
      </c>
      <c r="B96" s="278"/>
      <c r="C96" s="278">
        <f t="shared" si="179"/>
        <v>0</v>
      </c>
      <c r="D96" s="278">
        <f t="shared" si="180"/>
        <v>0</v>
      </c>
      <c r="E96" s="278">
        <f t="shared" si="180"/>
        <v>0</v>
      </c>
      <c r="F96" s="278"/>
      <c r="G96" s="278">
        <f t="shared" si="181"/>
        <v>0</v>
      </c>
      <c r="H96" s="278">
        <f t="shared" si="182"/>
        <v>0</v>
      </c>
      <c r="I96" s="278">
        <f t="shared" si="182"/>
        <v>0</v>
      </c>
      <c r="J96" s="278"/>
      <c r="K96" s="278">
        <f t="shared" si="183"/>
        <v>0</v>
      </c>
      <c r="L96" s="278">
        <f t="shared" si="184"/>
        <v>0</v>
      </c>
      <c r="M96" s="278">
        <f t="shared" si="184"/>
        <v>0</v>
      </c>
      <c r="N96" s="278"/>
      <c r="O96" s="278">
        <f t="shared" si="185"/>
        <v>0</v>
      </c>
      <c r="P96" s="278">
        <f t="shared" si="186"/>
        <v>0</v>
      </c>
      <c r="Q96" s="278">
        <f t="shared" si="186"/>
        <v>0</v>
      </c>
      <c r="R96" s="278">
        <v>0</v>
      </c>
      <c r="S96" s="278">
        <f t="shared" si="187"/>
        <v>0</v>
      </c>
      <c r="T96" s="278">
        <f t="shared" si="188"/>
        <v>0</v>
      </c>
      <c r="U96" s="278">
        <f t="shared" si="188"/>
        <v>0</v>
      </c>
      <c r="V96" s="278">
        <v>3</v>
      </c>
      <c r="W96" s="278">
        <f t="shared" si="189"/>
        <v>-2</v>
      </c>
      <c r="X96" s="278">
        <f t="shared" si="190"/>
        <v>3</v>
      </c>
      <c r="Y96" s="278">
        <f t="shared" si="190"/>
        <v>0</v>
      </c>
      <c r="Z96" s="278">
        <v>0</v>
      </c>
      <c r="AA96" s="278">
        <f t="shared" si="171"/>
        <v>0</v>
      </c>
      <c r="AB96" s="278">
        <f t="shared" si="191"/>
        <v>30</v>
      </c>
      <c r="AC96" s="278">
        <f t="shared" si="191"/>
        <v>-30</v>
      </c>
      <c r="AF96" s="278"/>
      <c r="AG96" s="278"/>
      <c r="AH96" s="278"/>
      <c r="AI96" s="278"/>
      <c r="AJ96" s="278"/>
      <c r="AK96" s="278"/>
      <c r="AL96" s="278">
        <f t="shared" si="173"/>
        <v>0</v>
      </c>
      <c r="AM96" s="278">
        <f t="shared" si="174"/>
        <v>0</v>
      </c>
      <c r="AN96" s="278">
        <f t="shared" si="175"/>
        <v>0</v>
      </c>
      <c r="AO96" s="278">
        <f t="shared" si="176"/>
        <v>0</v>
      </c>
      <c r="AP96" s="278">
        <f t="shared" si="177"/>
        <v>0</v>
      </c>
      <c r="AQ96" s="278">
        <f t="shared" si="178"/>
        <v>4</v>
      </c>
      <c r="AR96" s="279"/>
      <c r="BK96" s="278"/>
      <c r="BL96" s="278"/>
      <c r="BM96" s="278"/>
      <c r="BO96" s="278"/>
      <c r="BP96" s="278"/>
      <c r="BQ96" s="278"/>
      <c r="BS96" s="278"/>
      <c r="BT96" s="278"/>
      <c r="BU96" s="278"/>
      <c r="BW96" s="278"/>
      <c r="BX96" s="278"/>
      <c r="BY96" s="278">
        <v>0</v>
      </c>
      <c r="CA96" s="278">
        <v>0</v>
      </c>
      <c r="CB96" s="278">
        <v>0</v>
      </c>
      <c r="CC96" s="278">
        <v>0</v>
      </c>
      <c r="CE96" s="278">
        <v>1</v>
      </c>
      <c r="CF96" s="278">
        <v>4</v>
      </c>
      <c r="CG96" s="278">
        <v>4</v>
      </c>
      <c r="CI96" s="278"/>
      <c r="CJ96" s="278">
        <v>30</v>
      </c>
      <c r="CK96" s="278"/>
    </row>
    <row r="97" spans="1:89" outlineLevel="1" x14ac:dyDescent="0.3">
      <c r="A97" s="277" t="s">
        <v>187</v>
      </c>
      <c r="B97" s="278"/>
      <c r="C97" s="278">
        <f t="shared" si="179"/>
        <v>0</v>
      </c>
      <c r="D97" s="278">
        <f t="shared" si="180"/>
        <v>0</v>
      </c>
      <c r="E97" s="278">
        <f t="shared" si="180"/>
        <v>0</v>
      </c>
      <c r="F97" s="278"/>
      <c r="G97" s="278">
        <f t="shared" si="181"/>
        <v>0</v>
      </c>
      <c r="H97" s="278">
        <f t="shared" si="182"/>
        <v>0</v>
      </c>
      <c r="I97" s="278">
        <f t="shared" si="182"/>
        <v>0</v>
      </c>
      <c r="J97" s="278"/>
      <c r="K97" s="278">
        <f t="shared" si="183"/>
        <v>0</v>
      </c>
      <c r="L97" s="278">
        <f t="shared" si="184"/>
        <v>0</v>
      </c>
      <c r="M97" s="278">
        <f t="shared" si="184"/>
        <v>0</v>
      </c>
      <c r="N97" s="278"/>
      <c r="O97" s="278">
        <f t="shared" si="185"/>
        <v>0</v>
      </c>
      <c r="P97" s="278">
        <f t="shared" si="186"/>
        <v>0</v>
      </c>
      <c r="Q97" s="278">
        <f t="shared" si="186"/>
        <v>0</v>
      </c>
      <c r="R97" s="278"/>
      <c r="S97" s="278">
        <f t="shared" si="187"/>
        <v>0</v>
      </c>
      <c r="T97" s="278">
        <f t="shared" si="188"/>
        <v>0</v>
      </c>
      <c r="U97" s="278">
        <f t="shared" si="188"/>
        <v>0</v>
      </c>
      <c r="V97" s="278"/>
      <c r="W97" s="278">
        <f t="shared" si="189"/>
        <v>0</v>
      </c>
      <c r="X97" s="278">
        <f t="shared" si="190"/>
        <v>0</v>
      </c>
      <c r="Y97" s="278">
        <f t="shared" si="190"/>
        <v>0</v>
      </c>
      <c r="Z97" s="278">
        <v>0</v>
      </c>
      <c r="AA97" s="278">
        <f t="shared" si="171"/>
        <v>0</v>
      </c>
      <c r="AB97" s="278">
        <f t="shared" si="191"/>
        <v>0</v>
      </c>
      <c r="AC97" s="278">
        <f t="shared" si="191"/>
        <v>0</v>
      </c>
      <c r="AF97" s="278"/>
      <c r="AG97" s="278"/>
      <c r="AH97" s="278"/>
      <c r="AI97" s="278"/>
      <c r="AJ97" s="278"/>
      <c r="AK97" s="278"/>
      <c r="AL97" s="278">
        <f t="shared" si="173"/>
        <v>0</v>
      </c>
      <c r="AM97" s="278">
        <f t="shared" si="174"/>
        <v>0</v>
      </c>
      <c r="AN97" s="278">
        <f t="shared" si="175"/>
        <v>0</v>
      </c>
      <c r="AO97" s="278">
        <f t="shared" si="176"/>
        <v>0</v>
      </c>
      <c r="AP97" s="278">
        <f t="shared" si="177"/>
        <v>0</v>
      </c>
      <c r="AQ97" s="278">
        <f t="shared" si="178"/>
        <v>0</v>
      </c>
      <c r="AR97" s="279"/>
      <c r="BK97" s="278"/>
      <c r="BL97" s="278"/>
      <c r="BM97" s="278"/>
      <c r="BO97" s="278"/>
      <c r="BP97" s="278"/>
      <c r="BQ97" s="278"/>
      <c r="BS97" s="278"/>
      <c r="BT97" s="278"/>
      <c r="BU97" s="278"/>
      <c r="BW97" s="278"/>
      <c r="BX97" s="278"/>
      <c r="BY97" s="278"/>
      <c r="CA97" s="278"/>
      <c r="CB97" s="278"/>
      <c r="CC97" s="278"/>
      <c r="CE97" s="278"/>
      <c r="CF97" s="278"/>
      <c r="CG97" s="278"/>
      <c r="CI97" s="278"/>
      <c r="CJ97" s="278"/>
      <c r="CK97" s="278"/>
    </row>
    <row r="98" spans="1:89" outlineLevel="1" x14ac:dyDescent="0.3">
      <c r="A98" s="277" t="s">
        <v>157</v>
      </c>
      <c r="B98" s="278">
        <v>349</v>
      </c>
      <c r="C98" s="278">
        <f t="shared" si="179"/>
        <v>511</v>
      </c>
      <c r="D98" s="278">
        <f t="shared" si="180"/>
        <v>510</v>
      </c>
      <c r="E98" s="278">
        <f t="shared" si="180"/>
        <v>452</v>
      </c>
      <c r="F98" s="278">
        <v>150</v>
      </c>
      <c r="G98" s="278">
        <f t="shared" si="181"/>
        <v>184</v>
      </c>
      <c r="H98" s="278">
        <f t="shared" si="182"/>
        <v>280</v>
      </c>
      <c r="I98" s="278">
        <f t="shared" si="182"/>
        <v>285</v>
      </c>
      <c r="J98" s="278">
        <v>228</v>
      </c>
      <c r="K98" s="278">
        <f t="shared" si="183"/>
        <v>480</v>
      </c>
      <c r="L98" s="278">
        <f t="shared" si="184"/>
        <v>373</v>
      </c>
      <c r="M98" s="278">
        <f t="shared" si="184"/>
        <v>721</v>
      </c>
      <c r="N98" s="278">
        <v>553</v>
      </c>
      <c r="O98" s="278">
        <f t="shared" si="185"/>
        <v>364</v>
      </c>
      <c r="P98" s="278">
        <f t="shared" si="186"/>
        <v>502</v>
      </c>
      <c r="Q98" s="278">
        <f t="shared" si="186"/>
        <v>502</v>
      </c>
      <c r="R98" s="278">
        <v>598</v>
      </c>
      <c r="S98" s="278">
        <f t="shared" si="187"/>
        <v>566</v>
      </c>
      <c r="T98" s="278">
        <f t="shared" si="188"/>
        <v>738</v>
      </c>
      <c r="U98" s="278">
        <f t="shared" si="188"/>
        <v>511</v>
      </c>
      <c r="V98" s="278">
        <v>367</v>
      </c>
      <c r="W98" s="278">
        <f t="shared" si="189"/>
        <v>511</v>
      </c>
      <c r="X98" s="278">
        <f t="shared" si="190"/>
        <v>488</v>
      </c>
      <c r="Y98" s="278">
        <f t="shared" si="190"/>
        <v>731</v>
      </c>
      <c r="Z98" s="278">
        <v>863</v>
      </c>
      <c r="AA98" s="278">
        <f t="shared" si="171"/>
        <v>690</v>
      </c>
      <c r="AB98" s="278">
        <f t="shared" si="191"/>
        <v>1073</v>
      </c>
      <c r="AC98" s="278">
        <f t="shared" si="191"/>
        <v>-2626</v>
      </c>
      <c r="AF98" s="278">
        <v>2115</v>
      </c>
      <c r="AG98" s="278">
        <v>4051</v>
      </c>
      <c r="AH98" s="278">
        <v>5142</v>
      </c>
      <c r="AI98" s="278">
        <v>5650</v>
      </c>
      <c r="AJ98" s="278">
        <v>4636</v>
      </c>
      <c r="AK98" s="278">
        <v>4061</v>
      </c>
      <c r="AL98" s="278">
        <f t="shared" si="173"/>
        <v>1822</v>
      </c>
      <c r="AM98" s="278">
        <f t="shared" si="174"/>
        <v>899</v>
      </c>
      <c r="AN98" s="278">
        <f t="shared" si="175"/>
        <v>1802</v>
      </c>
      <c r="AO98" s="278">
        <f t="shared" si="176"/>
        <v>1921</v>
      </c>
      <c r="AP98" s="278">
        <f t="shared" si="177"/>
        <v>2413</v>
      </c>
      <c r="AQ98" s="278">
        <f t="shared" si="178"/>
        <v>2097</v>
      </c>
      <c r="AR98" s="279"/>
      <c r="BK98" s="278">
        <v>860</v>
      </c>
      <c r="BL98" s="278">
        <v>1370</v>
      </c>
      <c r="BM98" s="278">
        <v>1822</v>
      </c>
      <c r="BO98" s="278">
        <v>334</v>
      </c>
      <c r="BP98" s="278">
        <v>614</v>
      </c>
      <c r="BQ98" s="278">
        <v>899</v>
      </c>
      <c r="BS98" s="278">
        <v>708</v>
      </c>
      <c r="BT98" s="278">
        <v>1081</v>
      </c>
      <c r="BU98" s="278">
        <v>1802</v>
      </c>
      <c r="BW98" s="278">
        <v>917</v>
      </c>
      <c r="BX98" s="278">
        <v>1419</v>
      </c>
      <c r="BY98" s="278">
        <v>1921</v>
      </c>
      <c r="CA98" s="278">
        <v>1164</v>
      </c>
      <c r="CB98" s="278">
        <v>1902</v>
      </c>
      <c r="CC98" s="278">
        <v>2413</v>
      </c>
      <c r="CE98" s="278">
        <v>878</v>
      </c>
      <c r="CF98" s="278">
        <v>1366</v>
      </c>
      <c r="CG98" s="278">
        <v>2097</v>
      </c>
      <c r="CI98" s="278">
        <v>1553</v>
      </c>
      <c r="CJ98" s="278">
        <v>2626</v>
      </c>
      <c r="CK98" s="278"/>
    </row>
    <row r="99" spans="1:89" outlineLevel="1" x14ac:dyDescent="0.3">
      <c r="A99" s="277" t="s">
        <v>222</v>
      </c>
      <c r="B99" s="278">
        <v>175</v>
      </c>
      <c r="C99" s="278">
        <f t="shared" si="179"/>
        <v>196</v>
      </c>
      <c r="D99" s="278">
        <f t="shared" si="180"/>
        <v>243</v>
      </c>
      <c r="E99" s="278">
        <f t="shared" si="180"/>
        <v>191</v>
      </c>
      <c r="F99" s="278">
        <v>8</v>
      </c>
      <c r="G99" s="278">
        <f t="shared" si="181"/>
        <v>115</v>
      </c>
      <c r="H99" s="278">
        <f t="shared" si="182"/>
        <v>86</v>
      </c>
      <c r="I99" s="278">
        <f t="shared" si="182"/>
        <v>94</v>
      </c>
      <c r="J99" s="278">
        <v>146</v>
      </c>
      <c r="K99" s="278">
        <f t="shared" si="183"/>
        <v>120</v>
      </c>
      <c r="L99" s="278">
        <f t="shared" si="184"/>
        <v>175</v>
      </c>
      <c r="M99" s="278">
        <f t="shared" si="184"/>
        <v>212</v>
      </c>
      <c r="N99" s="278">
        <v>228</v>
      </c>
      <c r="O99" s="278">
        <f t="shared" si="185"/>
        <v>321</v>
      </c>
      <c r="P99" s="278">
        <f t="shared" si="186"/>
        <v>243</v>
      </c>
      <c r="Q99" s="278">
        <f t="shared" si="186"/>
        <v>269</v>
      </c>
      <c r="R99" s="278">
        <v>258</v>
      </c>
      <c r="S99" s="278">
        <f t="shared" si="187"/>
        <v>258</v>
      </c>
      <c r="T99" s="278">
        <f t="shared" si="188"/>
        <v>267</v>
      </c>
      <c r="U99" s="278">
        <f t="shared" si="188"/>
        <v>185</v>
      </c>
      <c r="V99" s="278">
        <v>357</v>
      </c>
      <c r="W99" s="278">
        <f t="shared" si="189"/>
        <v>177</v>
      </c>
      <c r="X99" s="278">
        <f t="shared" si="190"/>
        <v>268</v>
      </c>
      <c r="Y99" s="278">
        <f t="shared" si="190"/>
        <v>346</v>
      </c>
      <c r="Z99" s="278">
        <v>333</v>
      </c>
      <c r="AA99" s="278">
        <f t="shared" si="171"/>
        <v>305</v>
      </c>
      <c r="AB99" s="278">
        <f t="shared" si="191"/>
        <v>474</v>
      </c>
      <c r="AC99" s="278">
        <f t="shared" si="191"/>
        <v>-1112</v>
      </c>
      <c r="AF99" s="278">
        <v>591</v>
      </c>
      <c r="AG99" s="278">
        <v>321</v>
      </c>
      <c r="AH99" s="278">
        <v>979</v>
      </c>
      <c r="AI99" s="278">
        <v>1191</v>
      </c>
      <c r="AJ99" s="278">
        <v>987</v>
      </c>
      <c r="AK99" s="278">
        <v>569</v>
      </c>
      <c r="AL99" s="278">
        <f t="shared" si="173"/>
        <v>805</v>
      </c>
      <c r="AM99" s="278">
        <f t="shared" si="174"/>
        <v>303</v>
      </c>
      <c r="AN99" s="278">
        <f t="shared" si="175"/>
        <v>653</v>
      </c>
      <c r="AO99" s="278">
        <f t="shared" si="176"/>
        <v>1061</v>
      </c>
      <c r="AP99" s="278">
        <f t="shared" si="177"/>
        <v>968</v>
      </c>
      <c r="AQ99" s="278">
        <f t="shared" si="178"/>
        <v>1148</v>
      </c>
      <c r="AR99" s="279"/>
      <c r="BK99" s="278">
        <v>371</v>
      </c>
      <c r="BL99" s="278">
        <v>614</v>
      </c>
      <c r="BM99" s="278">
        <v>805</v>
      </c>
      <c r="BO99" s="278">
        <v>123</v>
      </c>
      <c r="BP99" s="278">
        <v>209</v>
      </c>
      <c r="BQ99" s="278">
        <v>303</v>
      </c>
      <c r="BS99" s="278">
        <v>266</v>
      </c>
      <c r="BT99" s="278">
        <v>441</v>
      </c>
      <c r="BU99" s="278">
        <v>653</v>
      </c>
      <c r="BW99" s="278">
        <v>549</v>
      </c>
      <c r="BX99" s="278">
        <v>792</v>
      </c>
      <c r="BY99" s="278">
        <v>1061</v>
      </c>
      <c r="CA99" s="278">
        <v>516</v>
      </c>
      <c r="CB99" s="278">
        <v>783</v>
      </c>
      <c r="CC99" s="278">
        <v>968</v>
      </c>
      <c r="CE99" s="278">
        <v>534</v>
      </c>
      <c r="CF99" s="278">
        <v>802</v>
      </c>
      <c r="CG99" s="278">
        <v>1148</v>
      </c>
      <c r="CI99" s="278">
        <v>638</v>
      </c>
      <c r="CJ99" s="278">
        <v>1112</v>
      </c>
      <c r="CK99" s="278"/>
    </row>
    <row r="100" spans="1:89" outlineLevel="1" x14ac:dyDescent="0.3">
      <c r="A100" s="277" t="s">
        <v>223</v>
      </c>
      <c r="B100" s="278">
        <v>0</v>
      </c>
      <c r="C100" s="278">
        <f t="shared" si="179"/>
        <v>0</v>
      </c>
      <c r="D100" s="278">
        <f t="shared" si="180"/>
        <v>0</v>
      </c>
      <c r="E100" s="278">
        <f t="shared" si="180"/>
        <v>0</v>
      </c>
      <c r="F100" s="278">
        <v>0</v>
      </c>
      <c r="G100" s="278">
        <f t="shared" si="181"/>
        <v>0</v>
      </c>
      <c r="H100" s="278">
        <f t="shared" si="182"/>
        <v>0</v>
      </c>
      <c r="I100" s="278">
        <f t="shared" si="182"/>
        <v>0</v>
      </c>
      <c r="J100" s="278"/>
      <c r="K100" s="278">
        <f t="shared" si="183"/>
        <v>0</v>
      </c>
      <c r="L100" s="278">
        <f t="shared" si="184"/>
        <v>0</v>
      </c>
      <c r="M100" s="278">
        <f t="shared" si="184"/>
        <v>0</v>
      </c>
      <c r="N100" s="278"/>
      <c r="O100" s="278">
        <f t="shared" si="185"/>
        <v>0</v>
      </c>
      <c r="P100" s="278">
        <f t="shared" si="186"/>
        <v>0</v>
      </c>
      <c r="Q100" s="278">
        <f t="shared" si="186"/>
        <v>0</v>
      </c>
      <c r="R100" s="278"/>
      <c r="S100" s="278">
        <f t="shared" si="187"/>
        <v>0</v>
      </c>
      <c r="T100" s="278">
        <f t="shared" si="188"/>
        <v>0</v>
      </c>
      <c r="U100" s="278">
        <f t="shared" si="188"/>
        <v>0</v>
      </c>
      <c r="V100" s="278"/>
      <c r="W100" s="278">
        <f t="shared" si="189"/>
        <v>0</v>
      </c>
      <c r="X100" s="278">
        <f t="shared" si="190"/>
        <v>0</v>
      </c>
      <c r="Y100" s="278">
        <f t="shared" si="190"/>
        <v>0</v>
      </c>
      <c r="Z100" s="278">
        <v>0</v>
      </c>
      <c r="AA100" s="278">
        <f t="shared" si="171"/>
        <v>0</v>
      </c>
      <c r="AB100" s="278">
        <f t="shared" si="191"/>
        <v>0</v>
      </c>
      <c r="AC100" s="278">
        <f t="shared" si="191"/>
        <v>0</v>
      </c>
      <c r="AF100" s="278">
        <v>0</v>
      </c>
      <c r="AG100" s="278" t="s">
        <v>146</v>
      </c>
      <c r="AH100" s="278"/>
      <c r="AI100" s="278"/>
      <c r="AJ100" s="278">
        <v>0</v>
      </c>
      <c r="AK100" s="278">
        <v>0</v>
      </c>
      <c r="AL100" s="278">
        <f t="shared" si="173"/>
        <v>0</v>
      </c>
      <c r="AM100" s="278">
        <f t="shared" si="174"/>
        <v>0</v>
      </c>
      <c r="AN100" s="278">
        <f t="shared" si="175"/>
        <v>0</v>
      </c>
      <c r="AO100" s="278">
        <f t="shared" si="176"/>
        <v>0</v>
      </c>
      <c r="AP100" s="278">
        <f t="shared" si="177"/>
        <v>0</v>
      </c>
      <c r="AQ100" s="278">
        <f t="shared" si="178"/>
        <v>0</v>
      </c>
      <c r="AR100" s="279"/>
      <c r="BK100" s="278">
        <v>0</v>
      </c>
      <c r="BL100" s="278">
        <v>0</v>
      </c>
      <c r="BM100" s="278">
        <v>0</v>
      </c>
      <c r="BO100" s="278">
        <v>0</v>
      </c>
      <c r="BP100" s="278">
        <v>0</v>
      </c>
      <c r="BQ100" s="278">
        <v>0</v>
      </c>
      <c r="BS100" s="278"/>
      <c r="BT100" s="278"/>
      <c r="BU100" s="278"/>
      <c r="BW100" s="278"/>
      <c r="BX100" s="278"/>
      <c r="BY100" s="278"/>
      <c r="CA100" s="278"/>
      <c r="CB100" s="278"/>
      <c r="CC100" s="278"/>
      <c r="CE100" s="278"/>
      <c r="CF100" s="278"/>
      <c r="CG100" s="278"/>
      <c r="CI100" s="278"/>
      <c r="CJ100" s="278"/>
      <c r="CK100" s="278"/>
    </row>
    <row r="101" spans="1:89" s="283" customFormat="1" x14ac:dyDescent="0.3">
      <c r="A101" s="280" t="s">
        <v>224</v>
      </c>
      <c r="B101" s="282">
        <f>SUM(B88:B100)</f>
        <v>1555</v>
      </c>
      <c r="C101" s="282">
        <f t="shared" ref="C101:AC101" si="192">SUM(C88:C100)</f>
        <v>2283</v>
      </c>
      <c r="D101" s="282">
        <f t="shared" si="192"/>
        <v>2047</v>
      </c>
      <c r="E101" s="282">
        <f t="shared" si="192"/>
        <v>1974</v>
      </c>
      <c r="F101" s="282">
        <f t="shared" si="192"/>
        <v>202</v>
      </c>
      <c r="G101" s="282">
        <f t="shared" si="192"/>
        <v>976</v>
      </c>
      <c r="H101" s="282">
        <f t="shared" si="192"/>
        <v>1651</v>
      </c>
      <c r="I101" s="282">
        <f t="shared" si="192"/>
        <v>1211</v>
      </c>
      <c r="J101" s="282">
        <f t="shared" si="192"/>
        <v>920</v>
      </c>
      <c r="K101" s="282">
        <f t="shared" si="192"/>
        <v>1239</v>
      </c>
      <c r="L101" s="282">
        <f t="shared" si="192"/>
        <v>1645</v>
      </c>
      <c r="M101" s="282">
        <f t="shared" si="192"/>
        <v>2695</v>
      </c>
      <c r="N101" s="282">
        <f t="shared" si="192"/>
        <v>2223</v>
      </c>
      <c r="O101" s="282">
        <f t="shared" si="192"/>
        <v>2148</v>
      </c>
      <c r="P101" s="282">
        <f t="shared" si="192"/>
        <v>3035</v>
      </c>
      <c r="Q101" s="282">
        <f t="shared" si="192"/>
        <v>3137</v>
      </c>
      <c r="R101" s="282">
        <f t="shared" si="192"/>
        <v>2388</v>
      </c>
      <c r="S101" s="282">
        <f t="shared" si="192"/>
        <v>2519</v>
      </c>
      <c r="T101" s="282">
        <f t="shared" si="192"/>
        <v>2784</v>
      </c>
      <c r="U101" s="282">
        <f t="shared" si="192"/>
        <v>2323</v>
      </c>
      <c r="V101" s="282">
        <f t="shared" si="192"/>
        <v>1986</v>
      </c>
      <c r="W101" s="282">
        <f t="shared" si="192"/>
        <v>2455</v>
      </c>
      <c r="X101" s="282">
        <f t="shared" si="192"/>
        <v>2951</v>
      </c>
      <c r="Y101" s="282">
        <f t="shared" si="192"/>
        <v>3844</v>
      </c>
      <c r="Z101" s="282">
        <f t="shared" si="192"/>
        <v>3171</v>
      </c>
      <c r="AA101" s="282">
        <f t="shared" si="192"/>
        <v>4279</v>
      </c>
      <c r="AB101" s="282">
        <f t="shared" si="192"/>
        <v>4734</v>
      </c>
      <c r="AC101" s="282">
        <f t="shared" si="192"/>
        <v>-12184</v>
      </c>
      <c r="AF101" s="282">
        <f t="shared" ref="AF101:AK101" si="193">SUM(AF88:AF100)</f>
        <v>7104</v>
      </c>
      <c r="AG101" s="282">
        <f t="shared" si="193"/>
        <v>11980</v>
      </c>
      <c r="AH101" s="282">
        <f t="shared" si="193"/>
        <v>12291</v>
      </c>
      <c r="AI101" s="282">
        <f t="shared" si="193"/>
        <v>11771</v>
      </c>
      <c r="AJ101" s="282">
        <f t="shared" si="193"/>
        <v>12178</v>
      </c>
      <c r="AK101" s="282">
        <f t="shared" si="193"/>
        <v>8180</v>
      </c>
      <c r="AL101" s="282">
        <f t="shared" si="173"/>
        <v>7859</v>
      </c>
      <c r="AM101" s="282">
        <f t="shared" si="174"/>
        <v>4040</v>
      </c>
      <c r="AN101" s="282">
        <f t="shared" si="175"/>
        <v>6499</v>
      </c>
      <c r="AO101" s="282">
        <f t="shared" si="176"/>
        <v>10543</v>
      </c>
      <c r="AP101" s="282">
        <f t="shared" si="177"/>
        <v>10014</v>
      </c>
      <c r="AQ101" s="282">
        <f t="shared" si="178"/>
        <v>11236</v>
      </c>
      <c r="AR101" s="284"/>
      <c r="BK101" s="282">
        <f t="shared" ref="BK101:BM101" si="194">SUM(BK88:BK100)</f>
        <v>3838</v>
      </c>
      <c r="BL101" s="282">
        <f t="shared" si="194"/>
        <v>5885</v>
      </c>
      <c r="BM101" s="282">
        <f t="shared" si="194"/>
        <v>7859</v>
      </c>
      <c r="BO101" s="282">
        <f>SUM(BO88:BO100)</f>
        <v>1178</v>
      </c>
      <c r="BP101" s="282">
        <f>SUM(BP88:BP100)</f>
        <v>2829</v>
      </c>
      <c r="BQ101" s="282">
        <f>SUM(BQ88:BQ100)</f>
        <v>4040</v>
      </c>
      <c r="BS101" s="282">
        <f>SUM(BS88:BS99)</f>
        <v>2159</v>
      </c>
      <c r="BT101" s="282">
        <f>SUM(BT88:BT99)</f>
        <v>3804</v>
      </c>
      <c r="BU101" s="282">
        <f>SUM(BU88:BU99)</f>
        <v>6499</v>
      </c>
      <c r="BW101" s="282">
        <f>SUM(BW88:BW99)</f>
        <v>4371</v>
      </c>
      <c r="BX101" s="282">
        <f>SUM(BX88:BX99)</f>
        <v>7406</v>
      </c>
      <c r="BY101" s="282">
        <f>SUM(BY88:BY99)</f>
        <v>10543</v>
      </c>
      <c r="CA101" s="282">
        <f>SUM(CA88:CA99)</f>
        <v>4907</v>
      </c>
      <c r="CB101" s="282">
        <f>SUM(CB88:CB99)</f>
        <v>7691</v>
      </c>
      <c r="CC101" s="282">
        <f>SUM(CC88:CC99)</f>
        <v>10014</v>
      </c>
      <c r="CE101" s="282">
        <f>SUM(CE88:CE99)</f>
        <v>4441</v>
      </c>
      <c r="CF101" s="282">
        <f>SUM(CF88:CF99)</f>
        <v>7392</v>
      </c>
      <c r="CG101" s="282">
        <f>SUM(CG88:CG99)</f>
        <v>11236</v>
      </c>
      <c r="CI101" s="282">
        <f>SUM(CI88:CI99)</f>
        <v>7450</v>
      </c>
      <c r="CJ101" s="282">
        <f>SUM(CJ88:CJ99)</f>
        <v>12184</v>
      </c>
      <c r="CK101" s="282"/>
    </row>
    <row r="102" spans="1:89" x14ac:dyDescent="0.3">
      <c r="A102" s="280"/>
      <c r="B102" s="278"/>
      <c r="C102" s="278"/>
      <c r="D102" s="278"/>
      <c r="E102" s="278"/>
      <c r="F102" s="278"/>
      <c r="G102" s="278"/>
      <c r="H102" s="278"/>
      <c r="I102" s="278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  <c r="AC102" s="278"/>
      <c r="AF102" s="278"/>
      <c r="AG102" s="278"/>
      <c r="AH102" s="278"/>
      <c r="AI102" s="278"/>
      <c r="AJ102" s="278"/>
      <c r="AK102" s="278"/>
      <c r="AL102" s="278"/>
      <c r="AM102" s="278"/>
      <c r="AN102" s="278"/>
      <c r="AO102" s="278"/>
      <c r="AP102" s="278"/>
      <c r="AQ102" s="278"/>
      <c r="AR102" s="279"/>
      <c r="BK102" s="278"/>
      <c r="BL102" s="278"/>
      <c r="BM102" s="278"/>
      <c r="BO102" s="278"/>
      <c r="BP102" s="278"/>
      <c r="BQ102" s="278"/>
      <c r="BS102" s="278"/>
      <c r="BT102" s="278"/>
      <c r="BU102" s="278"/>
      <c r="BW102" s="278"/>
      <c r="BX102" s="278"/>
      <c r="BY102" s="278"/>
      <c r="CA102" s="278"/>
      <c r="CB102" s="278"/>
      <c r="CC102" s="278"/>
      <c r="CE102" s="278"/>
      <c r="CF102" s="278"/>
      <c r="CG102" s="278"/>
      <c r="CI102" s="278"/>
      <c r="CJ102" s="278"/>
      <c r="CK102" s="278"/>
    </row>
    <row r="103" spans="1:89" x14ac:dyDescent="0.3">
      <c r="A103" s="280" t="s">
        <v>225</v>
      </c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F103" s="278"/>
      <c r="AG103" s="278"/>
      <c r="AH103" s="278"/>
      <c r="AI103" s="278"/>
      <c r="AJ103" s="278"/>
      <c r="AK103" s="278"/>
      <c r="AL103" s="278"/>
      <c r="AM103" s="278"/>
      <c r="AN103" s="278"/>
      <c r="AO103" s="278"/>
      <c r="AP103" s="278"/>
      <c r="AQ103" s="278"/>
      <c r="AR103" s="279"/>
      <c r="BK103" s="278"/>
      <c r="BL103" s="278"/>
      <c r="BM103" s="278"/>
      <c r="BO103" s="278"/>
      <c r="BP103" s="278"/>
      <c r="BQ103" s="278"/>
      <c r="BS103" s="278"/>
      <c r="BT103" s="278"/>
      <c r="BU103" s="278"/>
      <c r="BW103" s="278"/>
      <c r="BX103" s="278"/>
      <c r="BY103" s="278"/>
      <c r="CA103" s="278"/>
      <c r="CB103" s="278"/>
      <c r="CC103" s="278"/>
      <c r="CE103" s="278"/>
      <c r="CF103" s="278"/>
      <c r="CG103" s="278"/>
      <c r="CI103" s="278"/>
      <c r="CJ103" s="278"/>
      <c r="CK103" s="278"/>
    </row>
    <row r="104" spans="1:89" outlineLevel="1" x14ac:dyDescent="0.3">
      <c r="A104" s="277" t="s">
        <v>226</v>
      </c>
      <c r="B104" s="278"/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  <c r="AC104" s="278"/>
      <c r="AF104" s="278">
        <v>0</v>
      </c>
      <c r="AG104" s="278">
        <v>0</v>
      </c>
      <c r="AH104" s="278"/>
      <c r="AI104" s="278"/>
      <c r="AJ104" s="278"/>
      <c r="AK104" s="278"/>
      <c r="AL104" s="278"/>
      <c r="AM104" s="278"/>
      <c r="AN104" s="278"/>
      <c r="AO104" s="278"/>
      <c r="AP104" s="278"/>
      <c r="AQ104" s="278"/>
      <c r="AR104" s="279"/>
      <c r="BK104" s="278"/>
      <c r="BL104" s="278"/>
      <c r="BM104" s="278"/>
      <c r="BO104" s="278"/>
      <c r="BP104" s="278"/>
      <c r="BQ104" s="278"/>
      <c r="BS104" s="278"/>
      <c r="BT104" s="278"/>
      <c r="BU104" s="278"/>
      <c r="BW104" s="278"/>
      <c r="BX104" s="278"/>
      <c r="BY104" s="278"/>
      <c r="CA104" s="278"/>
      <c r="CB104" s="278"/>
      <c r="CC104" s="278"/>
      <c r="CE104" s="278"/>
      <c r="CF104" s="278"/>
      <c r="CG104" s="278"/>
      <c r="CI104" s="278"/>
      <c r="CJ104" s="278"/>
      <c r="CK104" s="278"/>
    </row>
    <row r="105" spans="1:89" outlineLevel="1" x14ac:dyDescent="0.3">
      <c r="A105" s="277" t="s">
        <v>163</v>
      </c>
      <c r="B105" s="278">
        <v>377</v>
      </c>
      <c r="C105" s="278">
        <f t="shared" ref="C105:C112" si="195">BK105-B105</f>
        <v>616</v>
      </c>
      <c r="D105" s="278">
        <f t="shared" ref="D105:E112" si="196">BL105-BK105</f>
        <v>569</v>
      </c>
      <c r="E105" s="278">
        <f t="shared" si="196"/>
        <v>442</v>
      </c>
      <c r="F105" s="278">
        <v>254</v>
      </c>
      <c r="G105" s="278">
        <f t="shared" ref="G105:G112" si="197">BO105-F105</f>
        <v>259</v>
      </c>
      <c r="H105" s="278">
        <f t="shared" ref="H105:I112" si="198">BP105-BO105</f>
        <v>823</v>
      </c>
      <c r="I105" s="278">
        <f t="shared" si="198"/>
        <v>1591</v>
      </c>
      <c r="J105" s="278">
        <v>646</v>
      </c>
      <c r="K105" s="278">
        <f t="shared" ref="K105:K112" si="199">BS105-J105</f>
        <v>915</v>
      </c>
      <c r="L105" s="278">
        <f t="shared" ref="L105:M112" si="200">BT105-BS105</f>
        <v>1542</v>
      </c>
      <c r="M105" s="278">
        <f t="shared" si="200"/>
        <v>1682</v>
      </c>
      <c r="N105" s="278">
        <v>813</v>
      </c>
      <c r="O105" s="278">
        <f t="shared" ref="O105:O112" si="201">BW105-N105</f>
        <v>904</v>
      </c>
      <c r="P105" s="278">
        <f t="shared" ref="P105:Q112" si="202">BX105-BW105</f>
        <v>236</v>
      </c>
      <c r="Q105" s="278">
        <f t="shared" si="202"/>
        <v>328</v>
      </c>
      <c r="R105" s="278">
        <v>359</v>
      </c>
      <c r="S105" s="278">
        <f t="shared" ref="S105:S112" si="203">CA105-R105</f>
        <v>473</v>
      </c>
      <c r="T105" s="278">
        <f t="shared" ref="T105:U112" si="204">CB105-CA105</f>
        <v>466</v>
      </c>
      <c r="U105" s="278">
        <f t="shared" si="204"/>
        <v>811</v>
      </c>
      <c r="V105" s="278">
        <v>419</v>
      </c>
      <c r="W105" s="278">
        <f t="shared" ref="W105:W112" si="205">CE105-V105</f>
        <v>736</v>
      </c>
      <c r="X105" s="278">
        <f t="shared" ref="X105:Y112" si="206">CF105-CE105</f>
        <v>1046</v>
      </c>
      <c r="Y105" s="278">
        <f t="shared" si="206"/>
        <v>1121</v>
      </c>
      <c r="Z105" s="278">
        <v>447</v>
      </c>
      <c r="AA105" s="278">
        <f t="shared" ref="AA105:AA112" si="207">CI105-Z105</f>
        <v>807</v>
      </c>
      <c r="AB105" s="278">
        <f t="shared" ref="AB105:AC112" si="208">CJ105-CI105</f>
        <v>862</v>
      </c>
      <c r="AC105" s="278">
        <f t="shared" si="208"/>
        <v>-2116</v>
      </c>
      <c r="AF105" s="278">
        <v>4100</v>
      </c>
      <c r="AG105" s="278">
        <v>3647</v>
      </c>
      <c r="AH105" s="278">
        <v>4816</v>
      </c>
      <c r="AI105" s="278">
        <v>6102</v>
      </c>
      <c r="AJ105" s="278">
        <v>8386</v>
      </c>
      <c r="AK105" s="278">
        <v>7374</v>
      </c>
      <c r="AL105" s="278">
        <f t="shared" ref="AL105:AL112" si="209">SUM(B105:E105)</f>
        <v>2004</v>
      </c>
      <c r="AM105" s="278">
        <f t="shared" ref="AM105:AM112" si="210">SUM(F105:I105)</f>
        <v>2927</v>
      </c>
      <c r="AN105" s="278">
        <f t="shared" ref="AN105:AN112" si="211">SUM(J105:M105)</f>
        <v>4785</v>
      </c>
      <c r="AO105" s="278">
        <f t="shared" ref="AO105:AO112" si="212">SUM(N105:Q105)</f>
        <v>2281</v>
      </c>
      <c r="AP105" s="278">
        <f t="shared" ref="AP105:AP112" si="213">SUM(R105:U105)</f>
        <v>2109</v>
      </c>
      <c r="AQ105" s="278">
        <f t="shared" ref="AQ105:AQ112" si="214">SUM(V105:Y105)</f>
        <v>3322</v>
      </c>
      <c r="AR105" s="279"/>
      <c r="BK105" s="278">
        <v>993</v>
      </c>
      <c r="BL105" s="278">
        <v>1562</v>
      </c>
      <c r="BM105" s="278">
        <v>2004</v>
      </c>
      <c r="BO105" s="278">
        <v>513</v>
      </c>
      <c r="BP105" s="278">
        <v>1336</v>
      </c>
      <c r="BQ105" s="278">
        <v>2927</v>
      </c>
      <c r="BS105" s="278">
        <v>1561</v>
      </c>
      <c r="BT105" s="278">
        <v>3103</v>
      </c>
      <c r="BU105" s="278">
        <v>4785</v>
      </c>
      <c r="BW105" s="278">
        <v>1717</v>
      </c>
      <c r="BX105" s="278">
        <v>1953</v>
      </c>
      <c r="BY105" s="278">
        <v>2281</v>
      </c>
      <c r="CA105" s="278">
        <v>832</v>
      </c>
      <c r="CB105" s="278">
        <v>1298</v>
      </c>
      <c r="CC105" s="278">
        <v>2109</v>
      </c>
      <c r="CE105" s="278">
        <v>1155</v>
      </c>
      <c r="CF105" s="278">
        <v>2201</v>
      </c>
      <c r="CG105" s="278">
        <v>3322</v>
      </c>
      <c r="CI105" s="278">
        <v>1254</v>
      </c>
      <c r="CJ105" s="278">
        <v>2116</v>
      </c>
      <c r="CK105" s="278"/>
    </row>
    <row r="106" spans="1:89" outlineLevel="1" x14ac:dyDescent="0.3">
      <c r="A106" s="277" t="s">
        <v>150</v>
      </c>
      <c r="B106" s="278">
        <v>107</v>
      </c>
      <c r="C106" s="278">
        <f t="shared" si="195"/>
        <v>45</v>
      </c>
      <c r="D106" s="278">
        <f t="shared" si="196"/>
        <v>130</v>
      </c>
      <c r="E106" s="278">
        <f t="shared" si="196"/>
        <v>59</v>
      </c>
      <c r="F106" s="278">
        <v>45</v>
      </c>
      <c r="G106" s="278">
        <f t="shared" si="197"/>
        <v>48</v>
      </c>
      <c r="H106" s="278">
        <f t="shared" si="198"/>
        <v>52</v>
      </c>
      <c r="I106" s="278">
        <f t="shared" si="198"/>
        <v>16</v>
      </c>
      <c r="J106" s="278">
        <v>113</v>
      </c>
      <c r="K106" s="278">
        <f t="shared" si="199"/>
        <v>101</v>
      </c>
      <c r="L106" s="278">
        <f t="shared" si="200"/>
        <v>46</v>
      </c>
      <c r="M106" s="278">
        <f t="shared" si="200"/>
        <v>48</v>
      </c>
      <c r="N106" s="278">
        <v>30</v>
      </c>
      <c r="O106" s="278">
        <f t="shared" si="201"/>
        <v>33</v>
      </c>
      <c r="P106" s="278">
        <f t="shared" si="202"/>
        <v>30</v>
      </c>
      <c r="Q106" s="278">
        <f t="shared" si="202"/>
        <v>11</v>
      </c>
      <c r="R106" s="278">
        <v>2</v>
      </c>
      <c r="S106" s="278">
        <f t="shared" si="203"/>
        <v>31</v>
      </c>
      <c r="T106" s="278">
        <f t="shared" si="204"/>
        <v>14</v>
      </c>
      <c r="U106" s="278">
        <f t="shared" si="204"/>
        <v>16</v>
      </c>
      <c r="V106" s="278">
        <v>15</v>
      </c>
      <c r="W106" s="278">
        <f t="shared" si="205"/>
        <v>32</v>
      </c>
      <c r="X106" s="278">
        <f t="shared" si="206"/>
        <v>6</v>
      </c>
      <c r="Y106" s="278">
        <f t="shared" si="206"/>
        <v>2</v>
      </c>
      <c r="Z106" s="278">
        <v>6</v>
      </c>
      <c r="AA106" s="278">
        <f t="shared" si="207"/>
        <v>0</v>
      </c>
      <c r="AB106" s="278">
        <f t="shared" si="208"/>
        <v>4</v>
      </c>
      <c r="AC106" s="278">
        <f t="shared" si="208"/>
        <v>-10</v>
      </c>
      <c r="AF106" s="278">
        <v>7</v>
      </c>
      <c r="AG106" s="278">
        <v>76</v>
      </c>
      <c r="AH106" s="278">
        <v>353</v>
      </c>
      <c r="AI106" s="278">
        <v>396</v>
      </c>
      <c r="AJ106" s="278">
        <v>116</v>
      </c>
      <c r="AK106" s="278">
        <v>704</v>
      </c>
      <c r="AL106" s="278">
        <f t="shared" si="209"/>
        <v>341</v>
      </c>
      <c r="AM106" s="278">
        <f t="shared" si="210"/>
        <v>161</v>
      </c>
      <c r="AN106" s="278">
        <f t="shared" si="211"/>
        <v>308</v>
      </c>
      <c r="AO106" s="278">
        <f t="shared" si="212"/>
        <v>104</v>
      </c>
      <c r="AP106" s="278">
        <f t="shared" si="213"/>
        <v>63</v>
      </c>
      <c r="AQ106" s="278">
        <f t="shared" si="214"/>
        <v>55</v>
      </c>
      <c r="AR106" s="279"/>
      <c r="BK106" s="278">
        <v>152</v>
      </c>
      <c r="BL106" s="278">
        <v>282</v>
      </c>
      <c r="BM106" s="278">
        <v>341</v>
      </c>
      <c r="BO106" s="278">
        <v>93</v>
      </c>
      <c r="BP106" s="278">
        <v>145</v>
      </c>
      <c r="BQ106" s="278">
        <v>161</v>
      </c>
      <c r="BS106" s="278">
        <v>214</v>
      </c>
      <c r="BT106" s="278">
        <v>260</v>
      </c>
      <c r="BU106" s="278">
        <v>308</v>
      </c>
      <c r="BW106" s="278">
        <v>63</v>
      </c>
      <c r="BX106" s="278">
        <v>93</v>
      </c>
      <c r="BY106" s="278">
        <v>104</v>
      </c>
      <c r="CA106" s="278">
        <v>33</v>
      </c>
      <c r="CB106" s="278">
        <v>47</v>
      </c>
      <c r="CC106" s="278">
        <v>63</v>
      </c>
      <c r="CE106" s="278">
        <v>47</v>
      </c>
      <c r="CF106" s="278">
        <v>53</v>
      </c>
      <c r="CG106" s="278">
        <v>55</v>
      </c>
      <c r="CI106" s="278">
        <v>6</v>
      </c>
      <c r="CJ106" s="278">
        <v>10</v>
      </c>
      <c r="CK106" s="278"/>
    </row>
    <row r="107" spans="1:89" outlineLevel="1" x14ac:dyDescent="0.3">
      <c r="A107" s="277" t="s">
        <v>227</v>
      </c>
      <c r="B107" s="278"/>
      <c r="C107" s="278">
        <f t="shared" si="195"/>
        <v>0</v>
      </c>
      <c r="D107" s="278">
        <f t="shared" si="196"/>
        <v>0</v>
      </c>
      <c r="E107" s="278">
        <f t="shared" si="196"/>
        <v>0</v>
      </c>
      <c r="F107" s="278"/>
      <c r="G107" s="278">
        <f t="shared" si="197"/>
        <v>0</v>
      </c>
      <c r="H107" s="278">
        <f t="shared" si="198"/>
        <v>0</v>
      </c>
      <c r="I107" s="278">
        <f t="shared" si="198"/>
        <v>0</v>
      </c>
      <c r="J107" s="278"/>
      <c r="K107" s="278">
        <f t="shared" si="199"/>
        <v>0</v>
      </c>
      <c r="L107" s="278">
        <f t="shared" si="200"/>
        <v>0</v>
      </c>
      <c r="M107" s="278">
        <f t="shared" si="200"/>
        <v>0</v>
      </c>
      <c r="N107" s="278"/>
      <c r="O107" s="278">
        <f t="shared" si="201"/>
        <v>0</v>
      </c>
      <c r="P107" s="278">
        <f t="shared" si="202"/>
        <v>0</v>
      </c>
      <c r="Q107" s="278">
        <f t="shared" si="202"/>
        <v>0</v>
      </c>
      <c r="R107" s="278"/>
      <c r="S107" s="278">
        <f t="shared" si="203"/>
        <v>0</v>
      </c>
      <c r="T107" s="278">
        <f t="shared" si="204"/>
        <v>0</v>
      </c>
      <c r="U107" s="278">
        <f t="shared" si="204"/>
        <v>0</v>
      </c>
      <c r="V107" s="278"/>
      <c r="W107" s="278">
        <f t="shared" si="205"/>
        <v>0</v>
      </c>
      <c r="X107" s="278">
        <f t="shared" si="206"/>
        <v>0</v>
      </c>
      <c r="Y107" s="278">
        <f t="shared" si="206"/>
        <v>0</v>
      </c>
      <c r="Z107" s="278">
        <v>0</v>
      </c>
      <c r="AA107" s="278">
        <f t="shared" si="207"/>
        <v>0</v>
      </c>
      <c r="AB107" s="278">
        <f t="shared" si="208"/>
        <v>0</v>
      </c>
      <c r="AC107" s="278">
        <f t="shared" si="208"/>
        <v>0</v>
      </c>
      <c r="AF107" s="278"/>
      <c r="AG107" s="278"/>
      <c r="AH107" s="278"/>
      <c r="AI107" s="278"/>
      <c r="AJ107" s="278"/>
      <c r="AK107" s="278"/>
      <c r="AL107" s="278">
        <f t="shared" si="209"/>
        <v>0</v>
      </c>
      <c r="AM107" s="278">
        <f t="shared" si="210"/>
        <v>0</v>
      </c>
      <c r="AN107" s="278">
        <f t="shared" si="211"/>
        <v>0</v>
      </c>
      <c r="AO107" s="278">
        <f t="shared" si="212"/>
        <v>0</v>
      </c>
      <c r="AP107" s="278">
        <f t="shared" si="213"/>
        <v>0</v>
      </c>
      <c r="AQ107" s="278">
        <f t="shared" si="214"/>
        <v>0</v>
      </c>
      <c r="AR107" s="279"/>
      <c r="BK107" s="278"/>
      <c r="BL107" s="278"/>
      <c r="BM107" s="278"/>
      <c r="BO107" s="278"/>
      <c r="BP107" s="278"/>
      <c r="BQ107" s="278"/>
      <c r="BS107" s="278"/>
      <c r="BT107" s="278"/>
      <c r="BU107" s="278"/>
      <c r="BW107" s="278"/>
      <c r="BX107" s="278"/>
      <c r="BY107" s="278"/>
      <c r="CA107" s="278"/>
      <c r="CB107" s="278">
        <v>0</v>
      </c>
      <c r="CC107" s="278"/>
      <c r="CE107" s="278"/>
      <c r="CF107" s="278">
        <v>0</v>
      </c>
      <c r="CG107" s="278">
        <v>0</v>
      </c>
      <c r="CI107" s="278"/>
      <c r="CJ107" s="278"/>
      <c r="CK107" s="278"/>
    </row>
    <row r="108" spans="1:89" outlineLevel="1" x14ac:dyDescent="0.3">
      <c r="A108" s="277" t="s">
        <v>220</v>
      </c>
      <c r="B108" s="278">
        <v>12</v>
      </c>
      <c r="C108" s="278">
        <f t="shared" si="195"/>
        <v>37</v>
      </c>
      <c r="D108" s="278">
        <f t="shared" si="196"/>
        <v>15</v>
      </c>
      <c r="E108" s="278">
        <f t="shared" si="196"/>
        <v>103</v>
      </c>
      <c r="F108" s="278">
        <v>2</v>
      </c>
      <c r="G108" s="278">
        <f t="shared" si="197"/>
        <v>12</v>
      </c>
      <c r="H108" s="278">
        <f t="shared" si="198"/>
        <v>68</v>
      </c>
      <c r="I108" s="278">
        <f t="shared" si="198"/>
        <v>163</v>
      </c>
      <c r="J108" s="278">
        <v>67</v>
      </c>
      <c r="K108" s="278">
        <f t="shared" si="199"/>
        <v>51</v>
      </c>
      <c r="L108" s="278">
        <f t="shared" si="200"/>
        <v>101</v>
      </c>
      <c r="M108" s="278">
        <f t="shared" si="200"/>
        <v>150</v>
      </c>
      <c r="N108" s="278">
        <v>3</v>
      </c>
      <c r="O108" s="278">
        <f t="shared" si="201"/>
        <v>24</v>
      </c>
      <c r="P108" s="278">
        <f t="shared" si="202"/>
        <v>64</v>
      </c>
      <c r="Q108" s="278">
        <f t="shared" si="202"/>
        <v>4</v>
      </c>
      <c r="R108" s="278">
        <v>20</v>
      </c>
      <c r="S108" s="278">
        <f t="shared" si="203"/>
        <v>0</v>
      </c>
      <c r="T108" s="278">
        <f t="shared" si="204"/>
        <v>0</v>
      </c>
      <c r="U108" s="278">
        <f t="shared" si="204"/>
        <v>24</v>
      </c>
      <c r="V108" s="278">
        <v>15</v>
      </c>
      <c r="W108" s="278">
        <f t="shared" si="205"/>
        <v>20</v>
      </c>
      <c r="X108" s="278">
        <f t="shared" si="206"/>
        <v>41</v>
      </c>
      <c r="Y108" s="278">
        <f t="shared" si="206"/>
        <v>145</v>
      </c>
      <c r="Z108" s="278">
        <v>40</v>
      </c>
      <c r="AA108" s="278">
        <f t="shared" si="207"/>
        <v>35</v>
      </c>
      <c r="AB108" s="278">
        <f t="shared" si="208"/>
        <v>78</v>
      </c>
      <c r="AC108" s="278">
        <f t="shared" si="208"/>
        <v>-153</v>
      </c>
      <c r="AF108" s="278">
        <v>230</v>
      </c>
      <c r="AG108" s="278">
        <v>150</v>
      </c>
      <c r="AH108" s="278">
        <v>195</v>
      </c>
      <c r="AI108" s="278">
        <v>195</v>
      </c>
      <c r="AJ108" s="278">
        <v>176</v>
      </c>
      <c r="AK108" s="278">
        <v>212</v>
      </c>
      <c r="AL108" s="278">
        <f t="shared" si="209"/>
        <v>167</v>
      </c>
      <c r="AM108" s="278">
        <f t="shared" si="210"/>
        <v>245</v>
      </c>
      <c r="AN108" s="278">
        <f t="shared" si="211"/>
        <v>369</v>
      </c>
      <c r="AO108" s="278">
        <f t="shared" si="212"/>
        <v>95</v>
      </c>
      <c r="AP108" s="278">
        <f t="shared" si="213"/>
        <v>44</v>
      </c>
      <c r="AQ108" s="278">
        <f t="shared" si="214"/>
        <v>221</v>
      </c>
      <c r="AR108" s="279"/>
      <c r="BK108" s="278">
        <v>49</v>
      </c>
      <c r="BL108" s="278">
        <v>64</v>
      </c>
      <c r="BM108" s="278">
        <v>167</v>
      </c>
      <c r="BO108" s="278">
        <v>14</v>
      </c>
      <c r="BP108" s="278">
        <v>82</v>
      </c>
      <c r="BQ108" s="278">
        <v>245</v>
      </c>
      <c r="BS108" s="278">
        <v>118</v>
      </c>
      <c r="BT108" s="278">
        <v>219</v>
      </c>
      <c r="BU108" s="278">
        <v>369</v>
      </c>
      <c r="BW108" s="278">
        <v>27</v>
      </c>
      <c r="BX108" s="278">
        <v>91</v>
      </c>
      <c r="BY108" s="278">
        <v>95</v>
      </c>
      <c r="CA108" s="278">
        <v>20</v>
      </c>
      <c r="CB108" s="278">
        <v>20</v>
      </c>
      <c r="CC108" s="278">
        <v>44</v>
      </c>
      <c r="CE108" s="278">
        <v>35</v>
      </c>
      <c r="CF108" s="278">
        <v>76</v>
      </c>
      <c r="CG108" s="278">
        <v>221</v>
      </c>
      <c r="CI108" s="278">
        <v>75</v>
      </c>
      <c r="CJ108" s="278">
        <v>153</v>
      </c>
      <c r="CK108" s="278"/>
    </row>
    <row r="109" spans="1:89" outlineLevel="1" x14ac:dyDescent="0.3">
      <c r="A109" s="277" t="s">
        <v>157</v>
      </c>
      <c r="B109" s="278">
        <v>2005</v>
      </c>
      <c r="C109" s="278">
        <f t="shared" si="195"/>
        <v>2948</v>
      </c>
      <c r="D109" s="278">
        <f t="shared" si="196"/>
        <v>2060</v>
      </c>
      <c r="E109" s="278">
        <f t="shared" si="196"/>
        <v>2109</v>
      </c>
      <c r="F109" s="278">
        <v>376</v>
      </c>
      <c r="G109" s="278">
        <f t="shared" si="197"/>
        <v>1122</v>
      </c>
      <c r="H109" s="278">
        <f t="shared" si="198"/>
        <v>2077</v>
      </c>
      <c r="I109" s="278">
        <f t="shared" si="198"/>
        <v>3382</v>
      </c>
      <c r="J109" s="278"/>
      <c r="K109" s="278">
        <f t="shared" si="199"/>
        <v>6824</v>
      </c>
      <c r="L109" s="278">
        <f t="shared" si="200"/>
        <v>3647</v>
      </c>
      <c r="M109" s="278">
        <f t="shared" si="200"/>
        <v>3894</v>
      </c>
      <c r="N109" s="278"/>
      <c r="O109" s="278">
        <f t="shared" si="201"/>
        <v>3766</v>
      </c>
      <c r="P109" s="278">
        <f t="shared" si="202"/>
        <v>1359</v>
      </c>
      <c r="Q109" s="278">
        <f t="shared" si="202"/>
        <v>1025</v>
      </c>
      <c r="R109" s="278">
        <v>696</v>
      </c>
      <c r="S109" s="278">
        <f t="shared" si="203"/>
        <v>1105</v>
      </c>
      <c r="T109" s="278">
        <f t="shared" si="204"/>
        <v>1431</v>
      </c>
      <c r="U109" s="278">
        <f t="shared" si="204"/>
        <v>1032</v>
      </c>
      <c r="V109" s="278">
        <v>1258</v>
      </c>
      <c r="W109" s="278">
        <f t="shared" si="205"/>
        <v>1550</v>
      </c>
      <c r="X109" s="278">
        <f t="shared" si="206"/>
        <v>1597</v>
      </c>
      <c r="Y109" s="278">
        <f t="shared" si="206"/>
        <v>1713</v>
      </c>
      <c r="Z109" s="278">
        <v>2168</v>
      </c>
      <c r="AA109" s="278">
        <f t="shared" si="207"/>
        <v>2944</v>
      </c>
      <c r="AB109" s="278">
        <f t="shared" si="208"/>
        <v>2902</v>
      </c>
      <c r="AC109" s="278">
        <f t="shared" si="208"/>
        <v>-8014</v>
      </c>
      <c r="AF109" s="278">
        <v>10196</v>
      </c>
      <c r="AG109" s="278">
        <v>11675</v>
      </c>
      <c r="AH109" s="278">
        <v>14390</v>
      </c>
      <c r="AI109" s="278">
        <v>20711</v>
      </c>
      <c r="AJ109" s="278">
        <v>17718</v>
      </c>
      <c r="AK109" s="278">
        <v>25167</v>
      </c>
      <c r="AL109" s="278">
        <f t="shared" si="209"/>
        <v>9122</v>
      </c>
      <c r="AM109" s="278">
        <f t="shared" si="210"/>
        <v>6957</v>
      </c>
      <c r="AN109" s="278">
        <f t="shared" si="211"/>
        <v>14365</v>
      </c>
      <c r="AO109" s="278">
        <f t="shared" si="212"/>
        <v>6150</v>
      </c>
      <c r="AP109" s="278">
        <f t="shared" si="213"/>
        <v>4264</v>
      </c>
      <c r="AQ109" s="278">
        <f t="shared" si="214"/>
        <v>6118</v>
      </c>
      <c r="AR109" s="279"/>
      <c r="BK109" s="278">
        <v>4953</v>
      </c>
      <c r="BL109" s="278">
        <v>7013</v>
      </c>
      <c r="BM109" s="278">
        <v>9122</v>
      </c>
      <c r="BO109" s="278">
        <v>1498</v>
      </c>
      <c r="BP109" s="278">
        <v>3575</v>
      </c>
      <c r="BQ109" s="278">
        <v>6957</v>
      </c>
      <c r="BS109" s="278">
        <v>6824</v>
      </c>
      <c r="BT109" s="278">
        <v>10471</v>
      </c>
      <c r="BU109" s="278">
        <v>14365</v>
      </c>
      <c r="BW109" s="278">
        <v>3766</v>
      </c>
      <c r="BX109" s="278">
        <v>5125</v>
      </c>
      <c r="BY109" s="278">
        <v>6150</v>
      </c>
      <c r="CA109" s="278">
        <v>1801</v>
      </c>
      <c r="CB109" s="278">
        <v>3232</v>
      </c>
      <c r="CC109" s="278">
        <v>4264</v>
      </c>
      <c r="CE109" s="278">
        <v>2808</v>
      </c>
      <c r="CF109" s="278">
        <v>4405</v>
      </c>
      <c r="CG109" s="278">
        <v>6118</v>
      </c>
      <c r="CI109" s="278">
        <v>5112</v>
      </c>
      <c r="CJ109" s="278">
        <v>8014</v>
      </c>
      <c r="CK109" s="278"/>
    </row>
    <row r="110" spans="1:89" outlineLevel="1" x14ac:dyDescent="0.3">
      <c r="A110" s="277" t="s">
        <v>187</v>
      </c>
      <c r="B110" s="278"/>
      <c r="C110" s="278">
        <f t="shared" si="195"/>
        <v>0</v>
      </c>
      <c r="D110" s="278">
        <f t="shared" si="196"/>
        <v>0</v>
      </c>
      <c r="E110" s="278">
        <f t="shared" si="196"/>
        <v>0</v>
      </c>
      <c r="F110" s="278"/>
      <c r="G110" s="278">
        <f t="shared" si="197"/>
        <v>0</v>
      </c>
      <c r="H110" s="278">
        <f t="shared" si="198"/>
        <v>0</v>
      </c>
      <c r="I110" s="278">
        <f t="shared" si="198"/>
        <v>0</v>
      </c>
      <c r="J110" s="278">
        <v>3104</v>
      </c>
      <c r="K110" s="278">
        <f t="shared" si="199"/>
        <v>-3104</v>
      </c>
      <c r="L110" s="278">
        <f t="shared" si="200"/>
        <v>0</v>
      </c>
      <c r="M110" s="278">
        <f t="shared" si="200"/>
        <v>0</v>
      </c>
      <c r="N110" s="278">
        <v>1775</v>
      </c>
      <c r="O110" s="278">
        <f t="shared" si="201"/>
        <v>-1775</v>
      </c>
      <c r="P110" s="278">
        <f t="shared" si="202"/>
        <v>0</v>
      </c>
      <c r="Q110" s="278">
        <f t="shared" si="202"/>
        <v>0</v>
      </c>
      <c r="R110" s="278">
        <v>0</v>
      </c>
      <c r="S110" s="278">
        <f t="shared" si="203"/>
        <v>0</v>
      </c>
      <c r="T110" s="278">
        <f t="shared" si="204"/>
        <v>0</v>
      </c>
      <c r="U110" s="278">
        <f t="shared" si="204"/>
        <v>0</v>
      </c>
      <c r="V110" s="278">
        <v>0</v>
      </c>
      <c r="W110" s="278">
        <f t="shared" si="205"/>
        <v>0</v>
      </c>
      <c r="X110" s="278">
        <f t="shared" si="206"/>
        <v>0</v>
      </c>
      <c r="Y110" s="278">
        <f t="shared" si="206"/>
        <v>0</v>
      </c>
      <c r="Z110" s="278">
        <v>0</v>
      </c>
      <c r="AA110" s="278">
        <f t="shared" si="207"/>
        <v>0</v>
      </c>
      <c r="AB110" s="278">
        <f t="shared" si="208"/>
        <v>0</v>
      </c>
      <c r="AC110" s="278">
        <f t="shared" si="208"/>
        <v>0</v>
      </c>
      <c r="AF110" s="278"/>
      <c r="AG110" s="278"/>
      <c r="AH110" s="278"/>
      <c r="AI110" s="278"/>
      <c r="AJ110" s="278"/>
      <c r="AK110" s="278"/>
      <c r="AL110" s="278">
        <f t="shared" si="209"/>
        <v>0</v>
      </c>
      <c r="AM110" s="278">
        <f t="shared" si="210"/>
        <v>0</v>
      </c>
      <c r="AN110" s="278">
        <f t="shared" si="211"/>
        <v>0</v>
      </c>
      <c r="AO110" s="278">
        <f t="shared" si="212"/>
        <v>0</v>
      </c>
      <c r="AP110" s="278">
        <f t="shared" si="213"/>
        <v>0</v>
      </c>
      <c r="AQ110" s="278">
        <f t="shared" si="214"/>
        <v>0</v>
      </c>
      <c r="AR110" s="279"/>
      <c r="BK110" s="278"/>
      <c r="BL110" s="278"/>
      <c r="BM110" s="278"/>
      <c r="BO110" s="278"/>
      <c r="BP110" s="278"/>
      <c r="BQ110" s="278"/>
      <c r="BS110" s="278"/>
      <c r="BT110" s="278"/>
      <c r="BU110" s="278"/>
      <c r="BW110" s="278"/>
      <c r="BX110" s="278"/>
      <c r="CA110" s="278">
        <v>0</v>
      </c>
      <c r="CB110" s="278">
        <v>0</v>
      </c>
      <c r="CE110" s="278">
        <v>0</v>
      </c>
      <c r="CF110" s="278">
        <v>0</v>
      </c>
      <c r="CG110" s="278">
        <v>0</v>
      </c>
      <c r="CI110" s="278">
        <v>0</v>
      </c>
      <c r="CJ110" s="278">
        <v>0</v>
      </c>
      <c r="CK110" s="278"/>
    </row>
    <row r="111" spans="1:89" outlineLevel="1" x14ac:dyDescent="0.3">
      <c r="A111" s="277" t="s">
        <v>222</v>
      </c>
      <c r="B111" s="278">
        <v>488</v>
      </c>
      <c r="C111" s="278">
        <f t="shared" si="195"/>
        <v>780</v>
      </c>
      <c r="D111" s="278">
        <f t="shared" si="196"/>
        <v>939</v>
      </c>
      <c r="E111" s="278">
        <f t="shared" si="196"/>
        <v>633</v>
      </c>
      <c r="F111" s="278">
        <v>355</v>
      </c>
      <c r="G111" s="278">
        <f t="shared" si="197"/>
        <v>482</v>
      </c>
      <c r="H111" s="278">
        <f t="shared" si="198"/>
        <v>940</v>
      </c>
      <c r="I111" s="278">
        <f t="shared" si="198"/>
        <v>1441</v>
      </c>
      <c r="J111" s="278">
        <v>1152</v>
      </c>
      <c r="K111" s="278">
        <f t="shared" si="199"/>
        <v>1593</v>
      </c>
      <c r="L111" s="278">
        <f t="shared" si="200"/>
        <v>1758</v>
      </c>
      <c r="M111" s="278">
        <f t="shared" si="200"/>
        <v>1352</v>
      </c>
      <c r="N111" s="278">
        <v>1112</v>
      </c>
      <c r="O111" s="278">
        <f t="shared" si="201"/>
        <v>770</v>
      </c>
      <c r="P111" s="278">
        <f t="shared" si="202"/>
        <v>483</v>
      </c>
      <c r="Q111" s="278">
        <f t="shared" si="202"/>
        <v>529</v>
      </c>
      <c r="R111" s="278">
        <v>323</v>
      </c>
      <c r="S111" s="278">
        <f t="shared" si="203"/>
        <v>524</v>
      </c>
      <c r="T111" s="278">
        <f t="shared" si="204"/>
        <v>382</v>
      </c>
      <c r="U111" s="278">
        <f t="shared" si="204"/>
        <v>502</v>
      </c>
      <c r="V111" s="278">
        <v>523</v>
      </c>
      <c r="W111" s="278">
        <f t="shared" si="205"/>
        <v>564</v>
      </c>
      <c r="X111" s="278">
        <f t="shared" si="206"/>
        <v>609</v>
      </c>
      <c r="Y111" s="278">
        <f t="shared" si="206"/>
        <v>603</v>
      </c>
      <c r="Z111" s="278">
        <v>607</v>
      </c>
      <c r="AA111" s="278">
        <f t="shared" si="207"/>
        <v>1067</v>
      </c>
      <c r="AB111" s="278">
        <f t="shared" si="208"/>
        <v>987</v>
      </c>
      <c r="AC111" s="278">
        <f t="shared" si="208"/>
        <v>-2661</v>
      </c>
      <c r="AF111" s="278">
        <v>2176</v>
      </c>
      <c r="AG111" s="278">
        <v>3124</v>
      </c>
      <c r="AH111" s="278">
        <v>3152</v>
      </c>
      <c r="AI111" s="278">
        <v>4544</v>
      </c>
      <c r="AJ111" s="278">
        <v>5519</v>
      </c>
      <c r="AK111" s="278">
        <v>6931</v>
      </c>
      <c r="AL111" s="278">
        <f t="shared" si="209"/>
        <v>2840</v>
      </c>
      <c r="AM111" s="278">
        <f t="shared" si="210"/>
        <v>3218</v>
      </c>
      <c r="AN111" s="278">
        <f t="shared" si="211"/>
        <v>5855</v>
      </c>
      <c r="AO111" s="278">
        <f t="shared" si="212"/>
        <v>2894</v>
      </c>
      <c r="AP111" s="278">
        <f t="shared" si="213"/>
        <v>1731</v>
      </c>
      <c r="AQ111" s="278">
        <f t="shared" si="214"/>
        <v>2299</v>
      </c>
      <c r="AR111" s="279"/>
      <c r="BK111" s="278">
        <v>1268</v>
      </c>
      <c r="BL111" s="278">
        <v>2207</v>
      </c>
      <c r="BM111" s="278">
        <v>2840</v>
      </c>
      <c r="BO111" s="278">
        <v>837</v>
      </c>
      <c r="BP111" s="278">
        <v>1777</v>
      </c>
      <c r="BQ111" s="278">
        <v>3218</v>
      </c>
      <c r="BS111" s="278">
        <v>2745</v>
      </c>
      <c r="BT111" s="278">
        <v>4503</v>
      </c>
      <c r="BU111" s="278">
        <v>5855</v>
      </c>
      <c r="BW111" s="278">
        <v>1882</v>
      </c>
      <c r="BX111" s="278">
        <v>2365</v>
      </c>
      <c r="BY111" s="278">
        <v>2894</v>
      </c>
      <c r="CA111" s="278">
        <v>847</v>
      </c>
      <c r="CB111" s="278">
        <v>1229</v>
      </c>
      <c r="CC111" s="278">
        <v>1731</v>
      </c>
      <c r="CE111" s="278">
        <v>1087</v>
      </c>
      <c r="CF111" s="278">
        <v>1696</v>
      </c>
      <c r="CG111" s="278">
        <v>2299</v>
      </c>
      <c r="CI111" s="278">
        <v>1674</v>
      </c>
      <c r="CJ111" s="278">
        <v>2661</v>
      </c>
      <c r="CK111" s="278"/>
    </row>
    <row r="112" spans="1:89" outlineLevel="1" x14ac:dyDescent="0.3">
      <c r="A112" s="277" t="s">
        <v>228</v>
      </c>
      <c r="B112" s="278">
        <v>0</v>
      </c>
      <c r="C112" s="278">
        <f t="shared" si="195"/>
        <v>0</v>
      </c>
      <c r="D112" s="278">
        <f t="shared" si="196"/>
        <v>0</v>
      </c>
      <c r="E112" s="278">
        <f t="shared" si="196"/>
        <v>0</v>
      </c>
      <c r="F112" s="278">
        <v>0</v>
      </c>
      <c r="G112" s="278">
        <f t="shared" si="197"/>
        <v>0</v>
      </c>
      <c r="H112" s="278">
        <f t="shared" si="198"/>
        <v>0</v>
      </c>
      <c r="I112" s="278">
        <f t="shared" si="198"/>
        <v>0</v>
      </c>
      <c r="J112" s="278">
        <v>0</v>
      </c>
      <c r="K112" s="278">
        <f t="shared" si="199"/>
        <v>0</v>
      </c>
      <c r="L112" s="278">
        <f t="shared" si="200"/>
        <v>0</v>
      </c>
      <c r="M112" s="278">
        <f t="shared" si="200"/>
        <v>0</v>
      </c>
      <c r="N112" s="278">
        <v>0</v>
      </c>
      <c r="O112" s="278">
        <f t="shared" si="201"/>
        <v>0</v>
      </c>
      <c r="P112" s="278">
        <f t="shared" si="202"/>
        <v>0</v>
      </c>
      <c r="Q112" s="278">
        <f t="shared" si="202"/>
        <v>0</v>
      </c>
      <c r="R112" s="278">
        <v>0</v>
      </c>
      <c r="S112" s="278">
        <f t="shared" si="203"/>
        <v>0</v>
      </c>
      <c r="T112" s="278">
        <f t="shared" si="204"/>
        <v>0</v>
      </c>
      <c r="U112" s="278">
        <f t="shared" si="204"/>
        <v>0</v>
      </c>
      <c r="V112" s="278">
        <v>0</v>
      </c>
      <c r="W112" s="278">
        <f t="shared" si="205"/>
        <v>0</v>
      </c>
      <c r="X112" s="278">
        <f t="shared" si="206"/>
        <v>0</v>
      </c>
      <c r="Y112" s="278">
        <f t="shared" si="206"/>
        <v>0</v>
      </c>
      <c r="Z112" s="278">
        <v>0</v>
      </c>
      <c r="AA112" s="278">
        <f t="shared" si="207"/>
        <v>0</v>
      </c>
      <c r="AB112" s="278">
        <f t="shared" si="208"/>
        <v>0</v>
      </c>
      <c r="AC112" s="278">
        <f t="shared" si="208"/>
        <v>0</v>
      </c>
      <c r="AF112" s="278"/>
      <c r="AG112" s="278"/>
      <c r="AH112" s="278"/>
      <c r="AI112" s="278"/>
      <c r="AJ112" s="278">
        <v>0</v>
      </c>
      <c r="AK112" s="278">
        <v>0</v>
      </c>
      <c r="AL112" s="278">
        <f t="shared" si="209"/>
        <v>0</v>
      </c>
      <c r="AM112" s="278">
        <f t="shared" si="210"/>
        <v>0</v>
      </c>
      <c r="AN112" s="278">
        <f t="shared" si="211"/>
        <v>0</v>
      </c>
      <c r="AO112" s="278">
        <f t="shared" si="212"/>
        <v>0</v>
      </c>
      <c r="AP112" s="278">
        <f t="shared" si="213"/>
        <v>0</v>
      </c>
      <c r="AQ112" s="278">
        <f t="shared" si="214"/>
        <v>0</v>
      </c>
      <c r="AR112" s="279"/>
      <c r="BK112" s="278">
        <v>0</v>
      </c>
      <c r="BL112" s="278">
        <v>0</v>
      </c>
      <c r="BM112" s="278">
        <v>0</v>
      </c>
      <c r="BO112" s="278">
        <v>0</v>
      </c>
      <c r="BP112" s="278">
        <v>0</v>
      </c>
      <c r="BQ112" s="278">
        <v>0</v>
      </c>
      <c r="BS112" s="278">
        <v>0</v>
      </c>
      <c r="BT112" s="278">
        <v>0</v>
      </c>
      <c r="BU112" s="278">
        <v>0</v>
      </c>
      <c r="BW112" s="278">
        <v>0</v>
      </c>
      <c r="BX112" s="278">
        <v>0</v>
      </c>
      <c r="BY112" s="278">
        <v>0</v>
      </c>
      <c r="CA112" s="278">
        <v>0</v>
      </c>
      <c r="CB112" s="278">
        <v>0</v>
      </c>
      <c r="CC112" s="278">
        <v>0</v>
      </c>
      <c r="CE112" s="278">
        <v>0</v>
      </c>
      <c r="CF112" s="278">
        <v>0</v>
      </c>
      <c r="CG112" s="278">
        <v>0</v>
      </c>
      <c r="CI112" s="278">
        <v>0</v>
      </c>
      <c r="CJ112" s="278"/>
      <c r="CK112" s="278"/>
    </row>
    <row r="113" spans="1:89" s="283" customFormat="1" x14ac:dyDescent="0.3">
      <c r="A113" s="280" t="s">
        <v>229</v>
      </c>
      <c r="B113" s="282">
        <f t="shared" ref="B113:AC113" si="215">SUM(B105:B112)</f>
        <v>2989</v>
      </c>
      <c r="C113" s="282">
        <f t="shared" si="215"/>
        <v>4426</v>
      </c>
      <c r="D113" s="282">
        <f t="shared" si="215"/>
        <v>3713</v>
      </c>
      <c r="E113" s="282">
        <f t="shared" si="215"/>
        <v>3346</v>
      </c>
      <c r="F113" s="282">
        <f t="shared" si="215"/>
        <v>1032</v>
      </c>
      <c r="G113" s="282">
        <f t="shared" si="215"/>
        <v>1923</v>
      </c>
      <c r="H113" s="282">
        <f t="shared" si="215"/>
        <v>3960</v>
      </c>
      <c r="I113" s="282">
        <f t="shared" si="215"/>
        <v>6593</v>
      </c>
      <c r="J113" s="282">
        <f t="shared" si="215"/>
        <v>5082</v>
      </c>
      <c r="K113" s="282">
        <f t="shared" si="215"/>
        <v>6380</v>
      </c>
      <c r="L113" s="282">
        <f t="shared" si="215"/>
        <v>7094</v>
      </c>
      <c r="M113" s="282">
        <f t="shared" si="215"/>
        <v>7126</v>
      </c>
      <c r="N113" s="282">
        <f t="shared" si="215"/>
        <v>3733</v>
      </c>
      <c r="O113" s="282">
        <f t="shared" si="215"/>
        <v>3722</v>
      </c>
      <c r="P113" s="282">
        <f t="shared" si="215"/>
        <v>2172</v>
      </c>
      <c r="Q113" s="282">
        <f t="shared" si="215"/>
        <v>1897</v>
      </c>
      <c r="R113" s="282">
        <f t="shared" si="215"/>
        <v>1400</v>
      </c>
      <c r="S113" s="282">
        <f t="shared" si="215"/>
        <v>2133</v>
      </c>
      <c r="T113" s="282">
        <f t="shared" si="215"/>
        <v>2293</v>
      </c>
      <c r="U113" s="282">
        <f t="shared" si="215"/>
        <v>2385</v>
      </c>
      <c r="V113" s="282">
        <f t="shared" si="215"/>
        <v>2230</v>
      </c>
      <c r="W113" s="282">
        <f t="shared" si="215"/>
        <v>2902</v>
      </c>
      <c r="X113" s="282">
        <f t="shared" si="215"/>
        <v>3299</v>
      </c>
      <c r="Y113" s="282">
        <f t="shared" si="215"/>
        <v>3584</v>
      </c>
      <c r="Z113" s="282">
        <f t="shared" si="215"/>
        <v>3268</v>
      </c>
      <c r="AA113" s="282">
        <f t="shared" si="215"/>
        <v>4853</v>
      </c>
      <c r="AB113" s="282">
        <f t="shared" si="215"/>
        <v>4833</v>
      </c>
      <c r="AC113" s="282">
        <f t="shared" si="215"/>
        <v>-12954</v>
      </c>
      <c r="AF113" s="282">
        <f>SUM(AF104:AF112)</f>
        <v>16709</v>
      </c>
      <c r="AG113" s="282">
        <f t="shared" ref="AG113:AQ113" si="216">SUM(AG104:AG112)</f>
        <v>18672</v>
      </c>
      <c r="AH113" s="282">
        <f t="shared" si="216"/>
        <v>22906</v>
      </c>
      <c r="AI113" s="282">
        <f t="shared" si="216"/>
        <v>31948</v>
      </c>
      <c r="AJ113" s="282">
        <f t="shared" si="216"/>
        <v>31915</v>
      </c>
      <c r="AK113" s="282">
        <f t="shared" si="216"/>
        <v>40388</v>
      </c>
      <c r="AL113" s="282">
        <f t="shared" si="216"/>
        <v>14474</v>
      </c>
      <c r="AM113" s="282">
        <f t="shared" si="216"/>
        <v>13508</v>
      </c>
      <c r="AN113" s="282">
        <f t="shared" si="216"/>
        <v>25682</v>
      </c>
      <c r="AO113" s="282">
        <f t="shared" si="216"/>
        <v>11524</v>
      </c>
      <c r="AP113" s="282">
        <f t="shared" si="216"/>
        <v>8211</v>
      </c>
      <c r="AQ113" s="282">
        <f t="shared" si="216"/>
        <v>12015</v>
      </c>
      <c r="AR113" s="284"/>
      <c r="BK113" s="282">
        <f t="shared" ref="BK113:BM113" si="217">SUM(BK105:BK112)</f>
        <v>7415</v>
      </c>
      <c r="BL113" s="282">
        <f t="shared" si="217"/>
        <v>11128</v>
      </c>
      <c r="BM113" s="282">
        <f t="shared" si="217"/>
        <v>14474</v>
      </c>
      <c r="BO113" s="282">
        <f>SUM(BO105:BO112)</f>
        <v>2955</v>
      </c>
      <c r="BP113" s="282">
        <f>SUM(BP105:BP112)</f>
        <v>6915</v>
      </c>
      <c r="BQ113" s="282">
        <f>SUM(BQ105:BQ112)</f>
        <v>13508</v>
      </c>
      <c r="BS113" s="282">
        <f>SUM(BS105:BS112)</f>
        <v>11462</v>
      </c>
      <c r="BT113" s="282">
        <f>SUM(BT105:BT112)</f>
        <v>18556</v>
      </c>
      <c r="BU113" s="282">
        <f>SUM(BU105:BU112)</f>
        <v>25682</v>
      </c>
      <c r="BW113" s="282">
        <f>SUM(BW105:BW112)</f>
        <v>7455</v>
      </c>
      <c r="BX113" s="282">
        <f>SUM(BX105:BX112)</f>
        <v>9627</v>
      </c>
      <c r="BY113" s="282">
        <f>SUM(BY105:BY112)</f>
        <v>11524</v>
      </c>
      <c r="CA113" s="282">
        <f>SUM(CA105:CA112)</f>
        <v>3533</v>
      </c>
      <c r="CB113" s="282">
        <f>SUM(CB105:CB112)</f>
        <v>5826</v>
      </c>
      <c r="CC113" s="282">
        <f>SUM(CC105:CC112)</f>
        <v>8211</v>
      </c>
      <c r="CE113" s="282">
        <f>SUM(CE105:CE112)</f>
        <v>5132</v>
      </c>
      <c r="CF113" s="282">
        <f>SUM(CF105:CF112)</f>
        <v>8431</v>
      </c>
      <c r="CG113" s="282">
        <f>SUM(CG105:CG112)</f>
        <v>12015</v>
      </c>
      <c r="CI113" s="282">
        <f>SUM(CI105:CI112)</f>
        <v>8121</v>
      </c>
      <c r="CJ113" s="282">
        <f>SUM(CJ105:CJ112)</f>
        <v>12954</v>
      </c>
      <c r="CK113" s="282"/>
    </row>
    <row r="114" spans="1:89" x14ac:dyDescent="0.3">
      <c r="A114" s="280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  <c r="AC114" s="278"/>
      <c r="AF114" s="278"/>
      <c r="AG114" s="278"/>
      <c r="AH114" s="278"/>
      <c r="AI114" s="278"/>
      <c r="AJ114" s="278"/>
      <c r="AK114" s="278"/>
      <c r="AL114" s="278"/>
      <c r="AM114" s="278"/>
      <c r="AN114" s="278"/>
      <c r="AO114" s="278"/>
      <c r="AP114" s="278"/>
      <c r="AQ114" s="278"/>
      <c r="AR114" s="279"/>
      <c r="BK114" s="278"/>
      <c r="BL114" s="278"/>
      <c r="BM114" s="278"/>
      <c r="BO114" s="278"/>
      <c r="BP114" s="278"/>
      <c r="BQ114" s="278"/>
      <c r="BS114" s="278"/>
      <c r="BT114" s="278"/>
      <c r="BU114" s="278"/>
      <c r="BW114" s="278"/>
      <c r="BX114" s="278"/>
      <c r="BY114" s="278"/>
      <c r="CA114" s="278"/>
      <c r="CB114" s="278"/>
      <c r="CC114" s="278"/>
      <c r="CE114" s="278"/>
      <c r="CF114" s="278"/>
      <c r="CG114" s="278"/>
      <c r="CI114" s="278"/>
      <c r="CJ114" s="278"/>
      <c r="CK114" s="278"/>
    </row>
    <row r="115" spans="1:89" s="283" customFormat="1" x14ac:dyDescent="0.3">
      <c r="A115" s="280" t="s">
        <v>230</v>
      </c>
      <c r="B115" s="282">
        <f t="shared" ref="B115:AC115" si="218">B113+B101</f>
        <v>4544</v>
      </c>
      <c r="C115" s="282">
        <f t="shared" si="218"/>
        <v>6709</v>
      </c>
      <c r="D115" s="282">
        <f t="shared" si="218"/>
        <v>5760</v>
      </c>
      <c r="E115" s="282">
        <f t="shared" si="218"/>
        <v>5320</v>
      </c>
      <c r="F115" s="282">
        <f t="shared" si="218"/>
        <v>1234</v>
      </c>
      <c r="G115" s="282">
        <f t="shared" si="218"/>
        <v>2899</v>
      </c>
      <c r="H115" s="282">
        <f t="shared" si="218"/>
        <v>5611</v>
      </c>
      <c r="I115" s="282">
        <f t="shared" si="218"/>
        <v>7804</v>
      </c>
      <c r="J115" s="282">
        <f t="shared" si="218"/>
        <v>6002</v>
      </c>
      <c r="K115" s="282">
        <f t="shared" si="218"/>
        <v>7619</v>
      </c>
      <c r="L115" s="282">
        <f t="shared" si="218"/>
        <v>8739</v>
      </c>
      <c r="M115" s="282">
        <f t="shared" si="218"/>
        <v>9821</v>
      </c>
      <c r="N115" s="282">
        <f t="shared" si="218"/>
        <v>5956</v>
      </c>
      <c r="O115" s="282">
        <f t="shared" si="218"/>
        <v>5870</v>
      </c>
      <c r="P115" s="282">
        <f t="shared" si="218"/>
        <v>5207</v>
      </c>
      <c r="Q115" s="282">
        <f t="shared" si="218"/>
        <v>5034</v>
      </c>
      <c r="R115" s="282">
        <f t="shared" si="218"/>
        <v>3788</v>
      </c>
      <c r="S115" s="282">
        <f t="shared" si="218"/>
        <v>4652</v>
      </c>
      <c r="T115" s="282">
        <f t="shared" si="218"/>
        <v>5077</v>
      </c>
      <c r="U115" s="282">
        <f t="shared" si="218"/>
        <v>4708</v>
      </c>
      <c r="V115" s="282">
        <f t="shared" si="218"/>
        <v>4216</v>
      </c>
      <c r="W115" s="282">
        <f t="shared" si="218"/>
        <v>5357</v>
      </c>
      <c r="X115" s="282">
        <f t="shared" si="218"/>
        <v>6250</v>
      </c>
      <c r="Y115" s="282">
        <f t="shared" si="218"/>
        <v>7428</v>
      </c>
      <c r="Z115" s="282">
        <f t="shared" si="218"/>
        <v>6439</v>
      </c>
      <c r="AA115" s="282">
        <f t="shared" si="218"/>
        <v>9132</v>
      </c>
      <c r="AB115" s="282">
        <f t="shared" si="218"/>
        <v>9567</v>
      </c>
      <c r="AC115" s="282">
        <f t="shared" si="218"/>
        <v>-25138</v>
      </c>
      <c r="AF115" s="282">
        <f t="shared" ref="AF115:AK115" si="219">AF113+AF101</f>
        <v>23813</v>
      </c>
      <c r="AG115" s="282">
        <f t="shared" si="219"/>
        <v>30652</v>
      </c>
      <c r="AH115" s="282">
        <f t="shared" si="219"/>
        <v>35197</v>
      </c>
      <c r="AI115" s="282">
        <f t="shared" si="219"/>
        <v>43719</v>
      </c>
      <c r="AJ115" s="282">
        <f t="shared" si="219"/>
        <v>44093</v>
      </c>
      <c r="AK115" s="282">
        <f t="shared" si="219"/>
        <v>48568</v>
      </c>
      <c r="AL115" s="282">
        <f t="shared" ref="AL115" si="220">SUM(B115:E115)</f>
        <v>22333</v>
      </c>
      <c r="AM115" s="282">
        <f t="shared" ref="AM115" si="221">SUM(F115:I115)</f>
        <v>17548</v>
      </c>
      <c r="AN115" s="282">
        <f t="shared" ref="AN115" si="222">SUM(J115:M115)</f>
        <v>32181</v>
      </c>
      <c r="AO115" s="282">
        <f t="shared" ref="AO115" si="223">SUM(N115:Q115)</f>
        <v>22067</v>
      </c>
      <c r="AP115" s="282">
        <f t="shared" ref="AP115" si="224">SUM(R115:U115)</f>
        <v>18225</v>
      </c>
      <c r="AQ115" s="282">
        <f>SUM(V115:Y115)</f>
        <v>23251</v>
      </c>
      <c r="AR115" s="284"/>
      <c r="BK115" s="282">
        <f t="shared" ref="BK115:BM115" si="225">BK113+BK101</f>
        <v>11253</v>
      </c>
      <c r="BL115" s="282">
        <f t="shared" si="225"/>
        <v>17013</v>
      </c>
      <c r="BM115" s="282">
        <f t="shared" si="225"/>
        <v>22333</v>
      </c>
      <c r="BO115" s="282">
        <f>BO113+BO101</f>
        <v>4133</v>
      </c>
      <c r="BP115" s="282">
        <f>BP113+BP101</f>
        <v>9744</v>
      </c>
      <c r="BQ115" s="282">
        <f>BQ113+BQ101</f>
        <v>17548</v>
      </c>
      <c r="BS115" s="282">
        <f>BS113+BS101</f>
        <v>13621</v>
      </c>
      <c r="BT115" s="282">
        <f>BT113+BT101</f>
        <v>22360</v>
      </c>
      <c r="BU115" s="282">
        <f>BU113+BU101</f>
        <v>32181</v>
      </c>
      <c r="BW115" s="282">
        <f>BW113+BW101</f>
        <v>11826</v>
      </c>
      <c r="BX115" s="282">
        <f>BX113+BX101</f>
        <v>17033</v>
      </c>
      <c r="BY115" s="282">
        <f>BY113+BY101</f>
        <v>22067</v>
      </c>
      <c r="CA115" s="282">
        <f>CA113+CA101</f>
        <v>8440</v>
      </c>
      <c r="CB115" s="282">
        <f>CB113+CB101</f>
        <v>13517</v>
      </c>
      <c r="CC115" s="282">
        <f>CC113+CC101</f>
        <v>18225</v>
      </c>
      <c r="CE115" s="282">
        <f>CE113+CE101</f>
        <v>9573</v>
      </c>
      <c r="CF115" s="282">
        <f>CF113+CF101</f>
        <v>15823</v>
      </c>
      <c r="CG115" s="282">
        <f>CG113+CG101</f>
        <v>23251</v>
      </c>
      <c r="CI115" s="282">
        <f>CI113+CI101</f>
        <v>15571</v>
      </c>
      <c r="CJ115" s="282">
        <f>CJ113+CJ101</f>
        <v>25138</v>
      </c>
      <c r="CK115" s="282"/>
    </row>
    <row r="116" spans="1:89" x14ac:dyDescent="0.3">
      <c r="A116" s="280"/>
      <c r="B116" s="278"/>
      <c r="C116" s="278"/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  <c r="AC116" s="278"/>
      <c r="AF116" s="278"/>
      <c r="AG116" s="278"/>
      <c r="AH116" s="278"/>
      <c r="AI116" s="278"/>
      <c r="AJ116" s="278"/>
      <c r="AK116" s="278"/>
      <c r="AL116" s="278"/>
      <c r="AM116" s="278"/>
      <c r="AN116" s="278"/>
      <c r="AO116" s="278"/>
      <c r="AP116" s="278"/>
      <c r="AQ116" s="278"/>
      <c r="AR116" s="279"/>
      <c r="BK116" s="278"/>
      <c r="BL116" s="278"/>
      <c r="BM116" s="278"/>
      <c r="BO116" s="278"/>
      <c r="BP116" s="278"/>
      <c r="BQ116" s="278"/>
      <c r="BS116" s="278"/>
      <c r="BT116" s="278"/>
      <c r="BU116" s="278"/>
      <c r="BW116" s="278"/>
      <c r="BX116" s="278"/>
      <c r="BY116" s="278"/>
      <c r="CA116" s="278"/>
      <c r="CB116" s="278"/>
      <c r="CC116" s="278"/>
      <c r="CE116" s="278"/>
      <c r="CF116" s="278"/>
      <c r="CG116" s="278"/>
      <c r="CI116" s="278"/>
      <c r="CJ116" s="278"/>
      <c r="CK116" s="278"/>
    </row>
    <row r="117" spans="1:89" x14ac:dyDescent="0.3">
      <c r="A117" s="280" t="s">
        <v>231</v>
      </c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  <c r="AC117" s="278"/>
      <c r="AF117" s="278"/>
      <c r="AG117" s="278"/>
      <c r="AH117" s="278"/>
      <c r="AI117" s="278"/>
      <c r="AJ117" s="278"/>
      <c r="AK117" s="278"/>
      <c r="AL117" s="278"/>
      <c r="AM117" s="278"/>
      <c r="AN117" s="278"/>
      <c r="AO117" s="278"/>
      <c r="AP117" s="278"/>
      <c r="AQ117" s="278"/>
      <c r="AR117" s="279"/>
      <c r="BK117" s="278"/>
      <c r="BL117" s="278"/>
      <c r="BM117" s="278"/>
      <c r="BO117" s="278"/>
      <c r="BP117" s="278"/>
      <c r="BQ117" s="278"/>
      <c r="BS117" s="278"/>
      <c r="BT117" s="278"/>
      <c r="BU117" s="278"/>
      <c r="BW117" s="278"/>
      <c r="BX117" s="278"/>
      <c r="BY117" s="278"/>
      <c r="CA117" s="278"/>
      <c r="CB117" s="278"/>
      <c r="CC117" s="278"/>
      <c r="CE117" s="278"/>
      <c r="CF117" s="278"/>
      <c r="CG117" s="278"/>
      <c r="CI117" s="278"/>
      <c r="CJ117" s="278"/>
      <c r="CK117" s="278"/>
    </row>
    <row r="118" spans="1:89" outlineLevel="1" x14ac:dyDescent="0.3">
      <c r="A118" s="277" t="s">
        <v>163</v>
      </c>
      <c r="B118" s="278">
        <v>10</v>
      </c>
      <c r="C118" s="278">
        <f t="shared" ref="C118:C124" si="226">BK118-B118</f>
        <v>66</v>
      </c>
      <c r="D118" s="278">
        <f t="shared" ref="D118:E124" si="227">BL118-BK118</f>
        <v>42</v>
      </c>
      <c r="E118" s="278">
        <f t="shared" si="227"/>
        <v>72</v>
      </c>
      <c r="F118" s="278">
        <v>4</v>
      </c>
      <c r="G118" s="278">
        <f t="shared" ref="G118:G124" si="228">BO118-F118</f>
        <v>17</v>
      </c>
      <c r="H118" s="278">
        <f t="shared" ref="H118:I124" si="229">BP118-BO118</f>
        <v>30</v>
      </c>
      <c r="I118" s="278">
        <f t="shared" si="229"/>
        <v>117</v>
      </c>
      <c r="J118" s="278">
        <v>5</v>
      </c>
      <c r="K118" s="278">
        <f t="shared" ref="K118:K124" si="230">BS118-J118</f>
        <v>12</v>
      </c>
      <c r="L118" s="278">
        <f t="shared" ref="L118:M124" si="231">BT118-BS118</f>
        <v>3</v>
      </c>
      <c r="M118" s="278">
        <f t="shared" si="231"/>
        <v>41</v>
      </c>
      <c r="N118" s="278">
        <v>48</v>
      </c>
      <c r="O118" s="278">
        <f t="shared" ref="O118:O124" si="232">BW118-N118</f>
        <v>96</v>
      </c>
      <c r="P118" s="278">
        <f t="shared" ref="P118:Q124" si="233">BX118-BW118</f>
        <v>149</v>
      </c>
      <c r="Q118" s="278">
        <f t="shared" si="233"/>
        <v>5</v>
      </c>
      <c r="R118" s="278">
        <v>5</v>
      </c>
      <c r="S118" s="278">
        <f t="shared" ref="S118:S124" si="234">CA118-R118</f>
        <v>192</v>
      </c>
      <c r="T118" s="278">
        <f t="shared" ref="T118:U124" si="235">CB118-CA118</f>
        <v>312</v>
      </c>
      <c r="U118" s="278">
        <f t="shared" si="235"/>
        <v>216</v>
      </c>
      <c r="V118" s="278">
        <v>299</v>
      </c>
      <c r="W118" s="278">
        <f t="shared" ref="W118:W124" si="236">CE118-V118</f>
        <v>97</v>
      </c>
      <c r="X118" s="278">
        <f t="shared" ref="X118:Y124" si="237">CF118-CE118</f>
        <v>48</v>
      </c>
      <c r="Y118" s="278">
        <f t="shared" si="237"/>
        <v>489</v>
      </c>
      <c r="Z118" s="278">
        <v>102</v>
      </c>
      <c r="AA118" s="278">
        <f t="shared" ref="AA118:AA124" si="238">CI118-Z118</f>
        <v>7</v>
      </c>
      <c r="AB118" s="278">
        <f t="shared" ref="AB118:AC124" si="239">CJ118-CI118</f>
        <v>168</v>
      </c>
      <c r="AC118" s="278">
        <f t="shared" si="239"/>
        <v>-277</v>
      </c>
      <c r="AF118" s="278">
        <v>5</v>
      </c>
      <c r="AG118" s="278">
        <v>126</v>
      </c>
      <c r="AH118" s="278">
        <v>251</v>
      </c>
      <c r="AI118" s="278">
        <v>80</v>
      </c>
      <c r="AJ118" s="278">
        <v>226</v>
      </c>
      <c r="AK118" s="278">
        <v>163</v>
      </c>
      <c r="AL118" s="278">
        <f t="shared" ref="AL118:AL125" si="240">SUM(B118:E118)</f>
        <v>190</v>
      </c>
      <c r="AM118" s="278">
        <f t="shared" ref="AM118:AM125" si="241">SUM(F118:I118)</f>
        <v>168</v>
      </c>
      <c r="AN118" s="278">
        <f t="shared" ref="AN118:AN125" si="242">SUM(J118:M118)</f>
        <v>61</v>
      </c>
      <c r="AO118" s="278">
        <f t="shared" ref="AO118:AO125" si="243">SUM(N118:Q118)</f>
        <v>298</v>
      </c>
      <c r="AP118" s="278">
        <f t="shared" ref="AP118:AP125" si="244">SUM(R118:U118)</f>
        <v>725</v>
      </c>
      <c r="AQ118" s="278">
        <f t="shared" ref="AQ118:AQ125" si="245">SUM(V118:Y118)</f>
        <v>933</v>
      </c>
      <c r="AR118" s="279"/>
      <c r="BK118" s="278">
        <v>76</v>
      </c>
      <c r="BL118" s="278">
        <v>118</v>
      </c>
      <c r="BM118" s="278">
        <v>190</v>
      </c>
      <c r="BO118" s="278">
        <v>21</v>
      </c>
      <c r="BP118" s="278">
        <v>51</v>
      </c>
      <c r="BQ118" s="278">
        <v>168</v>
      </c>
      <c r="BS118" s="278">
        <v>17</v>
      </c>
      <c r="BT118" s="278">
        <v>20</v>
      </c>
      <c r="BU118" s="278">
        <v>61</v>
      </c>
      <c r="BW118" s="278">
        <v>144</v>
      </c>
      <c r="BX118" s="278">
        <v>293</v>
      </c>
      <c r="BY118" s="278">
        <v>298</v>
      </c>
      <c r="CA118" s="278">
        <v>197</v>
      </c>
      <c r="CB118" s="278">
        <v>509</v>
      </c>
      <c r="CC118" s="278">
        <v>725</v>
      </c>
      <c r="CE118" s="278">
        <v>396</v>
      </c>
      <c r="CF118" s="278">
        <v>444</v>
      </c>
      <c r="CG118" s="278">
        <v>933</v>
      </c>
      <c r="CI118" s="278">
        <v>109</v>
      </c>
      <c r="CJ118" s="278">
        <v>277</v>
      </c>
      <c r="CK118" s="278"/>
    </row>
    <row r="119" spans="1:89" outlineLevel="1" x14ac:dyDescent="0.3">
      <c r="A119" s="277" t="s">
        <v>165</v>
      </c>
      <c r="B119" s="278">
        <v>41</v>
      </c>
      <c r="C119" s="278">
        <f t="shared" si="226"/>
        <v>98</v>
      </c>
      <c r="D119" s="278">
        <f t="shared" si="227"/>
        <v>43</v>
      </c>
      <c r="E119" s="278">
        <f t="shared" si="227"/>
        <v>98</v>
      </c>
      <c r="F119" s="278">
        <v>41</v>
      </c>
      <c r="G119" s="278">
        <f t="shared" si="228"/>
        <v>23</v>
      </c>
      <c r="H119" s="278">
        <f t="shared" si="229"/>
        <v>53</v>
      </c>
      <c r="I119" s="278">
        <f t="shared" si="229"/>
        <v>216</v>
      </c>
      <c r="J119" s="278">
        <v>17</v>
      </c>
      <c r="K119" s="278">
        <f t="shared" si="230"/>
        <v>88</v>
      </c>
      <c r="L119" s="278">
        <f t="shared" si="231"/>
        <v>119</v>
      </c>
      <c r="M119" s="278">
        <f t="shared" si="231"/>
        <v>86</v>
      </c>
      <c r="N119" s="278">
        <v>12</v>
      </c>
      <c r="O119" s="278">
        <f t="shared" si="232"/>
        <v>52</v>
      </c>
      <c r="P119" s="278">
        <f t="shared" si="233"/>
        <v>52</v>
      </c>
      <c r="Q119" s="278">
        <f t="shared" si="233"/>
        <v>55</v>
      </c>
      <c r="R119" s="278">
        <v>78</v>
      </c>
      <c r="S119" s="278">
        <f t="shared" si="234"/>
        <v>65</v>
      </c>
      <c r="T119" s="278">
        <f t="shared" si="235"/>
        <v>37</v>
      </c>
      <c r="U119" s="278">
        <f t="shared" si="235"/>
        <v>403</v>
      </c>
      <c r="V119" s="278">
        <v>104</v>
      </c>
      <c r="W119" s="278">
        <f t="shared" si="236"/>
        <v>163</v>
      </c>
      <c r="X119" s="278">
        <f t="shared" si="237"/>
        <v>330</v>
      </c>
      <c r="Y119" s="278">
        <f t="shared" si="237"/>
        <v>268</v>
      </c>
      <c r="Z119" s="278">
        <v>198</v>
      </c>
      <c r="AA119" s="278">
        <f t="shared" si="238"/>
        <v>258</v>
      </c>
      <c r="AB119" s="278">
        <f t="shared" si="239"/>
        <v>307</v>
      </c>
      <c r="AC119" s="278">
        <f t="shared" si="239"/>
        <v>-763</v>
      </c>
      <c r="AF119" s="278">
        <v>152</v>
      </c>
      <c r="AG119" s="278">
        <v>218</v>
      </c>
      <c r="AH119" s="278">
        <v>102</v>
      </c>
      <c r="AI119" s="278">
        <v>243</v>
      </c>
      <c r="AJ119" s="278">
        <v>330</v>
      </c>
      <c r="AK119" s="278">
        <v>318</v>
      </c>
      <c r="AL119" s="278">
        <f t="shared" si="240"/>
        <v>280</v>
      </c>
      <c r="AM119" s="278">
        <f t="shared" si="241"/>
        <v>333</v>
      </c>
      <c r="AN119" s="278">
        <f t="shared" si="242"/>
        <v>310</v>
      </c>
      <c r="AO119" s="278">
        <f t="shared" si="243"/>
        <v>171</v>
      </c>
      <c r="AP119" s="278">
        <f t="shared" si="244"/>
        <v>583</v>
      </c>
      <c r="AQ119" s="278">
        <f t="shared" si="245"/>
        <v>865</v>
      </c>
      <c r="AR119" s="279"/>
      <c r="BK119" s="278">
        <v>139</v>
      </c>
      <c r="BL119" s="278">
        <v>182</v>
      </c>
      <c r="BM119" s="278">
        <v>280</v>
      </c>
      <c r="BO119" s="278">
        <v>64</v>
      </c>
      <c r="BP119" s="278">
        <v>117</v>
      </c>
      <c r="BQ119" s="278">
        <v>333</v>
      </c>
      <c r="BS119" s="278">
        <v>105</v>
      </c>
      <c r="BT119" s="278">
        <v>224</v>
      </c>
      <c r="BU119" s="278">
        <v>310</v>
      </c>
      <c r="BW119" s="278">
        <v>64</v>
      </c>
      <c r="BX119" s="278">
        <v>116</v>
      </c>
      <c r="BY119" s="278">
        <v>171</v>
      </c>
      <c r="CA119" s="278">
        <v>143</v>
      </c>
      <c r="CB119" s="278">
        <v>180</v>
      </c>
      <c r="CC119" s="278">
        <v>583</v>
      </c>
      <c r="CE119" s="278">
        <v>267</v>
      </c>
      <c r="CF119" s="278">
        <v>597</v>
      </c>
      <c r="CG119" s="278">
        <v>865</v>
      </c>
      <c r="CI119" s="278">
        <v>456</v>
      </c>
      <c r="CJ119" s="278">
        <v>763</v>
      </c>
      <c r="CK119" s="278"/>
    </row>
    <row r="120" spans="1:89" outlineLevel="1" x14ac:dyDescent="0.3">
      <c r="A120" s="277" t="s">
        <v>150</v>
      </c>
      <c r="B120" s="278">
        <v>65</v>
      </c>
      <c r="C120" s="278">
        <f t="shared" si="226"/>
        <v>36</v>
      </c>
      <c r="D120" s="278">
        <f t="shared" si="227"/>
        <v>3</v>
      </c>
      <c r="E120" s="278">
        <f t="shared" si="227"/>
        <v>0</v>
      </c>
      <c r="F120" s="278">
        <v>0</v>
      </c>
      <c r="G120" s="278">
        <f t="shared" si="228"/>
        <v>0</v>
      </c>
      <c r="H120" s="278">
        <f t="shared" si="229"/>
        <v>0</v>
      </c>
      <c r="I120" s="278">
        <f t="shared" si="229"/>
        <v>0</v>
      </c>
      <c r="J120" s="278">
        <v>0</v>
      </c>
      <c r="K120" s="278">
        <f t="shared" si="230"/>
        <v>0</v>
      </c>
      <c r="L120" s="278">
        <f t="shared" si="231"/>
        <v>0</v>
      </c>
      <c r="M120" s="278">
        <f t="shared" si="231"/>
        <v>0</v>
      </c>
      <c r="N120" s="278">
        <v>0</v>
      </c>
      <c r="O120" s="278">
        <f t="shared" si="232"/>
        <v>0</v>
      </c>
      <c r="P120" s="278">
        <f t="shared" si="233"/>
        <v>0</v>
      </c>
      <c r="Q120" s="278">
        <f t="shared" si="233"/>
        <v>0</v>
      </c>
      <c r="R120" s="278">
        <v>0</v>
      </c>
      <c r="S120" s="278">
        <f t="shared" si="234"/>
        <v>0</v>
      </c>
      <c r="T120" s="278">
        <f t="shared" si="235"/>
        <v>0</v>
      </c>
      <c r="U120" s="278">
        <f t="shared" si="235"/>
        <v>0</v>
      </c>
      <c r="V120" s="278">
        <v>0</v>
      </c>
      <c r="W120" s="278">
        <f t="shared" si="236"/>
        <v>0</v>
      </c>
      <c r="X120" s="278">
        <f t="shared" si="237"/>
        <v>0</v>
      </c>
      <c r="Y120" s="278">
        <f t="shared" si="237"/>
        <v>0</v>
      </c>
      <c r="Z120" s="278">
        <v>0</v>
      </c>
      <c r="AA120" s="278">
        <f t="shared" si="238"/>
        <v>0</v>
      </c>
      <c r="AB120" s="278">
        <f t="shared" si="239"/>
        <v>0</v>
      </c>
      <c r="AC120" s="278">
        <f t="shared" si="239"/>
        <v>0</v>
      </c>
      <c r="AF120" s="278">
        <v>80</v>
      </c>
      <c r="AG120" s="278">
        <v>70</v>
      </c>
      <c r="AH120" s="278">
        <v>28</v>
      </c>
      <c r="AI120" s="278">
        <v>41</v>
      </c>
      <c r="AJ120" s="278">
        <v>63</v>
      </c>
      <c r="AK120" s="278">
        <v>140</v>
      </c>
      <c r="AL120" s="278">
        <f t="shared" si="240"/>
        <v>104</v>
      </c>
      <c r="AM120" s="278">
        <f t="shared" si="241"/>
        <v>0</v>
      </c>
      <c r="AN120" s="278">
        <f t="shared" si="242"/>
        <v>0</v>
      </c>
      <c r="AO120" s="278">
        <f t="shared" si="243"/>
        <v>0</v>
      </c>
      <c r="AP120" s="278">
        <f t="shared" si="244"/>
        <v>0</v>
      </c>
      <c r="AQ120" s="278">
        <f t="shared" si="245"/>
        <v>0</v>
      </c>
      <c r="AR120" s="279"/>
      <c r="BK120" s="278">
        <v>101</v>
      </c>
      <c r="BL120" s="278">
        <v>104</v>
      </c>
      <c r="BM120" s="278">
        <v>104</v>
      </c>
      <c r="BO120" s="278">
        <v>0</v>
      </c>
      <c r="BP120" s="278">
        <v>0</v>
      </c>
      <c r="BQ120" s="278">
        <v>0</v>
      </c>
      <c r="BS120" s="278">
        <v>0</v>
      </c>
      <c r="BT120" s="278">
        <v>0</v>
      </c>
      <c r="BU120" s="278">
        <v>0</v>
      </c>
      <c r="BW120" s="278">
        <v>0</v>
      </c>
      <c r="BX120" s="278">
        <v>0</v>
      </c>
      <c r="BY120" s="278">
        <v>0</v>
      </c>
      <c r="CA120" s="278">
        <v>0</v>
      </c>
      <c r="CB120" s="278">
        <v>0</v>
      </c>
      <c r="CC120" s="278">
        <v>0</v>
      </c>
      <c r="CE120" s="278">
        <v>0</v>
      </c>
      <c r="CF120" s="278">
        <v>0</v>
      </c>
      <c r="CG120" s="278">
        <v>0</v>
      </c>
      <c r="CI120" s="278">
        <v>0</v>
      </c>
      <c r="CJ120" s="278">
        <v>0</v>
      </c>
      <c r="CK120" s="278"/>
    </row>
    <row r="121" spans="1:89" outlineLevel="1" x14ac:dyDescent="0.3">
      <c r="A121" s="277" t="s">
        <v>220</v>
      </c>
      <c r="B121" s="278">
        <v>27</v>
      </c>
      <c r="C121" s="278">
        <f t="shared" si="226"/>
        <v>57</v>
      </c>
      <c r="D121" s="278">
        <f t="shared" si="227"/>
        <v>0</v>
      </c>
      <c r="E121" s="278">
        <f t="shared" si="227"/>
        <v>49</v>
      </c>
      <c r="F121" s="278">
        <v>4</v>
      </c>
      <c r="G121" s="278">
        <f t="shared" si="228"/>
        <v>4</v>
      </c>
      <c r="H121" s="278">
        <f t="shared" si="229"/>
        <v>1</v>
      </c>
      <c r="I121" s="278">
        <f t="shared" si="229"/>
        <v>0</v>
      </c>
      <c r="J121" s="278">
        <v>3</v>
      </c>
      <c r="K121" s="278">
        <f t="shared" si="230"/>
        <v>110</v>
      </c>
      <c r="L121" s="278">
        <f t="shared" si="231"/>
        <v>14</v>
      </c>
      <c r="M121" s="278">
        <f t="shared" si="231"/>
        <v>31</v>
      </c>
      <c r="N121" s="278">
        <v>12</v>
      </c>
      <c r="O121" s="278">
        <f t="shared" si="232"/>
        <v>10</v>
      </c>
      <c r="P121" s="278">
        <f t="shared" si="233"/>
        <v>33</v>
      </c>
      <c r="Q121" s="278">
        <f t="shared" si="233"/>
        <v>22</v>
      </c>
      <c r="R121" s="278">
        <v>6</v>
      </c>
      <c r="S121" s="278">
        <f t="shared" si="234"/>
        <v>8</v>
      </c>
      <c r="T121" s="278">
        <f t="shared" si="235"/>
        <v>75</v>
      </c>
      <c r="U121" s="278">
        <f t="shared" si="235"/>
        <v>7</v>
      </c>
      <c r="V121" s="278">
        <v>34</v>
      </c>
      <c r="W121" s="278">
        <f t="shared" si="236"/>
        <v>92</v>
      </c>
      <c r="X121" s="278">
        <f t="shared" si="237"/>
        <v>87</v>
      </c>
      <c r="Y121" s="278">
        <f t="shared" si="237"/>
        <v>133</v>
      </c>
      <c r="Z121" s="278">
        <v>30</v>
      </c>
      <c r="AA121" s="278">
        <f t="shared" si="238"/>
        <v>98</v>
      </c>
      <c r="AB121" s="278">
        <f t="shared" si="239"/>
        <v>117</v>
      </c>
      <c r="AC121" s="278">
        <f t="shared" si="239"/>
        <v>-245</v>
      </c>
      <c r="AF121" s="278">
        <v>20</v>
      </c>
      <c r="AG121" s="278">
        <v>13</v>
      </c>
      <c r="AH121" s="278">
        <v>15</v>
      </c>
      <c r="AI121" s="278">
        <v>11</v>
      </c>
      <c r="AJ121" s="278">
        <v>4</v>
      </c>
      <c r="AK121" s="278">
        <v>137</v>
      </c>
      <c r="AL121" s="278">
        <f t="shared" si="240"/>
        <v>133</v>
      </c>
      <c r="AM121" s="278">
        <f t="shared" si="241"/>
        <v>9</v>
      </c>
      <c r="AN121" s="278">
        <f t="shared" si="242"/>
        <v>158</v>
      </c>
      <c r="AO121" s="278">
        <f t="shared" si="243"/>
        <v>77</v>
      </c>
      <c r="AP121" s="278">
        <f t="shared" si="244"/>
        <v>96</v>
      </c>
      <c r="AQ121" s="278">
        <f t="shared" si="245"/>
        <v>346</v>
      </c>
      <c r="AR121" s="279"/>
      <c r="BK121" s="278">
        <v>84</v>
      </c>
      <c r="BL121" s="278">
        <v>84</v>
      </c>
      <c r="BM121" s="278">
        <v>133</v>
      </c>
      <c r="BO121" s="278">
        <v>8</v>
      </c>
      <c r="BP121" s="278">
        <v>9</v>
      </c>
      <c r="BQ121" s="278">
        <v>9</v>
      </c>
      <c r="BS121" s="278">
        <v>113</v>
      </c>
      <c r="BT121" s="278">
        <v>127</v>
      </c>
      <c r="BU121" s="278">
        <v>158</v>
      </c>
      <c r="BW121" s="278">
        <v>22</v>
      </c>
      <c r="BX121" s="278">
        <v>55</v>
      </c>
      <c r="BY121" s="278">
        <v>77</v>
      </c>
      <c r="CA121" s="278">
        <v>14</v>
      </c>
      <c r="CB121" s="278">
        <v>89</v>
      </c>
      <c r="CC121" s="278">
        <v>96</v>
      </c>
      <c r="CE121" s="278">
        <v>126</v>
      </c>
      <c r="CF121" s="278">
        <v>213</v>
      </c>
      <c r="CG121" s="278">
        <v>346</v>
      </c>
      <c r="CI121" s="278">
        <v>128</v>
      </c>
      <c r="CJ121" s="278">
        <v>245</v>
      </c>
      <c r="CK121" s="278"/>
    </row>
    <row r="122" spans="1:89" outlineLevel="1" x14ac:dyDescent="0.3">
      <c r="A122" s="277" t="s">
        <v>157</v>
      </c>
      <c r="B122" s="278">
        <v>625</v>
      </c>
      <c r="C122" s="278">
        <f t="shared" si="226"/>
        <v>950</v>
      </c>
      <c r="D122" s="278">
        <f t="shared" si="227"/>
        <v>930</v>
      </c>
      <c r="E122" s="278">
        <f t="shared" si="227"/>
        <v>818</v>
      </c>
      <c r="F122" s="278">
        <v>128</v>
      </c>
      <c r="G122" s="278">
        <f t="shared" si="228"/>
        <v>161</v>
      </c>
      <c r="H122" s="278">
        <f t="shared" si="229"/>
        <v>230</v>
      </c>
      <c r="I122" s="278">
        <f t="shared" si="229"/>
        <v>376</v>
      </c>
      <c r="J122" s="278">
        <v>134</v>
      </c>
      <c r="K122" s="278">
        <f t="shared" si="230"/>
        <v>376</v>
      </c>
      <c r="L122" s="278">
        <f t="shared" si="231"/>
        <v>297</v>
      </c>
      <c r="M122" s="278">
        <f t="shared" si="231"/>
        <v>353</v>
      </c>
      <c r="N122" s="278">
        <v>171</v>
      </c>
      <c r="O122" s="278">
        <f t="shared" si="232"/>
        <v>405</v>
      </c>
      <c r="P122" s="278">
        <f t="shared" si="233"/>
        <v>324</v>
      </c>
      <c r="Q122" s="278">
        <f t="shared" si="233"/>
        <v>209</v>
      </c>
      <c r="R122" s="278">
        <v>256</v>
      </c>
      <c r="S122" s="278">
        <f t="shared" si="234"/>
        <v>599</v>
      </c>
      <c r="T122" s="278">
        <f t="shared" si="235"/>
        <v>461</v>
      </c>
      <c r="U122" s="278">
        <f t="shared" si="235"/>
        <v>714</v>
      </c>
      <c r="V122" s="278">
        <v>543</v>
      </c>
      <c r="W122" s="278">
        <f t="shared" si="236"/>
        <v>691</v>
      </c>
      <c r="X122" s="278">
        <f t="shared" si="237"/>
        <v>403</v>
      </c>
      <c r="Y122" s="278">
        <f t="shared" si="237"/>
        <v>774</v>
      </c>
      <c r="Z122" s="278">
        <v>570</v>
      </c>
      <c r="AA122" s="278">
        <f t="shared" si="238"/>
        <v>802</v>
      </c>
      <c r="AB122" s="278">
        <f t="shared" si="239"/>
        <v>580</v>
      </c>
      <c r="AC122" s="278">
        <f t="shared" si="239"/>
        <v>-1952</v>
      </c>
      <c r="AF122" s="278">
        <v>1600</v>
      </c>
      <c r="AG122" s="278">
        <v>2524</v>
      </c>
      <c r="AH122" s="278">
        <v>2592</v>
      </c>
      <c r="AI122" s="278">
        <v>3459</v>
      </c>
      <c r="AJ122" s="278">
        <v>2918</v>
      </c>
      <c r="AK122" s="278">
        <v>2641</v>
      </c>
      <c r="AL122" s="278">
        <f t="shared" si="240"/>
        <v>3323</v>
      </c>
      <c r="AM122" s="278">
        <f t="shared" si="241"/>
        <v>895</v>
      </c>
      <c r="AN122" s="278">
        <f t="shared" si="242"/>
        <v>1160</v>
      </c>
      <c r="AO122" s="278">
        <f t="shared" si="243"/>
        <v>1109</v>
      </c>
      <c r="AP122" s="278">
        <f t="shared" si="244"/>
        <v>2030</v>
      </c>
      <c r="AQ122" s="278">
        <f t="shared" si="245"/>
        <v>2411</v>
      </c>
      <c r="AR122" s="279"/>
      <c r="BK122" s="278">
        <v>1575</v>
      </c>
      <c r="BL122" s="278">
        <v>2505</v>
      </c>
      <c r="BM122" s="278">
        <v>3323</v>
      </c>
      <c r="BO122" s="278">
        <v>289</v>
      </c>
      <c r="BP122" s="278">
        <v>519</v>
      </c>
      <c r="BQ122" s="278">
        <v>895</v>
      </c>
      <c r="BS122" s="278">
        <v>510</v>
      </c>
      <c r="BT122" s="278">
        <v>807</v>
      </c>
      <c r="BU122" s="278">
        <v>1160</v>
      </c>
      <c r="BW122" s="278">
        <v>576</v>
      </c>
      <c r="BX122" s="278">
        <v>900</v>
      </c>
      <c r="BY122" s="278">
        <v>1109</v>
      </c>
      <c r="CA122" s="278">
        <v>855</v>
      </c>
      <c r="CB122" s="278">
        <v>1316</v>
      </c>
      <c r="CC122" s="278">
        <v>2030</v>
      </c>
      <c r="CE122" s="278">
        <v>1234</v>
      </c>
      <c r="CF122" s="278">
        <v>1637</v>
      </c>
      <c r="CG122" s="278">
        <v>2411</v>
      </c>
      <c r="CI122" s="278">
        <v>1372</v>
      </c>
      <c r="CJ122" s="278">
        <v>1952</v>
      </c>
      <c r="CK122" s="278"/>
    </row>
    <row r="123" spans="1:89" outlineLevel="1" x14ac:dyDescent="0.3">
      <c r="A123" s="277" t="s">
        <v>158</v>
      </c>
      <c r="B123" s="278"/>
      <c r="C123" s="278">
        <f t="shared" si="226"/>
        <v>0</v>
      </c>
      <c r="D123" s="278">
        <f t="shared" si="227"/>
        <v>0</v>
      </c>
      <c r="E123" s="278">
        <f t="shared" si="227"/>
        <v>0</v>
      </c>
      <c r="F123" s="278"/>
      <c r="G123" s="278">
        <f t="shared" si="228"/>
        <v>0</v>
      </c>
      <c r="H123" s="278">
        <f t="shared" si="229"/>
        <v>0</v>
      </c>
      <c r="I123" s="278">
        <f t="shared" si="229"/>
        <v>0</v>
      </c>
      <c r="J123" s="278">
        <v>0</v>
      </c>
      <c r="K123" s="278">
        <f t="shared" si="230"/>
        <v>0</v>
      </c>
      <c r="L123" s="278">
        <f t="shared" si="231"/>
        <v>0</v>
      </c>
      <c r="M123" s="278">
        <f t="shared" si="231"/>
        <v>0</v>
      </c>
      <c r="N123" s="278">
        <v>0</v>
      </c>
      <c r="O123" s="278">
        <f t="shared" si="232"/>
        <v>0</v>
      </c>
      <c r="P123" s="278">
        <f t="shared" si="233"/>
        <v>0</v>
      </c>
      <c r="Q123" s="278">
        <f t="shared" si="233"/>
        <v>0</v>
      </c>
      <c r="R123" s="278"/>
      <c r="S123" s="278">
        <f t="shared" si="234"/>
        <v>0</v>
      </c>
      <c r="T123" s="278">
        <f t="shared" si="235"/>
        <v>0</v>
      </c>
      <c r="U123" s="278">
        <f t="shared" si="235"/>
        <v>0</v>
      </c>
      <c r="V123" s="278"/>
      <c r="W123" s="278">
        <f t="shared" si="236"/>
        <v>0</v>
      </c>
      <c r="X123" s="278">
        <f t="shared" si="237"/>
        <v>0</v>
      </c>
      <c r="Y123" s="278">
        <f t="shared" si="237"/>
        <v>0</v>
      </c>
      <c r="Z123" s="278">
        <v>0</v>
      </c>
      <c r="AA123" s="278">
        <f t="shared" si="238"/>
        <v>0</v>
      </c>
      <c r="AB123" s="278">
        <f t="shared" si="239"/>
        <v>0</v>
      </c>
      <c r="AC123" s="278">
        <f t="shared" si="239"/>
        <v>0</v>
      </c>
      <c r="AF123" s="278"/>
      <c r="AG123" s="278"/>
      <c r="AH123" s="278"/>
      <c r="AI123" s="278"/>
      <c r="AJ123" s="278"/>
      <c r="AK123" s="278"/>
      <c r="AL123" s="278">
        <f t="shared" si="240"/>
        <v>0</v>
      </c>
      <c r="AM123" s="278">
        <f t="shared" si="241"/>
        <v>0</v>
      </c>
      <c r="AN123" s="278">
        <f t="shared" si="242"/>
        <v>0</v>
      </c>
      <c r="AO123" s="278">
        <f t="shared" si="243"/>
        <v>0</v>
      </c>
      <c r="AP123" s="278">
        <f t="shared" si="244"/>
        <v>0</v>
      </c>
      <c r="AQ123" s="278">
        <f t="shared" si="245"/>
        <v>0</v>
      </c>
      <c r="AR123" s="279"/>
      <c r="BK123" s="278"/>
      <c r="BL123" s="278"/>
      <c r="BM123" s="278">
        <v>0</v>
      </c>
      <c r="BO123" s="278"/>
      <c r="BP123" s="278"/>
      <c r="BQ123" s="278">
        <v>0</v>
      </c>
      <c r="BS123" s="278">
        <v>0</v>
      </c>
      <c r="BT123" s="278">
        <v>0</v>
      </c>
      <c r="BU123" s="278">
        <v>0</v>
      </c>
      <c r="BW123" s="278">
        <v>0</v>
      </c>
      <c r="BX123" s="278">
        <v>0</v>
      </c>
      <c r="BY123" s="278"/>
      <c r="CA123" s="278"/>
      <c r="CB123" s="278"/>
      <c r="CC123" s="278"/>
      <c r="CE123" s="278"/>
      <c r="CF123" s="278"/>
      <c r="CG123" s="278"/>
      <c r="CI123" s="278"/>
      <c r="CJ123" s="278"/>
      <c r="CK123" s="278"/>
    </row>
    <row r="124" spans="1:89" outlineLevel="1" x14ac:dyDescent="0.3">
      <c r="A124" s="277" t="s">
        <v>222</v>
      </c>
      <c r="B124" s="278">
        <v>54</v>
      </c>
      <c r="C124" s="278">
        <f t="shared" si="226"/>
        <v>44</v>
      </c>
      <c r="D124" s="278">
        <f t="shared" si="227"/>
        <v>41</v>
      </c>
      <c r="E124" s="278">
        <f t="shared" si="227"/>
        <v>131</v>
      </c>
      <c r="F124" s="278">
        <v>40</v>
      </c>
      <c r="G124" s="278">
        <f t="shared" si="228"/>
        <v>117</v>
      </c>
      <c r="H124" s="278">
        <f t="shared" si="229"/>
        <v>55</v>
      </c>
      <c r="I124" s="278">
        <f t="shared" si="229"/>
        <v>24</v>
      </c>
      <c r="J124" s="278">
        <v>51</v>
      </c>
      <c r="K124" s="278">
        <f t="shared" si="230"/>
        <v>11</v>
      </c>
      <c r="L124" s="278">
        <f t="shared" si="231"/>
        <v>11</v>
      </c>
      <c r="M124" s="278">
        <f t="shared" si="231"/>
        <v>23</v>
      </c>
      <c r="N124" s="278">
        <v>31</v>
      </c>
      <c r="O124" s="278">
        <f t="shared" si="232"/>
        <v>65</v>
      </c>
      <c r="P124" s="278">
        <f t="shared" si="233"/>
        <v>30</v>
      </c>
      <c r="Q124" s="278">
        <f t="shared" si="233"/>
        <v>18</v>
      </c>
      <c r="R124" s="278">
        <v>45</v>
      </c>
      <c r="S124" s="278">
        <f t="shared" si="234"/>
        <v>22</v>
      </c>
      <c r="T124" s="278">
        <f t="shared" si="235"/>
        <v>11</v>
      </c>
      <c r="U124" s="278">
        <f t="shared" si="235"/>
        <v>119</v>
      </c>
      <c r="V124" s="278">
        <v>38</v>
      </c>
      <c r="W124" s="278">
        <f t="shared" si="236"/>
        <v>45</v>
      </c>
      <c r="X124" s="278">
        <f t="shared" si="237"/>
        <v>43</v>
      </c>
      <c r="Y124" s="278">
        <f t="shared" si="237"/>
        <v>208</v>
      </c>
      <c r="Z124" s="278">
        <v>26</v>
      </c>
      <c r="AA124" s="278">
        <f t="shared" si="238"/>
        <v>82</v>
      </c>
      <c r="AB124" s="278">
        <f t="shared" si="239"/>
        <v>146</v>
      </c>
      <c r="AC124" s="278">
        <f t="shared" si="239"/>
        <v>-254</v>
      </c>
      <c r="AF124" s="278">
        <v>397</v>
      </c>
      <c r="AG124" s="278">
        <v>1113</v>
      </c>
      <c r="AH124" s="278">
        <v>1109</v>
      </c>
      <c r="AI124" s="278">
        <v>839</v>
      </c>
      <c r="AJ124" s="278">
        <v>609</v>
      </c>
      <c r="AK124" s="278">
        <v>695</v>
      </c>
      <c r="AL124" s="278">
        <f t="shared" si="240"/>
        <v>270</v>
      </c>
      <c r="AM124" s="278">
        <f t="shared" si="241"/>
        <v>236</v>
      </c>
      <c r="AN124" s="278">
        <f t="shared" si="242"/>
        <v>96</v>
      </c>
      <c r="AO124" s="278">
        <f t="shared" si="243"/>
        <v>144</v>
      </c>
      <c r="AP124" s="278">
        <f t="shared" si="244"/>
        <v>197</v>
      </c>
      <c r="AQ124" s="278">
        <f t="shared" si="245"/>
        <v>334</v>
      </c>
      <c r="AR124" s="279"/>
      <c r="BK124" s="278">
        <v>98</v>
      </c>
      <c r="BL124" s="278">
        <v>139</v>
      </c>
      <c r="BM124" s="278">
        <v>270</v>
      </c>
      <c r="BO124" s="278">
        <v>157</v>
      </c>
      <c r="BP124" s="278">
        <v>212</v>
      </c>
      <c r="BQ124" s="278">
        <v>236</v>
      </c>
      <c r="BS124" s="278">
        <v>62</v>
      </c>
      <c r="BT124" s="278">
        <v>73</v>
      </c>
      <c r="BU124" s="278">
        <v>96</v>
      </c>
      <c r="BW124" s="278">
        <v>96</v>
      </c>
      <c r="BX124" s="278">
        <v>126</v>
      </c>
      <c r="BY124" s="278">
        <v>144</v>
      </c>
      <c r="CA124" s="278">
        <v>67</v>
      </c>
      <c r="CB124" s="278">
        <v>78</v>
      </c>
      <c r="CC124" s="278">
        <v>197</v>
      </c>
      <c r="CE124" s="278">
        <v>83</v>
      </c>
      <c r="CF124" s="278">
        <v>126</v>
      </c>
      <c r="CG124" s="278">
        <v>334</v>
      </c>
      <c r="CI124" s="278">
        <v>108</v>
      </c>
      <c r="CJ124" s="278">
        <v>254</v>
      </c>
      <c r="CK124" s="278"/>
    </row>
    <row r="125" spans="1:89" s="283" customFormat="1" x14ac:dyDescent="0.3">
      <c r="A125" s="280" t="s">
        <v>232</v>
      </c>
      <c r="B125" s="282">
        <f t="shared" ref="B125:AC125" si="246">SUM(B118:B124)</f>
        <v>822</v>
      </c>
      <c r="C125" s="282">
        <f t="shared" si="246"/>
        <v>1251</v>
      </c>
      <c r="D125" s="282">
        <f t="shared" si="246"/>
        <v>1059</v>
      </c>
      <c r="E125" s="282">
        <f t="shared" si="246"/>
        <v>1168</v>
      </c>
      <c r="F125" s="282">
        <f t="shared" si="246"/>
        <v>217</v>
      </c>
      <c r="G125" s="282">
        <f t="shared" si="246"/>
        <v>322</v>
      </c>
      <c r="H125" s="282">
        <f t="shared" si="246"/>
        <v>369</v>
      </c>
      <c r="I125" s="282">
        <f t="shared" si="246"/>
        <v>733</v>
      </c>
      <c r="J125" s="282">
        <f t="shared" si="246"/>
        <v>210</v>
      </c>
      <c r="K125" s="282">
        <f t="shared" si="246"/>
        <v>597</v>
      </c>
      <c r="L125" s="282">
        <f t="shared" si="246"/>
        <v>444</v>
      </c>
      <c r="M125" s="282">
        <f t="shared" si="246"/>
        <v>534</v>
      </c>
      <c r="N125" s="282">
        <f t="shared" si="246"/>
        <v>274</v>
      </c>
      <c r="O125" s="282">
        <f t="shared" si="246"/>
        <v>628</v>
      </c>
      <c r="P125" s="282">
        <f t="shared" si="246"/>
        <v>588</v>
      </c>
      <c r="Q125" s="282">
        <f t="shared" si="246"/>
        <v>309</v>
      </c>
      <c r="R125" s="282">
        <f t="shared" si="246"/>
        <v>390</v>
      </c>
      <c r="S125" s="282">
        <f t="shared" si="246"/>
        <v>886</v>
      </c>
      <c r="T125" s="282">
        <f t="shared" si="246"/>
        <v>896</v>
      </c>
      <c r="U125" s="282">
        <f t="shared" si="246"/>
        <v>1459</v>
      </c>
      <c r="V125" s="282">
        <f t="shared" si="246"/>
        <v>1018</v>
      </c>
      <c r="W125" s="282">
        <f t="shared" si="246"/>
        <v>1088</v>
      </c>
      <c r="X125" s="282">
        <f t="shared" si="246"/>
        <v>911</v>
      </c>
      <c r="Y125" s="282">
        <f t="shared" si="246"/>
        <v>1872</v>
      </c>
      <c r="Z125" s="282">
        <f t="shared" si="246"/>
        <v>926</v>
      </c>
      <c r="AA125" s="282">
        <f t="shared" si="246"/>
        <v>1247</v>
      </c>
      <c r="AB125" s="282">
        <f t="shared" si="246"/>
        <v>1318</v>
      </c>
      <c r="AC125" s="282">
        <f t="shared" si="246"/>
        <v>-3491</v>
      </c>
      <c r="AF125" s="282">
        <f t="shared" ref="AF125:AK125" si="247">SUM(AF118:AF124)</f>
        <v>2254</v>
      </c>
      <c r="AG125" s="282">
        <f t="shared" si="247"/>
        <v>4064</v>
      </c>
      <c r="AH125" s="282">
        <f>SUM(AH118:AH124)</f>
        <v>4097</v>
      </c>
      <c r="AI125" s="282">
        <f>SUM(AI118:AI124)</f>
        <v>4673</v>
      </c>
      <c r="AJ125" s="282">
        <f t="shared" si="247"/>
        <v>4150</v>
      </c>
      <c r="AK125" s="282">
        <f t="shared" si="247"/>
        <v>4094</v>
      </c>
      <c r="AL125" s="282">
        <f t="shared" si="240"/>
        <v>4300</v>
      </c>
      <c r="AM125" s="282">
        <f t="shared" si="241"/>
        <v>1641</v>
      </c>
      <c r="AN125" s="282">
        <f t="shared" si="242"/>
        <v>1785</v>
      </c>
      <c r="AO125" s="282">
        <f t="shared" si="243"/>
        <v>1799</v>
      </c>
      <c r="AP125" s="282">
        <f t="shared" si="244"/>
        <v>3631</v>
      </c>
      <c r="AQ125" s="282">
        <f t="shared" si="245"/>
        <v>4889</v>
      </c>
      <c r="AR125" s="284"/>
      <c r="BK125" s="282">
        <f>SUM(BK118:BK124)</f>
        <v>2073</v>
      </c>
      <c r="BL125" s="282">
        <f>SUM(BL118:BL124)</f>
        <v>3132</v>
      </c>
      <c r="BM125" s="282">
        <f>SUM(BM118:BM124)</f>
        <v>4300</v>
      </c>
      <c r="BO125" s="282">
        <f>SUM(BO118:BO124)</f>
        <v>539</v>
      </c>
      <c r="BP125" s="282">
        <f>SUM(BP118:BP124)</f>
        <v>908</v>
      </c>
      <c r="BQ125" s="282">
        <f t="shared" ref="BQ125" si="248">SUM(BQ118:BQ124)</f>
        <v>1641</v>
      </c>
      <c r="BS125" s="282">
        <f>SUM(BS118:BS124)</f>
        <v>807</v>
      </c>
      <c r="BT125" s="282">
        <f>SUM(BT118:BT124)</f>
        <v>1251</v>
      </c>
      <c r="BU125" s="282">
        <f>SUM(BU118:BU124)</f>
        <v>1785</v>
      </c>
      <c r="BW125" s="282">
        <f>SUM(BW118:BW124)</f>
        <v>902</v>
      </c>
      <c r="BX125" s="282">
        <f>SUM(BX118:BX124)</f>
        <v>1490</v>
      </c>
      <c r="BY125" s="282">
        <f>SUM(BY118:BY124)</f>
        <v>1799</v>
      </c>
      <c r="CA125" s="282">
        <f>SUM(CA118:CA124)</f>
        <v>1276</v>
      </c>
      <c r="CB125" s="282">
        <f>SUM(CB118:CB124)</f>
        <v>2172</v>
      </c>
      <c r="CC125" s="282">
        <f>SUM(CC118:CC124)</f>
        <v>3631</v>
      </c>
      <c r="CE125" s="282">
        <f>SUM(CE118:CE124)</f>
        <v>2106</v>
      </c>
      <c r="CF125" s="282">
        <f>SUM(CF118:CF124)</f>
        <v>3017</v>
      </c>
      <c r="CG125" s="282">
        <f>SUM(CG118:CG124)</f>
        <v>4889</v>
      </c>
      <c r="CI125" s="282">
        <f>SUM(CI118:CI124)</f>
        <v>2173</v>
      </c>
      <c r="CJ125" s="282">
        <f>SUM(CJ118:CJ124)</f>
        <v>3491</v>
      </c>
      <c r="CK125" s="282"/>
    </row>
    <row r="126" spans="1:89" x14ac:dyDescent="0.3">
      <c r="A126" s="280"/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  <c r="AC126" s="278"/>
      <c r="AF126" s="278"/>
      <c r="AG126" s="278"/>
      <c r="AH126" s="278"/>
      <c r="AI126" s="278"/>
      <c r="AJ126" s="278"/>
      <c r="AK126" s="278"/>
      <c r="AL126" s="278"/>
      <c r="AM126" s="278"/>
      <c r="AN126" s="278"/>
      <c r="AO126" s="278"/>
      <c r="AP126" s="278"/>
      <c r="AQ126" s="278"/>
      <c r="AR126" s="279"/>
      <c r="BK126" s="278"/>
      <c r="BL126" s="278"/>
      <c r="BM126" s="278"/>
      <c r="BO126" s="278"/>
      <c r="BP126" s="278"/>
      <c r="BQ126" s="278"/>
      <c r="BS126" s="278"/>
      <c r="BT126" s="278"/>
      <c r="BU126" s="278"/>
      <c r="BW126" s="278"/>
      <c r="BX126" s="278"/>
      <c r="BY126" s="278"/>
      <c r="CA126" s="278"/>
      <c r="CB126" s="278"/>
      <c r="CC126" s="278"/>
      <c r="CE126" s="278"/>
      <c r="CF126" s="278"/>
      <c r="CG126" s="278"/>
      <c r="CI126" s="278"/>
      <c r="CJ126" s="278"/>
      <c r="CK126" s="278"/>
    </row>
    <row r="127" spans="1:89" x14ac:dyDescent="0.3">
      <c r="A127" s="280" t="s">
        <v>233</v>
      </c>
      <c r="B127" s="278"/>
      <c r="C127" s="278"/>
      <c r="D127" s="278"/>
      <c r="E127" s="278"/>
      <c r="F127" s="278"/>
      <c r="G127" s="278"/>
      <c r="H127" s="278"/>
      <c r="I127" s="278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  <c r="AC127" s="278"/>
      <c r="AF127" s="278"/>
      <c r="AG127" s="278"/>
      <c r="AH127" s="278"/>
      <c r="AI127" s="278"/>
      <c r="AJ127" s="278"/>
      <c r="AK127" s="278"/>
      <c r="AL127" s="278"/>
      <c r="AM127" s="278"/>
      <c r="AN127" s="278"/>
      <c r="AO127" s="278"/>
      <c r="AP127" s="278"/>
      <c r="AQ127" s="278"/>
      <c r="AR127" s="279"/>
      <c r="BK127" s="278"/>
      <c r="BL127" s="278"/>
      <c r="BM127" s="278"/>
      <c r="BO127" s="278"/>
      <c r="BP127" s="278"/>
      <c r="BQ127" s="278"/>
      <c r="BS127" s="278"/>
      <c r="BT127" s="278"/>
      <c r="BU127" s="278"/>
      <c r="BW127" s="278"/>
      <c r="BX127" s="278"/>
      <c r="BY127" s="278"/>
      <c r="CA127" s="278"/>
      <c r="CB127" s="278"/>
      <c r="CC127" s="278"/>
      <c r="CE127" s="278"/>
      <c r="CF127" s="278"/>
      <c r="CG127" s="278"/>
      <c r="CI127" s="278"/>
      <c r="CJ127" s="278"/>
      <c r="CK127" s="278"/>
    </row>
    <row r="128" spans="1:89" outlineLevel="1" x14ac:dyDescent="0.3">
      <c r="A128" s="277" t="s">
        <v>163</v>
      </c>
      <c r="B128" s="278">
        <v>208</v>
      </c>
      <c r="C128" s="278">
        <f>BK128-B128</f>
        <v>447</v>
      </c>
      <c r="D128" s="278">
        <f>BL128-BK128</f>
        <v>467</v>
      </c>
      <c r="E128" s="278">
        <f>BM128-BL128</f>
        <v>422</v>
      </c>
      <c r="F128" s="278">
        <v>103</v>
      </c>
      <c r="G128" s="278">
        <f>BO128-F128</f>
        <v>539</v>
      </c>
      <c r="H128" s="278">
        <f>BP128-BO128</f>
        <v>803</v>
      </c>
      <c r="I128" s="278">
        <f>BQ128-BP128</f>
        <v>624</v>
      </c>
      <c r="J128" s="278">
        <v>242</v>
      </c>
      <c r="K128" s="278">
        <f>BS128-J128</f>
        <v>689</v>
      </c>
      <c r="L128" s="278">
        <f>BT128-BS128</f>
        <v>536</v>
      </c>
      <c r="M128" s="278">
        <f>BU128-BT128</f>
        <v>691</v>
      </c>
      <c r="N128" s="278">
        <v>232</v>
      </c>
      <c r="O128" s="278">
        <f>BW128-N128</f>
        <v>318</v>
      </c>
      <c r="P128" s="278">
        <f>BX128-BW128</f>
        <v>270</v>
      </c>
      <c r="Q128" s="278">
        <f>BY128-BX128</f>
        <v>361</v>
      </c>
      <c r="R128" s="278">
        <v>338</v>
      </c>
      <c r="S128" s="278">
        <f>CA128-R128</f>
        <v>570</v>
      </c>
      <c r="T128" s="278">
        <f>CB128-CA128</f>
        <v>581</v>
      </c>
      <c r="U128" s="278">
        <f>CC128-CB128</f>
        <v>953</v>
      </c>
      <c r="V128" s="278">
        <v>364</v>
      </c>
      <c r="W128" s="278">
        <f>CE128-V128</f>
        <v>718</v>
      </c>
      <c r="X128" s="278">
        <f>CF128-CE128</f>
        <v>883</v>
      </c>
      <c r="Y128" s="278">
        <f>CG128-CF128</f>
        <v>1119</v>
      </c>
      <c r="Z128" s="278">
        <v>499</v>
      </c>
      <c r="AA128" s="278">
        <f>CI128-Z128</f>
        <v>694</v>
      </c>
      <c r="AB128" s="278">
        <f>CJ128-CI128</f>
        <v>823</v>
      </c>
      <c r="AC128" s="278">
        <f>CK128-CJ128</f>
        <v>-2016</v>
      </c>
      <c r="AF128" s="278">
        <v>917</v>
      </c>
      <c r="AG128" s="278">
        <v>1204</v>
      </c>
      <c r="AH128" s="278">
        <v>1835</v>
      </c>
      <c r="AI128" s="278">
        <v>743</v>
      </c>
      <c r="AJ128" s="278">
        <v>1115</v>
      </c>
      <c r="AK128" s="278">
        <v>1216</v>
      </c>
      <c r="AL128" s="278">
        <f t="shared" ref="AL128:AL141" si="249">SUM(B128:E128)</f>
        <v>1544</v>
      </c>
      <c r="AM128" s="278">
        <f t="shared" ref="AM128:AM141" si="250">SUM(F128:I128)</f>
        <v>2069</v>
      </c>
      <c r="AN128" s="278">
        <f t="shared" ref="AN128:AN141" si="251">SUM(J128:M128)</f>
        <v>2158</v>
      </c>
      <c r="AO128" s="278">
        <f t="shared" ref="AO128:AO141" si="252">SUM(N128:Q128)</f>
        <v>1181</v>
      </c>
      <c r="AP128" s="278">
        <f t="shared" ref="AP128:AP141" si="253">SUM(R128:U128)</f>
        <v>2442</v>
      </c>
      <c r="AQ128" s="278">
        <f>SUM(V128:Y128)</f>
        <v>3084</v>
      </c>
      <c r="AR128" s="279"/>
      <c r="BK128" s="278">
        <v>655</v>
      </c>
      <c r="BL128" s="278">
        <v>1122</v>
      </c>
      <c r="BM128" s="278">
        <v>1544</v>
      </c>
      <c r="BO128" s="278">
        <v>642</v>
      </c>
      <c r="BP128" s="278">
        <v>1445</v>
      </c>
      <c r="BQ128" s="278">
        <v>2069</v>
      </c>
      <c r="BS128" s="278">
        <v>931</v>
      </c>
      <c r="BT128" s="278">
        <v>1467</v>
      </c>
      <c r="BU128" s="278">
        <v>2158</v>
      </c>
      <c r="BW128" s="278">
        <v>550</v>
      </c>
      <c r="BX128" s="278">
        <v>820</v>
      </c>
      <c r="BY128" s="278">
        <v>1181</v>
      </c>
      <c r="CA128" s="278">
        <v>908</v>
      </c>
      <c r="CB128" s="278">
        <v>1489</v>
      </c>
      <c r="CC128" s="278">
        <v>2442</v>
      </c>
      <c r="CE128" s="278">
        <v>1082</v>
      </c>
      <c r="CF128" s="278">
        <v>1965</v>
      </c>
      <c r="CG128" s="278">
        <v>3084</v>
      </c>
      <c r="CI128" s="278">
        <v>1193</v>
      </c>
      <c r="CJ128" s="278">
        <v>2016</v>
      </c>
      <c r="CK128" s="278"/>
    </row>
    <row r="129" spans="1:89" outlineLevel="1" x14ac:dyDescent="0.3">
      <c r="A129" s="277" t="s">
        <v>165</v>
      </c>
      <c r="B129" s="278">
        <v>15</v>
      </c>
      <c r="C129" s="278">
        <f>BK129-B129</f>
        <v>25</v>
      </c>
      <c r="D129" s="278">
        <f>BL129-BK129</f>
        <v>13</v>
      </c>
      <c r="E129" s="278">
        <f>BM129-BL129</f>
        <v>27</v>
      </c>
      <c r="F129" s="278">
        <v>1</v>
      </c>
      <c r="G129" s="278">
        <f>BO129-F129</f>
        <v>62</v>
      </c>
      <c r="H129" s="278">
        <f>BP129-BO129</f>
        <v>58</v>
      </c>
      <c r="I129" s="278">
        <f>BQ129-BP129</f>
        <v>74</v>
      </c>
      <c r="J129" s="278">
        <v>6</v>
      </c>
      <c r="K129" s="278">
        <f>BS129-J129</f>
        <v>15</v>
      </c>
      <c r="L129" s="278">
        <f>BT129-BS129</f>
        <v>15</v>
      </c>
      <c r="M129" s="278">
        <f>BU129-BT129</f>
        <v>10</v>
      </c>
      <c r="N129" s="278">
        <v>1</v>
      </c>
      <c r="O129" s="278">
        <f>BW129-N129</f>
        <v>0</v>
      </c>
      <c r="P129" s="278">
        <f>BX129-BW129</f>
        <v>5</v>
      </c>
      <c r="Q129" s="278">
        <f>BY129-BX129</f>
        <v>13</v>
      </c>
      <c r="R129" s="278">
        <v>9</v>
      </c>
      <c r="S129" s="278">
        <f>CA129-R129</f>
        <v>9</v>
      </c>
      <c r="T129" s="278">
        <f>CB129-CA129</f>
        <v>28</v>
      </c>
      <c r="U129" s="278">
        <f>CC129-CB129</f>
        <v>5</v>
      </c>
      <c r="V129" s="278">
        <v>2</v>
      </c>
      <c r="W129" s="278">
        <f>CE129-V129</f>
        <v>7</v>
      </c>
      <c r="X129" s="278">
        <f>CF129-CE129</f>
        <v>14</v>
      </c>
      <c r="Y129" s="278">
        <f>CG129-CF129</f>
        <v>9</v>
      </c>
      <c r="Z129" s="278">
        <v>15</v>
      </c>
      <c r="AA129" s="278">
        <f>CI129-Z129</f>
        <v>18</v>
      </c>
      <c r="AB129" s="278">
        <f>CJ129-CI129</f>
        <v>4</v>
      </c>
      <c r="AC129" s="278">
        <f>CK129-CJ129</f>
        <v>-37</v>
      </c>
      <c r="AF129" s="278">
        <v>80</v>
      </c>
      <c r="AG129" s="278">
        <v>73</v>
      </c>
      <c r="AH129" s="278">
        <v>45</v>
      </c>
      <c r="AI129" s="278">
        <v>102</v>
      </c>
      <c r="AJ129" s="278">
        <v>78</v>
      </c>
      <c r="AK129" s="278">
        <v>125</v>
      </c>
      <c r="AL129" s="278">
        <f t="shared" si="249"/>
        <v>80</v>
      </c>
      <c r="AM129" s="278">
        <f t="shared" si="250"/>
        <v>195</v>
      </c>
      <c r="AN129" s="278">
        <f t="shared" si="251"/>
        <v>46</v>
      </c>
      <c r="AO129" s="278">
        <f t="shared" si="252"/>
        <v>19</v>
      </c>
      <c r="AP129" s="278">
        <f t="shared" si="253"/>
        <v>51</v>
      </c>
      <c r="AQ129" s="278">
        <f>SUM(V129:Y129)</f>
        <v>32</v>
      </c>
      <c r="AR129" s="279"/>
      <c r="BK129" s="278">
        <v>40</v>
      </c>
      <c r="BL129" s="278">
        <v>53</v>
      </c>
      <c r="BM129" s="278">
        <v>80</v>
      </c>
      <c r="BO129" s="278">
        <v>63</v>
      </c>
      <c r="BP129" s="278">
        <v>121</v>
      </c>
      <c r="BQ129" s="278">
        <v>195</v>
      </c>
      <c r="BS129" s="278">
        <v>21</v>
      </c>
      <c r="BT129" s="278">
        <v>36</v>
      </c>
      <c r="BU129" s="278">
        <v>46</v>
      </c>
      <c r="BW129" s="278">
        <v>1</v>
      </c>
      <c r="BX129" s="278">
        <v>6</v>
      </c>
      <c r="BY129" s="278">
        <v>19</v>
      </c>
      <c r="CA129" s="278">
        <v>18</v>
      </c>
      <c r="CB129" s="278">
        <v>46</v>
      </c>
      <c r="CC129" s="278">
        <v>51</v>
      </c>
      <c r="CE129" s="278">
        <v>9</v>
      </c>
      <c r="CF129" s="278">
        <v>23</v>
      </c>
      <c r="CG129" s="278">
        <v>32</v>
      </c>
      <c r="CI129" s="278">
        <v>33</v>
      </c>
      <c r="CJ129" s="278">
        <v>37</v>
      </c>
      <c r="CK129" s="278"/>
    </row>
    <row r="130" spans="1:89" outlineLevel="1" x14ac:dyDescent="0.3">
      <c r="A130" s="277" t="s">
        <v>147</v>
      </c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  <c r="AC130" s="278"/>
      <c r="AF130" s="278">
        <v>5</v>
      </c>
      <c r="AG130" s="278" t="s">
        <v>146</v>
      </c>
      <c r="AH130" s="278"/>
      <c r="AI130" s="278"/>
      <c r="AJ130" s="278"/>
      <c r="AK130" s="278"/>
      <c r="AL130" s="278">
        <f t="shared" si="249"/>
        <v>0</v>
      </c>
      <c r="AM130" s="278">
        <f t="shared" si="250"/>
        <v>0</v>
      </c>
      <c r="AN130" s="278">
        <f t="shared" si="251"/>
        <v>0</v>
      </c>
      <c r="AO130" s="278">
        <f t="shared" si="252"/>
        <v>0</v>
      </c>
      <c r="AP130" s="278">
        <f t="shared" si="253"/>
        <v>0</v>
      </c>
      <c r="AQ130" s="278">
        <f>SUM(V130:Y130)</f>
        <v>0</v>
      </c>
      <c r="AR130" s="279"/>
      <c r="BK130" s="278"/>
      <c r="BL130" s="278"/>
      <c r="BM130" s="278"/>
      <c r="BO130" s="278"/>
      <c r="BP130" s="278"/>
      <c r="BQ130" s="278"/>
      <c r="BS130" s="278"/>
      <c r="BT130" s="278"/>
      <c r="BU130" s="278"/>
      <c r="BW130" s="278"/>
      <c r="BX130" s="278"/>
      <c r="BY130" s="278"/>
      <c r="CA130" s="278"/>
      <c r="CB130" s="278"/>
      <c r="CC130" s="278"/>
      <c r="CE130" s="278"/>
      <c r="CF130" s="278"/>
      <c r="CG130" s="278"/>
      <c r="CI130" s="278"/>
      <c r="CJ130" s="278"/>
      <c r="CK130" s="278"/>
    </row>
    <row r="131" spans="1:89" outlineLevel="1" x14ac:dyDescent="0.3">
      <c r="A131" s="277" t="s">
        <v>234</v>
      </c>
      <c r="B131" s="278">
        <v>8</v>
      </c>
      <c r="C131" s="278">
        <f t="shared" ref="C131:C140" si="254">BK131-B131</f>
        <v>1</v>
      </c>
      <c r="D131" s="278">
        <f t="shared" ref="D131:E140" si="255">BL131-BK131</f>
        <v>265</v>
      </c>
      <c r="E131" s="278">
        <f t="shared" si="255"/>
        <v>1036</v>
      </c>
      <c r="F131" s="278">
        <v>387</v>
      </c>
      <c r="G131" s="278">
        <f t="shared" ref="G131:G140" si="256">BO131-F131</f>
        <v>795</v>
      </c>
      <c r="H131" s="278">
        <f t="shared" ref="H131:I140" si="257">BP131-BO131</f>
        <v>1160</v>
      </c>
      <c r="I131" s="278">
        <f t="shared" si="257"/>
        <v>1408</v>
      </c>
      <c r="J131" s="278">
        <v>1748</v>
      </c>
      <c r="K131" s="278">
        <f t="shared" ref="K131:K140" si="258">BS131-J131</f>
        <v>2945</v>
      </c>
      <c r="L131" s="278">
        <f t="shared" ref="L131:M140" si="259">BT131-BS131</f>
        <v>3409</v>
      </c>
      <c r="M131" s="278">
        <f t="shared" si="259"/>
        <v>4488</v>
      </c>
      <c r="N131" s="278">
        <v>3975</v>
      </c>
      <c r="O131" s="278">
        <f t="shared" ref="O131:O140" si="260">BW131-N131</f>
        <v>4260</v>
      </c>
      <c r="P131" s="278">
        <f t="shared" ref="P131:Q140" si="261">BX131-BW131</f>
        <v>3849</v>
      </c>
      <c r="Q131" s="278">
        <f t="shared" si="261"/>
        <v>4884</v>
      </c>
      <c r="R131" s="278">
        <v>4082</v>
      </c>
      <c r="S131" s="278">
        <f t="shared" ref="S131:S140" si="262">CA131-R131</f>
        <v>3684</v>
      </c>
      <c r="T131" s="278">
        <f t="shared" ref="T131:U140" si="263">CB131-CA131</f>
        <v>6811</v>
      </c>
      <c r="U131" s="278">
        <f t="shared" si="263"/>
        <v>1752</v>
      </c>
      <c r="V131" s="278">
        <v>3335</v>
      </c>
      <c r="W131" s="278">
        <f t="shared" ref="W131:W140" si="264">CE131-V131</f>
        <v>6068</v>
      </c>
      <c r="X131" s="278">
        <f t="shared" ref="X131:Y140" si="265">CF131-CE131</f>
        <v>5654</v>
      </c>
      <c r="Y131" s="278">
        <f t="shared" si="265"/>
        <v>5255</v>
      </c>
      <c r="Z131" s="278">
        <v>4338</v>
      </c>
      <c r="AA131" s="278">
        <f t="shared" ref="AA131:AA140" si="266">CI131-Z131</f>
        <v>3121</v>
      </c>
      <c r="AB131" s="278">
        <f t="shared" ref="AB131:AC140" si="267">CJ131-CI131</f>
        <v>3808</v>
      </c>
      <c r="AC131" s="278">
        <f t="shared" si="267"/>
        <v>-11267</v>
      </c>
      <c r="AF131" s="278">
        <v>0</v>
      </c>
      <c r="AG131" s="278">
        <v>0</v>
      </c>
      <c r="AH131" s="278">
        <v>0</v>
      </c>
      <c r="AI131" s="278">
        <v>12</v>
      </c>
      <c r="AJ131" s="278">
        <v>128</v>
      </c>
      <c r="AK131" s="278">
        <v>1320</v>
      </c>
      <c r="AL131" s="278">
        <f t="shared" si="249"/>
        <v>1310</v>
      </c>
      <c r="AM131" s="278">
        <f t="shared" si="250"/>
        <v>3750</v>
      </c>
      <c r="AN131" s="278">
        <f t="shared" si="251"/>
        <v>12590</v>
      </c>
      <c r="AO131" s="278">
        <f t="shared" si="252"/>
        <v>16968</v>
      </c>
      <c r="AP131" s="278">
        <f t="shared" si="253"/>
        <v>16329</v>
      </c>
      <c r="AQ131" s="278">
        <f t="shared" ref="AQ131:AQ141" si="268">SUM(V131:Y131)</f>
        <v>20312</v>
      </c>
      <c r="AR131" s="279"/>
      <c r="BK131" s="278">
        <v>9</v>
      </c>
      <c r="BL131" s="278">
        <v>274</v>
      </c>
      <c r="BM131" s="278">
        <v>1310</v>
      </c>
      <c r="BO131" s="278">
        <v>1182</v>
      </c>
      <c r="BP131" s="278">
        <v>2342</v>
      </c>
      <c r="BQ131" s="278">
        <v>3750</v>
      </c>
      <c r="BS131" s="278">
        <v>4693</v>
      </c>
      <c r="BT131" s="278">
        <v>8102</v>
      </c>
      <c r="BU131" s="278">
        <v>12590</v>
      </c>
      <c r="BW131" s="278">
        <v>8235</v>
      </c>
      <c r="BX131" s="278">
        <v>12084</v>
      </c>
      <c r="BY131" s="278">
        <v>16968</v>
      </c>
      <c r="CA131" s="278">
        <v>7766</v>
      </c>
      <c r="CB131" s="278">
        <v>14577</v>
      </c>
      <c r="CC131" s="278">
        <v>16329</v>
      </c>
      <c r="CE131" s="278">
        <v>9403</v>
      </c>
      <c r="CF131" s="278">
        <v>15057</v>
      </c>
      <c r="CG131" s="278">
        <v>20312</v>
      </c>
      <c r="CI131" s="278">
        <v>7459</v>
      </c>
      <c r="CJ131" s="278">
        <v>11267</v>
      </c>
      <c r="CK131" s="278"/>
    </row>
    <row r="132" spans="1:89" outlineLevel="1" x14ac:dyDescent="0.3">
      <c r="A132" s="277" t="s">
        <v>150</v>
      </c>
      <c r="B132" s="278">
        <v>2458</v>
      </c>
      <c r="C132" s="278">
        <f t="shared" si="254"/>
        <v>4659</v>
      </c>
      <c r="D132" s="278">
        <f t="shared" si="255"/>
        <v>3879</v>
      </c>
      <c r="E132" s="278">
        <f t="shared" si="255"/>
        <v>2466</v>
      </c>
      <c r="F132" s="278">
        <v>1057</v>
      </c>
      <c r="G132" s="278">
        <f t="shared" si="256"/>
        <v>2228</v>
      </c>
      <c r="H132" s="278">
        <f t="shared" si="257"/>
        <v>3562</v>
      </c>
      <c r="I132" s="278">
        <f t="shared" si="257"/>
        <v>4271</v>
      </c>
      <c r="J132" s="278">
        <v>3818</v>
      </c>
      <c r="K132" s="278">
        <f t="shared" si="258"/>
        <v>5477</v>
      </c>
      <c r="L132" s="278">
        <f t="shared" si="259"/>
        <v>6460</v>
      </c>
      <c r="M132" s="278">
        <f t="shared" si="259"/>
        <v>5602</v>
      </c>
      <c r="N132" s="278">
        <v>5494</v>
      </c>
      <c r="O132" s="278">
        <f t="shared" si="260"/>
        <v>6100</v>
      </c>
      <c r="P132" s="278">
        <f t="shared" si="261"/>
        <v>5859</v>
      </c>
      <c r="Q132" s="278">
        <f t="shared" si="261"/>
        <v>3366</v>
      </c>
      <c r="R132" s="278">
        <v>3537</v>
      </c>
      <c r="S132" s="278">
        <f t="shared" si="262"/>
        <v>4011</v>
      </c>
      <c r="T132" s="278">
        <f t="shared" si="263"/>
        <v>2665</v>
      </c>
      <c r="U132" s="278">
        <f t="shared" si="263"/>
        <v>2735</v>
      </c>
      <c r="V132" s="278">
        <v>4562</v>
      </c>
      <c r="W132" s="278">
        <f t="shared" si="264"/>
        <v>3887</v>
      </c>
      <c r="X132" s="278">
        <f t="shared" si="265"/>
        <v>5470</v>
      </c>
      <c r="Y132" s="278">
        <f t="shared" si="265"/>
        <v>3985</v>
      </c>
      <c r="Z132" s="278">
        <v>3539</v>
      </c>
      <c r="AA132" s="278">
        <f t="shared" si="266"/>
        <v>5315</v>
      </c>
      <c r="AB132" s="278">
        <f t="shared" si="267"/>
        <v>5030</v>
      </c>
      <c r="AC132" s="278">
        <f t="shared" si="267"/>
        <v>-13884</v>
      </c>
      <c r="AF132" s="278">
        <v>20057</v>
      </c>
      <c r="AG132" s="278">
        <v>20563</v>
      </c>
      <c r="AH132" s="278">
        <v>28758</v>
      </c>
      <c r="AI132" s="278">
        <v>25157</v>
      </c>
      <c r="AJ132" s="278">
        <v>18215</v>
      </c>
      <c r="AK132" s="278">
        <v>21595</v>
      </c>
      <c r="AL132" s="278">
        <f t="shared" si="249"/>
        <v>13462</v>
      </c>
      <c r="AM132" s="278">
        <f t="shared" si="250"/>
        <v>11118</v>
      </c>
      <c r="AN132" s="278">
        <f t="shared" si="251"/>
        <v>21357</v>
      </c>
      <c r="AO132" s="278">
        <f t="shared" si="252"/>
        <v>20819</v>
      </c>
      <c r="AP132" s="278">
        <f t="shared" si="253"/>
        <v>12948</v>
      </c>
      <c r="AQ132" s="278">
        <f t="shared" si="268"/>
        <v>17904</v>
      </c>
      <c r="AR132" s="279"/>
      <c r="BK132" s="278">
        <v>7117</v>
      </c>
      <c r="BL132" s="278">
        <v>10996</v>
      </c>
      <c r="BM132" s="278">
        <v>13462</v>
      </c>
      <c r="BO132" s="278">
        <v>3285</v>
      </c>
      <c r="BP132" s="278">
        <v>6847</v>
      </c>
      <c r="BQ132" s="278">
        <v>11118</v>
      </c>
      <c r="BS132" s="278">
        <v>9295</v>
      </c>
      <c r="BT132" s="278">
        <v>15755</v>
      </c>
      <c r="BU132" s="278">
        <v>21357</v>
      </c>
      <c r="BW132" s="278">
        <v>11594</v>
      </c>
      <c r="BX132" s="278">
        <v>17453</v>
      </c>
      <c r="BY132" s="278">
        <v>20819</v>
      </c>
      <c r="CA132" s="278">
        <v>7548</v>
      </c>
      <c r="CB132" s="278">
        <v>10213</v>
      </c>
      <c r="CC132" s="278">
        <v>12948</v>
      </c>
      <c r="CE132" s="278">
        <v>8449</v>
      </c>
      <c r="CF132" s="278">
        <v>13919</v>
      </c>
      <c r="CG132" s="278">
        <v>17904</v>
      </c>
      <c r="CI132" s="278">
        <v>8854</v>
      </c>
      <c r="CJ132" s="278">
        <v>13884</v>
      </c>
      <c r="CK132" s="278"/>
    </row>
    <row r="133" spans="1:89" outlineLevel="1" x14ac:dyDescent="0.3">
      <c r="A133" s="277" t="s">
        <v>152</v>
      </c>
      <c r="B133" s="278">
        <v>1019</v>
      </c>
      <c r="C133" s="278">
        <f t="shared" si="254"/>
        <v>289</v>
      </c>
      <c r="D133" s="278">
        <f t="shared" si="255"/>
        <v>318</v>
      </c>
      <c r="E133" s="278">
        <f t="shared" si="255"/>
        <v>251</v>
      </c>
      <c r="F133" s="278">
        <v>162</v>
      </c>
      <c r="G133" s="278">
        <f t="shared" si="256"/>
        <v>372</v>
      </c>
      <c r="H133" s="278">
        <f t="shared" si="257"/>
        <v>256</v>
      </c>
      <c r="I133" s="278">
        <f t="shared" si="257"/>
        <v>411</v>
      </c>
      <c r="J133" s="278">
        <v>463</v>
      </c>
      <c r="K133" s="278">
        <f t="shared" si="258"/>
        <v>842</v>
      </c>
      <c r="L133" s="278">
        <f t="shared" si="259"/>
        <v>653</v>
      </c>
      <c r="M133" s="278">
        <f t="shared" si="259"/>
        <v>748</v>
      </c>
      <c r="N133" s="278">
        <v>450</v>
      </c>
      <c r="O133" s="278">
        <f t="shared" si="260"/>
        <v>1112</v>
      </c>
      <c r="P133" s="278">
        <f t="shared" si="261"/>
        <v>981</v>
      </c>
      <c r="Q133" s="278">
        <f t="shared" si="261"/>
        <v>1351</v>
      </c>
      <c r="R133" s="278">
        <v>361</v>
      </c>
      <c r="S133" s="278">
        <f t="shared" si="262"/>
        <v>635</v>
      </c>
      <c r="T133" s="278">
        <f t="shared" si="263"/>
        <v>545</v>
      </c>
      <c r="U133" s="278">
        <f t="shared" si="263"/>
        <v>814</v>
      </c>
      <c r="V133" s="278">
        <v>598</v>
      </c>
      <c r="W133" s="278">
        <f t="shared" si="264"/>
        <v>615</v>
      </c>
      <c r="X133" s="278">
        <f t="shared" si="265"/>
        <v>641</v>
      </c>
      <c r="Y133" s="278">
        <f t="shared" si="265"/>
        <v>650</v>
      </c>
      <c r="Z133" s="278">
        <v>791</v>
      </c>
      <c r="AA133" s="278">
        <f t="shared" si="266"/>
        <v>905</v>
      </c>
      <c r="AB133" s="278">
        <f t="shared" si="267"/>
        <v>626</v>
      </c>
      <c r="AC133" s="278">
        <f t="shared" si="267"/>
        <v>-2322</v>
      </c>
      <c r="AF133" s="278"/>
      <c r="AG133" s="278"/>
      <c r="AH133" s="278">
        <v>2</v>
      </c>
      <c r="AI133" s="278">
        <v>2023</v>
      </c>
      <c r="AJ133" s="278">
        <v>2171</v>
      </c>
      <c r="AK133" s="278">
        <v>2251</v>
      </c>
      <c r="AL133" s="278">
        <f t="shared" si="249"/>
        <v>1877</v>
      </c>
      <c r="AM133" s="278">
        <f t="shared" si="250"/>
        <v>1201</v>
      </c>
      <c r="AN133" s="278">
        <f t="shared" si="251"/>
        <v>2706</v>
      </c>
      <c r="AO133" s="278">
        <f t="shared" si="252"/>
        <v>3894</v>
      </c>
      <c r="AP133" s="278">
        <f t="shared" si="253"/>
        <v>2355</v>
      </c>
      <c r="AQ133" s="278">
        <f t="shared" si="268"/>
        <v>2504</v>
      </c>
      <c r="AR133" s="279"/>
      <c r="BK133" s="278">
        <v>1308</v>
      </c>
      <c r="BL133" s="278">
        <v>1626</v>
      </c>
      <c r="BM133" s="278">
        <v>1877</v>
      </c>
      <c r="BO133" s="278">
        <v>534</v>
      </c>
      <c r="BP133" s="278">
        <v>790</v>
      </c>
      <c r="BQ133" s="278">
        <v>1201</v>
      </c>
      <c r="BS133" s="278">
        <v>1305</v>
      </c>
      <c r="BT133" s="278">
        <v>1958</v>
      </c>
      <c r="BU133" s="278">
        <v>2706</v>
      </c>
      <c r="BW133" s="278">
        <v>1562</v>
      </c>
      <c r="BX133" s="278">
        <v>2543</v>
      </c>
      <c r="BY133" s="278">
        <v>3894</v>
      </c>
      <c r="CA133" s="278">
        <v>996</v>
      </c>
      <c r="CB133" s="278">
        <v>1541</v>
      </c>
      <c r="CC133" s="278">
        <v>2355</v>
      </c>
      <c r="CE133" s="278">
        <v>1213</v>
      </c>
      <c r="CF133" s="278">
        <v>1854</v>
      </c>
      <c r="CG133" s="278">
        <v>2504</v>
      </c>
      <c r="CI133" s="278">
        <v>1696</v>
      </c>
      <c r="CJ133" s="278">
        <v>2322</v>
      </c>
      <c r="CK133" s="278"/>
    </row>
    <row r="134" spans="1:89" outlineLevel="1" x14ac:dyDescent="0.3">
      <c r="A134" s="277" t="s">
        <v>122</v>
      </c>
      <c r="B134" s="278">
        <v>25</v>
      </c>
      <c r="C134" s="278">
        <f t="shared" si="254"/>
        <v>8</v>
      </c>
      <c r="D134" s="278">
        <f t="shared" si="255"/>
        <v>3</v>
      </c>
      <c r="E134" s="278">
        <f t="shared" si="255"/>
        <v>0</v>
      </c>
      <c r="F134" s="278">
        <v>0</v>
      </c>
      <c r="G134" s="278">
        <f t="shared" si="256"/>
        <v>30</v>
      </c>
      <c r="H134" s="278">
        <f t="shared" si="257"/>
        <v>0</v>
      </c>
      <c r="I134" s="278">
        <f t="shared" si="257"/>
        <v>0</v>
      </c>
      <c r="J134" s="278"/>
      <c r="K134" s="278">
        <f t="shared" si="258"/>
        <v>0</v>
      </c>
      <c r="L134" s="278">
        <f t="shared" si="259"/>
        <v>0</v>
      </c>
      <c r="M134" s="278">
        <f t="shared" si="259"/>
        <v>0</v>
      </c>
      <c r="N134" s="278"/>
      <c r="O134" s="278">
        <f t="shared" si="260"/>
        <v>0</v>
      </c>
      <c r="P134" s="278">
        <f t="shared" si="261"/>
        <v>0</v>
      </c>
      <c r="Q134" s="278">
        <f t="shared" si="261"/>
        <v>0</v>
      </c>
      <c r="R134" s="278"/>
      <c r="S134" s="278">
        <f t="shared" si="262"/>
        <v>0</v>
      </c>
      <c r="T134" s="278">
        <f t="shared" si="263"/>
        <v>0</v>
      </c>
      <c r="U134" s="278">
        <f t="shared" si="263"/>
        <v>0</v>
      </c>
      <c r="V134" s="278"/>
      <c r="W134" s="278">
        <f t="shared" si="264"/>
        <v>0</v>
      </c>
      <c r="X134" s="278">
        <f t="shared" si="265"/>
        <v>0</v>
      </c>
      <c r="Y134" s="278">
        <f t="shared" si="265"/>
        <v>0</v>
      </c>
      <c r="Z134" s="278">
        <v>0</v>
      </c>
      <c r="AA134" s="278">
        <f t="shared" si="266"/>
        <v>0</v>
      </c>
      <c r="AB134" s="278">
        <f t="shared" si="267"/>
        <v>0</v>
      </c>
      <c r="AC134" s="278">
        <f t="shared" si="267"/>
        <v>0</v>
      </c>
      <c r="AF134" s="278">
        <v>4</v>
      </c>
      <c r="AG134" s="278">
        <v>7</v>
      </c>
      <c r="AH134" s="278">
        <v>55</v>
      </c>
      <c r="AI134" s="278">
        <v>50</v>
      </c>
      <c r="AJ134" s="278">
        <v>197</v>
      </c>
      <c r="AK134" s="278">
        <v>21</v>
      </c>
      <c r="AL134" s="278">
        <f t="shared" si="249"/>
        <v>36</v>
      </c>
      <c r="AM134" s="278">
        <f t="shared" si="250"/>
        <v>30</v>
      </c>
      <c r="AN134" s="278">
        <f t="shared" si="251"/>
        <v>0</v>
      </c>
      <c r="AO134" s="278">
        <f t="shared" si="252"/>
        <v>0</v>
      </c>
      <c r="AP134" s="278">
        <f t="shared" si="253"/>
        <v>0</v>
      </c>
      <c r="AQ134" s="278">
        <f t="shared" si="268"/>
        <v>0</v>
      </c>
      <c r="AR134" s="279"/>
      <c r="BK134" s="278">
        <v>33</v>
      </c>
      <c r="BL134" s="278">
        <v>36</v>
      </c>
      <c r="BM134" s="278">
        <v>36</v>
      </c>
      <c r="BO134" s="278">
        <v>30</v>
      </c>
      <c r="BP134" s="278">
        <v>30</v>
      </c>
      <c r="BQ134" s="278">
        <v>30</v>
      </c>
      <c r="BS134" s="278"/>
      <c r="BT134" s="278"/>
      <c r="BU134" s="278"/>
      <c r="BW134" s="278"/>
      <c r="BX134" s="278"/>
      <c r="BY134" s="278"/>
      <c r="CA134" s="278"/>
      <c r="CB134" s="278"/>
      <c r="CC134" s="278"/>
      <c r="CE134" s="278"/>
      <c r="CF134" s="278"/>
      <c r="CG134" s="278"/>
      <c r="CI134" s="278"/>
      <c r="CJ134" s="278"/>
      <c r="CK134" s="278"/>
    </row>
    <row r="135" spans="1:89" outlineLevel="1" x14ac:dyDescent="0.3">
      <c r="A135" s="277" t="s">
        <v>188</v>
      </c>
      <c r="B135" s="278"/>
      <c r="C135" s="278">
        <f t="shared" si="254"/>
        <v>0</v>
      </c>
      <c r="D135" s="278">
        <f t="shared" si="255"/>
        <v>0</v>
      </c>
      <c r="E135" s="278">
        <f t="shared" si="255"/>
        <v>0</v>
      </c>
      <c r="F135" s="278"/>
      <c r="G135" s="278">
        <f t="shared" si="256"/>
        <v>0</v>
      </c>
      <c r="H135" s="278">
        <f t="shared" si="257"/>
        <v>0</v>
      </c>
      <c r="I135" s="278">
        <f t="shared" si="257"/>
        <v>0</v>
      </c>
      <c r="J135" s="278"/>
      <c r="K135" s="278">
        <f t="shared" si="258"/>
        <v>0</v>
      </c>
      <c r="L135" s="278">
        <f t="shared" si="259"/>
        <v>0</v>
      </c>
      <c r="M135" s="278">
        <f t="shared" si="259"/>
        <v>0</v>
      </c>
      <c r="N135" s="278"/>
      <c r="O135" s="278">
        <f t="shared" si="260"/>
        <v>0</v>
      </c>
      <c r="P135" s="278">
        <f t="shared" si="261"/>
        <v>0</v>
      </c>
      <c r="Q135" s="278">
        <f t="shared" si="261"/>
        <v>0</v>
      </c>
      <c r="R135" s="278">
        <v>0</v>
      </c>
      <c r="S135" s="278">
        <f t="shared" si="262"/>
        <v>0</v>
      </c>
      <c r="T135" s="278">
        <f t="shared" si="263"/>
        <v>0</v>
      </c>
      <c r="U135" s="278">
        <f t="shared" si="263"/>
        <v>0</v>
      </c>
      <c r="V135" s="278">
        <v>0</v>
      </c>
      <c r="W135" s="278">
        <f t="shared" si="264"/>
        <v>0</v>
      </c>
      <c r="X135" s="278">
        <f t="shared" si="265"/>
        <v>0</v>
      </c>
      <c r="Y135" s="278">
        <f t="shared" si="265"/>
        <v>0</v>
      </c>
      <c r="Z135" s="278">
        <v>0</v>
      </c>
      <c r="AA135" s="278">
        <f t="shared" si="266"/>
        <v>0</v>
      </c>
      <c r="AB135" s="278">
        <f t="shared" si="267"/>
        <v>0</v>
      </c>
      <c r="AC135" s="278">
        <f t="shared" si="267"/>
        <v>0</v>
      </c>
      <c r="AF135" s="278"/>
      <c r="AG135" s="278"/>
      <c r="AH135" s="278"/>
      <c r="AI135" s="278"/>
      <c r="AJ135" s="278"/>
      <c r="AK135" s="278"/>
      <c r="AL135" s="278">
        <f t="shared" si="249"/>
        <v>0</v>
      </c>
      <c r="AM135" s="278">
        <f t="shared" si="250"/>
        <v>0</v>
      </c>
      <c r="AN135" s="278">
        <f t="shared" si="251"/>
        <v>0</v>
      </c>
      <c r="AO135" s="278">
        <f t="shared" si="252"/>
        <v>0</v>
      </c>
      <c r="AP135" s="278">
        <f t="shared" si="253"/>
        <v>0</v>
      </c>
      <c r="AQ135" s="278">
        <f t="shared" si="268"/>
        <v>0</v>
      </c>
      <c r="AR135" s="279"/>
      <c r="BK135" s="278"/>
      <c r="BL135" s="278"/>
      <c r="BM135" s="278"/>
      <c r="BO135" s="278"/>
      <c r="BP135" s="278"/>
      <c r="BQ135" s="278"/>
      <c r="BS135" s="278"/>
      <c r="BT135" s="278"/>
      <c r="BU135" s="278"/>
      <c r="BW135" s="278"/>
      <c r="BX135" s="278"/>
      <c r="BY135" s="278"/>
      <c r="CA135" s="278">
        <v>0</v>
      </c>
      <c r="CB135" s="278">
        <v>0</v>
      </c>
      <c r="CC135" s="278"/>
      <c r="CE135" s="278">
        <v>0</v>
      </c>
      <c r="CF135" s="278">
        <v>0</v>
      </c>
      <c r="CG135" s="278">
        <v>0</v>
      </c>
      <c r="CI135" s="278"/>
      <c r="CJ135" s="278"/>
      <c r="CK135" s="278"/>
    </row>
    <row r="136" spans="1:89" outlineLevel="1" x14ac:dyDescent="0.3">
      <c r="A136" s="277" t="s">
        <v>220</v>
      </c>
      <c r="B136" s="278">
        <v>66</v>
      </c>
      <c r="C136" s="278">
        <f t="shared" si="254"/>
        <v>52</v>
      </c>
      <c r="D136" s="278">
        <f t="shared" si="255"/>
        <v>69</v>
      </c>
      <c r="E136" s="278">
        <f t="shared" si="255"/>
        <v>68</v>
      </c>
      <c r="F136" s="278">
        <v>2</v>
      </c>
      <c r="G136" s="278">
        <f t="shared" si="256"/>
        <v>60</v>
      </c>
      <c r="H136" s="278">
        <f t="shared" si="257"/>
        <v>80</v>
      </c>
      <c r="I136" s="278">
        <f t="shared" si="257"/>
        <v>52</v>
      </c>
      <c r="J136" s="278">
        <v>9</v>
      </c>
      <c r="K136" s="278">
        <f t="shared" si="258"/>
        <v>91</v>
      </c>
      <c r="L136" s="278">
        <f t="shared" si="259"/>
        <v>138</v>
      </c>
      <c r="M136" s="278">
        <f t="shared" si="259"/>
        <v>142</v>
      </c>
      <c r="N136" s="278">
        <v>45</v>
      </c>
      <c r="O136" s="278">
        <f t="shared" si="260"/>
        <v>4</v>
      </c>
      <c r="P136" s="278">
        <f t="shared" si="261"/>
        <v>63</v>
      </c>
      <c r="Q136" s="278">
        <f t="shared" si="261"/>
        <v>20</v>
      </c>
      <c r="R136" s="278">
        <v>0</v>
      </c>
      <c r="S136" s="278">
        <f t="shared" si="262"/>
        <v>5</v>
      </c>
      <c r="T136" s="278">
        <f t="shared" si="263"/>
        <v>0</v>
      </c>
      <c r="U136" s="278">
        <f t="shared" si="263"/>
        <v>35</v>
      </c>
      <c r="V136" s="278">
        <v>0</v>
      </c>
      <c r="W136" s="278">
        <f t="shared" si="264"/>
        <v>20</v>
      </c>
      <c r="X136" s="278">
        <f t="shared" si="265"/>
        <v>21</v>
      </c>
      <c r="Y136" s="278">
        <f t="shared" si="265"/>
        <v>31</v>
      </c>
      <c r="Z136" s="278">
        <v>42</v>
      </c>
      <c r="AA136" s="278">
        <f t="shared" si="266"/>
        <v>73</v>
      </c>
      <c r="AB136" s="278">
        <f t="shared" si="267"/>
        <v>0</v>
      </c>
      <c r="AC136" s="278">
        <f t="shared" si="267"/>
        <v>-115</v>
      </c>
      <c r="AF136" s="278">
        <v>114</v>
      </c>
      <c r="AG136" s="278">
        <v>165</v>
      </c>
      <c r="AH136" s="278">
        <v>283</v>
      </c>
      <c r="AI136" s="278">
        <v>332</v>
      </c>
      <c r="AJ136" s="278">
        <v>289</v>
      </c>
      <c r="AK136" s="278">
        <v>233</v>
      </c>
      <c r="AL136" s="278">
        <f t="shared" si="249"/>
        <v>255</v>
      </c>
      <c r="AM136" s="278">
        <f t="shared" si="250"/>
        <v>194</v>
      </c>
      <c r="AN136" s="278">
        <f t="shared" si="251"/>
        <v>380</v>
      </c>
      <c r="AO136" s="278">
        <f t="shared" si="252"/>
        <v>132</v>
      </c>
      <c r="AP136" s="278">
        <f t="shared" si="253"/>
        <v>40</v>
      </c>
      <c r="AQ136" s="278">
        <f t="shared" si="268"/>
        <v>72</v>
      </c>
      <c r="AR136" s="279"/>
      <c r="BK136" s="278">
        <v>118</v>
      </c>
      <c r="BL136" s="278">
        <v>187</v>
      </c>
      <c r="BM136" s="278">
        <v>255</v>
      </c>
      <c r="BO136" s="278">
        <v>62</v>
      </c>
      <c r="BP136" s="278">
        <v>142</v>
      </c>
      <c r="BQ136" s="278">
        <v>194</v>
      </c>
      <c r="BS136" s="278">
        <v>100</v>
      </c>
      <c r="BT136" s="278">
        <v>238</v>
      </c>
      <c r="BU136" s="278">
        <v>380</v>
      </c>
      <c r="BW136" s="278">
        <v>49</v>
      </c>
      <c r="BX136" s="278">
        <v>112</v>
      </c>
      <c r="BY136" s="278">
        <v>132</v>
      </c>
      <c r="CA136" s="278">
        <v>5</v>
      </c>
      <c r="CB136" s="278">
        <v>5</v>
      </c>
      <c r="CC136" s="278">
        <v>40</v>
      </c>
      <c r="CE136" s="278">
        <v>20</v>
      </c>
      <c r="CF136" s="278">
        <v>41</v>
      </c>
      <c r="CG136" s="278">
        <v>72</v>
      </c>
      <c r="CI136" s="278">
        <v>115</v>
      </c>
      <c r="CJ136" s="278">
        <v>115</v>
      </c>
      <c r="CK136" s="278"/>
    </row>
    <row r="137" spans="1:89" outlineLevel="1" x14ac:dyDescent="0.3">
      <c r="A137" s="290" t="s">
        <v>221</v>
      </c>
      <c r="B137" s="278"/>
      <c r="C137" s="278">
        <f t="shared" si="254"/>
        <v>0</v>
      </c>
      <c r="D137" s="278">
        <f t="shared" si="255"/>
        <v>0</v>
      </c>
      <c r="E137" s="278">
        <f t="shared" si="255"/>
        <v>0</v>
      </c>
      <c r="F137" s="278"/>
      <c r="G137" s="278">
        <f t="shared" si="256"/>
        <v>0</v>
      </c>
      <c r="H137" s="278">
        <f t="shared" si="257"/>
        <v>0</v>
      </c>
      <c r="I137" s="278">
        <f t="shared" si="257"/>
        <v>0</v>
      </c>
      <c r="J137" s="278"/>
      <c r="K137" s="278">
        <f t="shared" si="258"/>
        <v>0</v>
      </c>
      <c r="L137" s="278">
        <f t="shared" si="259"/>
        <v>0</v>
      </c>
      <c r="M137" s="278">
        <f t="shared" si="259"/>
        <v>0</v>
      </c>
      <c r="N137" s="278"/>
      <c r="O137" s="278">
        <f t="shared" si="260"/>
        <v>0</v>
      </c>
      <c r="P137" s="278">
        <f t="shared" si="261"/>
        <v>0</v>
      </c>
      <c r="Q137" s="278">
        <f t="shared" si="261"/>
        <v>0</v>
      </c>
      <c r="R137" s="278"/>
      <c r="S137" s="278">
        <f t="shared" si="262"/>
        <v>0</v>
      </c>
      <c r="T137" s="278">
        <f t="shared" si="263"/>
        <v>0</v>
      </c>
      <c r="U137" s="278">
        <f t="shared" si="263"/>
        <v>0</v>
      </c>
      <c r="V137" s="278"/>
      <c r="W137" s="278">
        <f t="shared" si="264"/>
        <v>6</v>
      </c>
      <c r="X137" s="278">
        <f t="shared" si="265"/>
        <v>-6</v>
      </c>
      <c r="Y137" s="278">
        <f t="shared" si="265"/>
        <v>0</v>
      </c>
      <c r="Z137" s="278"/>
      <c r="AA137" s="278">
        <f t="shared" si="266"/>
        <v>1</v>
      </c>
      <c r="AB137" s="278">
        <f t="shared" si="267"/>
        <v>1</v>
      </c>
      <c r="AC137" s="278">
        <f t="shared" si="267"/>
        <v>-2</v>
      </c>
      <c r="AF137" s="278"/>
      <c r="AG137" s="278"/>
      <c r="AH137" s="278"/>
      <c r="AI137" s="278"/>
      <c r="AJ137" s="278"/>
      <c r="AK137" s="278"/>
      <c r="AL137" s="278">
        <f t="shared" si="249"/>
        <v>0</v>
      </c>
      <c r="AM137" s="278">
        <f t="shared" si="250"/>
        <v>0</v>
      </c>
      <c r="AN137" s="278">
        <f t="shared" si="251"/>
        <v>0</v>
      </c>
      <c r="AO137" s="278">
        <f t="shared" si="252"/>
        <v>0</v>
      </c>
      <c r="AP137" s="278">
        <f t="shared" si="253"/>
        <v>0</v>
      </c>
      <c r="AQ137" s="278">
        <f t="shared" si="268"/>
        <v>0</v>
      </c>
      <c r="AR137" s="279"/>
      <c r="BK137" s="278"/>
      <c r="BL137" s="278"/>
      <c r="BM137" s="278"/>
      <c r="BO137" s="278"/>
      <c r="BP137" s="278"/>
      <c r="BQ137" s="278"/>
      <c r="BS137" s="278"/>
      <c r="BT137" s="278"/>
      <c r="BU137" s="278"/>
      <c r="BW137" s="278"/>
      <c r="BX137" s="278"/>
      <c r="BY137" s="278"/>
      <c r="CA137" s="278"/>
      <c r="CB137" s="278"/>
      <c r="CC137" s="278"/>
      <c r="CE137" s="278">
        <v>6</v>
      </c>
      <c r="CF137" s="278"/>
      <c r="CG137" s="278"/>
      <c r="CI137" s="278">
        <v>1</v>
      </c>
      <c r="CJ137" s="278">
        <v>2</v>
      </c>
      <c r="CK137" s="278"/>
    </row>
    <row r="138" spans="1:89" outlineLevel="1" x14ac:dyDescent="0.3">
      <c r="A138" s="277" t="s">
        <v>157</v>
      </c>
      <c r="B138" s="278">
        <v>2323</v>
      </c>
      <c r="C138" s="278">
        <f t="shared" si="254"/>
        <v>5406</v>
      </c>
      <c r="D138" s="278">
        <f t="shared" si="255"/>
        <v>3749</v>
      </c>
      <c r="E138" s="278">
        <f t="shared" si="255"/>
        <v>3051</v>
      </c>
      <c r="F138" s="278">
        <v>533</v>
      </c>
      <c r="G138" s="278">
        <f t="shared" si="256"/>
        <v>1914</v>
      </c>
      <c r="H138" s="278">
        <f t="shared" si="257"/>
        <v>4532</v>
      </c>
      <c r="I138" s="278">
        <f t="shared" si="257"/>
        <v>4341</v>
      </c>
      <c r="J138" s="278">
        <v>3187</v>
      </c>
      <c r="K138" s="278">
        <f t="shared" si="258"/>
        <v>4085</v>
      </c>
      <c r="L138" s="278">
        <f t="shared" si="259"/>
        <v>5200</v>
      </c>
      <c r="M138" s="278">
        <f t="shared" si="259"/>
        <v>4800</v>
      </c>
      <c r="N138" s="278">
        <v>2699</v>
      </c>
      <c r="O138" s="278">
        <f t="shared" si="260"/>
        <v>3976</v>
      </c>
      <c r="P138" s="278">
        <f t="shared" si="261"/>
        <v>2000</v>
      </c>
      <c r="Q138" s="278">
        <f t="shared" si="261"/>
        <v>2257</v>
      </c>
      <c r="R138" s="278">
        <v>1989</v>
      </c>
      <c r="S138" s="278">
        <f t="shared" si="262"/>
        <v>2584</v>
      </c>
      <c r="T138" s="278">
        <f t="shared" si="263"/>
        <v>2146</v>
      </c>
      <c r="U138" s="278">
        <f t="shared" si="263"/>
        <v>2251</v>
      </c>
      <c r="V138" s="278">
        <v>1372</v>
      </c>
      <c r="W138" s="278">
        <f t="shared" si="264"/>
        <v>1541</v>
      </c>
      <c r="X138" s="278">
        <f t="shared" si="265"/>
        <v>1969</v>
      </c>
      <c r="Y138" s="278">
        <f t="shared" si="265"/>
        <v>2656</v>
      </c>
      <c r="Z138" s="278">
        <v>2368</v>
      </c>
      <c r="AA138" s="278">
        <f t="shared" si="266"/>
        <v>3138</v>
      </c>
      <c r="AB138" s="278">
        <f t="shared" si="267"/>
        <v>3074</v>
      </c>
      <c r="AC138" s="278">
        <f t="shared" si="267"/>
        <v>-8580</v>
      </c>
      <c r="AF138" s="278">
        <v>29000</v>
      </c>
      <c r="AG138" s="278">
        <v>27910</v>
      </c>
      <c r="AH138" s="278">
        <v>31580</v>
      </c>
      <c r="AI138" s="278">
        <v>29999</v>
      </c>
      <c r="AJ138" s="278">
        <v>24543</v>
      </c>
      <c r="AK138" s="278">
        <v>18587</v>
      </c>
      <c r="AL138" s="278">
        <f t="shared" si="249"/>
        <v>14529</v>
      </c>
      <c r="AM138" s="278">
        <f t="shared" si="250"/>
        <v>11320</v>
      </c>
      <c r="AN138" s="278">
        <f t="shared" si="251"/>
        <v>17272</v>
      </c>
      <c r="AO138" s="278">
        <f t="shared" si="252"/>
        <v>10932</v>
      </c>
      <c r="AP138" s="278">
        <f t="shared" si="253"/>
        <v>8970</v>
      </c>
      <c r="AQ138" s="278">
        <f t="shared" si="268"/>
        <v>7538</v>
      </c>
      <c r="AR138" s="279"/>
      <c r="BK138" s="278">
        <v>7729</v>
      </c>
      <c r="BL138" s="278">
        <v>11478</v>
      </c>
      <c r="BM138" s="278">
        <v>14529</v>
      </c>
      <c r="BO138" s="278">
        <v>2447</v>
      </c>
      <c r="BP138" s="278">
        <v>6979</v>
      </c>
      <c r="BQ138" s="278">
        <v>11320</v>
      </c>
      <c r="BS138" s="278">
        <v>7272</v>
      </c>
      <c r="BT138" s="278">
        <v>12472</v>
      </c>
      <c r="BU138" s="278">
        <v>17272</v>
      </c>
      <c r="BW138" s="278">
        <v>6675</v>
      </c>
      <c r="BX138" s="278">
        <v>8675</v>
      </c>
      <c r="BY138" s="278">
        <v>10932</v>
      </c>
      <c r="CA138" s="278">
        <v>4573</v>
      </c>
      <c r="CB138" s="278">
        <v>6719</v>
      </c>
      <c r="CC138" s="278">
        <v>8970</v>
      </c>
      <c r="CE138" s="278">
        <v>2913</v>
      </c>
      <c r="CF138" s="278">
        <v>4882</v>
      </c>
      <c r="CG138" s="278">
        <v>7538</v>
      </c>
      <c r="CI138" s="278">
        <v>5506</v>
      </c>
      <c r="CJ138" s="278">
        <v>8580</v>
      </c>
      <c r="CK138" s="278"/>
    </row>
    <row r="139" spans="1:89" outlineLevel="1" x14ac:dyDescent="0.3">
      <c r="A139" s="277" t="s">
        <v>158</v>
      </c>
      <c r="B139" s="278"/>
      <c r="C139" s="278">
        <f t="shared" si="254"/>
        <v>0</v>
      </c>
      <c r="D139" s="278">
        <f t="shared" si="255"/>
        <v>0</v>
      </c>
      <c r="E139" s="278">
        <f t="shared" si="255"/>
        <v>0</v>
      </c>
      <c r="F139" s="278"/>
      <c r="G139" s="278">
        <f t="shared" si="256"/>
        <v>0</v>
      </c>
      <c r="H139" s="278">
        <f t="shared" si="257"/>
        <v>0</v>
      </c>
      <c r="I139" s="278">
        <f t="shared" si="257"/>
        <v>0</v>
      </c>
      <c r="J139" s="278">
        <v>0</v>
      </c>
      <c r="K139" s="278">
        <f t="shared" si="258"/>
        <v>0</v>
      </c>
      <c r="L139" s="278">
        <f t="shared" si="259"/>
        <v>0</v>
      </c>
      <c r="M139" s="278">
        <f t="shared" si="259"/>
        <v>0</v>
      </c>
      <c r="N139" s="278">
        <v>0</v>
      </c>
      <c r="O139" s="278">
        <f t="shared" si="260"/>
        <v>0</v>
      </c>
      <c r="P139" s="278">
        <f t="shared" si="261"/>
        <v>0</v>
      </c>
      <c r="Q139" s="278">
        <f t="shared" si="261"/>
        <v>0</v>
      </c>
      <c r="R139" s="278">
        <v>0</v>
      </c>
      <c r="S139" s="278">
        <f t="shared" si="262"/>
        <v>0</v>
      </c>
      <c r="T139" s="278">
        <f t="shared" si="263"/>
        <v>0</v>
      </c>
      <c r="U139" s="278">
        <f t="shared" si="263"/>
        <v>0</v>
      </c>
      <c r="V139" s="278">
        <v>0</v>
      </c>
      <c r="W139" s="278">
        <f t="shared" si="264"/>
        <v>0</v>
      </c>
      <c r="X139" s="278">
        <f t="shared" si="265"/>
        <v>0</v>
      </c>
      <c r="Y139" s="278">
        <f t="shared" si="265"/>
        <v>0</v>
      </c>
      <c r="Z139" s="278"/>
      <c r="AA139" s="278">
        <f t="shared" si="266"/>
        <v>0</v>
      </c>
      <c r="AB139" s="278">
        <f t="shared" si="267"/>
        <v>0</v>
      </c>
      <c r="AC139" s="278">
        <f t="shared" si="267"/>
        <v>0</v>
      </c>
      <c r="AF139" s="278"/>
      <c r="AG139" s="278"/>
      <c r="AH139" s="278"/>
      <c r="AI139" s="278"/>
      <c r="AJ139" s="278"/>
      <c r="AK139" s="278"/>
      <c r="AL139" s="278">
        <f t="shared" si="249"/>
        <v>0</v>
      </c>
      <c r="AM139" s="278">
        <f t="shared" si="250"/>
        <v>0</v>
      </c>
      <c r="AN139" s="278">
        <f t="shared" si="251"/>
        <v>0</v>
      </c>
      <c r="AO139" s="278">
        <f t="shared" si="252"/>
        <v>0</v>
      </c>
      <c r="AP139" s="278">
        <f t="shared" si="253"/>
        <v>0</v>
      </c>
      <c r="AQ139" s="278">
        <f t="shared" si="268"/>
        <v>0</v>
      </c>
      <c r="AR139" s="279"/>
      <c r="BK139" s="278"/>
      <c r="BL139" s="278"/>
      <c r="BM139" s="278"/>
      <c r="BO139" s="278"/>
      <c r="BP139" s="278"/>
      <c r="BQ139" s="278"/>
      <c r="BS139" s="278">
        <v>0</v>
      </c>
      <c r="BT139" s="278">
        <v>0</v>
      </c>
      <c r="BU139" s="278">
        <v>0</v>
      </c>
      <c r="BW139" s="278">
        <v>0</v>
      </c>
      <c r="BX139" s="278">
        <v>0</v>
      </c>
      <c r="BY139" s="278">
        <v>0</v>
      </c>
      <c r="CA139" s="278">
        <v>0</v>
      </c>
      <c r="CB139" s="278">
        <v>0</v>
      </c>
      <c r="CC139" s="278">
        <v>0</v>
      </c>
      <c r="CE139" s="278">
        <v>0</v>
      </c>
      <c r="CF139" s="278">
        <v>0</v>
      </c>
      <c r="CG139" s="278"/>
      <c r="CI139" s="278"/>
      <c r="CJ139" s="278"/>
      <c r="CK139" s="278"/>
    </row>
    <row r="140" spans="1:89" outlineLevel="1" x14ac:dyDescent="0.3">
      <c r="A140" s="277" t="s">
        <v>222</v>
      </c>
      <c r="B140" s="278">
        <v>172</v>
      </c>
      <c r="C140" s="278">
        <f t="shared" si="254"/>
        <v>137</v>
      </c>
      <c r="D140" s="278">
        <f t="shared" si="255"/>
        <v>151</v>
      </c>
      <c r="E140" s="278">
        <f t="shared" si="255"/>
        <v>193</v>
      </c>
      <c r="F140" s="278">
        <v>174</v>
      </c>
      <c r="G140" s="278">
        <f t="shared" si="256"/>
        <v>447</v>
      </c>
      <c r="H140" s="278">
        <f t="shared" si="257"/>
        <v>325</v>
      </c>
      <c r="I140" s="278">
        <f t="shared" si="257"/>
        <v>322</v>
      </c>
      <c r="J140" s="278">
        <v>321</v>
      </c>
      <c r="K140" s="278">
        <f t="shared" si="258"/>
        <v>507</v>
      </c>
      <c r="L140" s="278">
        <f t="shared" si="259"/>
        <v>475</v>
      </c>
      <c r="M140" s="278">
        <f t="shared" si="259"/>
        <v>519</v>
      </c>
      <c r="N140" s="278">
        <v>351</v>
      </c>
      <c r="O140" s="278">
        <f t="shared" si="260"/>
        <v>214</v>
      </c>
      <c r="P140" s="278">
        <f t="shared" si="261"/>
        <v>169</v>
      </c>
      <c r="Q140" s="278">
        <f t="shared" si="261"/>
        <v>100</v>
      </c>
      <c r="R140" s="278">
        <v>131</v>
      </c>
      <c r="S140" s="278">
        <f t="shared" si="262"/>
        <v>203</v>
      </c>
      <c r="T140" s="278">
        <f t="shared" si="263"/>
        <v>165</v>
      </c>
      <c r="U140" s="278">
        <f t="shared" si="263"/>
        <v>326</v>
      </c>
      <c r="V140" s="278">
        <v>274</v>
      </c>
      <c r="W140" s="278">
        <f t="shared" si="264"/>
        <v>344</v>
      </c>
      <c r="X140" s="278">
        <f t="shared" si="265"/>
        <v>272</v>
      </c>
      <c r="Y140" s="278">
        <f t="shared" si="265"/>
        <v>510</v>
      </c>
      <c r="Z140" s="278">
        <v>470</v>
      </c>
      <c r="AA140" s="278">
        <f t="shared" si="266"/>
        <v>369</v>
      </c>
      <c r="AB140" s="278">
        <f t="shared" si="267"/>
        <v>449</v>
      </c>
      <c r="AC140" s="278">
        <f t="shared" si="267"/>
        <v>-1288</v>
      </c>
      <c r="AF140" s="278">
        <v>806</v>
      </c>
      <c r="AG140" s="278">
        <v>1144</v>
      </c>
      <c r="AH140" s="278">
        <v>1272</v>
      </c>
      <c r="AI140" s="278">
        <v>1461</v>
      </c>
      <c r="AJ140" s="278">
        <v>1886</v>
      </c>
      <c r="AK140" s="278">
        <v>1815</v>
      </c>
      <c r="AL140" s="278">
        <f t="shared" si="249"/>
        <v>653</v>
      </c>
      <c r="AM140" s="278">
        <f t="shared" si="250"/>
        <v>1268</v>
      </c>
      <c r="AN140" s="278">
        <f t="shared" si="251"/>
        <v>1822</v>
      </c>
      <c r="AO140" s="278">
        <f t="shared" si="252"/>
        <v>834</v>
      </c>
      <c r="AP140" s="278">
        <f t="shared" si="253"/>
        <v>825</v>
      </c>
      <c r="AQ140" s="278">
        <f t="shared" si="268"/>
        <v>1400</v>
      </c>
      <c r="AR140" s="279"/>
      <c r="BK140" s="278">
        <v>309</v>
      </c>
      <c r="BL140" s="278">
        <v>460</v>
      </c>
      <c r="BM140" s="278">
        <v>653</v>
      </c>
      <c r="BO140" s="278">
        <v>621</v>
      </c>
      <c r="BP140" s="278">
        <v>946</v>
      </c>
      <c r="BQ140" s="278">
        <v>1268</v>
      </c>
      <c r="BS140" s="278">
        <v>828</v>
      </c>
      <c r="BT140" s="278">
        <v>1303</v>
      </c>
      <c r="BU140" s="278">
        <v>1822</v>
      </c>
      <c r="BW140" s="278">
        <v>565</v>
      </c>
      <c r="BX140" s="278">
        <v>734</v>
      </c>
      <c r="BY140" s="278">
        <v>834</v>
      </c>
      <c r="CA140" s="278">
        <v>334</v>
      </c>
      <c r="CB140" s="278">
        <v>499</v>
      </c>
      <c r="CC140" s="278">
        <v>825</v>
      </c>
      <c r="CE140" s="278">
        <v>618</v>
      </c>
      <c r="CF140" s="278">
        <v>890</v>
      </c>
      <c r="CG140" s="278">
        <v>1400</v>
      </c>
      <c r="CI140" s="278">
        <v>839</v>
      </c>
      <c r="CJ140" s="278">
        <v>1288</v>
      </c>
      <c r="CK140" s="278"/>
    </row>
    <row r="141" spans="1:89" s="283" customFormat="1" x14ac:dyDescent="0.3">
      <c r="A141" s="280" t="s">
        <v>235</v>
      </c>
      <c r="B141" s="282">
        <f t="shared" ref="B141:AC141" si="269">SUM(B128:B140)</f>
        <v>6294</v>
      </c>
      <c r="C141" s="282">
        <f t="shared" si="269"/>
        <v>11024</v>
      </c>
      <c r="D141" s="282">
        <f t="shared" si="269"/>
        <v>8914</v>
      </c>
      <c r="E141" s="282">
        <f t="shared" si="269"/>
        <v>7514</v>
      </c>
      <c r="F141" s="282">
        <f t="shared" si="269"/>
        <v>2419</v>
      </c>
      <c r="G141" s="282">
        <f t="shared" si="269"/>
        <v>6447</v>
      </c>
      <c r="H141" s="282">
        <f t="shared" si="269"/>
        <v>10776</v>
      </c>
      <c r="I141" s="282">
        <f t="shared" si="269"/>
        <v>11503</v>
      </c>
      <c r="J141" s="282">
        <f t="shared" si="269"/>
        <v>9794</v>
      </c>
      <c r="K141" s="282">
        <f t="shared" si="269"/>
        <v>14651</v>
      </c>
      <c r="L141" s="282">
        <f t="shared" si="269"/>
        <v>16886</v>
      </c>
      <c r="M141" s="282">
        <f t="shared" si="269"/>
        <v>17000</v>
      </c>
      <c r="N141" s="282">
        <f t="shared" si="269"/>
        <v>13247</v>
      </c>
      <c r="O141" s="282">
        <f t="shared" si="269"/>
        <v>15984</v>
      </c>
      <c r="P141" s="282">
        <f t="shared" si="269"/>
        <v>13196</v>
      </c>
      <c r="Q141" s="282">
        <f t="shared" si="269"/>
        <v>12352</v>
      </c>
      <c r="R141" s="282">
        <f t="shared" si="269"/>
        <v>10447</v>
      </c>
      <c r="S141" s="282">
        <f t="shared" si="269"/>
        <v>11701</v>
      </c>
      <c r="T141" s="282">
        <f t="shared" si="269"/>
        <v>12941</v>
      </c>
      <c r="U141" s="282">
        <f t="shared" si="269"/>
        <v>8871</v>
      </c>
      <c r="V141" s="282">
        <f t="shared" si="269"/>
        <v>10507</v>
      </c>
      <c r="W141" s="282">
        <f t="shared" si="269"/>
        <v>13206</v>
      </c>
      <c r="X141" s="282">
        <f t="shared" si="269"/>
        <v>14918</v>
      </c>
      <c r="Y141" s="282">
        <f t="shared" si="269"/>
        <v>14215</v>
      </c>
      <c r="Z141" s="282">
        <f t="shared" si="269"/>
        <v>12062</v>
      </c>
      <c r="AA141" s="282">
        <f t="shared" si="269"/>
        <v>13634</v>
      </c>
      <c r="AB141" s="282">
        <f t="shared" si="269"/>
        <v>13815</v>
      </c>
      <c r="AC141" s="282">
        <f t="shared" si="269"/>
        <v>-39511</v>
      </c>
      <c r="AF141" s="282">
        <f t="shared" ref="AF141:AK141" si="270">SUM(AF128:AF140)</f>
        <v>50983</v>
      </c>
      <c r="AG141" s="282">
        <f t="shared" si="270"/>
        <v>51066</v>
      </c>
      <c r="AH141" s="282">
        <f t="shared" si="270"/>
        <v>63830</v>
      </c>
      <c r="AI141" s="282">
        <f t="shared" si="270"/>
        <v>59879</v>
      </c>
      <c r="AJ141" s="282">
        <f t="shared" si="270"/>
        <v>48622</v>
      </c>
      <c r="AK141" s="282">
        <f t="shared" si="270"/>
        <v>47163</v>
      </c>
      <c r="AL141" s="282">
        <f t="shared" si="249"/>
        <v>33746</v>
      </c>
      <c r="AM141" s="282">
        <f t="shared" si="250"/>
        <v>31145</v>
      </c>
      <c r="AN141" s="282">
        <f t="shared" si="251"/>
        <v>58331</v>
      </c>
      <c r="AO141" s="282">
        <f t="shared" si="252"/>
        <v>54779</v>
      </c>
      <c r="AP141" s="282">
        <f t="shared" si="253"/>
        <v>43960</v>
      </c>
      <c r="AQ141" s="282">
        <f t="shared" si="268"/>
        <v>52846</v>
      </c>
      <c r="AR141" s="284"/>
      <c r="BK141" s="282">
        <f>SUM(BK128:BK140)</f>
        <v>17318</v>
      </c>
      <c r="BL141" s="282">
        <f>SUM(BL128:BL140)</f>
        <v>26232</v>
      </c>
      <c r="BM141" s="282">
        <f>SUM(BM128:BM140)</f>
        <v>33746</v>
      </c>
      <c r="BO141" s="282">
        <f>SUM(BO128:BO140)</f>
        <v>8866</v>
      </c>
      <c r="BP141" s="282">
        <f>SUM(BP128:BP140)</f>
        <v>19642</v>
      </c>
      <c r="BQ141" s="282">
        <f>SUM(BQ128:BQ140)</f>
        <v>31145</v>
      </c>
      <c r="BS141" s="282">
        <f>SUM(BS128:BS140)</f>
        <v>24445</v>
      </c>
      <c r="BT141" s="282">
        <f>SUM(BT128:BT140)</f>
        <v>41331</v>
      </c>
      <c r="BU141" s="282">
        <f>SUM(BU128:BU140)</f>
        <v>58331</v>
      </c>
      <c r="BW141" s="282">
        <f>SUM(BW128:BW140)</f>
        <v>29231</v>
      </c>
      <c r="BX141" s="282">
        <f>SUM(BX128:BX140)</f>
        <v>42427</v>
      </c>
      <c r="BY141" s="282">
        <f>SUM(BY128:BY140)</f>
        <v>54779</v>
      </c>
      <c r="CA141" s="282">
        <f>SUM(CA128:CA140)</f>
        <v>22148</v>
      </c>
      <c r="CB141" s="282">
        <f>SUM(CB128:CB140)</f>
        <v>35089</v>
      </c>
      <c r="CC141" s="282">
        <f>SUM(CC128:CC140)</f>
        <v>43960</v>
      </c>
      <c r="CE141" s="282">
        <f>SUM(CE128:CE140)</f>
        <v>23713</v>
      </c>
      <c r="CF141" s="282">
        <f>SUM(CF128:CF140)</f>
        <v>38631</v>
      </c>
      <c r="CG141" s="282">
        <f>SUM(CG128:CG140)</f>
        <v>52846</v>
      </c>
      <c r="CI141" s="282">
        <f>SUM(CI128:CI140)</f>
        <v>25696</v>
      </c>
      <c r="CJ141" s="282">
        <f>SUM(CJ128:CJ140)</f>
        <v>39511</v>
      </c>
      <c r="CK141" s="282"/>
    </row>
    <row r="142" spans="1:89" x14ac:dyDescent="0.3">
      <c r="A142" s="280"/>
      <c r="B142" s="278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  <c r="AC142" s="278"/>
      <c r="AF142" s="278"/>
      <c r="AG142" s="278"/>
      <c r="AH142" s="278"/>
      <c r="AI142" s="278"/>
      <c r="AJ142" s="278"/>
      <c r="AK142" s="278"/>
      <c r="AL142" s="278"/>
      <c r="AM142" s="278"/>
      <c r="AN142" s="278"/>
      <c r="AO142" s="278"/>
      <c r="AP142" s="278"/>
      <c r="AQ142" s="278"/>
      <c r="AR142" s="279"/>
      <c r="BK142" s="278"/>
      <c r="BL142" s="278"/>
      <c r="BM142" s="278"/>
      <c r="BO142" s="278"/>
      <c r="BP142" s="278"/>
      <c r="BQ142" s="278"/>
      <c r="BS142" s="278"/>
      <c r="BT142" s="278"/>
      <c r="BU142" s="278"/>
      <c r="BW142" s="278"/>
      <c r="BX142" s="278"/>
      <c r="BY142" s="278"/>
      <c r="CA142" s="278"/>
      <c r="CB142" s="278"/>
      <c r="CC142" s="278"/>
      <c r="CE142" s="278"/>
      <c r="CF142" s="278"/>
      <c r="CG142" s="278"/>
      <c r="CI142" s="278"/>
      <c r="CJ142" s="278"/>
      <c r="CK142" s="278"/>
    </row>
    <row r="143" spans="1:89" s="283" customFormat="1" x14ac:dyDescent="0.3">
      <c r="A143" s="280" t="s">
        <v>236</v>
      </c>
      <c r="B143" s="282">
        <f t="shared" ref="B143:AC143" si="271">B141+B125</f>
        <v>7116</v>
      </c>
      <c r="C143" s="282">
        <f t="shared" si="271"/>
        <v>12275</v>
      </c>
      <c r="D143" s="282">
        <f t="shared" si="271"/>
        <v>9973</v>
      </c>
      <c r="E143" s="282">
        <f t="shared" si="271"/>
        <v>8682</v>
      </c>
      <c r="F143" s="282">
        <f t="shared" si="271"/>
        <v>2636</v>
      </c>
      <c r="G143" s="282">
        <f t="shared" si="271"/>
        <v>6769</v>
      </c>
      <c r="H143" s="282">
        <f t="shared" si="271"/>
        <v>11145</v>
      </c>
      <c r="I143" s="282">
        <f t="shared" si="271"/>
        <v>12236</v>
      </c>
      <c r="J143" s="282">
        <f t="shared" si="271"/>
        <v>10004</v>
      </c>
      <c r="K143" s="282">
        <f t="shared" si="271"/>
        <v>15248</v>
      </c>
      <c r="L143" s="282">
        <f t="shared" si="271"/>
        <v>17330</v>
      </c>
      <c r="M143" s="282">
        <f t="shared" si="271"/>
        <v>17534</v>
      </c>
      <c r="N143" s="282">
        <f t="shared" si="271"/>
        <v>13521</v>
      </c>
      <c r="O143" s="282">
        <f t="shared" si="271"/>
        <v>16612</v>
      </c>
      <c r="P143" s="282">
        <f t="shared" si="271"/>
        <v>13784</v>
      </c>
      <c r="Q143" s="282">
        <f t="shared" si="271"/>
        <v>12661</v>
      </c>
      <c r="R143" s="282">
        <f t="shared" si="271"/>
        <v>10837</v>
      </c>
      <c r="S143" s="282">
        <f t="shared" si="271"/>
        <v>12587</v>
      </c>
      <c r="T143" s="282">
        <f t="shared" si="271"/>
        <v>13837</v>
      </c>
      <c r="U143" s="282">
        <f t="shared" si="271"/>
        <v>10330</v>
      </c>
      <c r="V143" s="282">
        <f t="shared" si="271"/>
        <v>11525</v>
      </c>
      <c r="W143" s="282">
        <f t="shared" si="271"/>
        <v>14294</v>
      </c>
      <c r="X143" s="282">
        <f t="shared" si="271"/>
        <v>15829</v>
      </c>
      <c r="Y143" s="282">
        <f t="shared" si="271"/>
        <v>16087</v>
      </c>
      <c r="Z143" s="282">
        <f t="shared" si="271"/>
        <v>12988</v>
      </c>
      <c r="AA143" s="282">
        <f t="shared" si="271"/>
        <v>14881</v>
      </c>
      <c r="AB143" s="282">
        <f t="shared" si="271"/>
        <v>15133</v>
      </c>
      <c r="AC143" s="282">
        <f t="shared" si="271"/>
        <v>-43002</v>
      </c>
      <c r="AF143" s="282">
        <f t="shared" ref="AF143:AK143" si="272">AF141+AF125</f>
        <v>53237</v>
      </c>
      <c r="AG143" s="282">
        <f t="shared" si="272"/>
        <v>55130</v>
      </c>
      <c r="AH143" s="282">
        <f t="shared" si="272"/>
        <v>67927</v>
      </c>
      <c r="AI143" s="282">
        <f t="shared" si="272"/>
        <v>64552</v>
      </c>
      <c r="AJ143" s="282">
        <f t="shared" si="272"/>
        <v>52772</v>
      </c>
      <c r="AK143" s="282">
        <f t="shared" si="272"/>
        <v>51257</v>
      </c>
      <c r="AL143" s="282">
        <f t="shared" ref="AL143" si="273">SUM(B143:E143)</f>
        <v>38046</v>
      </c>
      <c r="AM143" s="282">
        <f t="shared" ref="AM143" si="274">SUM(F143:I143)</f>
        <v>32786</v>
      </c>
      <c r="AN143" s="282">
        <f t="shared" ref="AN143" si="275">SUM(J143:M143)</f>
        <v>60116</v>
      </c>
      <c r="AO143" s="282">
        <f t="shared" ref="AO143" si="276">SUM(N143:Q143)</f>
        <v>56578</v>
      </c>
      <c r="AP143" s="282">
        <f t="shared" ref="AP143" si="277">SUM(R143:U143)</f>
        <v>47591</v>
      </c>
      <c r="AQ143" s="282">
        <f>SUM(V143:Y143)</f>
        <v>57735</v>
      </c>
      <c r="AR143" s="284"/>
      <c r="BK143" s="282">
        <f>BK141+BK125</f>
        <v>19391</v>
      </c>
      <c r="BL143" s="282">
        <f>BL141+BL125</f>
        <v>29364</v>
      </c>
      <c r="BM143" s="282">
        <f>BM141+BM125</f>
        <v>38046</v>
      </c>
      <c r="BO143" s="282">
        <f>BO141+BO125</f>
        <v>9405</v>
      </c>
      <c r="BP143" s="282">
        <f>BP141+BP125</f>
        <v>20550</v>
      </c>
      <c r="BQ143" s="282">
        <f>BQ141+BQ125</f>
        <v>32786</v>
      </c>
      <c r="BS143" s="282">
        <f>BS141+BS125</f>
        <v>25252</v>
      </c>
      <c r="BT143" s="282">
        <f>BT141+BT125</f>
        <v>42582</v>
      </c>
      <c r="BU143" s="282">
        <f>BU141+BU125</f>
        <v>60116</v>
      </c>
      <c r="BW143" s="282">
        <f>BW141+BW125</f>
        <v>30133</v>
      </c>
      <c r="BX143" s="282">
        <f>BX141+BX125</f>
        <v>43917</v>
      </c>
      <c r="BY143" s="282">
        <f>BY141+BY125</f>
        <v>56578</v>
      </c>
      <c r="CA143" s="282">
        <f>CA141+CA125</f>
        <v>23424</v>
      </c>
      <c r="CB143" s="282">
        <f>CB141+CB125</f>
        <v>37261</v>
      </c>
      <c r="CC143" s="282">
        <f>CC141+CC125</f>
        <v>47591</v>
      </c>
      <c r="CE143" s="282">
        <f>CE141+CE125</f>
        <v>25819</v>
      </c>
      <c r="CF143" s="282">
        <f>CF141+CF125</f>
        <v>41648</v>
      </c>
      <c r="CG143" s="282">
        <f>CG141+CG125</f>
        <v>57735</v>
      </c>
      <c r="CI143" s="282">
        <f>CI141+CI125</f>
        <v>27869</v>
      </c>
      <c r="CJ143" s="282">
        <f>CJ141+CJ125</f>
        <v>43002</v>
      </c>
      <c r="CK143" s="282"/>
    </row>
    <row r="144" spans="1:89" x14ac:dyDescent="0.3">
      <c r="A144" s="280"/>
      <c r="B144" s="278"/>
      <c r="C144" s="278"/>
      <c r="D144" s="278"/>
      <c r="E144" s="278"/>
      <c r="F144" s="278"/>
      <c r="G144" s="278"/>
      <c r="H144" s="278"/>
      <c r="I144" s="278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  <c r="AC144" s="278"/>
      <c r="AF144" s="278"/>
      <c r="AG144" s="278"/>
      <c r="AH144" s="278"/>
      <c r="AI144" s="278"/>
      <c r="AJ144" s="278"/>
      <c r="AK144" s="278"/>
      <c r="AL144" s="278"/>
      <c r="AM144" s="278"/>
      <c r="AN144" s="278"/>
      <c r="AO144" s="278"/>
      <c r="AP144" s="278"/>
      <c r="AQ144" s="278"/>
      <c r="AR144" s="279"/>
      <c r="BK144" s="278"/>
      <c r="BL144" s="278"/>
      <c r="BM144" s="278"/>
      <c r="BO144" s="278"/>
      <c r="BP144" s="278"/>
      <c r="BQ144" s="278"/>
      <c r="BS144" s="278"/>
      <c r="BT144" s="278"/>
      <c r="BU144" s="278"/>
      <c r="BW144" s="278"/>
      <c r="BX144" s="278"/>
      <c r="BY144" s="278"/>
      <c r="CA144" s="278"/>
      <c r="CB144" s="278"/>
      <c r="CC144" s="278"/>
      <c r="CE144" s="278"/>
      <c r="CF144" s="278"/>
      <c r="CG144" s="278"/>
      <c r="CI144" s="278"/>
      <c r="CJ144" s="278"/>
      <c r="CK144" s="278"/>
    </row>
    <row r="145" spans="1:89" s="283" customFormat="1" x14ac:dyDescent="0.3">
      <c r="A145" s="280" t="s">
        <v>237</v>
      </c>
      <c r="B145" s="282">
        <f t="shared" ref="B145:AC145" si="278">B143+B115</f>
        <v>11660</v>
      </c>
      <c r="C145" s="282">
        <f t="shared" si="278"/>
        <v>18984</v>
      </c>
      <c r="D145" s="282">
        <f t="shared" si="278"/>
        <v>15733</v>
      </c>
      <c r="E145" s="282">
        <f t="shared" si="278"/>
        <v>14002</v>
      </c>
      <c r="F145" s="282">
        <f t="shared" si="278"/>
        <v>3870</v>
      </c>
      <c r="G145" s="282">
        <f t="shared" si="278"/>
        <v>9668</v>
      </c>
      <c r="H145" s="282">
        <f t="shared" si="278"/>
        <v>16756</v>
      </c>
      <c r="I145" s="282">
        <f t="shared" si="278"/>
        <v>20040</v>
      </c>
      <c r="J145" s="282">
        <f t="shared" si="278"/>
        <v>16006</v>
      </c>
      <c r="K145" s="282">
        <f t="shared" si="278"/>
        <v>22867</v>
      </c>
      <c r="L145" s="282">
        <f t="shared" si="278"/>
        <v>26069</v>
      </c>
      <c r="M145" s="282">
        <f t="shared" si="278"/>
        <v>27355</v>
      </c>
      <c r="N145" s="282">
        <f t="shared" si="278"/>
        <v>19477</v>
      </c>
      <c r="O145" s="282">
        <f t="shared" si="278"/>
        <v>22482</v>
      </c>
      <c r="P145" s="282">
        <f t="shared" si="278"/>
        <v>18991</v>
      </c>
      <c r="Q145" s="282">
        <f t="shared" si="278"/>
        <v>17695</v>
      </c>
      <c r="R145" s="282">
        <f t="shared" si="278"/>
        <v>14625</v>
      </c>
      <c r="S145" s="282">
        <f t="shared" si="278"/>
        <v>17239</v>
      </c>
      <c r="T145" s="282">
        <f t="shared" si="278"/>
        <v>18914</v>
      </c>
      <c r="U145" s="282">
        <f t="shared" si="278"/>
        <v>15038</v>
      </c>
      <c r="V145" s="282">
        <f t="shared" si="278"/>
        <v>15741</v>
      </c>
      <c r="W145" s="282">
        <f t="shared" si="278"/>
        <v>19651</v>
      </c>
      <c r="X145" s="282">
        <f t="shared" si="278"/>
        <v>22079</v>
      </c>
      <c r="Y145" s="282">
        <f t="shared" si="278"/>
        <v>23515</v>
      </c>
      <c r="Z145" s="282">
        <f t="shared" si="278"/>
        <v>19427</v>
      </c>
      <c r="AA145" s="282">
        <f t="shared" si="278"/>
        <v>24013</v>
      </c>
      <c r="AB145" s="282">
        <f t="shared" si="278"/>
        <v>24700</v>
      </c>
      <c r="AC145" s="282">
        <f t="shared" si="278"/>
        <v>-68140</v>
      </c>
      <c r="AF145" s="282">
        <f t="shared" ref="AF145:AK145" si="279">AF143+AF115</f>
        <v>77050</v>
      </c>
      <c r="AG145" s="282">
        <f t="shared" si="279"/>
        <v>85782</v>
      </c>
      <c r="AH145" s="282">
        <f t="shared" si="279"/>
        <v>103124</v>
      </c>
      <c r="AI145" s="282">
        <f t="shared" si="279"/>
        <v>108271</v>
      </c>
      <c r="AJ145" s="282">
        <f t="shared" si="279"/>
        <v>96865</v>
      </c>
      <c r="AK145" s="282">
        <f t="shared" si="279"/>
        <v>99825</v>
      </c>
      <c r="AL145" s="282">
        <f t="shared" ref="AL145" si="280">SUM(B145:E145)</f>
        <v>60379</v>
      </c>
      <c r="AM145" s="282">
        <f t="shared" ref="AM145" si="281">SUM(F145:I145)</f>
        <v>50334</v>
      </c>
      <c r="AN145" s="282">
        <f t="shared" ref="AN145" si="282">SUM(J145:M145)</f>
        <v>92297</v>
      </c>
      <c r="AO145" s="282">
        <f t="shared" ref="AO145" si="283">SUM(N145:Q145)</f>
        <v>78645</v>
      </c>
      <c r="AP145" s="282">
        <f t="shared" ref="AP145" si="284">SUM(R145:U145)</f>
        <v>65816</v>
      </c>
      <c r="AQ145" s="282">
        <f>SUM(V145:Y145)</f>
        <v>80986</v>
      </c>
      <c r="AR145" s="284"/>
      <c r="BK145" s="282">
        <f>BK143+BK115</f>
        <v>30644</v>
      </c>
      <c r="BL145" s="282">
        <f>BL143+BL115</f>
        <v>46377</v>
      </c>
      <c r="BM145" s="282">
        <f>BM143+BM115</f>
        <v>60379</v>
      </c>
      <c r="BO145" s="282">
        <f>BO143+BO115</f>
        <v>13538</v>
      </c>
      <c r="BP145" s="282">
        <f>BP143+BP115</f>
        <v>30294</v>
      </c>
      <c r="BQ145" s="282">
        <f>BQ143+BQ115</f>
        <v>50334</v>
      </c>
      <c r="BS145" s="282">
        <f>BS143+BS115</f>
        <v>38873</v>
      </c>
      <c r="BT145" s="282">
        <f>BT143+BT115</f>
        <v>64942</v>
      </c>
      <c r="BU145" s="282">
        <f>BU143+BU115</f>
        <v>92297</v>
      </c>
      <c r="BW145" s="282">
        <f>BW143+BW115</f>
        <v>41959</v>
      </c>
      <c r="BX145" s="282">
        <f>BX143+BX115</f>
        <v>60950</v>
      </c>
      <c r="BY145" s="282">
        <f>BY143+BY115</f>
        <v>78645</v>
      </c>
      <c r="CA145" s="282">
        <f>CA143+CA115</f>
        <v>31864</v>
      </c>
      <c r="CB145" s="282">
        <f>CB143+CB115</f>
        <v>50778</v>
      </c>
      <c r="CC145" s="282">
        <f>CC143+CC115</f>
        <v>65816</v>
      </c>
      <c r="CE145" s="282">
        <f>CE143+CE115</f>
        <v>35392</v>
      </c>
      <c r="CF145" s="282">
        <f>CF143+CF115</f>
        <v>57471</v>
      </c>
      <c r="CG145" s="282">
        <f>CG143+CG115</f>
        <v>80986</v>
      </c>
      <c r="CI145" s="282">
        <f>CI143+CI115</f>
        <v>43440</v>
      </c>
      <c r="CJ145" s="282">
        <f>CJ143+CJ115</f>
        <v>68140</v>
      </c>
      <c r="CK145" s="282"/>
    </row>
    <row r="146" spans="1:89" x14ac:dyDescent="0.3">
      <c r="A146" s="280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F146" s="285"/>
      <c r="AG146" s="285"/>
      <c r="AH146" s="285"/>
      <c r="AI146" s="285"/>
      <c r="AJ146" s="285"/>
      <c r="AK146" s="285"/>
      <c r="AL146" s="285"/>
      <c r="AM146" s="285"/>
      <c r="AN146" s="285"/>
      <c r="AO146" s="285"/>
      <c r="AP146" s="285"/>
      <c r="AQ146" s="285"/>
      <c r="AR146" s="275"/>
      <c r="BK146" s="285"/>
      <c r="BL146" s="285"/>
      <c r="BM146" s="285"/>
      <c r="BO146" s="285"/>
      <c r="BP146" s="285"/>
      <c r="BQ146" s="285"/>
      <c r="BS146" s="285"/>
      <c r="BT146" s="285"/>
      <c r="BU146" s="285"/>
      <c r="BW146" s="285"/>
      <c r="BX146" s="285"/>
      <c r="BY146" s="285"/>
      <c r="CA146" s="285"/>
      <c r="CB146" s="285"/>
      <c r="CC146" s="285"/>
      <c r="CE146" s="285"/>
      <c r="CF146" s="285"/>
      <c r="CG146" s="285"/>
      <c r="CI146" s="285"/>
      <c r="CJ146" s="285"/>
      <c r="CK146" s="285"/>
    </row>
    <row r="147" spans="1:89" x14ac:dyDescent="0.3">
      <c r="A147" s="268" t="s">
        <v>241</v>
      </c>
      <c r="B147" s="269" t="str">
        <f>B$1</f>
        <v>1QFY20</v>
      </c>
      <c r="C147" s="269" t="str">
        <f t="shared" ref="C147:AC147" si="285">C$1</f>
        <v>2QFY20</v>
      </c>
      <c r="D147" s="269" t="str">
        <f t="shared" si="285"/>
        <v>3QFY20</v>
      </c>
      <c r="E147" s="269" t="str">
        <f t="shared" si="285"/>
        <v>4QFY20</v>
      </c>
      <c r="F147" s="269" t="str">
        <f t="shared" si="285"/>
        <v>1QFY21</v>
      </c>
      <c r="G147" s="269" t="str">
        <f t="shared" si="285"/>
        <v>2QFY21</v>
      </c>
      <c r="H147" s="269" t="str">
        <f t="shared" si="285"/>
        <v>3QFY21</v>
      </c>
      <c r="I147" s="269" t="str">
        <f t="shared" si="285"/>
        <v>4QFY21</v>
      </c>
      <c r="J147" s="269" t="str">
        <f t="shared" si="285"/>
        <v>1QFY22</v>
      </c>
      <c r="K147" s="269" t="str">
        <f t="shared" si="285"/>
        <v>2QFY22</v>
      </c>
      <c r="L147" s="269" t="str">
        <f t="shared" si="285"/>
        <v>3QFY22</v>
      </c>
      <c r="M147" s="269" t="str">
        <f t="shared" si="285"/>
        <v>4QFY22</v>
      </c>
      <c r="N147" s="269" t="str">
        <f t="shared" si="285"/>
        <v>1QFY23</v>
      </c>
      <c r="O147" s="269" t="str">
        <f t="shared" si="285"/>
        <v>2QFY23</v>
      </c>
      <c r="P147" s="269" t="str">
        <f t="shared" si="285"/>
        <v>3QFY23</v>
      </c>
      <c r="Q147" s="269" t="str">
        <f t="shared" si="285"/>
        <v>4QFY23</v>
      </c>
      <c r="R147" s="269" t="str">
        <f t="shared" si="285"/>
        <v>1QFY24</v>
      </c>
      <c r="S147" s="269" t="str">
        <f t="shared" si="285"/>
        <v>2QFY24</v>
      </c>
      <c r="T147" s="269" t="str">
        <f t="shared" si="285"/>
        <v>3QFY24</v>
      </c>
      <c r="U147" s="269" t="str">
        <f t="shared" si="285"/>
        <v>4QFY24</v>
      </c>
      <c r="V147" s="269" t="str">
        <f t="shared" si="285"/>
        <v>1QFY25</v>
      </c>
      <c r="W147" s="269" t="str">
        <f t="shared" si="285"/>
        <v>2QFY25</v>
      </c>
      <c r="X147" s="269" t="str">
        <f t="shared" si="285"/>
        <v>3QFY25</v>
      </c>
      <c r="Y147" s="269" t="str">
        <f t="shared" si="285"/>
        <v>4QFY25</v>
      </c>
      <c r="Z147" s="269" t="str">
        <f t="shared" si="285"/>
        <v>1QFY26</v>
      </c>
      <c r="AA147" s="269" t="str">
        <f t="shared" si="285"/>
        <v>2QFY26</v>
      </c>
      <c r="AB147" s="269" t="str">
        <f t="shared" si="285"/>
        <v>3QFY26</v>
      </c>
      <c r="AC147" s="269" t="str">
        <f t="shared" si="285"/>
        <v>4QFY26</v>
      </c>
      <c r="AF147" s="269" t="str">
        <f t="shared" ref="AF147:AQ147" si="286">AF$1</f>
        <v>FY14</v>
      </c>
      <c r="AG147" s="269" t="str">
        <f t="shared" si="286"/>
        <v>FY15</v>
      </c>
      <c r="AH147" s="269" t="str">
        <f t="shared" si="286"/>
        <v>FY16</v>
      </c>
      <c r="AI147" s="269" t="str">
        <f t="shared" si="286"/>
        <v>FY17</v>
      </c>
      <c r="AJ147" s="269" t="str">
        <f t="shared" si="286"/>
        <v>FY18</v>
      </c>
      <c r="AK147" s="269" t="str">
        <f t="shared" si="286"/>
        <v>FY19</v>
      </c>
      <c r="AL147" s="269" t="str">
        <f t="shared" si="286"/>
        <v>FY20</v>
      </c>
      <c r="AM147" s="269" t="str">
        <f t="shared" si="286"/>
        <v>FY21</v>
      </c>
      <c r="AN147" s="269" t="str">
        <f t="shared" si="286"/>
        <v>FY22</v>
      </c>
      <c r="AO147" s="269" t="str">
        <f t="shared" si="286"/>
        <v>FY23</v>
      </c>
      <c r="AP147" s="269" t="str">
        <f t="shared" si="286"/>
        <v>FY24</v>
      </c>
      <c r="AQ147" s="269" t="str">
        <f t="shared" si="286"/>
        <v>FY25</v>
      </c>
      <c r="AR147" s="275"/>
      <c r="BK147" s="289"/>
      <c r="BL147" s="289"/>
      <c r="BM147" s="289"/>
      <c r="BO147" s="289"/>
      <c r="BP147" s="289"/>
      <c r="BQ147" s="289"/>
      <c r="BS147" s="289"/>
      <c r="BT147" s="289"/>
      <c r="BU147" s="289"/>
      <c r="BW147" s="289"/>
      <c r="BX147" s="289"/>
      <c r="BY147" s="289"/>
      <c r="CA147" s="289"/>
      <c r="CB147" s="289"/>
      <c r="CC147" s="289"/>
      <c r="CE147" s="289"/>
      <c r="CF147" s="289"/>
      <c r="CG147" s="289"/>
      <c r="CI147" s="289"/>
      <c r="CJ147" s="289"/>
      <c r="CK147" s="289"/>
    </row>
    <row r="148" spans="1:89" outlineLevel="1" x14ac:dyDescent="0.3">
      <c r="A148" s="290" t="s">
        <v>163</v>
      </c>
      <c r="B148" s="291">
        <f t="shared" ref="B148:Q163" si="287">SUMIF($A$88:$A$145,$A148,B$88:B$145)</f>
        <v>1604</v>
      </c>
      <c r="C148" s="291">
        <f t="shared" si="287"/>
        <v>2690</v>
      </c>
      <c r="D148" s="291">
        <f t="shared" si="287"/>
        <v>2371</v>
      </c>
      <c r="E148" s="291">
        <f t="shared" si="287"/>
        <v>2255</v>
      </c>
      <c r="F148" s="291">
        <f t="shared" si="287"/>
        <v>405</v>
      </c>
      <c r="G148" s="291">
        <f t="shared" si="287"/>
        <v>1491</v>
      </c>
      <c r="H148" s="291">
        <f t="shared" si="287"/>
        <v>2941</v>
      </c>
      <c r="I148" s="291">
        <f t="shared" si="287"/>
        <v>3164</v>
      </c>
      <c r="J148" s="291">
        <f t="shared" si="287"/>
        <v>1437</v>
      </c>
      <c r="K148" s="291">
        <f t="shared" si="287"/>
        <v>2227</v>
      </c>
      <c r="L148" s="291">
        <f t="shared" si="287"/>
        <v>3177</v>
      </c>
      <c r="M148" s="291">
        <f t="shared" si="287"/>
        <v>4173</v>
      </c>
      <c r="N148" s="291">
        <f t="shared" si="287"/>
        <v>2527</v>
      </c>
      <c r="O148" s="291">
        <f t="shared" si="287"/>
        <v>2780</v>
      </c>
      <c r="P148" s="291">
        <f t="shared" si="287"/>
        <v>2936</v>
      </c>
      <c r="Q148" s="291">
        <f t="shared" si="287"/>
        <v>3046</v>
      </c>
      <c r="R148" s="291">
        <f t="shared" ref="R148:AC163" si="288">SUMIF($A$88:$A$145,$A148,R$88:R$145)</f>
        <v>2222</v>
      </c>
      <c r="S148" s="291">
        <f t="shared" si="288"/>
        <v>2901</v>
      </c>
      <c r="T148" s="291">
        <f t="shared" si="288"/>
        <v>3128</v>
      </c>
      <c r="U148" s="291">
        <f t="shared" si="288"/>
        <v>3602</v>
      </c>
      <c r="V148" s="291">
        <f t="shared" si="288"/>
        <v>2334</v>
      </c>
      <c r="W148" s="291">
        <f t="shared" si="288"/>
        <v>3310</v>
      </c>
      <c r="X148" s="291">
        <f t="shared" si="288"/>
        <v>4151</v>
      </c>
      <c r="Y148" s="291">
        <f t="shared" si="288"/>
        <v>5460</v>
      </c>
      <c r="Z148" s="291">
        <f t="shared" si="288"/>
        <v>3011</v>
      </c>
      <c r="AA148" s="291">
        <f t="shared" si="288"/>
        <v>4784</v>
      </c>
      <c r="AB148" s="291">
        <f t="shared" si="288"/>
        <v>4965</v>
      </c>
      <c r="AC148" s="291">
        <f t="shared" si="288"/>
        <v>-12760</v>
      </c>
      <c r="AF148" s="291">
        <f t="shared" ref="AF148:AQ163" si="289">SUMIF($A$88:$A$145,$A148,AF$88:AF$145)</f>
        <v>9399</v>
      </c>
      <c r="AG148" s="291">
        <f t="shared" si="289"/>
        <v>12548</v>
      </c>
      <c r="AH148" s="291">
        <f t="shared" si="289"/>
        <v>13037</v>
      </c>
      <c r="AI148" s="291">
        <f t="shared" si="289"/>
        <v>11802</v>
      </c>
      <c r="AJ148" s="291">
        <f t="shared" si="289"/>
        <v>16239</v>
      </c>
      <c r="AK148" s="291">
        <f t="shared" si="289"/>
        <v>12301</v>
      </c>
      <c r="AL148" s="291">
        <f t="shared" si="289"/>
        <v>8920</v>
      </c>
      <c r="AM148" s="291">
        <f t="shared" si="289"/>
        <v>8001</v>
      </c>
      <c r="AN148" s="291">
        <f t="shared" si="289"/>
        <v>11014</v>
      </c>
      <c r="AO148" s="291">
        <f t="shared" si="289"/>
        <v>11289</v>
      </c>
      <c r="AP148" s="291">
        <f t="shared" si="289"/>
        <v>11853</v>
      </c>
      <c r="AQ148" s="291">
        <f t="shared" si="289"/>
        <v>15255</v>
      </c>
      <c r="AR148" s="275"/>
      <c r="BK148" s="289"/>
      <c r="BL148" s="289"/>
      <c r="BM148" s="289"/>
      <c r="BO148" s="289"/>
      <c r="BP148" s="289"/>
      <c r="BQ148" s="289"/>
      <c r="BS148" s="289"/>
      <c r="BT148" s="289"/>
      <c r="BU148" s="289"/>
      <c r="BW148" s="289"/>
      <c r="BX148" s="289"/>
      <c r="BY148" s="289"/>
      <c r="CA148" s="289"/>
      <c r="CB148" s="289"/>
      <c r="CC148" s="289"/>
      <c r="CE148" s="289"/>
      <c r="CF148" s="289"/>
      <c r="CG148" s="289"/>
      <c r="CI148" s="289"/>
      <c r="CJ148" s="289"/>
      <c r="CK148" s="289"/>
    </row>
    <row r="149" spans="1:89" outlineLevel="1" x14ac:dyDescent="0.3">
      <c r="A149" s="290" t="s">
        <v>165</v>
      </c>
      <c r="B149" s="291">
        <f t="shared" si="287"/>
        <v>56</v>
      </c>
      <c r="C149" s="291">
        <f t="shared" si="287"/>
        <v>123</v>
      </c>
      <c r="D149" s="291">
        <f t="shared" si="287"/>
        <v>56</v>
      </c>
      <c r="E149" s="291">
        <f t="shared" si="287"/>
        <v>125</v>
      </c>
      <c r="F149" s="291">
        <f t="shared" si="287"/>
        <v>42</v>
      </c>
      <c r="G149" s="291">
        <f t="shared" si="287"/>
        <v>85</v>
      </c>
      <c r="H149" s="291">
        <f t="shared" si="287"/>
        <v>111</v>
      </c>
      <c r="I149" s="291">
        <f t="shared" si="287"/>
        <v>290</v>
      </c>
      <c r="J149" s="291">
        <f t="shared" si="287"/>
        <v>23</v>
      </c>
      <c r="K149" s="291">
        <f t="shared" si="287"/>
        <v>103</v>
      </c>
      <c r="L149" s="291">
        <f t="shared" si="287"/>
        <v>134</v>
      </c>
      <c r="M149" s="291">
        <f t="shared" si="287"/>
        <v>96</v>
      </c>
      <c r="N149" s="291">
        <f t="shared" si="287"/>
        <v>13</v>
      </c>
      <c r="O149" s="291">
        <f t="shared" si="287"/>
        <v>52</v>
      </c>
      <c r="P149" s="291">
        <f t="shared" si="287"/>
        <v>57</v>
      </c>
      <c r="Q149" s="291">
        <f t="shared" si="287"/>
        <v>68</v>
      </c>
      <c r="R149" s="291">
        <f t="shared" si="288"/>
        <v>87</v>
      </c>
      <c r="S149" s="291">
        <f t="shared" si="288"/>
        <v>74</v>
      </c>
      <c r="T149" s="291">
        <f t="shared" si="288"/>
        <v>65</v>
      </c>
      <c r="U149" s="291">
        <f t="shared" si="288"/>
        <v>408</v>
      </c>
      <c r="V149" s="291">
        <f t="shared" si="288"/>
        <v>106</v>
      </c>
      <c r="W149" s="291">
        <f t="shared" si="288"/>
        <v>170</v>
      </c>
      <c r="X149" s="291">
        <f t="shared" si="288"/>
        <v>344</v>
      </c>
      <c r="Y149" s="291">
        <f t="shared" si="288"/>
        <v>277</v>
      </c>
      <c r="Z149" s="291">
        <f t="shared" si="288"/>
        <v>213</v>
      </c>
      <c r="AA149" s="291">
        <f t="shared" si="288"/>
        <v>276</v>
      </c>
      <c r="AB149" s="291">
        <f t="shared" si="288"/>
        <v>311</v>
      </c>
      <c r="AC149" s="291">
        <f t="shared" si="288"/>
        <v>-800</v>
      </c>
      <c r="AF149" s="291">
        <f t="shared" si="289"/>
        <v>232</v>
      </c>
      <c r="AG149" s="291">
        <f t="shared" si="289"/>
        <v>291</v>
      </c>
      <c r="AH149" s="291">
        <f t="shared" si="289"/>
        <v>147</v>
      </c>
      <c r="AI149" s="291">
        <f t="shared" si="289"/>
        <v>345</v>
      </c>
      <c r="AJ149" s="291">
        <f t="shared" si="289"/>
        <v>408</v>
      </c>
      <c r="AK149" s="291">
        <f t="shared" si="289"/>
        <v>443</v>
      </c>
      <c r="AL149" s="291">
        <f t="shared" si="289"/>
        <v>360</v>
      </c>
      <c r="AM149" s="291">
        <f t="shared" si="289"/>
        <v>528</v>
      </c>
      <c r="AN149" s="291">
        <f t="shared" si="289"/>
        <v>356</v>
      </c>
      <c r="AO149" s="291">
        <f t="shared" si="289"/>
        <v>190</v>
      </c>
      <c r="AP149" s="291">
        <f t="shared" si="289"/>
        <v>634</v>
      </c>
      <c r="AQ149" s="291">
        <f t="shared" si="289"/>
        <v>897</v>
      </c>
      <c r="AR149" s="275"/>
      <c r="BK149" s="289"/>
      <c r="BL149" s="289"/>
      <c r="BM149" s="289"/>
      <c r="BO149" s="289"/>
      <c r="BP149" s="289"/>
      <c r="BQ149" s="289"/>
      <c r="BS149" s="289"/>
      <c r="BT149" s="289"/>
      <c r="BU149" s="289"/>
      <c r="BW149" s="289"/>
      <c r="BX149" s="289"/>
      <c r="BY149" s="289"/>
      <c r="CA149" s="289"/>
      <c r="CB149" s="289"/>
      <c r="CC149" s="289"/>
      <c r="CE149" s="289"/>
      <c r="CF149" s="289"/>
      <c r="CG149" s="289"/>
      <c r="CI149" s="289"/>
      <c r="CJ149" s="289"/>
      <c r="CK149" s="289"/>
    </row>
    <row r="150" spans="1:89" outlineLevel="1" x14ac:dyDescent="0.3">
      <c r="A150" s="290" t="s">
        <v>217</v>
      </c>
      <c r="B150" s="291">
        <f t="shared" si="287"/>
        <v>0</v>
      </c>
      <c r="C150" s="291">
        <f t="shared" si="287"/>
        <v>0</v>
      </c>
      <c r="D150" s="291">
        <f t="shared" si="287"/>
        <v>0</v>
      </c>
      <c r="E150" s="291">
        <f t="shared" si="287"/>
        <v>0</v>
      </c>
      <c r="F150" s="291">
        <f t="shared" si="287"/>
        <v>0</v>
      </c>
      <c r="G150" s="291">
        <f t="shared" si="287"/>
        <v>0</v>
      </c>
      <c r="H150" s="291">
        <f t="shared" si="287"/>
        <v>0</v>
      </c>
      <c r="I150" s="291">
        <f t="shared" si="287"/>
        <v>0</v>
      </c>
      <c r="J150" s="291">
        <f t="shared" si="287"/>
        <v>0</v>
      </c>
      <c r="K150" s="291">
        <f t="shared" si="287"/>
        <v>0</v>
      </c>
      <c r="L150" s="291">
        <f t="shared" si="287"/>
        <v>0</v>
      </c>
      <c r="M150" s="291">
        <f t="shared" si="287"/>
        <v>0</v>
      </c>
      <c r="N150" s="291">
        <f t="shared" si="287"/>
        <v>0</v>
      </c>
      <c r="O150" s="291">
        <f t="shared" si="287"/>
        <v>0</v>
      </c>
      <c r="P150" s="291">
        <f t="shared" si="287"/>
        <v>0</v>
      </c>
      <c r="Q150" s="291">
        <f t="shared" si="287"/>
        <v>0</v>
      </c>
      <c r="R150" s="291">
        <f t="shared" si="288"/>
        <v>0</v>
      </c>
      <c r="S150" s="291">
        <f t="shared" si="288"/>
        <v>0</v>
      </c>
      <c r="T150" s="291">
        <f t="shared" si="288"/>
        <v>0</v>
      </c>
      <c r="U150" s="291">
        <f t="shared" si="288"/>
        <v>0</v>
      </c>
      <c r="V150" s="291">
        <f t="shared" si="288"/>
        <v>0</v>
      </c>
      <c r="W150" s="291">
        <f t="shared" si="288"/>
        <v>0</v>
      </c>
      <c r="X150" s="291">
        <f t="shared" si="288"/>
        <v>0</v>
      </c>
      <c r="Y150" s="291">
        <f t="shared" si="288"/>
        <v>0</v>
      </c>
      <c r="Z150" s="291">
        <f t="shared" si="288"/>
        <v>0</v>
      </c>
      <c r="AA150" s="291">
        <f t="shared" si="288"/>
        <v>2</v>
      </c>
      <c r="AB150" s="291">
        <f t="shared" si="288"/>
        <v>0</v>
      </c>
      <c r="AC150" s="291">
        <f t="shared" si="288"/>
        <v>-2</v>
      </c>
      <c r="AF150" s="291">
        <f t="shared" si="289"/>
        <v>0</v>
      </c>
      <c r="AG150" s="291">
        <f t="shared" si="289"/>
        <v>0</v>
      </c>
      <c r="AH150" s="291">
        <f t="shared" si="289"/>
        <v>0</v>
      </c>
      <c r="AI150" s="291">
        <f t="shared" si="289"/>
        <v>0</v>
      </c>
      <c r="AJ150" s="291">
        <f t="shared" si="289"/>
        <v>0</v>
      </c>
      <c r="AK150" s="291">
        <f t="shared" si="289"/>
        <v>0</v>
      </c>
      <c r="AL150" s="291">
        <f t="shared" si="289"/>
        <v>0</v>
      </c>
      <c r="AM150" s="291">
        <f t="shared" si="289"/>
        <v>0</v>
      </c>
      <c r="AN150" s="291">
        <f t="shared" si="289"/>
        <v>0</v>
      </c>
      <c r="AO150" s="291">
        <f t="shared" si="289"/>
        <v>0</v>
      </c>
      <c r="AP150" s="291">
        <f t="shared" si="289"/>
        <v>0</v>
      </c>
      <c r="AQ150" s="291">
        <f t="shared" si="289"/>
        <v>0</v>
      </c>
      <c r="AR150" s="275"/>
      <c r="BK150" s="289"/>
      <c r="BL150" s="289"/>
      <c r="BM150" s="289"/>
      <c r="BO150" s="289"/>
      <c r="BP150" s="289"/>
      <c r="BQ150" s="289"/>
      <c r="BS150" s="289"/>
      <c r="BT150" s="289"/>
      <c r="BU150" s="289"/>
      <c r="BW150" s="289"/>
      <c r="BX150" s="289"/>
      <c r="BY150" s="289"/>
      <c r="CA150" s="289"/>
      <c r="CB150" s="289"/>
      <c r="CC150" s="289"/>
      <c r="CE150" s="289"/>
      <c r="CF150" s="289"/>
      <c r="CG150" s="289"/>
      <c r="CI150" s="289"/>
      <c r="CJ150" s="289"/>
      <c r="CK150" s="289"/>
    </row>
    <row r="151" spans="1:89" outlineLevel="1" x14ac:dyDescent="0.3">
      <c r="A151" s="290" t="s">
        <v>218</v>
      </c>
      <c r="B151" s="291">
        <f t="shared" si="287"/>
        <v>0</v>
      </c>
      <c r="C151" s="291">
        <f t="shared" si="287"/>
        <v>0</v>
      </c>
      <c r="D151" s="291">
        <f t="shared" si="287"/>
        <v>0</v>
      </c>
      <c r="E151" s="291">
        <f t="shared" si="287"/>
        <v>0</v>
      </c>
      <c r="F151" s="291">
        <f t="shared" si="287"/>
        <v>0</v>
      </c>
      <c r="G151" s="291">
        <f t="shared" si="287"/>
        <v>0</v>
      </c>
      <c r="H151" s="291">
        <f t="shared" si="287"/>
        <v>0</v>
      </c>
      <c r="I151" s="291">
        <f t="shared" si="287"/>
        <v>0</v>
      </c>
      <c r="J151" s="291">
        <f t="shared" si="287"/>
        <v>0</v>
      </c>
      <c r="K151" s="291">
        <f t="shared" si="287"/>
        <v>0</v>
      </c>
      <c r="L151" s="291">
        <f t="shared" si="287"/>
        <v>0</v>
      </c>
      <c r="M151" s="291">
        <f t="shared" si="287"/>
        <v>0</v>
      </c>
      <c r="N151" s="291">
        <f t="shared" si="287"/>
        <v>0</v>
      </c>
      <c r="O151" s="291">
        <f t="shared" si="287"/>
        <v>0</v>
      </c>
      <c r="P151" s="291">
        <f t="shared" si="287"/>
        <v>0</v>
      </c>
      <c r="Q151" s="291">
        <f t="shared" si="287"/>
        <v>0</v>
      </c>
      <c r="R151" s="291">
        <f t="shared" si="288"/>
        <v>0</v>
      </c>
      <c r="S151" s="291">
        <f t="shared" si="288"/>
        <v>0</v>
      </c>
      <c r="T151" s="291">
        <f t="shared" si="288"/>
        <v>0</v>
      </c>
      <c r="U151" s="291">
        <f t="shared" si="288"/>
        <v>0</v>
      </c>
      <c r="V151" s="291">
        <f t="shared" si="288"/>
        <v>0</v>
      </c>
      <c r="W151" s="291">
        <f t="shared" si="288"/>
        <v>0</v>
      </c>
      <c r="X151" s="291">
        <f t="shared" si="288"/>
        <v>0</v>
      </c>
      <c r="Y151" s="291">
        <f t="shared" si="288"/>
        <v>0</v>
      </c>
      <c r="Z151" s="291">
        <f t="shared" si="288"/>
        <v>0</v>
      </c>
      <c r="AA151" s="291">
        <f t="shared" si="288"/>
        <v>0</v>
      </c>
      <c r="AB151" s="291">
        <f t="shared" si="288"/>
        <v>0</v>
      </c>
      <c r="AC151" s="291">
        <f t="shared" si="288"/>
        <v>0</v>
      </c>
      <c r="AF151" s="291">
        <f t="shared" si="289"/>
        <v>0</v>
      </c>
      <c r="AG151" s="291">
        <f t="shared" si="289"/>
        <v>0</v>
      </c>
      <c r="AH151" s="291">
        <f t="shared" si="289"/>
        <v>0</v>
      </c>
      <c r="AI151" s="291">
        <f t="shared" si="289"/>
        <v>0</v>
      </c>
      <c r="AJ151" s="291">
        <f t="shared" si="289"/>
        <v>0</v>
      </c>
      <c r="AK151" s="291">
        <f t="shared" si="289"/>
        <v>0</v>
      </c>
      <c r="AL151" s="291">
        <f t="shared" si="289"/>
        <v>0</v>
      </c>
      <c r="AM151" s="291">
        <f t="shared" si="289"/>
        <v>0</v>
      </c>
      <c r="AN151" s="291">
        <f t="shared" si="289"/>
        <v>0</v>
      </c>
      <c r="AO151" s="291">
        <f t="shared" si="289"/>
        <v>0</v>
      </c>
      <c r="AP151" s="291">
        <f t="shared" si="289"/>
        <v>0</v>
      </c>
      <c r="AQ151" s="291">
        <f t="shared" si="289"/>
        <v>0</v>
      </c>
      <c r="AR151" s="275"/>
      <c r="BK151" s="289"/>
      <c r="BL151" s="289"/>
      <c r="BM151" s="289"/>
      <c r="BO151" s="289"/>
      <c r="BP151" s="289"/>
      <c r="BQ151" s="289"/>
      <c r="BS151" s="289"/>
      <c r="BT151" s="289"/>
      <c r="BU151" s="289"/>
      <c r="BW151" s="289"/>
      <c r="BX151" s="289"/>
      <c r="BY151" s="289"/>
      <c r="CA151" s="289"/>
      <c r="CB151" s="289"/>
      <c r="CC151" s="289"/>
      <c r="CE151" s="289"/>
      <c r="CF151" s="289"/>
      <c r="CG151" s="289"/>
      <c r="CI151" s="289"/>
      <c r="CJ151" s="289"/>
      <c r="CK151" s="289"/>
    </row>
    <row r="152" spans="1:89" outlineLevel="1" x14ac:dyDescent="0.3">
      <c r="A152" s="290" t="s">
        <v>188</v>
      </c>
      <c r="B152" s="291">
        <f t="shared" si="287"/>
        <v>0</v>
      </c>
      <c r="C152" s="291">
        <f t="shared" si="287"/>
        <v>0</v>
      </c>
      <c r="D152" s="291">
        <f t="shared" si="287"/>
        <v>0</v>
      </c>
      <c r="E152" s="291">
        <f t="shared" si="287"/>
        <v>0</v>
      </c>
      <c r="F152" s="291">
        <f t="shared" si="287"/>
        <v>0</v>
      </c>
      <c r="G152" s="291">
        <f t="shared" si="287"/>
        <v>0</v>
      </c>
      <c r="H152" s="291">
        <f t="shared" si="287"/>
        <v>0</v>
      </c>
      <c r="I152" s="291">
        <f t="shared" si="287"/>
        <v>0</v>
      </c>
      <c r="J152" s="291">
        <f t="shared" si="287"/>
        <v>0</v>
      </c>
      <c r="K152" s="291">
        <f t="shared" si="287"/>
        <v>0</v>
      </c>
      <c r="L152" s="291">
        <f t="shared" si="287"/>
        <v>0</v>
      </c>
      <c r="M152" s="291">
        <f t="shared" si="287"/>
        <v>0</v>
      </c>
      <c r="N152" s="291">
        <f t="shared" si="287"/>
        <v>0</v>
      </c>
      <c r="O152" s="291">
        <f t="shared" si="287"/>
        <v>0</v>
      </c>
      <c r="P152" s="291">
        <f t="shared" si="287"/>
        <v>0</v>
      </c>
      <c r="Q152" s="291">
        <f t="shared" si="287"/>
        <v>0</v>
      </c>
      <c r="R152" s="291">
        <f t="shared" si="288"/>
        <v>0</v>
      </c>
      <c r="S152" s="291">
        <f t="shared" si="288"/>
        <v>0</v>
      </c>
      <c r="T152" s="291">
        <f t="shared" si="288"/>
        <v>0</v>
      </c>
      <c r="U152" s="291">
        <f t="shared" si="288"/>
        <v>0</v>
      </c>
      <c r="V152" s="291">
        <f t="shared" si="288"/>
        <v>0</v>
      </c>
      <c r="W152" s="291">
        <f t="shared" si="288"/>
        <v>0</v>
      </c>
      <c r="X152" s="291">
        <f t="shared" si="288"/>
        <v>0</v>
      </c>
      <c r="Y152" s="291">
        <f t="shared" si="288"/>
        <v>0</v>
      </c>
      <c r="Z152" s="291">
        <f t="shared" si="288"/>
        <v>0</v>
      </c>
      <c r="AA152" s="291">
        <f t="shared" si="288"/>
        <v>0</v>
      </c>
      <c r="AB152" s="291">
        <f t="shared" si="288"/>
        <v>16</v>
      </c>
      <c r="AC152" s="291">
        <f t="shared" si="288"/>
        <v>-16</v>
      </c>
      <c r="AF152" s="291">
        <f t="shared" si="289"/>
        <v>0</v>
      </c>
      <c r="AG152" s="291">
        <f t="shared" si="289"/>
        <v>0</v>
      </c>
      <c r="AH152" s="291">
        <f t="shared" si="289"/>
        <v>0</v>
      </c>
      <c r="AI152" s="291">
        <f t="shared" si="289"/>
        <v>0</v>
      </c>
      <c r="AJ152" s="291">
        <f t="shared" si="289"/>
        <v>0</v>
      </c>
      <c r="AK152" s="291">
        <f t="shared" si="289"/>
        <v>0</v>
      </c>
      <c r="AL152" s="291">
        <f t="shared" si="289"/>
        <v>0</v>
      </c>
      <c r="AM152" s="291">
        <f t="shared" si="289"/>
        <v>0</v>
      </c>
      <c r="AN152" s="291">
        <f t="shared" si="289"/>
        <v>0</v>
      </c>
      <c r="AO152" s="291">
        <f t="shared" si="289"/>
        <v>0</v>
      </c>
      <c r="AP152" s="291">
        <f t="shared" si="289"/>
        <v>0</v>
      </c>
      <c r="AQ152" s="291">
        <f t="shared" si="289"/>
        <v>0</v>
      </c>
      <c r="AR152" s="275"/>
      <c r="BK152" s="289"/>
      <c r="BL152" s="289"/>
      <c r="BM152" s="289"/>
      <c r="BO152" s="289"/>
      <c r="BP152" s="289"/>
      <c r="BQ152" s="289"/>
      <c r="BS152" s="289"/>
      <c r="BT152" s="289"/>
      <c r="BU152" s="289"/>
      <c r="BW152" s="289"/>
      <c r="BX152" s="289"/>
      <c r="BY152" s="289"/>
      <c r="CA152" s="289"/>
      <c r="CB152" s="289"/>
      <c r="CC152" s="289"/>
      <c r="CE152" s="289"/>
      <c r="CF152" s="289"/>
      <c r="CG152" s="289"/>
      <c r="CI152" s="289"/>
      <c r="CJ152" s="289"/>
      <c r="CK152" s="289"/>
    </row>
    <row r="153" spans="1:89" outlineLevel="1" x14ac:dyDescent="0.3">
      <c r="A153" s="290" t="s">
        <v>219</v>
      </c>
      <c r="B153" s="291">
        <f t="shared" si="287"/>
        <v>0</v>
      </c>
      <c r="C153" s="291">
        <f t="shared" si="287"/>
        <v>0</v>
      </c>
      <c r="D153" s="291">
        <f t="shared" si="287"/>
        <v>0</v>
      </c>
      <c r="E153" s="291">
        <f t="shared" si="287"/>
        <v>0</v>
      </c>
      <c r="F153" s="291">
        <f t="shared" si="287"/>
        <v>0</v>
      </c>
      <c r="G153" s="291">
        <f t="shared" si="287"/>
        <v>0</v>
      </c>
      <c r="H153" s="291">
        <f t="shared" si="287"/>
        <v>0</v>
      </c>
      <c r="I153" s="291">
        <f t="shared" si="287"/>
        <v>0</v>
      </c>
      <c r="J153" s="291">
        <f t="shared" si="287"/>
        <v>0</v>
      </c>
      <c r="K153" s="291">
        <f t="shared" si="287"/>
        <v>0</v>
      </c>
      <c r="L153" s="291">
        <f t="shared" si="287"/>
        <v>0</v>
      </c>
      <c r="M153" s="291">
        <f t="shared" si="287"/>
        <v>0</v>
      </c>
      <c r="N153" s="291">
        <f t="shared" si="287"/>
        <v>0</v>
      </c>
      <c r="O153" s="291">
        <f t="shared" si="287"/>
        <v>0</v>
      </c>
      <c r="P153" s="291">
        <f t="shared" si="287"/>
        <v>0</v>
      </c>
      <c r="Q153" s="291">
        <f t="shared" si="287"/>
        <v>0</v>
      </c>
      <c r="R153" s="291">
        <f t="shared" si="288"/>
        <v>0</v>
      </c>
      <c r="S153" s="291">
        <f t="shared" si="288"/>
        <v>0</v>
      </c>
      <c r="T153" s="291">
        <f t="shared" si="288"/>
        <v>0</v>
      </c>
      <c r="U153" s="291">
        <f t="shared" si="288"/>
        <v>0</v>
      </c>
      <c r="V153" s="291">
        <f t="shared" si="288"/>
        <v>0</v>
      </c>
      <c r="W153" s="291">
        <f t="shared" si="288"/>
        <v>0</v>
      </c>
      <c r="X153" s="291">
        <f t="shared" si="288"/>
        <v>0</v>
      </c>
      <c r="Y153" s="291">
        <f t="shared" si="288"/>
        <v>0</v>
      </c>
      <c r="Z153" s="291">
        <f t="shared" si="288"/>
        <v>0</v>
      </c>
      <c r="AA153" s="291">
        <f t="shared" si="288"/>
        <v>0</v>
      </c>
      <c r="AB153" s="291">
        <f t="shared" si="288"/>
        <v>0</v>
      </c>
      <c r="AC153" s="291">
        <f t="shared" si="288"/>
        <v>0</v>
      </c>
      <c r="AF153" s="291">
        <f t="shared" si="289"/>
        <v>0</v>
      </c>
      <c r="AG153" s="291">
        <f t="shared" si="289"/>
        <v>0</v>
      </c>
      <c r="AH153" s="291">
        <f t="shared" si="289"/>
        <v>0</v>
      </c>
      <c r="AI153" s="291">
        <f t="shared" si="289"/>
        <v>0</v>
      </c>
      <c r="AJ153" s="291">
        <f t="shared" si="289"/>
        <v>0</v>
      </c>
      <c r="AK153" s="291">
        <f t="shared" si="289"/>
        <v>0</v>
      </c>
      <c r="AL153" s="291">
        <f t="shared" si="289"/>
        <v>0</v>
      </c>
      <c r="AM153" s="291">
        <f t="shared" si="289"/>
        <v>0</v>
      </c>
      <c r="AN153" s="291">
        <f t="shared" si="289"/>
        <v>0</v>
      </c>
      <c r="AO153" s="291">
        <f t="shared" si="289"/>
        <v>0</v>
      </c>
      <c r="AP153" s="291">
        <f t="shared" si="289"/>
        <v>0</v>
      </c>
      <c r="AQ153" s="291">
        <f t="shared" si="289"/>
        <v>0</v>
      </c>
      <c r="AR153" s="275"/>
      <c r="BK153" s="289"/>
      <c r="BL153" s="289"/>
      <c r="BM153" s="289"/>
      <c r="BO153" s="289"/>
      <c r="BP153" s="289"/>
      <c r="BQ153" s="289"/>
      <c r="BS153" s="289"/>
      <c r="BT153" s="289"/>
      <c r="BU153" s="289"/>
      <c r="BW153" s="289"/>
      <c r="BX153" s="289"/>
      <c r="BY153" s="289"/>
      <c r="CA153" s="289"/>
      <c r="CB153" s="289"/>
      <c r="CC153" s="289"/>
      <c r="CE153" s="289"/>
      <c r="CF153" s="289"/>
      <c r="CG153" s="289"/>
      <c r="CI153" s="289"/>
      <c r="CJ153" s="289"/>
      <c r="CK153" s="289"/>
    </row>
    <row r="154" spans="1:89" outlineLevel="1" x14ac:dyDescent="0.3">
      <c r="A154" s="290" t="s">
        <v>150</v>
      </c>
      <c r="B154" s="291">
        <f t="shared" si="287"/>
        <v>2630</v>
      </c>
      <c r="C154" s="291">
        <f t="shared" si="287"/>
        <v>4740</v>
      </c>
      <c r="D154" s="291">
        <f t="shared" si="287"/>
        <v>4012</v>
      </c>
      <c r="E154" s="291">
        <f t="shared" si="287"/>
        <v>2525</v>
      </c>
      <c r="F154" s="291">
        <f t="shared" si="287"/>
        <v>1102</v>
      </c>
      <c r="G154" s="291">
        <f t="shared" si="287"/>
        <v>2276</v>
      </c>
      <c r="H154" s="291">
        <f t="shared" si="287"/>
        <v>3614</v>
      </c>
      <c r="I154" s="291">
        <f t="shared" si="287"/>
        <v>4287</v>
      </c>
      <c r="J154" s="291">
        <f t="shared" si="287"/>
        <v>3931</v>
      </c>
      <c r="K154" s="291">
        <f t="shared" si="287"/>
        <v>5578</v>
      </c>
      <c r="L154" s="291">
        <f t="shared" si="287"/>
        <v>6506</v>
      </c>
      <c r="M154" s="291">
        <f t="shared" si="287"/>
        <v>5650</v>
      </c>
      <c r="N154" s="291">
        <f t="shared" si="287"/>
        <v>5524</v>
      </c>
      <c r="O154" s="291">
        <f t="shared" si="287"/>
        <v>6133</v>
      </c>
      <c r="P154" s="291">
        <f t="shared" si="287"/>
        <v>5889</v>
      </c>
      <c r="Q154" s="291">
        <f t="shared" si="287"/>
        <v>3377</v>
      </c>
      <c r="R154" s="291">
        <f t="shared" si="288"/>
        <v>3539</v>
      </c>
      <c r="S154" s="291">
        <f t="shared" si="288"/>
        <v>4042</v>
      </c>
      <c r="T154" s="291">
        <f t="shared" si="288"/>
        <v>2679</v>
      </c>
      <c r="U154" s="291">
        <f t="shared" si="288"/>
        <v>2751</v>
      </c>
      <c r="V154" s="291">
        <f t="shared" si="288"/>
        <v>4577</v>
      </c>
      <c r="W154" s="291">
        <f t="shared" si="288"/>
        <v>3919</v>
      </c>
      <c r="X154" s="291">
        <f t="shared" si="288"/>
        <v>5476</v>
      </c>
      <c r="Y154" s="291">
        <f t="shared" si="288"/>
        <v>3987</v>
      </c>
      <c r="Z154" s="291">
        <f t="shared" si="288"/>
        <v>3545</v>
      </c>
      <c r="AA154" s="291">
        <f t="shared" si="288"/>
        <v>5315</v>
      </c>
      <c r="AB154" s="291">
        <f t="shared" si="288"/>
        <v>5034</v>
      </c>
      <c r="AC154" s="291">
        <f t="shared" si="288"/>
        <v>-13894</v>
      </c>
      <c r="AF154" s="291">
        <f t="shared" si="289"/>
        <v>20158</v>
      </c>
      <c r="AG154" s="291">
        <f t="shared" si="289"/>
        <v>20714</v>
      </c>
      <c r="AH154" s="291">
        <f t="shared" si="289"/>
        <v>29164</v>
      </c>
      <c r="AI154" s="291">
        <f t="shared" si="289"/>
        <v>25641</v>
      </c>
      <c r="AJ154" s="291">
        <f t="shared" si="289"/>
        <v>18437</v>
      </c>
      <c r="AK154" s="291">
        <f t="shared" si="289"/>
        <v>22441</v>
      </c>
      <c r="AL154" s="291">
        <f t="shared" si="289"/>
        <v>13907</v>
      </c>
      <c r="AM154" s="291">
        <f t="shared" si="289"/>
        <v>11279</v>
      </c>
      <c r="AN154" s="291">
        <f t="shared" si="289"/>
        <v>21665</v>
      </c>
      <c r="AO154" s="291">
        <f t="shared" si="289"/>
        <v>20923</v>
      </c>
      <c r="AP154" s="291">
        <f t="shared" si="289"/>
        <v>13011</v>
      </c>
      <c r="AQ154" s="291">
        <f t="shared" si="289"/>
        <v>17959</v>
      </c>
      <c r="AR154" s="275"/>
      <c r="BK154" s="289"/>
      <c r="BL154" s="289"/>
      <c r="BM154" s="289"/>
      <c r="BO154" s="289"/>
      <c r="BP154" s="289"/>
      <c r="BQ154" s="289"/>
      <c r="BS154" s="289"/>
      <c r="BT154" s="289"/>
      <c r="BU154" s="289"/>
      <c r="BW154" s="289"/>
      <c r="BX154" s="289"/>
      <c r="BY154" s="289"/>
      <c r="CA154" s="289"/>
      <c r="CB154" s="289"/>
      <c r="CC154" s="289"/>
      <c r="CE154" s="289"/>
      <c r="CF154" s="289"/>
      <c r="CG154" s="289"/>
      <c r="CI154" s="289"/>
      <c r="CJ154" s="289"/>
      <c r="CK154" s="289"/>
    </row>
    <row r="155" spans="1:89" outlineLevel="1" x14ac:dyDescent="0.3">
      <c r="A155" s="290" t="s">
        <v>220</v>
      </c>
      <c r="B155" s="291">
        <f t="shared" si="287"/>
        <v>127</v>
      </c>
      <c r="C155" s="291">
        <f t="shared" si="287"/>
        <v>161</v>
      </c>
      <c r="D155" s="291">
        <f t="shared" si="287"/>
        <v>85</v>
      </c>
      <c r="E155" s="291">
        <f t="shared" si="287"/>
        <v>232</v>
      </c>
      <c r="F155" s="291">
        <f t="shared" si="287"/>
        <v>8</v>
      </c>
      <c r="G155" s="291">
        <f t="shared" si="287"/>
        <v>77</v>
      </c>
      <c r="H155" s="291">
        <f t="shared" si="287"/>
        <v>149</v>
      </c>
      <c r="I155" s="291">
        <f t="shared" si="287"/>
        <v>215</v>
      </c>
      <c r="J155" s="291">
        <f t="shared" si="287"/>
        <v>81</v>
      </c>
      <c r="K155" s="291">
        <f t="shared" si="287"/>
        <v>280</v>
      </c>
      <c r="L155" s="291">
        <f t="shared" si="287"/>
        <v>254</v>
      </c>
      <c r="M155" s="291">
        <f t="shared" si="287"/>
        <v>326</v>
      </c>
      <c r="N155" s="291">
        <f t="shared" si="287"/>
        <v>68</v>
      </c>
      <c r="O155" s="291">
        <f t="shared" si="287"/>
        <v>39</v>
      </c>
      <c r="P155" s="291">
        <f t="shared" si="287"/>
        <v>169</v>
      </c>
      <c r="Q155" s="291">
        <f t="shared" si="287"/>
        <v>60</v>
      </c>
      <c r="R155" s="291">
        <f t="shared" si="288"/>
        <v>38</v>
      </c>
      <c r="S155" s="291">
        <f t="shared" si="288"/>
        <v>42</v>
      </c>
      <c r="T155" s="291">
        <f t="shared" si="288"/>
        <v>85</v>
      </c>
      <c r="U155" s="291">
        <f t="shared" si="288"/>
        <v>71</v>
      </c>
      <c r="V155" s="291">
        <f t="shared" si="288"/>
        <v>56</v>
      </c>
      <c r="W155" s="291">
        <f t="shared" si="288"/>
        <v>142</v>
      </c>
      <c r="X155" s="291">
        <f t="shared" si="288"/>
        <v>167</v>
      </c>
      <c r="Y155" s="291">
        <f t="shared" si="288"/>
        <v>345</v>
      </c>
      <c r="Z155" s="291">
        <f t="shared" si="288"/>
        <v>124</v>
      </c>
      <c r="AA155" s="291">
        <f t="shared" si="288"/>
        <v>212</v>
      </c>
      <c r="AB155" s="291">
        <f t="shared" si="288"/>
        <v>224</v>
      </c>
      <c r="AC155" s="291">
        <f t="shared" si="288"/>
        <v>-560</v>
      </c>
      <c r="AF155" s="291">
        <f t="shared" si="289"/>
        <v>371</v>
      </c>
      <c r="AG155" s="291">
        <f t="shared" si="289"/>
        <v>360</v>
      </c>
      <c r="AH155" s="291">
        <f t="shared" si="289"/>
        <v>503</v>
      </c>
      <c r="AI155" s="291">
        <f t="shared" si="289"/>
        <v>544</v>
      </c>
      <c r="AJ155" s="291">
        <f t="shared" si="289"/>
        <v>469</v>
      </c>
      <c r="AK155" s="291">
        <f t="shared" si="289"/>
        <v>582</v>
      </c>
      <c r="AL155" s="291">
        <f t="shared" si="289"/>
        <v>605</v>
      </c>
      <c r="AM155" s="291">
        <f t="shared" si="289"/>
        <v>449</v>
      </c>
      <c r="AN155" s="291">
        <f t="shared" si="289"/>
        <v>941</v>
      </c>
      <c r="AO155" s="291">
        <f t="shared" si="289"/>
        <v>336</v>
      </c>
      <c r="AP155" s="291">
        <f t="shared" si="289"/>
        <v>236</v>
      </c>
      <c r="AQ155" s="291">
        <f t="shared" si="289"/>
        <v>710</v>
      </c>
      <c r="AR155" s="275"/>
      <c r="BK155" s="289"/>
      <c r="BL155" s="289"/>
      <c r="BM155" s="289"/>
      <c r="BO155" s="289"/>
      <c r="BP155" s="289"/>
      <c r="BQ155" s="289"/>
      <c r="BS155" s="289"/>
      <c r="BT155" s="289"/>
      <c r="BU155" s="289"/>
      <c r="BW155" s="289"/>
      <c r="BX155" s="289"/>
      <c r="BY155" s="289"/>
      <c r="CA155" s="289"/>
      <c r="CB155" s="289"/>
      <c r="CC155" s="289"/>
      <c r="CE155" s="289"/>
      <c r="CF155" s="289"/>
      <c r="CG155" s="289"/>
      <c r="CI155" s="289"/>
      <c r="CJ155" s="289"/>
      <c r="CK155" s="289"/>
    </row>
    <row r="156" spans="1:89" outlineLevel="1" x14ac:dyDescent="0.3">
      <c r="A156" s="290" t="s">
        <v>221</v>
      </c>
      <c r="B156" s="291">
        <f t="shared" si="287"/>
        <v>0</v>
      </c>
      <c r="C156" s="291">
        <f t="shared" si="287"/>
        <v>0</v>
      </c>
      <c r="D156" s="291">
        <f t="shared" si="287"/>
        <v>0</v>
      </c>
      <c r="E156" s="291">
        <f t="shared" si="287"/>
        <v>0</v>
      </c>
      <c r="F156" s="291">
        <f t="shared" si="287"/>
        <v>0</v>
      </c>
      <c r="G156" s="291">
        <f t="shared" si="287"/>
        <v>0</v>
      </c>
      <c r="H156" s="291">
        <f t="shared" si="287"/>
        <v>0</v>
      </c>
      <c r="I156" s="291">
        <f t="shared" si="287"/>
        <v>0</v>
      </c>
      <c r="J156" s="291">
        <f t="shared" si="287"/>
        <v>0</v>
      </c>
      <c r="K156" s="291">
        <f t="shared" si="287"/>
        <v>0</v>
      </c>
      <c r="L156" s="291">
        <f t="shared" si="287"/>
        <v>0</v>
      </c>
      <c r="M156" s="291">
        <f t="shared" si="287"/>
        <v>0</v>
      </c>
      <c r="N156" s="291">
        <f t="shared" si="287"/>
        <v>0</v>
      </c>
      <c r="O156" s="291">
        <f t="shared" si="287"/>
        <v>0</v>
      </c>
      <c r="P156" s="291">
        <f t="shared" si="287"/>
        <v>0</v>
      </c>
      <c r="Q156" s="291">
        <f t="shared" si="287"/>
        <v>0</v>
      </c>
      <c r="R156" s="291">
        <f t="shared" si="288"/>
        <v>0</v>
      </c>
      <c r="S156" s="291">
        <f t="shared" si="288"/>
        <v>0</v>
      </c>
      <c r="T156" s="291">
        <f t="shared" si="288"/>
        <v>0</v>
      </c>
      <c r="U156" s="291">
        <f t="shared" si="288"/>
        <v>0</v>
      </c>
      <c r="V156" s="291">
        <f t="shared" si="288"/>
        <v>3</v>
      </c>
      <c r="W156" s="291">
        <f t="shared" si="288"/>
        <v>4</v>
      </c>
      <c r="X156" s="291">
        <f t="shared" si="288"/>
        <v>-3</v>
      </c>
      <c r="Y156" s="291">
        <f t="shared" si="288"/>
        <v>0</v>
      </c>
      <c r="Z156" s="291">
        <f t="shared" si="288"/>
        <v>0</v>
      </c>
      <c r="AA156" s="291">
        <f t="shared" si="288"/>
        <v>1</v>
      </c>
      <c r="AB156" s="291">
        <f t="shared" si="288"/>
        <v>31</v>
      </c>
      <c r="AC156" s="291">
        <f t="shared" si="288"/>
        <v>-32</v>
      </c>
      <c r="AF156" s="291">
        <f t="shared" si="289"/>
        <v>0</v>
      </c>
      <c r="AG156" s="291">
        <f t="shared" si="289"/>
        <v>0</v>
      </c>
      <c r="AH156" s="291">
        <f t="shared" si="289"/>
        <v>0</v>
      </c>
      <c r="AI156" s="291">
        <f t="shared" si="289"/>
        <v>0</v>
      </c>
      <c r="AJ156" s="291">
        <f t="shared" si="289"/>
        <v>0</v>
      </c>
      <c r="AK156" s="291">
        <f t="shared" si="289"/>
        <v>0</v>
      </c>
      <c r="AL156" s="291">
        <f t="shared" si="289"/>
        <v>0</v>
      </c>
      <c r="AM156" s="291">
        <f t="shared" si="289"/>
        <v>0</v>
      </c>
      <c r="AN156" s="291">
        <f t="shared" si="289"/>
        <v>0</v>
      </c>
      <c r="AO156" s="291">
        <f t="shared" si="289"/>
        <v>0</v>
      </c>
      <c r="AP156" s="291">
        <f t="shared" si="289"/>
        <v>0</v>
      </c>
      <c r="AQ156" s="291">
        <f t="shared" si="289"/>
        <v>4</v>
      </c>
      <c r="AR156" s="275"/>
      <c r="BK156" s="289"/>
      <c r="BL156" s="289"/>
      <c r="BM156" s="289"/>
      <c r="BO156" s="289"/>
      <c r="BP156" s="289"/>
      <c r="BQ156" s="289"/>
      <c r="BS156" s="289"/>
      <c r="BT156" s="289"/>
      <c r="BU156" s="289"/>
      <c r="BW156" s="289"/>
      <c r="BX156" s="289"/>
      <c r="BY156" s="289"/>
      <c r="CA156" s="289"/>
      <c r="CB156" s="289"/>
      <c r="CC156" s="289"/>
      <c r="CE156" s="289"/>
      <c r="CF156" s="289"/>
      <c r="CG156" s="289"/>
      <c r="CI156" s="289"/>
      <c r="CJ156" s="289"/>
      <c r="CK156" s="289"/>
    </row>
    <row r="157" spans="1:89" outlineLevel="1" x14ac:dyDescent="0.3">
      <c r="A157" s="290" t="s">
        <v>157</v>
      </c>
      <c r="B157" s="291">
        <f t="shared" si="287"/>
        <v>5302</v>
      </c>
      <c r="C157" s="291">
        <f t="shared" si="287"/>
        <v>9815</v>
      </c>
      <c r="D157" s="291">
        <f t="shared" si="287"/>
        <v>7249</v>
      </c>
      <c r="E157" s="291">
        <f t="shared" si="287"/>
        <v>6430</v>
      </c>
      <c r="F157" s="291">
        <f t="shared" si="287"/>
        <v>1187</v>
      </c>
      <c r="G157" s="291">
        <f t="shared" si="287"/>
        <v>3381</v>
      </c>
      <c r="H157" s="291">
        <f t="shared" si="287"/>
        <v>7119</v>
      </c>
      <c r="I157" s="291">
        <f t="shared" si="287"/>
        <v>8384</v>
      </c>
      <c r="J157" s="291">
        <f t="shared" si="287"/>
        <v>3549</v>
      </c>
      <c r="K157" s="291">
        <f t="shared" si="287"/>
        <v>11765</v>
      </c>
      <c r="L157" s="291">
        <f t="shared" si="287"/>
        <v>9517</v>
      </c>
      <c r="M157" s="291">
        <f t="shared" si="287"/>
        <v>9768</v>
      </c>
      <c r="N157" s="291">
        <f t="shared" si="287"/>
        <v>3423</v>
      </c>
      <c r="O157" s="291">
        <f t="shared" si="287"/>
        <v>8511</v>
      </c>
      <c r="P157" s="291">
        <f t="shared" si="287"/>
        <v>4185</v>
      </c>
      <c r="Q157" s="291">
        <f t="shared" si="287"/>
        <v>3993</v>
      </c>
      <c r="R157" s="291">
        <f t="shared" si="288"/>
        <v>3539</v>
      </c>
      <c r="S157" s="291">
        <f t="shared" si="288"/>
        <v>4854</v>
      </c>
      <c r="T157" s="291">
        <f t="shared" si="288"/>
        <v>4776</v>
      </c>
      <c r="U157" s="291">
        <f t="shared" si="288"/>
        <v>4508</v>
      </c>
      <c r="V157" s="291">
        <f t="shared" si="288"/>
        <v>3540</v>
      </c>
      <c r="W157" s="291">
        <f t="shared" si="288"/>
        <v>4293</v>
      </c>
      <c r="X157" s="291">
        <f t="shared" si="288"/>
        <v>4457</v>
      </c>
      <c r="Y157" s="291">
        <f t="shared" si="288"/>
        <v>5874</v>
      </c>
      <c r="Z157" s="291">
        <f t="shared" si="288"/>
        <v>5969</v>
      </c>
      <c r="AA157" s="291">
        <f t="shared" si="288"/>
        <v>7574</v>
      </c>
      <c r="AB157" s="291">
        <f t="shared" si="288"/>
        <v>7629</v>
      </c>
      <c r="AC157" s="291">
        <f t="shared" si="288"/>
        <v>-21172</v>
      </c>
      <c r="AF157" s="291">
        <f t="shared" si="289"/>
        <v>42911</v>
      </c>
      <c r="AG157" s="291">
        <f t="shared" si="289"/>
        <v>46160</v>
      </c>
      <c r="AH157" s="291">
        <f t="shared" si="289"/>
        <v>53704</v>
      </c>
      <c r="AI157" s="291">
        <f t="shared" si="289"/>
        <v>59819</v>
      </c>
      <c r="AJ157" s="291">
        <f t="shared" si="289"/>
        <v>49815</v>
      </c>
      <c r="AK157" s="291">
        <f t="shared" si="289"/>
        <v>50456</v>
      </c>
      <c r="AL157" s="291">
        <f t="shared" si="289"/>
        <v>28796</v>
      </c>
      <c r="AM157" s="291">
        <f t="shared" si="289"/>
        <v>20071</v>
      </c>
      <c r="AN157" s="291">
        <f t="shared" si="289"/>
        <v>34599</v>
      </c>
      <c r="AO157" s="291">
        <f t="shared" si="289"/>
        <v>20112</v>
      </c>
      <c r="AP157" s="291">
        <f t="shared" si="289"/>
        <v>17677</v>
      </c>
      <c r="AQ157" s="291">
        <f t="shared" si="289"/>
        <v>18164</v>
      </c>
      <c r="AR157" s="275"/>
      <c r="BK157" s="289"/>
      <c r="BL157" s="289"/>
      <c r="BM157" s="289"/>
      <c r="BO157" s="289"/>
      <c r="BP157" s="289"/>
      <c r="BQ157" s="289"/>
      <c r="BS157" s="289"/>
      <c r="BT157" s="289"/>
      <c r="BU157" s="289"/>
      <c r="BW157" s="289"/>
      <c r="BX157" s="289"/>
      <c r="BY157" s="289"/>
      <c r="CA157" s="289"/>
      <c r="CB157" s="289"/>
      <c r="CC157" s="289"/>
      <c r="CE157" s="289"/>
      <c r="CF157" s="289"/>
      <c r="CG157" s="289"/>
      <c r="CI157" s="289"/>
      <c r="CJ157" s="289"/>
      <c r="CK157" s="289"/>
    </row>
    <row r="158" spans="1:89" outlineLevel="1" x14ac:dyDescent="0.3">
      <c r="A158" s="290" t="s">
        <v>222</v>
      </c>
      <c r="B158" s="291">
        <f t="shared" si="287"/>
        <v>889</v>
      </c>
      <c r="C158" s="291">
        <f t="shared" si="287"/>
        <v>1157</v>
      </c>
      <c r="D158" s="291">
        <f t="shared" si="287"/>
        <v>1374</v>
      </c>
      <c r="E158" s="291">
        <f t="shared" si="287"/>
        <v>1148</v>
      </c>
      <c r="F158" s="291">
        <f t="shared" si="287"/>
        <v>577</v>
      </c>
      <c r="G158" s="291">
        <f t="shared" si="287"/>
        <v>1161</v>
      </c>
      <c r="H158" s="291">
        <f t="shared" si="287"/>
        <v>1406</v>
      </c>
      <c r="I158" s="291">
        <f t="shared" si="287"/>
        <v>1881</v>
      </c>
      <c r="J158" s="291">
        <f t="shared" si="287"/>
        <v>1670</v>
      </c>
      <c r="K158" s="291">
        <f t="shared" si="287"/>
        <v>2231</v>
      </c>
      <c r="L158" s="291">
        <f t="shared" si="287"/>
        <v>2419</v>
      </c>
      <c r="M158" s="291">
        <f t="shared" si="287"/>
        <v>2106</v>
      </c>
      <c r="N158" s="291">
        <f t="shared" si="287"/>
        <v>1722</v>
      </c>
      <c r="O158" s="291">
        <f t="shared" si="287"/>
        <v>1370</v>
      </c>
      <c r="P158" s="291">
        <f t="shared" si="287"/>
        <v>925</v>
      </c>
      <c r="Q158" s="291">
        <f t="shared" si="287"/>
        <v>916</v>
      </c>
      <c r="R158" s="291">
        <f t="shared" si="288"/>
        <v>757</v>
      </c>
      <c r="S158" s="291">
        <f t="shared" si="288"/>
        <v>1007</v>
      </c>
      <c r="T158" s="291">
        <f t="shared" si="288"/>
        <v>825</v>
      </c>
      <c r="U158" s="291">
        <f t="shared" si="288"/>
        <v>1132</v>
      </c>
      <c r="V158" s="291">
        <f t="shared" si="288"/>
        <v>1192</v>
      </c>
      <c r="W158" s="291">
        <f t="shared" si="288"/>
        <v>1130</v>
      </c>
      <c r="X158" s="291">
        <f t="shared" si="288"/>
        <v>1192</v>
      </c>
      <c r="Y158" s="291">
        <f t="shared" si="288"/>
        <v>1667</v>
      </c>
      <c r="Z158" s="291">
        <f t="shared" si="288"/>
        <v>1436</v>
      </c>
      <c r="AA158" s="291">
        <f t="shared" si="288"/>
        <v>1823</v>
      </c>
      <c r="AB158" s="291">
        <f t="shared" si="288"/>
        <v>2056</v>
      </c>
      <c r="AC158" s="291">
        <f t="shared" si="288"/>
        <v>-5315</v>
      </c>
      <c r="AF158" s="291">
        <f t="shared" si="289"/>
        <v>3970</v>
      </c>
      <c r="AG158" s="291">
        <f t="shared" si="289"/>
        <v>5702</v>
      </c>
      <c r="AH158" s="291">
        <f t="shared" si="289"/>
        <v>6512</v>
      </c>
      <c r="AI158" s="291">
        <f t="shared" si="289"/>
        <v>8035</v>
      </c>
      <c r="AJ158" s="291">
        <f t="shared" si="289"/>
        <v>9001</v>
      </c>
      <c r="AK158" s="291">
        <f t="shared" si="289"/>
        <v>10010</v>
      </c>
      <c r="AL158" s="291">
        <f t="shared" si="289"/>
        <v>4568</v>
      </c>
      <c r="AM158" s="291">
        <f t="shared" si="289"/>
        <v>5025</v>
      </c>
      <c r="AN158" s="291">
        <f t="shared" si="289"/>
        <v>8426</v>
      </c>
      <c r="AO158" s="291">
        <f t="shared" si="289"/>
        <v>4933</v>
      </c>
      <c r="AP158" s="291">
        <f t="shared" si="289"/>
        <v>3721</v>
      </c>
      <c r="AQ158" s="291">
        <f t="shared" si="289"/>
        <v>5181</v>
      </c>
      <c r="AR158" s="275"/>
      <c r="BK158" s="289"/>
      <c r="BL158" s="289"/>
      <c r="BM158" s="289"/>
      <c r="BO158" s="289"/>
      <c r="BP158" s="289"/>
      <c r="BQ158" s="289"/>
      <c r="BS158" s="289"/>
      <c r="BT158" s="289"/>
      <c r="BU158" s="289"/>
      <c r="BW158" s="289"/>
      <c r="BX158" s="289"/>
      <c r="BY158" s="289"/>
      <c r="CA158" s="289"/>
      <c r="CB158" s="289"/>
      <c r="CC158" s="289"/>
      <c r="CE158" s="289"/>
      <c r="CF158" s="289"/>
      <c r="CG158" s="289"/>
      <c r="CI158" s="289"/>
      <c r="CJ158" s="289"/>
      <c r="CK158" s="289"/>
    </row>
    <row r="159" spans="1:89" outlineLevel="1" x14ac:dyDescent="0.3">
      <c r="A159" s="290" t="s">
        <v>223</v>
      </c>
      <c r="B159" s="291">
        <f t="shared" si="287"/>
        <v>0</v>
      </c>
      <c r="C159" s="291">
        <f t="shared" si="287"/>
        <v>0</v>
      </c>
      <c r="D159" s="291">
        <f t="shared" si="287"/>
        <v>0</v>
      </c>
      <c r="E159" s="291">
        <f t="shared" si="287"/>
        <v>0</v>
      </c>
      <c r="F159" s="291">
        <f t="shared" si="287"/>
        <v>0</v>
      </c>
      <c r="G159" s="291">
        <f t="shared" si="287"/>
        <v>0</v>
      </c>
      <c r="H159" s="291">
        <f t="shared" si="287"/>
        <v>0</v>
      </c>
      <c r="I159" s="291">
        <f t="shared" si="287"/>
        <v>0</v>
      </c>
      <c r="J159" s="291">
        <f t="shared" si="287"/>
        <v>0</v>
      </c>
      <c r="K159" s="291">
        <f t="shared" si="287"/>
        <v>0</v>
      </c>
      <c r="L159" s="291">
        <f t="shared" si="287"/>
        <v>0</v>
      </c>
      <c r="M159" s="291">
        <f t="shared" si="287"/>
        <v>0</v>
      </c>
      <c r="N159" s="291">
        <f t="shared" si="287"/>
        <v>0</v>
      </c>
      <c r="O159" s="291">
        <f t="shared" si="287"/>
        <v>0</v>
      </c>
      <c r="P159" s="291">
        <f t="shared" si="287"/>
        <v>0</v>
      </c>
      <c r="Q159" s="291">
        <f t="shared" si="287"/>
        <v>0</v>
      </c>
      <c r="R159" s="291">
        <f t="shared" si="288"/>
        <v>0</v>
      </c>
      <c r="S159" s="291">
        <f t="shared" si="288"/>
        <v>0</v>
      </c>
      <c r="T159" s="291">
        <f t="shared" si="288"/>
        <v>0</v>
      </c>
      <c r="U159" s="291">
        <f t="shared" si="288"/>
        <v>0</v>
      </c>
      <c r="V159" s="291">
        <f t="shared" si="288"/>
        <v>0</v>
      </c>
      <c r="W159" s="291">
        <f t="shared" si="288"/>
        <v>0</v>
      </c>
      <c r="X159" s="291">
        <f t="shared" si="288"/>
        <v>0</v>
      </c>
      <c r="Y159" s="291">
        <f t="shared" si="288"/>
        <v>0</v>
      </c>
      <c r="Z159" s="291">
        <f t="shared" si="288"/>
        <v>0</v>
      </c>
      <c r="AA159" s="291">
        <f t="shared" si="288"/>
        <v>0</v>
      </c>
      <c r="AB159" s="291">
        <f t="shared" si="288"/>
        <v>0</v>
      </c>
      <c r="AC159" s="291">
        <f t="shared" si="288"/>
        <v>0</v>
      </c>
      <c r="AF159" s="291">
        <f t="shared" si="289"/>
        <v>0</v>
      </c>
      <c r="AG159" s="291">
        <f t="shared" si="289"/>
        <v>0</v>
      </c>
      <c r="AH159" s="291">
        <f t="shared" si="289"/>
        <v>0</v>
      </c>
      <c r="AI159" s="291">
        <f t="shared" si="289"/>
        <v>0</v>
      </c>
      <c r="AJ159" s="291">
        <f t="shared" si="289"/>
        <v>0</v>
      </c>
      <c r="AK159" s="291">
        <f t="shared" si="289"/>
        <v>0</v>
      </c>
      <c r="AL159" s="291">
        <f t="shared" si="289"/>
        <v>0</v>
      </c>
      <c r="AM159" s="291">
        <f t="shared" si="289"/>
        <v>0</v>
      </c>
      <c r="AN159" s="291">
        <f t="shared" si="289"/>
        <v>0</v>
      </c>
      <c r="AO159" s="291">
        <f t="shared" si="289"/>
        <v>0</v>
      </c>
      <c r="AP159" s="291">
        <f t="shared" si="289"/>
        <v>0</v>
      </c>
      <c r="AQ159" s="291">
        <f t="shared" si="289"/>
        <v>0</v>
      </c>
      <c r="AR159" s="275"/>
      <c r="BK159" s="289"/>
      <c r="BL159" s="289"/>
      <c r="BM159" s="289"/>
      <c r="BO159" s="289"/>
      <c r="BP159" s="289"/>
      <c r="BQ159" s="289"/>
      <c r="BS159" s="289"/>
      <c r="BT159" s="289"/>
      <c r="BU159" s="289"/>
      <c r="BW159" s="289"/>
      <c r="BX159" s="289"/>
      <c r="BY159" s="289"/>
      <c r="CA159" s="289"/>
      <c r="CB159" s="289"/>
      <c r="CC159" s="289"/>
      <c r="CE159" s="289"/>
      <c r="CF159" s="289"/>
      <c r="CG159" s="289"/>
      <c r="CI159" s="289"/>
      <c r="CJ159" s="289"/>
      <c r="CK159" s="289"/>
    </row>
    <row r="160" spans="1:89" outlineLevel="1" x14ac:dyDescent="0.3">
      <c r="A160" s="290" t="s">
        <v>226</v>
      </c>
      <c r="B160" s="291">
        <f t="shared" si="287"/>
        <v>0</v>
      </c>
      <c r="C160" s="291">
        <f t="shared" si="287"/>
        <v>0</v>
      </c>
      <c r="D160" s="291">
        <f t="shared" si="287"/>
        <v>0</v>
      </c>
      <c r="E160" s="291">
        <f t="shared" si="287"/>
        <v>0</v>
      </c>
      <c r="F160" s="291">
        <f t="shared" si="287"/>
        <v>0</v>
      </c>
      <c r="G160" s="291">
        <f t="shared" si="287"/>
        <v>0</v>
      </c>
      <c r="H160" s="291">
        <f t="shared" si="287"/>
        <v>0</v>
      </c>
      <c r="I160" s="291">
        <f t="shared" si="287"/>
        <v>0</v>
      </c>
      <c r="J160" s="291">
        <f t="shared" si="287"/>
        <v>0</v>
      </c>
      <c r="K160" s="291">
        <f t="shared" si="287"/>
        <v>0</v>
      </c>
      <c r="L160" s="291">
        <f t="shared" si="287"/>
        <v>0</v>
      </c>
      <c r="M160" s="291">
        <f t="shared" si="287"/>
        <v>0</v>
      </c>
      <c r="N160" s="291">
        <f t="shared" si="287"/>
        <v>0</v>
      </c>
      <c r="O160" s="291">
        <f t="shared" si="287"/>
        <v>0</v>
      </c>
      <c r="P160" s="291">
        <f t="shared" si="287"/>
        <v>0</v>
      </c>
      <c r="Q160" s="291">
        <f t="shared" si="287"/>
        <v>0</v>
      </c>
      <c r="R160" s="291">
        <f t="shared" si="288"/>
        <v>0</v>
      </c>
      <c r="S160" s="291">
        <f t="shared" si="288"/>
        <v>0</v>
      </c>
      <c r="T160" s="291">
        <f t="shared" si="288"/>
        <v>0</v>
      </c>
      <c r="U160" s="291">
        <f t="shared" si="288"/>
        <v>0</v>
      </c>
      <c r="V160" s="291">
        <f t="shared" si="288"/>
        <v>0</v>
      </c>
      <c r="W160" s="291">
        <f t="shared" si="288"/>
        <v>0</v>
      </c>
      <c r="X160" s="291">
        <f t="shared" si="288"/>
        <v>0</v>
      </c>
      <c r="Y160" s="291">
        <f t="shared" si="288"/>
        <v>0</v>
      </c>
      <c r="Z160" s="291">
        <f t="shared" si="288"/>
        <v>0</v>
      </c>
      <c r="AA160" s="291">
        <f t="shared" si="288"/>
        <v>0</v>
      </c>
      <c r="AB160" s="291">
        <f t="shared" si="288"/>
        <v>0</v>
      </c>
      <c r="AC160" s="291">
        <f t="shared" si="288"/>
        <v>0</v>
      </c>
      <c r="AF160" s="291">
        <f t="shared" si="289"/>
        <v>0</v>
      </c>
      <c r="AG160" s="291">
        <f t="shared" si="289"/>
        <v>0</v>
      </c>
      <c r="AH160" s="291">
        <f t="shared" si="289"/>
        <v>0</v>
      </c>
      <c r="AI160" s="291">
        <f t="shared" si="289"/>
        <v>0</v>
      </c>
      <c r="AJ160" s="291">
        <f t="shared" si="289"/>
        <v>0</v>
      </c>
      <c r="AK160" s="291">
        <f t="shared" si="289"/>
        <v>0</v>
      </c>
      <c r="AL160" s="291">
        <f t="shared" si="289"/>
        <v>0</v>
      </c>
      <c r="AM160" s="291">
        <f t="shared" si="289"/>
        <v>0</v>
      </c>
      <c r="AN160" s="291">
        <f t="shared" si="289"/>
        <v>0</v>
      </c>
      <c r="AO160" s="291">
        <f t="shared" si="289"/>
        <v>0</v>
      </c>
      <c r="AP160" s="291">
        <f t="shared" si="289"/>
        <v>0</v>
      </c>
      <c r="AQ160" s="291">
        <f t="shared" si="289"/>
        <v>0</v>
      </c>
      <c r="AR160" s="275"/>
      <c r="BK160" s="289"/>
      <c r="BL160" s="289"/>
      <c r="BM160" s="289"/>
      <c r="BO160" s="289"/>
      <c r="BP160" s="289"/>
      <c r="BQ160" s="289"/>
      <c r="BS160" s="289"/>
      <c r="BT160" s="289"/>
      <c r="BU160" s="289"/>
      <c r="BW160" s="289"/>
      <c r="BX160" s="289"/>
      <c r="BY160" s="289"/>
      <c r="CA160" s="289"/>
      <c r="CB160" s="289"/>
      <c r="CC160" s="289"/>
      <c r="CE160" s="289"/>
      <c r="CF160" s="289"/>
      <c r="CG160" s="289"/>
      <c r="CI160" s="289"/>
      <c r="CJ160" s="289"/>
      <c r="CK160" s="289"/>
    </row>
    <row r="161" spans="1:89" outlineLevel="1" x14ac:dyDescent="0.3">
      <c r="A161" s="290" t="s">
        <v>227</v>
      </c>
      <c r="B161" s="291">
        <f t="shared" si="287"/>
        <v>0</v>
      </c>
      <c r="C161" s="291">
        <f t="shared" si="287"/>
        <v>0</v>
      </c>
      <c r="D161" s="291">
        <f t="shared" si="287"/>
        <v>0</v>
      </c>
      <c r="E161" s="291">
        <f t="shared" si="287"/>
        <v>0</v>
      </c>
      <c r="F161" s="291">
        <f t="shared" si="287"/>
        <v>0</v>
      </c>
      <c r="G161" s="291">
        <f t="shared" si="287"/>
        <v>0</v>
      </c>
      <c r="H161" s="291">
        <f t="shared" si="287"/>
        <v>0</v>
      </c>
      <c r="I161" s="291">
        <f t="shared" si="287"/>
        <v>0</v>
      </c>
      <c r="J161" s="291">
        <f t="shared" si="287"/>
        <v>0</v>
      </c>
      <c r="K161" s="291">
        <f t="shared" si="287"/>
        <v>0</v>
      </c>
      <c r="L161" s="291">
        <f t="shared" si="287"/>
        <v>0</v>
      </c>
      <c r="M161" s="291">
        <f t="shared" si="287"/>
        <v>0</v>
      </c>
      <c r="N161" s="291">
        <f t="shared" si="287"/>
        <v>0</v>
      </c>
      <c r="O161" s="291">
        <f t="shared" si="287"/>
        <v>0</v>
      </c>
      <c r="P161" s="291">
        <f t="shared" si="287"/>
        <v>0</v>
      </c>
      <c r="Q161" s="291">
        <f t="shared" si="287"/>
        <v>0</v>
      </c>
      <c r="R161" s="291">
        <f t="shared" si="288"/>
        <v>0</v>
      </c>
      <c r="S161" s="291">
        <f t="shared" si="288"/>
        <v>0</v>
      </c>
      <c r="T161" s="291">
        <f t="shared" si="288"/>
        <v>0</v>
      </c>
      <c r="U161" s="291">
        <f t="shared" si="288"/>
        <v>0</v>
      </c>
      <c r="V161" s="291">
        <f t="shared" si="288"/>
        <v>0</v>
      </c>
      <c r="W161" s="291">
        <f t="shared" si="288"/>
        <v>0</v>
      </c>
      <c r="X161" s="291">
        <f t="shared" si="288"/>
        <v>0</v>
      </c>
      <c r="Y161" s="291">
        <f t="shared" si="288"/>
        <v>0</v>
      </c>
      <c r="Z161" s="291">
        <f t="shared" si="288"/>
        <v>0</v>
      </c>
      <c r="AA161" s="291">
        <f t="shared" si="288"/>
        <v>0</v>
      </c>
      <c r="AB161" s="291">
        <f t="shared" si="288"/>
        <v>0</v>
      </c>
      <c r="AC161" s="291">
        <f t="shared" si="288"/>
        <v>0</v>
      </c>
      <c r="AF161" s="291">
        <f t="shared" si="289"/>
        <v>0</v>
      </c>
      <c r="AG161" s="291">
        <f t="shared" si="289"/>
        <v>0</v>
      </c>
      <c r="AH161" s="291">
        <f t="shared" si="289"/>
        <v>0</v>
      </c>
      <c r="AI161" s="291">
        <f t="shared" si="289"/>
        <v>0</v>
      </c>
      <c r="AJ161" s="291">
        <f t="shared" si="289"/>
        <v>0</v>
      </c>
      <c r="AK161" s="291">
        <f t="shared" si="289"/>
        <v>0</v>
      </c>
      <c r="AL161" s="291">
        <f t="shared" si="289"/>
        <v>0</v>
      </c>
      <c r="AM161" s="291">
        <f t="shared" si="289"/>
        <v>0</v>
      </c>
      <c r="AN161" s="291">
        <f t="shared" si="289"/>
        <v>0</v>
      </c>
      <c r="AO161" s="291">
        <f t="shared" si="289"/>
        <v>0</v>
      </c>
      <c r="AP161" s="291">
        <f t="shared" si="289"/>
        <v>0</v>
      </c>
      <c r="AQ161" s="291">
        <f t="shared" si="289"/>
        <v>0</v>
      </c>
      <c r="AR161" s="275"/>
      <c r="BK161" s="289"/>
      <c r="BL161" s="289"/>
      <c r="BM161" s="289"/>
      <c r="BO161" s="289"/>
      <c r="BP161" s="289"/>
      <c r="BQ161" s="289"/>
      <c r="BS161" s="289"/>
      <c r="BT161" s="289"/>
      <c r="BU161" s="289"/>
      <c r="BW161" s="289"/>
      <c r="BX161" s="289"/>
      <c r="BY161" s="289"/>
      <c r="CA161" s="289"/>
      <c r="CB161" s="289"/>
      <c r="CC161" s="289"/>
      <c r="CE161" s="289"/>
      <c r="CF161" s="289"/>
      <c r="CG161" s="289"/>
      <c r="CI161" s="289"/>
      <c r="CJ161" s="289"/>
      <c r="CK161" s="289"/>
    </row>
    <row r="162" spans="1:89" outlineLevel="1" x14ac:dyDescent="0.3">
      <c r="A162" s="290" t="s">
        <v>187</v>
      </c>
      <c r="B162" s="291">
        <f t="shared" si="287"/>
        <v>0</v>
      </c>
      <c r="C162" s="291">
        <f t="shared" si="287"/>
        <v>0</v>
      </c>
      <c r="D162" s="291">
        <f t="shared" si="287"/>
        <v>0</v>
      </c>
      <c r="E162" s="291">
        <f t="shared" si="287"/>
        <v>0</v>
      </c>
      <c r="F162" s="291">
        <f t="shared" si="287"/>
        <v>0</v>
      </c>
      <c r="G162" s="291">
        <f t="shared" si="287"/>
        <v>0</v>
      </c>
      <c r="H162" s="291">
        <f t="shared" si="287"/>
        <v>0</v>
      </c>
      <c r="I162" s="291">
        <f t="shared" si="287"/>
        <v>0</v>
      </c>
      <c r="J162" s="291">
        <f t="shared" si="287"/>
        <v>3104</v>
      </c>
      <c r="K162" s="291">
        <f t="shared" si="287"/>
        <v>-3104</v>
      </c>
      <c r="L162" s="291">
        <f t="shared" si="287"/>
        <v>0</v>
      </c>
      <c r="M162" s="291">
        <f t="shared" si="287"/>
        <v>0</v>
      </c>
      <c r="N162" s="291">
        <f t="shared" si="287"/>
        <v>1775</v>
      </c>
      <c r="O162" s="291">
        <f t="shared" si="287"/>
        <v>-1775</v>
      </c>
      <c r="P162" s="291">
        <f t="shared" si="287"/>
        <v>0</v>
      </c>
      <c r="Q162" s="291">
        <f t="shared" si="287"/>
        <v>0</v>
      </c>
      <c r="R162" s="291">
        <f t="shared" si="288"/>
        <v>0</v>
      </c>
      <c r="S162" s="291">
        <f t="shared" si="288"/>
        <v>0</v>
      </c>
      <c r="T162" s="291">
        <f t="shared" si="288"/>
        <v>0</v>
      </c>
      <c r="U162" s="291">
        <f t="shared" si="288"/>
        <v>0</v>
      </c>
      <c r="V162" s="291">
        <f t="shared" si="288"/>
        <v>0</v>
      </c>
      <c r="W162" s="291">
        <f t="shared" si="288"/>
        <v>0</v>
      </c>
      <c r="X162" s="291">
        <f t="shared" si="288"/>
        <v>0</v>
      </c>
      <c r="Y162" s="291">
        <f t="shared" si="288"/>
        <v>0</v>
      </c>
      <c r="Z162" s="291">
        <f t="shared" si="288"/>
        <v>0</v>
      </c>
      <c r="AA162" s="291">
        <f t="shared" si="288"/>
        <v>0</v>
      </c>
      <c r="AB162" s="291">
        <f t="shared" si="288"/>
        <v>0</v>
      </c>
      <c r="AC162" s="291">
        <f t="shared" si="288"/>
        <v>0</v>
      </c>
      <c r="AF162" s="291">
        <f t="shared" si="289"/>
        <v>0</v>
      </c>
      <c r="AG162" s="291">
        <f t="shared" si="289"/>
        <v>0</v>
      </c>
      <c r="AH162" s="291">
        <f t="shared" si="289"/>
        <v>0</v>
      </c>
      <c r="AI162" s="291">
        <f t="shared" si="289"/>
        <v>0</v>
      </c>
      <c r="AJ162" s="291">
        <f t="shared" si="289"/>
        <v>0</v>
      </c>
      <c r="AK162" s="291">
        <f t="shared" si="289"/>
        <v>0</v>
      </c>
      <c r="AL162" s="291">
        <f t="shared" si="289"/>
        <v>0</v>
      </c>
      <c r="AM162" s="291">
        <f t="shared" si="289"/>
        <v>0</v>
      </c>
      <c r="AN162" s="291">
        <f t="shared" si="289"/>
        <v>0</v>
      </c>
      <c r="AO162" s="291">
        <f t="shared" si="289"/>
        <v>0</v>
      </c>
      <c r="AP162" s="291">
        <f t="shared" si="289"/>
        <v>0</v>
      </c>
      <c r="AQ162" s="291">
        <f t="shared" si="289"/>
        <v>0</v>
      </c>
      <c r="AR162" s="275"/>
      <c r="BK162" s="289"/>
      <c r="BL162" s="289"/>
      <c r="BM162" s="289"/>
      <c r="BO162" s="289"/>
      <c r="BP162" s="289"/>
      <c r="BQ162" s="289"/>
      <c r="BS162" s="289"/>
      <c r="BT162" s="289"/>
      <c r="BU162" s="289"/>
      <c r="BW162" s="289"/>
      <c r="BX162" s="289"/>
      <c r="BY162" s="289"/>
      <c r="CA162" s="289"/>
      <c r="CB162" s="289"/>
      <c r="CC162" s="289"/>
      <c r="CE162" s="289"/>
      <c r="CF162" s="289"/>
      <c r="CG162" s="289"/>
      <c r="CI162" s="289"/>
      <c r="CJ162" s="289"/>
      <c r="CK162" s="289"/>
    </row>
    <row r="163" spans="1:89" outlineLevel="1" x14ac:dyDescent="0.3">
      <c r="A163" s="290" t="s">
        <v>228</v>
      </c>
      <c r="B163" s="291">
        <f t="shared" si="287"/>
        <v>0</v>
      </c>
      <c r="C163" s="291">
        <f t="shared" si="287"/>
        <v>0</v>
      </c>
      <c r="D163" s="291">
        <f t="shared" si="287"/>
        <v>0</v>
      </c>
      <c r="E163" s="291">
        <f t="shared" si="287"/>
        <v>0</v>
      </c>
      <c r="F163" s="291">
        <f t="shared" si="287"/>
        <v>0</v>
      </c>
      <c r="G163" s="291">
        <f t="shared" si="287"/>
        <v>0</v>
      </c>
      <c r="H163" s="291">
        <f t="shared" si="287"/>
        <v>0</v>
      </c>
      <c r="I163" s="291">
        <f t="shared" si="287"/>
        <v>0</v>
      </c>
      <c r="J163" s="291">
        <f t="shared" si="287"/>
        <v>0</v>
      </c>
      <c r="K163" s="291">
        <f t="shared" si="287"/>
        <v>0</v>
      </c>
      <c r="L163" s="291">
        <f t="shared" si="287"/>
        <v>0</v>
      </c>
      <c r="M163" s="291">
        <f t="shared" si="287"/>
        <v>0</v>
      </c>
      <c r="N163" s="291">
        <f t="shared" si="287"/>
        <v>0</v>
      </c>
      <c r="O163" s="291">
        <f t="shared" si="287"/>
        <v>0</v>
      </c>
      <c r="P163" s="291">
        <f t="shared" si="287"/>
        <v>0</v>
      </c>
      <c r="Q163" s="291">
        <f t="shared" ref="L163:AA168" si="290">SUMIF($A$88:$A$145,$A163,Q$88:Q$145)</f>
        <v>0</v>
      </c>
      <c r="R163" s="291">
        <f t="shared" si="290"/>
        <v>0</v>
      </c>
      <c r="S163" s="291">
        <f t="shared" si="290"/>
        <v>0</v>
      </c>
      <c r="T163" s="291">
        <f t="shared" si="290"/>
        <v>0</v>
      </c>
      <c r="U163" s="291">
        <f t="shared" si="290"/>
        <v>0</v>
      </c>
      <c r="V163" s="291">
        <f t="shared" si="288"/>
        <v>0</v>
      </c>
      <c r="W163" s="291">
        <f t="shared" si="288"/>
        <v>0</v>
      </c>
      <c r="X163" s="291">
        <f t="shared" si="288"/>
        <v>0</v>
      </c>
      <c r="Y163" s="291">
        <f t="shared" si="288"/>
        <v>0</v>
      </c>
      <c r="Z163" s="291">
        <f t="shared" si="288"/>
        <v>0</v>
      </c>
      <c r="AA163" s="291">
        <f t="shared" si="288"/>
        <v>0</v>
      </c>
      <c r="AB163" s="291">
        <f t="shared" si="288"/>
        <v>0</v>
      </c>
      <c r="AC163" s="291">
        <f t="shared" si="288"/>
        <v>0</v>
      </c>
      <c r="AF163" s="291">
        <f t="shared" si="289"/>
        <v>0</v>
      </c>
      <c r="AG163" s="291">
        <f t="shared" si="289"/>
        <v>0</v>
      </c>
      <c r="AH163" s="291">
        <f t="shared" si="289"/>
        <v>0</v>
      </c>
      <c r="AI163" s="291">
        <f t="shared" si="289"/>
        <v>0</v>
      </c>
      <c r="AJ163" s="291">
        <f t="shared" si="289"/>
        <v>0</v>
      </c>
      <c r="AK163" s="291">
        <f t="shared" si="289"/>
        <v>0</v>
      </c>
      <c r="AL163" s="291">
        <f t="shared" si="289"/>
        <v>0</v>
      </c>
      <c r="AM163" s="291">
        <f t="shared" si="289"/>
        <v>0</v>
      </c>
      <c r="AN163" s="291">
        <f t="shared" si="289"/>
        <v>0</v>
      </c>
      <c r="AO163" s="291">
        <f t="shared" si="289"/>
        <v>0</v>
      </c>
      <c r="AP163" s="291">
        <f t="shared" si="289"/>
        <v>0</v>
      </c>
      <c r="AQ163" s="291">
        <f t="shared" si="289"/>
        <v>0</v>
      </c>
      <c r="AR163" s="275"/>
      <c r="BK163" s="289"/>
      <c r="BL163" s="289"/>
      <c r="BM163" s="289"/>
      <c r="BO163" s="289"/>
      <c r="BP163" s="289"/>
      <c r="BQ163" s="289"/>
      <c r="BS163" s="289"/>
      <c r="BT163" s="289"/>
      <c r="BU163" s="289"/>
      <c r="BW163" s="289"/>
      <c r="BX163" s="289"/>
      <c r="BY163" s="289"/>
      <c r="CA163" s="289"/>
      <c r="CB163" s="289"/>
      <c r="CC163" s="289"/>
      <c r="CE163" s="289"/>
      <c r="CF163" s="289"/>
      <c r="CG163" s="289"/>
      <c r="CI163" s="289"/>
      <c r="CJ163" s="289"/>
      <c r="CK163" s="289"/>
    </row>
    <row r="164" spans="1:89" outlineLevel="1" x14ac:dyDescent="0.3">
      <c r="A164" s="290" t="s">
        <v>158</v>
      </c>
      <c r="B164" s="291">
        <f t="shared" ref="B164:K168" si="291">SUMIF($A$88:$A$145,$A164,B$88:B$145)</f>
        <v>0</v>
      </c>
      <c r="C164" s="291">
        <f t="shared" si="291"/>
        <v>0</v>
      </c>
      <c r="D164" s="291">
        <f t="shared" si="291"/>
        <v>0</v>
      </c>
      <c r="E164" s="291">
        <f t="shared" si="291"/>
        <v>0</v>
      </c>
      <c r="F164" s="291">
        <f t="shared" si="291"/>
        <v>0</v>
      </c>
      <c r="G164" s="291">
        <f t="shared" si="291"/>
        <v>0</v>
      </c>
      <c r="H164" s="291">
        <f t="shared" si="291"/>
        <v>0</v>
      </c>
      <c r="I164" s="291">
        <f t="shared" si="291"/>
        <v>0</v>
      </c>
      <c r="J164" s="291">
        <f t="shared" si="291"/>
        <v>0</v>
      </c>
      <c r="K164" s="291">
        <f t="shared" si="291"/>
        <v>0</v>
      </c>
      <c r="L164" s="291">
        <f t="shared" si="290"/>
        <v>0</v>
      </c>
      <c r="M164" s="291">
        <f t="shared" si="290"/>
        <v>0</v>
      </c>
      <c r="N164" s="291">
        <f t="shared" si="290"/>
        <v>0</v>
      </c>
      <c r="O164" s="291">
        <f t="shared" si="290"/>
        <v>0</v>
      </c>
      <c r="P164" s="291">
        <f t="shared" si="290"/>
        <v>0</v>
      </c>
      <c r="Q164" s="291">
        <f t="shared" si="290"/>
        <v>0</v>
      </c>
      <c r="R164" s="291">
        <f t="shared" si="290"/>
        <v>0</v>
      </c>
      <c r="S164" s="291">
        <f t="shared" si="290"/>
        <v>0</v>
      </c>
      <c r="T164" s="291">
        <f t="shared" si="290"/>
        <v>0</v>
      </c>
      <c r="U164" s="291">
        <f t="shared" si="290"/>
        <v>0</v>
      </c>
      <c r="V164" s="291">
        <f t="shared" si="290"/>
        <v>0</v>
      </c>
      <c r="W164" s="291">
        <f t="shared" si="290"/>
        <v>0</v>
      </c>
      <c r="X164" s="291">
        <f t="shared" si="290"/>
        <v>0</v>
      </c>
      <c r="Y164" s="291">
        <f t="shared" si="290"/>
        <v>0</v>
      </c>
      <c r="Z164" s="291">
        <f t="shared" si="290"/>
        <v>0</v>
      </c>
      <c r="AA164" s="291">
        <f t="shared" si="290"/>
        <v>0</v>
      </c>
      <c r="AB164" s="291">
        <f t="shared" ref="V164:AC168" si="292">SUMIF($A$88:$A$145,$A164,AB$88:AB$145)</f>
        <v>0</v>
      </c>
      <c r="AC164" s="291">
        <f t="shared" si="292"/>
        <v>0</v>
      </c>
      <c r="AF164" s="291">
        <f t="shared" ref="AF164:AQ168" si="293">SUMIF($A$88:$A$145,$A164,AF$88:AF$145)</f>
        <v>0</v>
      </c>
      <c r="AG164" s="291">
        <f t="shared" si="293"/>
        <v>0</v>
      </c>
      <c r="AH164" s="291">
        <f t="shared" si="293"/>
        <v>0</v>
      </c>
      <c r="AI164" s="291">
        <f t="shared" si="293"/>
        <v>0</v>
      </c>
      <c r="AJ164" s="291">
        <f t="shared" si="293"/>
        <v>0</v>
      </c>
      <c r="AK164" s="291">
        <f t="shared" si="293"/>
        <v>0</v>
      </c>
      <c r="AL164" s="291">
        <f t="shared" si="293"/>
        <v>0</v>
      </c>
      <c r="AM164" s="291">
        <f t="shared" si="293"/>
        <v>0</v>
      </c>
      <c r="AN164" s="291">
        <f t="shared" si="293"/>
        <v>0</v>
      </c>
      <c r="AO164" s="291">
        <f t="shared" si="293"/>
        <v>0</v>
      </c>
      <c r="AP164" s="291">
        <f t="shared" si="293"/>
        <v>0</v>
      </c>
      <c r="AQ164" s="291">
        <f t="shared" si="293"/>
        <v>0</v>
      </c>
      <c r="AR164" s="275"/>
      <c r="BK164" s="289"/>
      <c r="BL164" s="289"/>
      <c r="BM164" s="289"/>
      <c r="BO164" s="289"/>
      <c r="BP164" s="289"/>
      <c r="BQ164" s="289"/>
      <c r="BS164" s="289"/>
      <c r="BT164" s="289"/>
      <c r="BU164" s="289"/>
      <c r="BW164" s="289"/>
      <c r="BX164" s="289"/>
      <c r="BY164" s="289"/>
      <c r="CA164" s="289"/>
      <c r="CB164" s="289"/>
      <c r="CC164" s="289"/>
      <c r="CE164" s="289"/>
      <c r="CF164" s="289"/>
      <c r="CG164" s="289"/>
      <c r="CI164" s="289"/>
      <c r="CJ164" s="289"/>
      <c r="CK164" s="289"/>
    </row>
    <row r="165" spans="1:89" outlineLevel="1" x14ac:dyDescent="0.3">
      <c r="A165" s="290" t="s">
        <v>147</v>
      </c>
      <c r="B165" s="291">
        <f t="shared" si="291"/>
        <v>0</v>
      </c>
      <c r="C165" s="291">
        <f t="shared" si="291"/>
        <v>0</v>
      </c>
      <c r="D165" s="291">
        <f t="shared" si="291"/>
        <v>0</v>
      </c>
      <c r="E165" s="291">
        <f t="shared" si="291"/>
        <v>0</v>
      </c>
      <c r="F165" s="291">
        <f t="shared" si="291"/>
        <v>0</v>
      </c>
      <c r="G165" s="291">
        <f t="shared" si="291"/>
        <v>0</v>
      </c>
      <c r="H165" s="291">
        <f t="shared" si="291"/>
        <v>0</v>
      </c>
      <c r="I165" s="291">
        <f t="shared" si="291"/>
        <v>0</v>
      </c>
      <c r="J165" s="291">
        <f t="shared" si="291"/>
        <v>0</v>
      </c>
      <c r="K165" s="291">
        <f t="shared" si="291"/>
        <v>0</v>
      </c>
      <c r="L165" s="291">
        <f t="shared" si="290"/>
        <v>0</v>
      </c>
      <c r="M165" s="291">
        <f t="shared" si="290"/>
        <v>0</v>
      </c>
      <c r="N165" s="291">
        <f t="shared" si="290"/>
        <v>0</v>
      </c>
      <c r="O165" s="291">
        <f t="shared" si="290"/>
        <v>0</v>
      </c>
      <c r="P165" s="291">
        <f t="shared" si="290"/>
        <v>0</v>
      </c>
      <c r="Q165" s="291">
        <f t="shared" si="290"/>
        <v>0</v>
      </c>
      <c r="R165" s="291">
        <f t="shared" si="290"/>
        <v>0</v>
      </c>
      <c r="S165" s="291">
        <f t="shared" si="290"/>
        <v>0</v>
      </c>
      <c r="T165" s="291">
        <f t="shared" si="290"/>
        <v>0</v>
      </c>
      <c r="U165" s="291">
        <f t="shared" si="290"/>
        <v>0</v>
      </c>
      <c r="V165" s="291">
        <f t="shared" si="292"/>
        <v>0</v>
      </c>
      <c r="W165" s="291">
        <f t="shared" si="292"/>
        <v>0</v>
      </c>
      <c r="X165" s="291">
        <f t="shared" si="292"/>
        <v>0</v>
      </c>
      <c r="Y165" s="291">
        <f t="shared" si="292"/>
        <v>0</v>
      </c>
      <c r="Z165" s="291">
        <f t="shared" si="292"/>
        <v>0</v>
      </c>
      <c r="AA165" s="291">
        <f t="shared" si="292"/>
        <v>0</v>
      </c>
      <c r="AB165" s="291">
        <f t="shared" si="292"/>
        <v>0</v>
      </c>
      <c r="AC165" s="291">
        <f t="shared" si="292"/>
        <v>0</v>
      </c>
      <c r="AF165" s="291">
        <f t="shared" si="293"/>
        <v>5</v>
      </c>
      <c r="AG165" s="291">
        <f t="shared" si="293"/>
        <v>0</v>
      </c>
      <c r="AH165" s="291">
        <f t="shared" si="293"/>
        <v>0</v>
      </c>
      <c r="AI165" s="291">
        <f t="shared" si="293"/>
        <v>0</v>
      </c>
      <c r="AJ165" s="291">
        <f t="shared" si="293"/>
        <v>0</v>
      </c>
      <c r="AK165" s="291">
        <f t="shared" si="293"/>
        <v>0</v>
      </c>
      <c r="AL165" s="291">
        <f t="shared" si="293"/>
        <v>0</v>
      </c>
      <c r="AM165" s="291">
        <f t="shared" si="293"/>
        <v>0</v>
      </c>
      <c r="AN165" s="291">
        <f t="shared" si="293"/>
        <v>0</v>
      </c>
      <c r="AO165" s="291">
        <f t="shared" si="293"/>
        <v>0</v>
      </c>
      <c r="AP165" s="291">
        <f t="shared" si="293"/>
        <v>0</v>
      </c>
      <c r="AQ165" s="291">
        <f t="shared" si="293"/>
        <v>0</v>
      </c>
      <c r="AR165" s="275"/>
      <c r="BK165" s="289"/>
      <c r="BL165" s="289"/>
      <c r="BM165" s="289"/>
      <c r="BO165" s="289"/>
      <c r="BP165" s="289"/>
      <c r="BQ165" s="289"/>
      <c r="BS165" s="289"/>
      <c r="BT165" s="289"/>
      <c r="BU165" s="289"/>
      <c r="BW165" s="289"/>
      <c r="BX165" s="289"/>
      <c r="BY165" s="289"/>
      <c r="CA165" s="289"/>
      <c r="CB165" s="289"/>
      <c r="CC165" s="289"/>
      <c r="CE165" s="289"/>
      <c r="CF165" s="289"/>
      <c r="CG165" s="289"/>
      <c r="CI165" s="289"/>
      <c r="CJ165" s="289"/>
      <c r="CK165" s="289"/>
    </row>
    <row r="166" spans="1:89" outlineLevel="1" x14ac:dyDescent="0.3">
      <c r="A166" s="290" t="s">
        <v>234</v>
      </c>
      <c r="B166" s="291">
        <f t="shared" si="291"/>
        <v>8</v>
      </c>
      <c r="C166" s="291">
        <f t="shared" si="291"/>
        <v>1</v>
      </c>
      <c r="D166" s="291">
        <f t="shared" si="291"/>
        <v>265</v>
      </c>
      <c r="E166" s="291">
        <f t="shared" si="291"/>
        <v>1036</v>
      </c>
      <c r="F166" s="291">
        <f t="shared" si="291"/>
        <v>387</v>
      </c>
      <c r="G166" s="291">
        <f t="shared" si="291"/>
        <v>795</v>
      </c>
      <c r="H166" s="291">
        <f t="shared" si="291"/>
        <v>1160</v>
      </c>
      <c r="I166" s="291">
        <f t="shared" si="291"/>
        <v>1408</v>
      </c>
      <c r="J166" s="291">
        <f t="shared" si="291"/>
        <v>1748</v>
      </c>
      <c r="K166" s="291">
        <f t="shared" si="291"/>
        <v>2945</v>
      </c>
      <c r="L166" s="291">
        <f t="shared" si="290"/>
        <v>3409</v>
      </c>
      <c r="M166" s="291">
        <f t="shared" si="290"/>
        <v>4488</v>
      </c>
      <c r="N166" s="291">
        <f t="shared" si="290"/>
        <v>3975</v>
      </c>
      <c r="O166" s="291">
        <f t="shared" si="290"/>
        <v>4260</v>
      </c>
      <c r="P166" s="291">
        <f t="shared" si="290"/>
        <v>3849</v>
      </c>
      <c r="Q166" s="291">
        <f t="shared" si="290"/>
        <v>4884</v>
      </c>
      <c r="R166" s="291">
        <f t="shared" si="290"/>
        <v>4082</v>
      </c>
      <c r="S166" s="291">
        <f t="shared" si="290"/>
        <v>3684</v>
      </c>
      <c r="T166" s="291">
        <f t="shared" si="290"/>
        <v>6811</v>
      </c>
      <c r="U166" s="291">
        <f t="shared" si="290"/>
        <v>1752</v>
      </c>
      <c r="V166" s="291">
        <f t="shared" si="292"/>
        <v>3335</v>
      </c>
      <c r="W166" s="291">
        <f t="shared" si="292"/>
        <v>6068</v>
      </c>
      <c r="X166" s="291">
        <f t="shared" si="292"/>
        <v>5654</v>
      </c>
      <c r="Y166" s="291">
        <f t="shared" si="292"/>
        <v>5255</v>
      </c>
      <c r="Z166" s="291">
        <f t="shared" si="292"/>
        <v>4338</v>
      </c>
      <c r="AA166" s="291">
        <f t="shared" si="292"/>
        <v>3121</v>
      </c>
      <c r="AB166" s="291">
        <f t="shared" si="292"/>
        <v>3808</v>
      </c>
      <c r="AC166" s="291">
        <f t="shared" si="292"/>
        <v>-11267</v>
      </c>
      <c r="AF166" s="291">
        <f t="shared" si="293"/>
        <v>0</v>
      </c>
      <c r="AG166" s="291">
        <f t="shared" si="293"/>
        <v>0</v>
      </c>
      <c r="AH166" s="291">
        <f t="shared" si="293"/>
        <v>0</v>
      </c>
      <c r="AI166" s="291">
        <f t="shared" si="293"/>
        <v>12</v>
      </c>
      <c r="AJ166" s="291">
        <f t="shared" si="293"/>
        <v>128</v>
      </c>
      <c r="AK166" s="291">
        <f t="shared" si="293"/>
        <v>1320</v>
      </c>
      <c r="AL166" s="291">
        <f t="shared" si="293"/>
        <v>1310</v>
      </c>
      <c r="AM166" s="291">
        <f t="shared" si="293"/>
        <v>3750</v>
      </c>
      <c r="AN166" s="291">
        <f t="shared" si="293"/>
        <v>12590</v>
      </c>
      <c r="AO166" s="291">
        <f t="shared" si="293"/>
        <v>16968</v>
      </c>
      <c r="AP166" s="291">
        <f t="shared" si="293"/>
        <v>16329</v>
      </c>
      <c r="AQ166" s="291">
        <f t="shared" si="293"/>
        <v>20312</v>
      </c>
      <c r="AR166" s="275"/>
      <c r="BK166" s="289"/>
      <c r="BL166" s="289"/>
      <c r="BM166" s="289"/>
      <c r="BO166" s="289"/>
      <c r="BP166" s="289"/>
      <c r="BQ166" s="289"/>
      <c r="BS166" s="289"/>
      <c r="BT166" s="289"/>
      <c r="BU166" s="289"/>
      <c r="BW166" s="289"/>
      <c r="BX166" s="289"/>
      <c r="BY166" s="289"/>
      <c r="CA166" s="289"/>
      <c r="CB166" s="289"/>
      <c r="CC166" s="289"/>
      <c r="CE166" s="289"/>
      <c r="CF166" s="289"/>
      <c r="CG166" s="289"/>
      <c r="CI166" s="289"/>
      <c r="CJ166" s="289"/>
      <c r="CK166" s="289"/>
    </row>
    <row r="167" spans="1:89" outlineLevel="1" x14ac:dyDescent="0.3">
      <c r="A167" s="290" t="s">
        <v>152</v>
      </c>
      <c r="B167" s="291">
        <f t="shared" si="291"/>
        <v>1019</v>
      </c>
      <c r="C167" s="291">
        <f t="shared" si="291"/>
        <v>289</v>
      </c>
      <c r="D167" s="291">
        <f t="shared" si="291"/>
        <v>318</v>
      </c>
      <c r="E167" s="291">
        <f t="shared" si="291"/>
        <v>251</v>
      </c>
      <c r="F167" s="291">
        <f t="shared" si="291"/>
        <v>162</v>
      </c>
      <c r="G167" s="291">
        <f t="shared" si="291"/>
        <v>372</v>
      </c>
      <c r="H167" s="291">
        <f t="shared" si="291"/>
        <v>256</v>
      </c>
      <c r="I167" s="291">
        <f t="shared" si="291"/>
        <v>411</v>
      </c>
      <c r="J167" s="291">
        <f t="shared" si="291"/>
        <v>463</v>
      </c>
      <c r="K167" s="291">
        <f t="shared" si="291"/>
        <v>842</v>
      </c>
      <c r="L167" s="291">
        <f t="shared" si="290"/>
        <v>653</v>
      </c>
      <c r="M167" s="291">
        <f t="shared" si="290"/>
        <v>748</v>
      </c>
      <c r="N167" s="291">
        <f t="shared" si="290"/>
        <v>450</v>
      </c>
      <c r="O167" s="291">
        <f t="shared" si="290"/>
        <v>1112</v>
      </c>
      <c r="P167" s="291">
        <f t="shared" si="290"/>
        <v>981</v>
      </c>
      <c r="Q167" s="291">
        <f t="shared" si="290"/>
        <v>1351</v>
      </c>
      <c r="R167" s="291">
        <f t="shared" si="290"/>
        <v>361</v>
      </c>
      <c r="S167" s="291">
        <f t="shared" si="290"/>
        <v>635</v>
      </c>
      <c r="T167" s="291">
        <f t="shared" si="290"/>
        <v>545</v>
      </c>
      <c r="U167" s="291">
        <f t="shared" si="290"/>
        <v>814</v>
      </c>
      <c r="V167" s="291">
        <f t="shared" si="292"/>
        <v>598</v>
      </c>
      <c r="W167" s="291">
        <f t="shared" si="292"/>
        <v>615</v>
      </c>
      <c r="X167" s="291">
        <f t="shared" si="292"/>
        <v>641</v>
      </c>
      <c r="Y167" s="291">
        <f t="shared" si="292"/>
        <v>650</v>
      </c>
      <c r="Z167" s="291">
        <f t="shared" si="292"/>
        <v>791</v>
      </c>
      <c r="AA167" s="291">
        <f t="shared" si="292"/>
        <v>905</v>
      </c>
      <c r="AB167" s="291">
        <f t="shared" si="292"/>
        <v>626</v>
      </c>
      <c r="AC167" s="291">
        <f t="shared" si="292"/>
        <v>-2322</v>
      </c>
      <c r="AF167" s="291">
        <f t="shared" si="293"/>
        <v>0</v>
      </c>
      <c r="AG167" s="291">
        <f t="shared" si="293"/>
        <v>0</v>
      </c>
      <c r="AH167" s="291">
        <f t="shared" si="293"/>
        <v>2</v>
      </c>
      <c r="AI167" s="291">
        <f t="shared" si="293"/>
        <v>2023</v>
      </c>
      <c r="AJ167" s="291">
        <f t="shared" si="293"/>
        <v>2171</v>
      </c>
      <c r="AK167" s="291">
        <f t="shared" si="293"/>
        <v>2251</v>
      </c>
      <c r="AL167" s="291">
        <f t="shared" si="293"/>
        <v>1877</v>
      </c>
      <c r="AM167" s="291">
        <f t="shared" si="293"/>
        <v>1201</v>
      </c>
      <c r="AN167" s="291">
        <f t="shared" si="293"/>
        <v>2706</v>
      </c>
      <c r="AO167" s="291">
        <f t="shared" si="293"/>
        <v>3894</v>
      </c>
      <c r="AP167" s="291">
        <f t="shared" si="293"/>
        <v>2355</v>
      </c>
      <c r="AQ167" s="291">
        <f t="shared" si="293"/>
        <v>2504</v>
      </c>
      <c r="AR167" s="275"/>
      <c r="BK167" s="289"/>
      <c r="BL167" s="289"/>
      <c r="BM167" s="289"/>
      <c r="BO167" s="289"/>
      <c r="BP167" s="289"/>
      <c r="BQ167" s="289"/>
      <c r="BS167" s="289"/>
      <c r="BT167" s="289"/>
      <c r="BU167" s="289"/>
      <c r="BW167" s="289"/>
      <c r="BX167" s="289"/>
      <c r="BY167" s="289"/>
      <c r="CA167" s="289"/>
      <c r="CB167" s="289"/>
      <c r="CC167" s="289"/>
      <c r="CE167" s="289"/>
      <c r="CF167" s="289"/>
      <c r="CG167" s="289"/>
      <c r="CI167" s="289"/>
      <c r="CJ167" s="289"/>
      <c r="CK167" s="289"/>
    </row>
    <row r="168" spans="1:89" outlineLevel="1" x14ac:dyDescent="0.3">
      <c r="A168" s="290" t="s">
        <v>122</v>
      </c>
      <c r="B168" s="291">
        <f t="shared" si="291"/>
        <v>25</v>
      </c>
      <c r="C168" s="291">
        <f t="shared" si="291"/>
        <v>8</v>
      </c>
      <c r="D168" s="291">
        <f t="shared" si="291"/>
        <v>3</v>
      </c>
      <c r="E168" s="291">
        <f t="shared" si="291"/>
        <v>0</v>
      </c>
      <c r="F168" s="291">
        <f t="shared" si="291"/>
        <v>0</v>
      </c>
      <c r="G168" s="291">
        <f t="shared" si="291"/>
        <v>30</v>
      </c>
      <c r="H168" s="291">
        <f t="shared" si="291"/>
        <v>0</v>
      </c>
      <c r="I168" s="291">
        <f t="shared" si="291"/>
        <v>0</v>
      </c>
      <c r="J168" s="291">
        <f t="shared" si="291"/>
        <v>0</v>
      </c>
      <c r="K168" s="291">
        <f t="shared" si="291"/>
        <v>0</v>
      </c>
      <c r="L168" s="291">
        <f t="shared" si="290"/>
        <v>0</v>
      </c>
      <c r="M168" s="291">
        <f t="shared" si="290"/>
        <v>0</v>
      </c>
      <c r="N168" s="291">
        <f t="shared" si="290"/>
        <v>0</v>
      </c>
      <c r="O168" s="291">
        <f t="shared" si="290"/>
        <v>0</v>
      </c>
      <c r="P168" s="291">
        <f t="shared" si="290"/>
        <v>0</v>
      </c>
      <c r="Q168" s="291">
        <f t="shared" si="290"/>
        <v>0</v>
      </c>
      <c r="R168" s="291">
        <f t="shared" si="290"/>
        <v>0</v>
      </c>
      <c r="S168" s="291">
        <f t="shared" si="290"/>
        <v>0</v>
      </c>
      <c r="T168" s="291">
        <f t="shared" si="290"/>
        <v>0</v>
      </c>
      <c r="U168" s="291">
        <f t="shared" si="290"/>
        <v>0</v>
      </c>
      <c r="V168" s="291">
        <f t="shared" si="292"/>
        <v>0</v>
      </c>
      <c r="W168" s="291">
        <f t="shared" si="292"/>
        <v>0</v>
      </c>
      <c r="X168" s="291">
        <f t="shared" si="292"/>
        <v>0</v>
      </c>
      <c r="Y168" s="291">
        <f t="shared" si="292"/>
        <v>0</v>
      </c>
      <c r="Z168" s="291">
        <f t="shared" si="292"/>
        <v>0</v>
      </c>
      <c r="AA168" s="291">
        <f t="shared" si="292"/>
        <v>0</v>
      </c>
      <c r="AB168" s="291">
        <f t="shared" si="292"/>
        <v>0</v>
      </c>
      <c r="AC168" s="291">
        <f t="shared" si="292"/>
        <v>0</v>
      </c>
      <c r="AF168" s="291">
        <f t="shared" si="293"/>
        <v>4</v>
      </c>
      <c r="AG168" s="291">
        <f t="shared" si="293"/>
        <v>7</v>
      </c>
      <c r="AH168" s="291">
        <f t="shared" si="293"/>
        <v>55</v>
      </c>
      <c r="AI168" s="291">
        <f t="shared" si="293"/>
        <v>50</v>
      </c>
      <c r="AJ168" s="291">
        <f t="shared" si="293"/>
        <v>197</v>
      </c>
      <c r="AK168" s="291">
        <f t="shared" si="293"/>
        <v>21</v>
      </c>
      <c r="AL168" s="291">
        <f t="shared" si="293"/>
        <v>36</v>
      </c>
      <c r="AM168" s="291">
        <f t="shared" si="293"/>
        <v>30</v>
      </c>
      <c r="AN168" s="291">
        <f t="shared" si="293"/>
        <v>0</v>
      </c>
      <c r="AO168" s="291">
        <f t="shared" si="293"/>
        <v>0</v>
      </c>
      <c r="AP168" s="291">
        <f t="shared" si="293"/>
        <v>0</v>
      </c>
      <c r="AQ168" s="291">
        <f t="shared" si="293"/>
        <v>0</v>
      </c>
      <c r="AR168" s="275"/>
      <c r="BK168" s="289"/>
      <c r="BL168" s="289"/>
      <c r="BM168" s="289"/>
      <c r="BO168" s="289"/>
      <c r="BP168" s="289"/>
      <c r="BQ168" s="289"/>
      <c r="BS168" s="289"/>
      <c r="BT168" s="289"/>
      <c r="BU168" s="289"/>
      <c r="BW168" s="289"/>
      <c r="BX168" s="289"/>
      <c r="BY168" s="289"/>
      <c r="CA168" s="289"/>
      <c r="CB168" s="289"/>
      <c r="CC168" s="289"/>
      <c r="CE168" s="289"/>
      <c r="CF168" s="289"/>
      <c r="CG168" s="289"/>
      <c r="CI168" s="289"/>
      <c r="CJ168" s="289"/>
      <c r="CK168" s="289"/>
    </row>
    <row r="169" spans="1:89" x14ac:dyDescent="0.3">
      <c r="A169" s="292" t="s">
        <v>239</v>
      </c>
      <c r="B169" s="293">
        <f>SUM(B148:B168)</f>
        <v>11660</v>
      </c>
      <c r="C169" s="293">
        <f t="shared" ref="C169:AC169" si="294">SUM(C148:C168)</f>
        <v>18984</v>
      </c>
      <c r="D169" s="293">
        <f t="shared" si="294"/>
        <v>15733</v>
      </c>
      <c r="E169" s="293">
        <f t="shared" si="294"/>
        <v>14002</v>
      </c>
      <c r="F169" s="293">
        <f t="shared" si="294"/>
        <v>3870</v>
      </c>
      <c r="G169" s="293">
        <f t="shared" si="294"/>
        <v>9668</v>
      </c>
      <c r="H169" s="293">
        <f t="shared" si="294"/>
        <v>16756</v>
      </c>
      <c r="I169" s="293">
        <f t="shared" si="294"/>
        <v>20040</v>
      </c>
      <c r="J169" s="293">
        <f t="shared" si="294"/>
        <v>16006</v>
      </c>
      <c r="K169" s="293">
        <f t="shared" si="294"/>
        <v>22867</v>
      </c>
      <c r="L169" s="293">
        <f t="shared" si="294"/>
        <v>26069</v>
      </c>
      <c r="M169" s="293">
        <f t="shared" si="294"/>
        <v>27355</v>
      </c>
      <c r="N169" s="293">
        <f t="shared" si="294"/>
        <v>19477</v>
      </c>
      <c r="O169" s="293">
        <f t="shared" si="294"/>
        <v>22482</v>
      </c>
      <c r="P169" s="293">
        <f t="shared" si="294"/>
        <v>18991</v>
      </c>
      <c r="Q169" s="293">
        <f t="shared" si="294"/>
        <v>17695</v>
      </c>
      <c r="R169" s="293">
        <f t="shared" si="294"/>
        <v>14625</v>
      </c>
      <c r="S169" s="293">
        <f t="shared" si="294"/>
        <v>17239</v>
      </c>
      <c r="T169" s="293">
        <f t="shared" si="294"/>
        <v>18914</v>
      </c>
      <c r="U169" s="293">
        <f t="shared" si="294"/>
        <v>15038</v>
      </c>
      <c r="V169" s="293">
        <f t="shared" si="294"/>
        <v>15741</v>
      </c>
      <c r="W169" s="293">
        <f t="shared" si="294"/>
        <v>19651</v>
      </c>
      <c r="X169" s="293">
        <f t="shared" si="294"/>
        <v>22079</v>
      </c>
      <c r="Y169" s="293">
        <f t="shared" si="294"/>
        <v>23515</v>
      </c>
      <c r="Z169" s="293">
        <f t="shared" si="294"/>
        <v>19427</v>
      </c>
      <c r="AA169" s="293">
        <f t="shared" si="294"/>
        <v>24013</v>
      </c>
      <c r="AB169" s="293">
        <f t="shared" si="294"/>
        <v>24700</v>
      </c>
      <c r="AC169" s="293">
        <f t="shared" si="294"/>
        <v>-68140</v>
      </c>
      <c r="AF169" s="293">
        <f t="shared" ref="AF169:AQ169" si="295">SUM(AF148:AF168)</f>
        <v>77050</v>
      </c>
      <c r="AG169" s="293">
        <f t="shared" si="295"/>
        <v>85782</v>
      </c>
      <c r="AH169" s="293">
        <f t="shared" si="295"/>
        <v>103124</v>
      </c>
      <c r="AI169" s="293">
        <f t="shared" si="295"/>
        <v>108271</v>
      </c>
      <c r="AJ169" s="293">
        <f t="shared" si="295"/>
        <v>96865</v>
      </c>
      <c r="AK169" s="293">
        <f t="shared" si="295"/>
        <v>99825</v>
      </c>
      <c r="AL169" s="293">
        <f t="shared" si="295"/>
        <v>60379</v>
      </c>
      <c r="AM169" s="293">
        <f t="shared" si="295"/>
        <v>50334</v>
      </c>
      <c r="AN169" s="293">
        <f t="shared" si="295"/>
        <v>92297</v>
      </c>
      <c r="AO169" s="293">
        <f t="shared" si="295"/>
        <v>78645</v>
      </c>
      <c r="AP169" s="293">
        <f t="shared" si="295"/>
        <v>65816</v>
      </c>
      <c r="AQ169" s="293">
        <f t="shared" si="295"/>
        <v>80986</v>
      </c>
      <c r="AR169" s="275"/>
      <c r="BK169" s="289"/>
      <c r="BL169" s="289"/>
      <c r="BM169" s="289"/>
      <c r="BO169" s="289"/>
      <c r="BP169" s="289"/>
      <c r="BQ169" s="289"/>
      <c r="BS169" s="289"/>
      <c r="BT169" s="289"/>
      <c r="BU169" s="289"/>
      <c r="BW169" s="289"/>
      <c r="BX169" s="289"/>
      <c r="BY169" s="289"/>
      <c r="CA169" s="289"/>
      <c r="CB169" s="289"/>
      <c r="CC169" s="289"/>
      <c r="CE169" s="289"/>
      <c r="CF169" s="289"/>
      <c r="CG169" s="289"/>
      <c r="CI169" s="289"/>
      <c r="CJ169" s="289"/>
      <c r="CK169" s="289"/>
    </row>
    <row r="170" spans="1:89" x14ac:dyDescent="0.3">
      <c r="A170" s="292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89"/>
      <c r="AB170" s="289"/>
      <c r="AC170" s="289"/>
      <c r="AF170" s="289"/>
      <c r="AG170" s="289"/>
      <c r="AH170" s="289"/>
      <c r="AI170" s="289"/>
      <c r="AJ170" s="289"/>
      <c r="AK170" s="289"/>
      <c r="AL170" s="289"/>
      <c r="AM170" s="289"/>
      <c r="AN170" s="289"/>
      <c r="AO170" s="289"/>
      <c r="AP170" s="289"/>
      <c r="AQ170" s="289"/>
      <c r="AR170" s="275"/>
      <c r="BK170" s="289"/>
      <c r="BL170" s="289"/>
      <c r="BM170" s="289"/>
      <c r="BO170" s="289"/>
      <c r="BP170" s="289"/>
      <c r="BQ170" s="289"/>
      <c r="BS170" s="289"/>
      <c r="BT170" s="289"/>
      <c r="BU170" s="289"/>
      <c r="BW170" s="289"/>
      <c r="BX170" s="289"/>
      <c r="BY170" s="289"/>
      <c r="CA170" s="289"/>
      <c r="CB170" s="289"/>
      <c r="CC170" s="289"/>
      <c r="CE170" s="289"/>
      <c r="CF170" s="289"/>
      <c r="CG170" s="289"/>
      <c r="CI170" s="289"/>
      <c r="CJ170" s="289"/>
      <c r="CK170" s="289"/>
    </row>
    <row r="171" spans="1:89" x14ac:dyDescent="0.3">
      <c r="A171" s="268" t="s">
        <v>242</v>
      </c>
      <c r="B171" s="269" t="str">
        <f>B$1</f>
        <v>1QFY20</v>
      </c>
      <c r="C171" s="269" t="str">
        <f t="shared" ref="C171:AC171" si="296">C$1</f>
        <v>2QFY20</v>
      </c>
      <c r="D171" s="269" t="str">
        <f t="shared" si="296"/>
        <v>3QFY20</v>
      </c>
      <c r="E171" s="269" t="str">
        <f t="shared" si="296"/>
        <v>4QFY20</v>
      </c>
      <c r="F171" s="269" t="str">
        <f>F$1</f>
        <v>1QFY21</v>
      </c>
      <c r="G171" s="269" t="str">
        <f t="shared" si="296"/>
        <v>2QFY21</v>
      </c>
      <c r="H171" s="269" t="str">
        <f t="shared" si="296"/>
        <v>3QFY21</v>
      </c>
      <c r="I171" s="269" t="str">
        <f t="shared" si="296"/>
        <v>4QFY21</v>
      </c>
      <c r="J171" s="269" t="str">
        <f>J$1</f>
        <v>1QFY22</v>
      </c>
      <c r="K171" s="269" t="str">
        <f t="shared" si="296"/>
        <v>2QFY22</v>
      </c>
      <c r="L171" s="269" t="str">
        <f t="shared" si="296"/>
        <v>3QFY22</v>
      </c>
      <c r="M171" s="269" t="str">
        <f t="shared" si="296"/>
        <v>4QFY22</v>
      </c>
      <c r="N171" s="269" t="str">
        <f>N$1</f>
        <v>1QFY23</v>
      </c>
      <c r="O171" s="269" t="str">
        <f t="shared" si="296"/>
        <v>2QFY23</v>
      </c>
      <c r="P171" s="269" t="str">
        <f t="shared" si="296"/>
        <v>3QFY23</v>
      </c>
      <c r="Q171" s="269" t="str">
        <f t="shared" si="296"/>
        <v>4QFY23</v>
      </c>
      <c r="R171" s="269" t="str">
        <f t="shared" si="296"/>
        <v>1QFY24</v>
      </c>
      <c r="S171" s="269" t="str">
        <f t="shared" si="296"/>
        <v>2QFY24</v>
      </c>
      <c r="T171" s="269" t="str">
        <f t="shared" si="296"/>
        <v>3QFY24</v>
      </c>
      <c r="U171" s="269" t="str">
        <f t="shared" si="296"/>
        <v>4QFY24</v>
      </c>
      <c r="V171" s="269" t="str">
        <f>V$1</f>
        <v>1QFY25</v>
      </c>
      <c r="W171" s="269" t="str">
        <f t="shared" si="296"/>
        <v>2QFY25</v>
      </c>
      <c r="X171" s="269" t="str">
        <f t="shared" si="296"/>
        <v>3QFY25</v>
      </c>
      <c r="Y171" s="269" t="str">
        <f t="shared" si="296"/>
        <v>4QFY25</v>
      </c>
      <c r="Z171" s="269" t="str">
        <f>Z$1</f>
        <v>1QFY26</v>
      </c>
      <c r="AA171" s="269" t="str">
        <f t="shared" si="296"/>
        <v>2QFY26</v>
      </c>
      <c r="AB171" s="269" t="str">
        <f t="shared" si="296"/>
        <v>3QFY26</v>
      </c>
      <c r="AC171" s="269" t="str">
        <f t="shared" si="296"/>
        <v>4QFY26</v>
      </c>
      <c r="AF171" s="269" t="str">
        <f t="shared" ref="AF171:AQ171" si="297">AF$1</f>
        <v>FY14</v>
      </c>
      <c r="AG171" s="269" t="str">
        <f t="shared" si="297"/>
        <v>FY15</v>
      </c>
      <c r="AH171" s="269" t="str">
        <f t="shared" si="297"/>
        <v>FY16</v>
      </c>
      <c r="AI171" s="269" t="str">
        <f t="shared" si="297"/>
        <v>FY17</v>
      </c>
      <c r="AJ171" s="269" t="str">
        <f t="shared" si="297"/>
        <v>FY18</v>
      </c>
      <c r="AK171" s="269" t="str">
        <f t="shared" si="297"/>
        <v>FY19</v>
      </c>
      <c r="AL171" s="269" t="str">
        <f t="shared" si="297"/>
        <v>FY20</v>
      </c>
      <c r="AM171" s="269" t="str">
        <f t="shared" si="297"/>
        <v>FY21</v>
      </c>
      <c r="AN171" s="269" t="str">
        <f t="shared" si="297"/>
        <v>FY22</v>
      </c>
      <c r="AO171" s="269" t="str">
        <f t="shared" si="297"/>
        <v>FY23</v>
      </c>
      <c r="AP171" s="269" t="str">
        <f t="shared" si="297"/>
        <v>FY24</v>
      </c>
      <c r="AQ171" s="269" t="str">
        <f t="shared" si="297"/>
        <v>FY25</v>
      </c>
      <c r="AR171" s="270"/>
      <c r="BK171" s="269" t="str">
        <f>BK$1</f>
        <v>1HFY20</v>
      </c>
      <c r="BL171" s="269" t="str">
        <f>BL$1</f>
        <v>9MFY20</v>
      </c>
      <c r="BM171" s="269" t="str">
        <f>BM$1</f>
        <v>FY20</v>
      </c>
      <c r="BO171" s="269" t="str">
        <f>BO$1</f>
        <v>1HFY21</v>
      </c>
      <c r="BP171" s="269" t="str">
        <f>BP$1</f>
        <v>9MFY21</v>
      </c>
      <c r="BQ171" s="269" t="str">
        <f>BQ$1</f>
        <v>FY21</v>
      </c>
      <c r="BS171" s="269" t="str">
        <f>BS$1</f>
        <v>1HFY22</v>
      </c>
      <c r="BT171" s="269" t="str">
        <f>BT$1</f>
        <v>9MFY22</v>
      </c>
      <c r="BU171" s="269" t="str">
        <f>BU$1</f>
        <v>FY22</v>
      </c>
      <c r="BW171" s="269" t="str">
        <f>BW$1</f>
        <v>1HFY23</v>
      </c>
      <c r="BX171" s="269" t="str">
        <f>BX$1</f>
        <v>9MFY23</v>
      </c>
      <c r="BY171" s="269" t="str">
        <f>BY$1</f>
        <v>FY23</v>
      </c>
      <c r="CA171" s="269" t="str">
        <f>CA$1</f>
        <v>1HFY24</v>
      </c>
      <c r="CB171" s="269" t="str">
        <f>CB$1</f>
        <v>9MFY24</v>
      </c>
      <c r="CC171" s="269" t="str">
        <f>CC$1</f>
        <v>FY24</v>
      </c>
      <c r="CE171" s="269" t="str">
        <f>CE$1</f>
        <v>1HFY25</v>
      </c>
      <c r="CF171" s="269" t="str">
        <f>CF$1</f>
        <v>9MFY25</v>
      </c>
      <c r="CG171" s="269" t="str">
        <f>CG$1</f>
        <v>FY25</v>
      </c>
      <c r="CI171" s="269" t="str">
        <f>CI$1</f>
        <v>1HFY26</v>
      </c>
      <c r="CJ171" s="269" t="str">
        <f>CJ$1</f>
        <v>9MFY26</v>
      </c>
      <c r="CK171" s="269" t="str">
        <f>CK$1</f>
        <v>FY26</v>
      </c>
    </row>
    <row r="172" spans="1:89" x14ac:dyDescent="0.3">
      <c r="A172" s="280" t="s">
        <v>216</v>
      </c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A172" s="285"/>
      <c r="AB172" s="285"/>
      <c r="AC172" s="285"/>
      <c r="AF172" s="285"/>
      <c r="AG172" s="285"/>
      <c r="AH172" s="285"/>
      <c r="AI172" s="285"/>
      <c r="AJ172" s="285"/>
      <c r="AK172" s="285"/>
      <c r="AL172" s="285"/>
      <c r="AM172" s="285"/>
      <c r="AN172" s="285"/>
      <c r="AO172" s="285"/>
      <c r="AP172" s="285"/>
      <c r="AQ172" s="285"/>
      <c r="AR172" s="275"/>
      <c r="BK172" s="285"/>
      <c r="BL172" s="285"/>
      <c r="BM172" s="285"/>
      <c r="BO172" s="285"/>
      <c r="BP172" s="285"/>
      <c r="BQ172" s="285"/>
      <c r="BS172" s="285"/>
      <c r="BT172" s="285"/>
      <c r="BU172" s="285"/>
      <c r="BW172" s="285"/>
      <c r="BX172" s="285"/>
      <c r="BY172" s="285"/>
      <c r="CA172" s="285"/>
      <c r="CB172" s="285"/>
      <c r="CC172" s="285"/>
      <c r="CE172" s="285"/>
      <c r="CF172" s="285"/>
      <c r="CG172" s="285"/>
      <c r="CI172" s="285"/>
      <c r="CJ172" s="285"/>
      <c r="CK172" s="285"/>
    </row>
    <row r="173" spans="1:89" outlineLevel="1" x14ac:dyDescent="0.3">
      <c r="A173" s="277" t="s">
        <v>163</v>
      </c>
      <c r="B173" s="278">
        <v>4284</v>
      </c>
      <c r="C173" s="278">
        <f t="shared" ref="C173:C178" si="298">BK173-B173</f>
        <v>4843</v>
      </c>
      <c r="D173" s="278">
        <f t="shared" ref="D173:E178" si="299">BL173-BK173</f>
        <v>6493</v>
      </c>
      <c r="E173" s="278">
        <f t="shared" si="299"/>
        <v>5298</v>
      </c>
      <c r="F173" s="278">
        <v>176</v>
      </c>
      <c r="G173" s="278">
        <f t="shared" ref="G173:G178" si="300">BO173-F173</f>
        <v>896</v>
      </c>
      <c r="H173" s="278">
        <f t="shared" ref="H173:I178" si="301">BP173-BO173</f>
        <v>1974</v>
      </c>
      <c r="I173" s="278">
        <f t="shared" si="301"/>
        <v>2786</v>
      </c>
      <c r="J173" s="278">
        <v>1188</v>
      </c>
      <c r="K173" s="278">
        <f t="shared" ref="K173:K178" si="302">BS173-J173</f>
        <v>1198</v>
      </c>
      <c r="L173" s="278">
        <f t="shared" ref="L173:M178" si="303">BT173-BS173</f>
        <v>2557</v>
      </c>
      <c r="M173" s="278">
        <f t="shared" si="303"/>
        <v>2758</v>
      </c>
      <c r="N173" s="278">
        <v>3359</v>
      </c>
      <c r="O173" s="278">
        <f t="shared" ref="O173:O178" si="304">BW173-N173</f>
        <v>3673</v>
      </c>
      <c r="P173" s="278">
        <f t="shared" ref="P173:Q178" si="305">BX173-BW173</f>
        <v>5840</v>
      </c>
      <c r="Q173" s="278">
        <f t="shared" si="305"/>
        <v>6720</v>
      </c>
      <c r="R173" s="278">
        <v>3839</v>
      </c>
      <c r="S173" s="278">
        <f t="shared" ref="S173:S178" si="306">CA173-R173</f>
        <v>6234</v>
      </c>
      <c r="T173" s="278">
        <f t="shared" ref="T173:U178" si="307">CB173-CA173</f>
        <v>6028</v>
      </c>
      <c r="U173" s="278">
        <f t="shared" si="307"/>
        <v>8591</v>
      </c>
      <c r="V173" s="278">
        <v>7268</v>
      </c>
      <c r="W173" s="278">
        <f t="shared" ref="W173:W178" si="308">CE173-V173</f>
        <v>6463</v>
      </c>
      <c r="X173" s="278">
        <f t="shared" ref="X173:Y178" si="309">CF173-CE173</f>
        <v>6592</v>
      </c>
      <c r="Y173" s="278">
        <f t="shared" si="309"/>
        <v>9013</v>
      </c>
      <c r="Z173" s="278">
        <v>8769</v>
      </c>
      <c r="AA173" s="278">
        <f t="shared" ref="AA173:AA179" si="310">CI173-Z173</f>
        <v>7853</v>
      </c>
      <c r="AB173" s="278">
        <f t="shared" ref="AB173:AC178" si="311">CJ173-CI173</f>
        <v>8075</v>
      </c>
      <c r="AC173" s="278">
        <f t="shared" si="311"/>
        <v>-24697</v>
      </c>
      <c r="AF173" s="278">
        <v>17598</v>
      </c>
      <c r="AG173" s="278">
        <v>21277</v>
      </c>
      <c r="AH173" s="278">
        <v>26608</v>
      </c>
      <c r="AI173" s="278">
        <v>22735</v>
      </c>
      <c r="AJ173" s="278">
        <v>18289</v>
      </c>
      <c r="AK173" s="278">
        <v>22219</v>
      </c>
      <c r="AL173" s="278">
        <f t="shared" ref="AL173:AL185" si="312">SUM(B173:E173)</f>
        <v>20918</v>
      </c>
      <c r="AM173" s="278">
        <f t="shared" ref="AM173:AM185" si="313">SUM(F173:I173)</f>
        <v>5832</v>
      </c>
      <c r="AN173" s="278">
        <f t="shared" ref="AN173:AN185" si="314">SUM(J173:M173)</f>
        <v>7701</v>
      </c>
      <c r="AO173" s="278">
        <f t="shared" ref="AO173:AO185" si="315">SUM(N173:Q173)</f>
        <v>19592</v>
      </c>
      <c r="AP173" s="278">
        <f t="shared" ref="AP173:AP185" si="316">SUM(R173:U173)</f>
        <v>24692</v>
      </c>
      <c r="AQ173" s="278">
        <f t="shared" ref="AQ173:AQ185" si="317">SUM(V173:Y173)</f>
        <v>29336</v>
      </c>
      <c r="AR173" s="279"/>
      <c r="BK173" s="278">
        <v>9127</v>
      </c>
      <c r="BL173" s="278">
        <v>15620</v>
      </c>
      <c r="BM173" s="278">
        <v>20918</v>
      </c>
      <c r="BO173" s="278">
        <v>1072</v>
      </c>
      <c r="BP173" s="278">
        <v>3046</v>
      </c>
      <c r="BQ173" s="278">
        <v>5832</v>
      </c>
      <c r="BS173" s="278">
        <v>2386</v>
      </c>
      <c r="BT173" s="278">
        <v>4943</v>
      </c>
      <c r="BU173" s="278">
        <v>7701</v>
      </c>
      <c r="BW173" s="278">
        <v>7032</v>
      </c>
      <c r="BX173" s="278">
        <v>12872</v>
      </c>
      <c r="BY173" s="278">
        <v>19592</v>
      </c>
      <c r="CA173" s="278">
        <v>10073</v>
      </c>
      <c r="CB173" s="278">
        <v>16101</v>
      </c>
      <c r="CC173" s="278">
        <v>24692</v>
      </c>
      <c r="CE173" s="278">
        <v>13731</v>
      </c>
      <c r="CF173" s="278">
        <v>20323</v>
      </c>
      <c r="CG173" s="278">
        <v>29336</v>
      </c>
      <c r="CI173" s="278">
        <v>16622</v>
      </c>
      <c r="CJ173" s="278">
        <v>24697</v>
      </c>
      <c r="CK173" s="278"/>
    </row>
    <row r="174" spans="1:89" outlineLevel="1" x14ac:dyDescent="0.3">
      <c r="A174" s="277" t="s">
        <v>165</v>
      </c>
      <c r="B174" s="278"/>
      <c r="C174" s="278">
        <f t="shared" si="298"/>
        <v>0</v>
      </c>
      <c r="D174" s="278">
        <f t="shared" si="299"/>
        <v>0</v>
      </c>
      <c r="E174" s="278">
        <f t="shared" si="299"/>
        <v>0</v>
      </c>
      <c r="F174" s="278"/>
      <c r="G174" s="278">
        <f t="shared" si="300"/>
        <v>0</v>
      </c>
      <c r="H174" s="278">
        <f t="shared" si="301"/>
        <v>0</v>
      </c>
      <c r="I174" s="278">
        <f t="shared" si="301"/>
        <v>0</v>
      </c>
      <c r="J174" s="278">
        <v>0</v>
      </c>
      <c r="K174" s="278">
        <f t="shared" si="302"/>
        <v>1</v>
      </c>
      <c r="L174" s="278">
        <f t="shared" si="303"/>
        <v>0</v>
      </c>
      <c r="M174" s="278">
        <f t="shared" si="303"/>
        <v>1</v>
      </c>
      <c r="N174" s="278">
        <v>37</v>
      </c>
      <c r="O174" s="278">
        <f t="shared" si="304"/>
        <v>0</v>
      </c>
      <c r="P174" s="278">
        <f t="shared" si="305"/>
        <v>0</v>
      </c>
      <c r="Q174" s="278">
        <f t="shared" si="305"/>
        <v>0</v>
      </c>
      <c r="R174" s="278"/>
      <c r="S174" s="278">
        <f t="shared" si="306"/>
        <v>0</v>
      </c>
      <c r="T174" s="278">
        <f t="shared" si="307"/>
        <v>0</v>
      </c>
      <c r="U174" s="278">
        <f t="shared" si="307"/>
        <v>0</v>
      </c>
      <c r="V174" s="278"/>
      <c r="W174" s="278">
        <f t="shared" si="308"/>
        <v>0</v>
      </c>
      <c r="X174" s="278">
        <f t="shared" si="309"/>
        <v>0</v>
      </c>
      <c r="Y174" s="278">
        <f t="shared" si="309"/>
        <v>0</v>
      </c>
      <c r="Z174" s="278">
        <v>0</v>
      </c>
      <c r="AA174" s="278">
        <f t="shared" si="310"/>
        <v>81</v>
      </c>
      <c r="AB174" s="278">
        <f t="shared" si="311"/>
        <v>240</v>
      </c>
      <c r="AC174" s="278">
        <f t="shared" si="311"/>
        <v>-321</v>
      </c>
      <c r="AF174" s="278"/>
      <c r="AG174" s="278"/>
      <c r="AH174" s="278"/>
      <c r="AI174" s="278"/>
      <c r="AJ174" s="278"/>
      <c r="AK174" s="278"/>
      <c r="AL174" s="278">
        <f t="shared" si="312"/>
        <v>0</v>
      </c>
      <c r="AM174" s="278">
        <f t="shared" si="313"/>
        <v>0</v>
      </c>
      <c r="AN174" s="278">
        <f t="shared" si="314"/>
        <v>2</v>
      </c>
      <c r="AO174" s="278">
        <f t="shared" si="315"/>
        <v>37</v>
      </c>
      <c r="AP174" s="278">
        <f t="shared" si="316"/>
        <v>0</v>
      </c>
      <c r="AQ174" s="278">
        <f t="shared" si="317"/>
        <v>0</v>
      </c>
      <c r="AR174" s="279"/>
      <c r="BK174" s="278"/>
      <c r="BL174" s="278"/>
      <c r="BM174" s="278"/>
      <c r="BO174" s="278"/>
      <c r="BP174" s="278"/>
      <c r="BQ174" s="278"/>
      <c r="BS174" s="278">
        <v>1</v>
      </c>
      <c r="BT174" s="278">
        <v>1</v>
      </c>
      <c r="BU174" s="278">
        <v>2</v>
      </c>
      <c r="BW174" s="278">
        <v>37</v>
      </c>
      <c r="BX174" s="278">
        <v>37</v>
      </c>
      <c r="BY174" s="278">
        <v>37</v>
      </c>
      <c r="CA174" s="278"/>
      <c r="CB174" s="278"/>
      <c r="CC174" s="278">
        <v>0</v>
      </c>
      <c r="CE174" s="278"/>
      <c r="CF174" s="278"/>
      <c r="CG174" s="278"/>
      <c r="CI174" s="278">
        <v>81</v>
      </c>
      <c r="CJ174" s="278">
        <v>321</v>
      </c>
      <c r="CK174" s="278"/>
    </row>
    <row r="175" spans="1:89" outlineLevel="1" x14ac:dyDescent="0.3">
      <c r="A175" s="277" t="s">
        <v>217</v>
      </c>
      <c r="B175" s="278">
        <v>30</v>
      </c>
      <c r="C175" s="278">
        <f t="shared" si="298"/>
        <v>46</v>
      </c>
      <c r="D175" s="278">
        <f t="shared" si="299"/>
        <v>0</v>
      </c>
      <c r="E175" s="278">
        <f t="shared" si="299"/>
        <v>250</v>
      </c>
      <c r="F175" s="278">
        <v>0</v>
      </c>
      <c r="G175" s="278">
        <f t="shared" si="300"/>
        <v>61</v>
      </c>
      <c r="H175" s="278">
        <f t="shared" si="301"/>
        <v>9</v>
      </c>
      <c r="I175" s="278">
        <f t="shared" si="301"/>
        <v>271</v>
      </c>
      <c r="J175" s="278">
        <v>17</v>
      </c>
      <c r="K175" s="278">
        <f t="shared" si="302"/>
        <v>0</v>
      </c>
      <c r="L175" s="278">
        <f t="shared" si="303"/>
        <v>0</v>
      </c>
      <c r="M175" s="278">
        <f t="shared" si="303"/>
        <v>0</v>
      </c>
      <c r="N175" s="278">
        <v>0</v>
      </c>
      <c r="O175" s="278">
        <f t="shared" si="304"/>
        <v>0</v>
      </c>
      <c r="P175" s="278">
        <f t="shared" si="305"/>
        <v>0</v>
      </c>
      <c r="Q175" s="278">
        <f t="shared" si="305"/>
        <v>0</v>
      </c>
      <c r="R175" s="278"/>
      <c r="S175" s="278">
        <f t="shared" si="306"/>
        <v>0</v>
      </c>
      <c r="T175" s="278">
        <f t="shared" si="307"/>
        <v>0</v>
      </c>
      <c r="U175" s="278">
        <f t="shared" si="307"/>
        <v>0</v>
      </c>
      <c r="V175" s="278"/>
      <c r="W175" s="278">
        <f t="shared" si="308"/>
        <v>0</v>
      </c>
      <c r="X175" s="278">
        <f t="shared" si="309"/>
        <v>0</v>
      </c>
      <c r="Y175" s="278">
        <f t="shared" si="309"/>
        <v>0</v>
      </c>
      <c r="Z175" s="278">
        <v>0</v>
      </c>
      <c r="AA175" s="278">
        <f t="shared" si="310"/>
        <v>387</v>
      </c>
      <c r="AB175" s="278">
        <f t="shared" si="311"/>
        <v>298</v>
      </c>
      <c r="AC175" s="278">
        <f t="shared" si="311"/>
        <v>-685</v>
      </c>
      <c r="AF175" s="278"/>
      <c r="AG175" s="278"/>
      <c r="AH175" s="278"/>
      <c r="AI175" s="278"/>
      <c r="AJ175" s="278">
        <v>7</v>
      </c>
      <c r="AK175" s="278">
        <v>175</v>
      </c>
      <c r="AL175" s="278">
        <f t="shared" si="312"/>
        <v>326</v>
      </c>
      <c r="AM175" s="278">
        <f t="shared" si="313"/>
        <v>341</v>
      </c>
      <c r="AN175" s="278">
        <f t="shared" si="314"/>
        <v>17</v>
      </c>
      <c r="AO175" s="278">
        <f t="shared" si="315"/>
        <v>0</v>
      </c>
      <c r="AP175" s="278">
        <f t="shared" si="316"/>
        <v>0</v>
      </c>
      <c r="AQ175" s="278">
        <f t="shared" si="317"/>
        <v>0</v>
      </c>
      <c r="AR175" s="279"/>
      <c r="BK175" s="278">
        <v>76</v>
      </c>
      <c r="BL175" s="278">
        <v>76</v>
      </c>
      <c r="BM175" s="278">
        <v>326</v>
      </c>
      <c r="BO175" s="278">
        <v>61</v>
      </c>
      <c r="BP175" s="278">
        <v>70</v>
      </c>
      <c r="BQ175" s="278">
        <v>341</v>
      </c>
      <c r="BS175" s="278">
        <v>17</v>
      </c>
      <c r="BT175" s="278">
        <v>17</v>
      </c>
      <c r="BU175" s="278">
        <v>17</v>
      </c>
      <c r="BW175" s="278">
        <v>0</v>
      </c>
      <c r="BX175" s="278">
        <v>0</v>
      </c>
      <c r="BY175" s="278"/>
      <c r="CA175" s="278"/>
      <c r="CB175" s="278"/>
      <c r="CC175" s="278"/>
      <c r="CE175" s="278"/>
      <c r="CF175" s="278"/>
      <c r="CG175" s="278"/>
      <c r="CI175" s="278">
        <v>387</v>
      </c>
      <c r="CJ175" s="278">
        <v>685</v>
      </c>
      <c r="CK175" s="278"/>
    </row>
    <row r="176" spans="1:89" outlineLevel="1" x14ac:dyDescent="0.3">
      <c r="A176" s="277" t="s">
        <v>218</v>
      </c>
      <c r="B176" s="278"/>
      <c r="C176" s="278">
        <f t="shared" si="298"/>
        <v>0</v>
      </c>
      <c r="D176" s="278">
        <f t="shared" si="299"/>
        <v>0</v>
      </c>
      <c r="E176" s="278">
        <f t="shared" si="299"/>
        <v>0</v>
      </c>
      <c r="F176" s="278"/>
      <c r="G176" s="278">
        <f t="shared" si="300"/>
        <v>0</v>
      </c>
      <c r="H176" s="278">
        <f t="shared" si="301"/>
        <v>0</v>
      </c>
      <c r="I176" s="278">
        <f t="shared" si="301"/>
        <v>0</v>
      </c>
      <c r="J176" s="278"/>
      <c r="K176" s="278">
        <f t="shared" si="302"/>
        <v>0</v>
      </c>
      <c r="L176" s="278">
        <f t="shared" si="303"/>
        <v>0</v>
      </c>
      <c r="M176" s="278">
        <f t="shared" si="303"/>
        <v>0</v>
      </c>
      <c r="N176" s="278"/>
      <c r="O176" s="278">
        <f t="shared" si="304"/>
        <v>0</v>
      </c>
      <c r="P176" s="278">
        <f t="shared" si="305"/>
        <v>149</v>
      </c>
      <c r="Q176" s="278">
        <f t="shared" si="305"/>
        <v>421</v>
      </c>
      <c r="R176" s="278">
        <v>75</v>
      </c>
      <c r="S176" s="278">
        <f t="shared" si="306"/>
        <v>139</v>
      </c>
      <c r="T176" s="278">
        <f t="shared" si="307"/>
        <v>162</v>
      </c>
      <c r="U176" s="278">
        <f t="shared" si="307"/>
        <v>53</v>
      </c>
      <c r="V176" s="278">
        <v>0</v>
      </c>
      <c r="W176" s="278">
        <f t="shared" si="308"/>
        <v>156</v>
      </c>
      <c r="X176" s="278">
        <f t="shared" si="309"/>
        <v>388</v>
      </c>
      <c r="Y176" s="278">
        <f t="shared" si="309"/>
        <v>261</v>
      </c>
      <c r="Z176" s="278">
        <v>20</v>
      </c>
      <c r="AA176" s="278">
        <f t="shared" si="310"/>
        <v>0</v>
      </c>
      <c r="AB176" s="278">
        <f t="shared" si="311"/>
        <v>836</v>
      </c>
      <c r="AC176" s="278">
        <f t="shared" si="311"/>
        <v>-856</v>
      </c>
      <c r="AF176" s="278"/>
      <c r="AG176" s="278"/>
      <c r="AH176" s="278"/>
      <c r="AI176" s="278"/>
      <c r="AJ176" s="278"/>
      <c r="AK176" s="278"/>
      <c r="AL176" s="278">
        <f t="shared" si="312"/>
        <v>0</v>
      </c>
      <c r="AM176" s="278">
        <f t="shared" si="313"/>
        <v>0</v>
      </c>
      <c r="AN176" s="278">
        <f t="shared" si="314"/>
        <v>0</v>
      </c>
      <c r="AO176" s="278">
        <f t="shared" si="315"/>
        <v>570</v>
      </c>
      <c r="AP176" s="278">
        <f t="shared" si="316"/>
        <v>429</v>
      </c>
      <c r="AQ176" s="278">
        <f t="shared" si="317"/>
        <v>805</v>
      </c>
      <c r="AR176" s="279"/>
      <c r="BK176" s="278"/>
      <c r="BL176" s="278"/>
      <c r="BM176" s="278"/>
      <c r="BO176" s="278"/>
      <c r="BP176" s="278"/>
      <c r="BQ176" s="278"/>
      <c r="BS176" s="278"/>
      <c r="BT176" s="278">
        <v>0</v>
      </c>
      <c r="BU176" s="278">
        <v>0</v>
      </c>
      <c r="BW176" s="278"/>
      <c r="BX176" s="278">
        <v>149</v>
      </c>
      <c r="BY176" s="278">
        <v>570</v>
      </c>
      <c r="CA176" s="278">
        <v>214</v>
      </c>
      <c r="CB176" s="278">
        <v>376</v>
      </c>
      <c r="CC176" s="278">
        <v>429</v>
      </c>
      <c r="CE176" s="278">
        <v>156</v>
      </c>
      <c r="CF176" s="278">
        <v>544</v>
      </c>
      <c r="CG176" s="278">
        <v>805</v>
      </c>
      <c r="CI176" s="278">
        <v>20</v>
      </c>
      <c r="CJ176" s="278">
        <v>856</v>
      </c>
      <c r="CK176" s="278"/>
    </row>
    <row r="177" spans="1:89" outlineLevel="1" x14ac:dyDescent="0.3">
      <c r="A177" s="277" t="s">
        <v>188</v>
      </c>
      <c r="B177" s="278"/>
      <c r="C177" s="278">
        <f t="shared" si="298"/>
        <v>0</v>
      </c>
      <c r="D177" s="278">
        <f t="shared" si="299"/>
        <v>0</v>
      </c>
      <c r="E177" s="278">
        <f t="shared" si="299"/>
        <v>0</v>
      </c>
      <c r="F177" s="278"/>
      <c r="G177" s="278">
        <f t="shared" si="300"/>
        <v>0</v>
      </c>
      <c r="H177" s="278">
        <f t="shared" si="301"/>
        <v>0</v>
      </c>
      <c r="I177" s="278">
        <f t="shared" si="301"/>
        <v>0</v>
      </c>
      <c r="J177" s="278"/>
      <c r="K177" s="278">
        <f t="shared" si="302"/>
        <v>0</v>
      </c>
      <c r="L177" s="278">
        <f t="shared" si="303"/>
        <v>0</v>
      </c>
      <c r="M177" s="278">
        <f t="shared" si="303"/>
        <v>0</v>
      </c>
      <c r="N177" s="278"/>
      <c r="O177" s="278">
        <f t="shared" si="304"/>
        <v>0</v>
      </c>
      <c r="P177" s="278">
        <f t="shared" si="305"/>
        <v>0</v>
      </c>
      <c r="Q177" s="278">
        <f t="shared" si="305"/>
        <v>0</v>
      </c>
      <c r="R177" s="278">
        <v>0</v>
      </c>
      <c r="S177" s="278">
        <f t="shared" si="306"/>
        <v>0</v>
      </c>
      <c r="T177" s="278">
        <f t="shared" si="307"/>
        <v>36</v>
      </c>
      <c r="U177" s="278">
        <f t="shared" si="307"/>
        <v>-36</v>
      </c>
      <c r="V177" s="278">
        <v>2</v>
      </c>
      <c r="W177" s="278">
        <f t="shared" si="308"/>
        <v>28</v>
      </c>
      <c r="X177" s="278">
        <f t="shared" si="309"/>
        <v>28</v>
      </c>
      <c r="Y177" s="278">
        <f t="shared" si="309"/>
        <v>139</v>
      </c>
      <c r="Z177" s="278">
        <v>88</v>
      </c>
      <c r="AA177" s="278">
        <f t="shared" si="310"/>
        <v>113</v>
      </c>
      <c r="AB177" s="278">
        <f t="shared" si="311"/>
        <v>149</v>
      </c>
      <c r="AC177" s="278">
        <f t="shared" si="311"/>
        <v>-350</v>
      </c>
      <c r="AF177" s="278"/>
      <c r="AG177" s="278"/>
      <c r="AH177" s="278"/>
      <c r="AI177" s="278"/>
      <c r="AJ177" s="278"/>
      <c r="AK177" s="278"/>
      <c r="AL177" s="278">
        <f t="shared" si="312"/>
        <v>0</v>
      </c>
      <c r="AM177" s="278">
        <f t="shared" si="313"/>
        <v>0</v>
      </c>
      <c r="AN177" s="278">
        <f t="shared" si="314"/>
        <v>0</v>
      </c>
      <c r="AO177" s="278">
        <f t="shared" si="315"/>
        <v>0</v>
      </c>
      <c r="AP177" s="278">
        <f t="shared" si="316"/>
        <v>0</v>
      </c>
      <c r="AQ177" s="278">
        <f t="shared" si="317"/>
        <v>197</v>
      </c>
      <c r="AR177" s="279"/>
      <c r="BK177" s="278"/>
      <c r="BL177" s="278"/>
      <c r="BM177" s="278"/>
      <c r="BO177" s="278"/>
      <c r="BP177" s="278"/>
      <c r="BQ177" s="278"/>
      <c r="BS177" s="278"/>
      <c r="BT177" s="278"/>
      <c r="BU177" s="278"/>
      <c r="BW177" s="278"/>
      <c r="BX177" s="278"/>
      <c r="BY177" s="278"/>
      <c r="CA177" s="278">
        <v>0</v>
      </c>
      <c r="CB177" s="278">
        <v>36</v>
      </c>
      <c r="CC177" s="278"/>
      <c r="CE177" s="278">
        <v>30</v>
      </c>
      <c r="CF177" s="278">
        <v>58</v>
      </c>
      <c r="CG177" s="278">
        <v>197</v>
      </c>
      <c r="CI177" s="278">
        <v>201</v>
      </c>
      <c r="CJ177" s="278">
        <v>350</v>
      </c>
      <c r="CK177" s="278"/>
    </row>
    <row r="178" spans="1:89" outlineLevel="1" x14ac:dyDescent="0.3">
      <c r="A178" s="277" t="s">
        <v>219</v>
      </c>
      <c r="B178" s="278"/>
      <c r="C178" s="278">
        <f t="shared" si="298"/>
        <v>0</v>
      </c>
      <c r="D178" s="278">
        <f t="shared" si="299"/>
        <v>0</v>
      </c>
      <c r="E178" s="278">
        <f t="shared" si="299"/>
        <v>0</v>
      </c>
      <c r="F178" s="278"/>
      <c r="G178" s="278">
        <f t="shared" si="300"/>
        <v>0</v>
      </c>
      <c r="H178" s="278">
        <f t="shared" si="301"/>
        <v>0</v>
      </c>
      <c r="I178" s="278">
        <f t="shared" si="301"/>
        <v>0</v>
      </c>
      <c r="J178" s="278"/>
      <c r="K178" s="278">
        <f t="shared" si="302"/>
        <v>0</v>
      </c>
      <c r="L178" s="278">
        <f t="shared" si="303"/>
        <v>0</v>
      </c>
      <c r="M178" s="278">
        <f t="shared" si="303"/>
        <v>0</v>
      </c>
      <c r="N178" s="278"/>
      <c r="O178" s="278">
        <f t="shared" si="304"/>
        <v>0</v>
      </c>
      <c r="P178" s="278">
        <f t="shared" si="305"/>
        <v>0</v>
      </c>
      <c r="Q178" s="278">
        <f t="shared" si="305"/>
        <v>0</v>
      </c>
      <c r="R178" s="278"/>
      <c r="S178" s="278">
        <f t="shared" si="306"/>
        <v>0</v>
      </c>
      <c r="T178" s="278">
        <f t="shared" si="307"/>
        <v>218</v>
      </c>
      <c r="U178" s="278">
        <f t="shared" si="307"/>
        <v>-218</v>
      </c>
      <c r="V178" s="278"/>
      <c r="W178" s="278">
        <f t="shared" si="308"/>
        <v>0</v>
      </c>
      <c r="X178" s="278">
        <f t="shared" si="309"/>
        <v>363</v>
      </c>
      <c r="Y178" s="278">
        <f t="shared" si="309"/>
        <v>333</v>
      </c>
      <c r="Z178" s="278">
        <v>0</v>
      </c>
      <c r="AA178" s="278">
        <f t="shared" si="310"/>
        <v>721</v>
      </c>
      <c r="AB178" s="278">
        <f t="shared" si="311"/>
        <v>0</v>
      </c>
      <c r="AC178" s="278">
        <f t="shared" si="311"/>
        <v>-721</v>
      </c>
      <c r="AF178" s="278"/>
      <c r="AG178" s="278"/>
      <c r="AH178" s="278"/>
      <c r="AI178" s="278"/>
      <c r="AJ178" s="278"/>
      <c r="AK178" s="278"/>
      <c r="AL178" s="278">
        <f t="shared" si="312"/>
        <v>0</v>
      </c>
      <c r="AM178" s="278">
        <f t="shared" si="313"/>
        <v>0</v>
      </c>
      <c r="AN178" s="278">
        <f t="shared" si="314"/>
        <v>0</v>
      </c>
      <c r="AO178" s="278">
        <f t="shared" si="315"/>
        <v>0</v>
      </c>
      <c r="AP178" s="278">
        <f t="shared" si="316"/>
        <v>0</v>
      </c>
      <c r="AQ178" s="278">
        <f t="shared" si="317"/>
        <v>696</v>
      </c>
      <c r="AR178" s="279"/>
      <c r="BK178" s="278"/>
      <c r="BL178" s="278"/>
      <c r="BM178" s="278"/>
      <c r="BO178" s="278"/>
      <c r="BP178" s="278"/>
      <c r="BQ178" s="278"/>
      <c r="BS178" s="278"/>
      <c r="BT178" s="278"/>
      <c r="BU178" s="278"/>
      <c r="BW178" s="278"/>
      <c r="BX178" s="278"/>
      <c r="BY178" s="278"/>
      <c r="CA178" s="278"/>
      <c r="CB178" s="278">
        <v>218</v>
      </c>
      <c r="CC178" s="278"/>
      <c r="CE178" s="278"/>
      <c r="CF178" s="278">
        <v>363</v>
      </c>
      <c r="CG178" s="278">
        <v>696</v>
      </c>
      <c r="CI178" s="278">
        <v>721</v>
      </c>
      <c r="CJ178" s="278">
        <v>721</v>
      </c>
      <c r="CK178" s="278"/>
    </row>
    <row r="179" spans="1:89" outlineLevel="1" x14ac:dyDescent="0.3">
      <c r="A179" s="277" t="s">
        <v>150</v>
      </c>
      <c r="B179" s="278"/>
      <c r="C179" s="278"/>
      <c r="D179" s="278"/>
      <c r="E179" s="278"/>
      <c r="F179" s="278"/>
      <c r="G179" s="278"/>
      <c r="H179" s="278"/>
      <c r="I179" s="278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>
        <v>0</v>
      </c>
      <c r="AA179" s="278">
        <f t="shared" si="310"/>
        <v>0</v>
      </c>
      <c r="AB179" s="278"/>
      <c r="AC179" s="278"/>
      <c r="AF179" s="278">
        <v>1310</v>
      </c>
      <c r="AG179" s="278">
        <v>1482</v>
      </c>
      <c r="AH179" s="278">
        <v>1330</v>
      </c>
      <c r="AI179" s="278">
        <v>1420</v>
      </c>
      <c r="AJ179" s="278">
        <v>1252</v>
      </c>
      <c r="AK179" s="278">
        <v>1222</v>
      </c>
      <c r="AL179" s="278">
        <f t="shared" si="312"/>
        <v>0</v>
      </c>
      <c r="AM179" s="278">
        <f t="shared" si="313"/>
        <v>0</v>
      </c>
      <c r="AN179" s="278">
        <f t="shared" si="314"/>
        <v>0</v>
      </c>
      <c r="AO179" s="278">
        <f t="shared" si="315"/>
        <v>0</v>
      </c>
      <c r="AP179" s="278">
        <f t="shared" si="316"/>
        <v>0</v>
      </c>
      <c r="AQ179" s="278">
        <f t="shared" si="317"/>
        <v>0</v>
      </c>
      <c r="AR179" s="279"/>
      <c r="BK179" s="278"/>
      <c r="BL179" s="278"/>
      <c r="BM179" s="278"/>
      <c r="BO179" s="278"/>
      <c r="BP179" s="278"/>
      <c r="BQ179" s="278"/>
      <c r="BS179" s="278"/>
      <c r="BT179" s="278"/>
      <c r="BU179" s="278"/>
      <c r="BW179" s="278"/>
      <c r="BX179" s="278"/>
      <c r="BY179" s="278"/>
      <c r="CA179" s="278"/>
      <c r="CB179" s="278"/>
      <c r="CC179" s="278"/>
      <c r="CE179" s="278"/>
      <c r="CF179" s="278"/>
      <c r="CG179" s="278"/>
      <c r="CI179" s="278"/>
      <c r="CJ179" s="278"/>
      <c r="CK179" s="278"/>
    </row>
    <row r="180" spans="1:89" outlineLevel="1" x14ac:dyDescent="0.3">
      <c r="A180" s="277" t="s">
        <v>220</v>
      </c>
      <c r="B180" s="278">
        <v>810</v>
      </c>
      <c r="C180" s="278">
        <f>BK180-B180</f>
        <v>306</v>
      </c>
      <c r="D180" s="278">
        <f t="shared" ref="D180:E184" si="318">BL180-BK180</f>
        <v>393</v>
      </c>
      <c r="E180" s="278">
        <f t="shared" si="318"/>
        <v>872</v>
      </c>
      <c r="F180" s="278">
        <v>80</v>
      </c>
      <c r="G180" s="278">
        <f>BO180-F180</f>
        <v>22</v>
      </c>
      <c r="H180" s="278">
        <f t="shared" ref="H180:I184" si="319">BP180-BO180</f>
        <v>36</v>
      </c>
      <c r="I180" s="278">
        <f t="shared" si="319"/>
        <v>122</v>
      </c>
      <c r="J180" s="278">
        <v>148</v>
      </c>
      <c r="K180" s="278">
        <f>BS180-J180</f>
        <v>46</v>
      </c>
      <c r="L180" s="278">
        <f t="shared" ref="L180:M184" si="320">BT180-BS180</f>
        <v>143</v>
      </c>
      <c r="M180" s="278">
        <f t="shared" si="320"/>
        <v>332</v>
      </c>
      <c r="N180" s="278">
        <v>1004</v>
      </c>
      <c r="O180" s="278">
        <f>BW180-N180</f>
        <v>676</v>
      </c>
      <c r="P180" s="278">
        <f t="shared" ref="P180:Q184" si="321">BX180-BW180</f>
        <v>929</v>
      </c>
      <c r="Q180" s="278">
        <f t="shared" si="321"/>
        <v>1229</v>
      </c>
      <c r="R180" s="278">
        <v>1205</v>
      </c>
      <c r="S180" s="278">
        <f>CA180-R180</f>
        <v>1067</v>
      </c>
      <c r="T180" s="278">
        <f t="shared" ref="T180:U184" si="322">CB180-CA180</f>
        <v>919</v>
      </c>
      <c r="U180" s="278">
        <f t="shared" si="322"/>
        <v>1326</v>
      </c>
      <c r="V180" s="278">
        <v>1339</v>
      </c>
      <c r="W180" s="278">
        <f>CE180-V180</f>
        <v>725</v>
      </c>
      <c r="X180" s="278">
        <f t="shared" ref="X180:Y184" si="323">CF180-CE180</f>
        <v>937</v>
      </c>
      <c r="Y180" s="278">
        <f t="shared" si="323"/>
        <v>1590</v>
      </c>
      <c r="Z180" s="278">
        <v>1540</v>
      </c>
      <c r="AA180" s="278">
        <f>CI180-Z180</f>
        <v>1080</v>
      </c>
      <c r="AB180" s="278">
        <f t="shared" ref="AB180:AC184" si="324">CJ180-CI180</f>
        <v>985</v>
      </c>
      <c r="AC180" s="278">
        <f t="shared" si="324"/>
        <v>-3605</v>
      </c>
      <c r="AF180" s="278">
        <v>3917</v>
      </c>
      <c r="AG180" s="278">
        <v>4428</v>
      </c>
      <c r="AH180" s="278">
        <v>4308</v>
      </c>
      <c r="AI180" s="278">
        <v>3170</v>
      </c>
      <c r="AJ180" s="278">
        <v>2429</v>
      </c>
      <c r="AK180" s="278">
        <v>3159</v>
      </c>
      <c r="AL180" s="278">
        <f t="shared" si="312"/>
        <v>2381</v>
      </c>
      <c r="AM180" s="278">
        <f t="shared" si="313"/>
        <v>260</v>
      </c>
      <c r="AN180" s="278">
        <f t="shared" si="314"/>
        <v>669</v>
      </c>
      <c r="AO180" s="278">
        <f t="shared" si="315"/>
        <v>3838</v>
      </c>
      <c r="AP180" s="278">
        <f t="shared" si="316"/>
        <v>4517</v>
      </c>
      <c r="AQ180" s="278">
        <f t="shared" si="317"/>
        <v>4591</v>
      </c>
      <c r="AR180" s="279"/>
      <c r="BK180" s="278">
        <v>1116</v>
      </c>
      <c r="BL180" s="278">
        <v>1509</v>
      </c>
      <c r="BM180" s="278">
        <v>2381</v>
      </c>
      <c r="BO180" s="278">
        <v>102</v>
      </c>
      <c r="BP180" s="278">
        <v>138</v>
      </c>
      <c r="BQ180" s="278">
        <v>260</v>
      </c>
      <c r="BS180" s="278">
        <v>194</v>
      </c>
      <c r="BT180" s="278">
        <v>337</v>
      </c>
      <c r="BU180" s="278">
        <v>669</v>
      </c>
      <c r="BW180" s="278">
        <v>1680</v>
      </c>
      <c r="BX180" s="278">
        <v>2609</v>
      </c>
      <c r="BY180" s="278">
        <v>3838</v>
      </c>
      <c r="CA180" s="278">
        <v>2272</v>
      </c>
      <c r="CB180" s="278">
        <v>3191</v>
      </c>
      <c r="CC180" s="278">
        <v>4517</v>
      </c>
      <c r="CE180" s="278">
        <v>2064</v>
      </c>
      <c r="CF180" s="278">
        <v>3001</v>
      </c>
      <c r="CG180" s="278">
        <v>4591</v>
      </c>
      <c r="CI180" s="278">
        <v>2620</v>
      </c>
      <c r="CJ180" s="278">
        <v>3605</v>
      </c>
      <c r="CK180" s="278"/>
    </row>
    <row r="181" spans="1:89" outlineLevel="1" x14ac:dyDescent="0.3">
      <c r="A181" s="277" t="s">
        <v>221</v>
      </c>
      <c r="B181" s="278"/>
      <c r="C181" s="278">
        <f>BK181-B181</f>
        <v>0</v>
      </c>
      <c r="D181" s="278">
        <f t="shared" si="318"/>
        <v>0</v>
      </c>
      <c r="E181" s="278">
        <f t="shared" si="318"/>
        <v>0</v>
      </c>
      <c r="F181" s="278"/>
      <c r="G181" s="278">
        <f>BO181-F181</f>
        <v>0</v>
      </c>
      <c r="H181" s="278">
        <f t="shared" si="319"/>
        <v>0</v>
      </c>
      <c r="I181" s="278">
        <f t="shared" si="319"/>
        <v>0</v>
      </c>
      <c r="J181" s="278"/>
      <c r="K181" s="278">
        <f>BS181-J181</f>
        <v>0</v>
      </c>
      <c r="L181" s="278">
        <f t="shared" si="320"/>
        <v>0</v>
      </c>
      <c r="M181" s="278">
        <f t="shared" si="320"/>
        <v>0</v>
      </c>
      <c r="N181" s="278"/>
      <c r="O181" s="278">
        <f>BW181-N181</f>
        <v>0</v>
      </c>
      <c r="P181" s="278">
        <f t="shared" si="321"/>
        <v>0</v>
      </c>
      <c r="Q181" s="278">
        <f t="shared" si="321"/>
        <v>0</v>
      </c>
      <c r="R181" s="278">
        <v>0</v>
      </c>
      <c r="S181" s="278">
        <f>CA181-R181</f>
        <v>15</v>
      </c>
      <c r="T181" s="278">
        <f t="shared" si="322"/>
        <v>38</v>
      </c>
      <c r="U181" s="278">
        <f t="shared" si="322"/>
        <v>104</v>
      </c>
      <c r="V181" s="278">
        <v>27</v>
      </c>
      <c r="W181" s="278">
        <f>CE181-V181</f>
        <v>52</v>
      </c>
      <c r="X181" s="278">
        <f t="shared" si="323"/>
        <v>324</v>
      </c>
      <c r="Y181" s="278">
        <f t="shared" si="323"/>
        <v>306</v>
      </c>
      <c r="Z181" s="278">
        <v>265</v>
      </c>
      <c r="AA181" s="278">
        <f>CI181-Z181</f>
        <v>243</v>
      </c>
      <c r="AB181" s="278">
        <f t="shared" si="324"/>
        <v>435</v>
      </c>
      <c r="AC181" s="278">
        <f t="shared" si="324"/>
        <v>-943</v>
      </c>
      <c r="AF181" s="278"/>
      <c r="AG181" s="278"/>
      <c r="AH181" s="278"/>
      <c r="AI181" s="278"/>
      <c r="AJ181" s="278"/>
      <c r="AK181" s="278"/>
      <c r="AL181" s="278">
        <f t="shared" si="312"/>
        <v>0</v>
      </c>
      <c r="AM181" s="278">
        <f t="shared" si="313"/>
        <v>0</v>
      </c>
      <c r="AN181" s="278">
        <f t="shared" si="314"/>
        <v>0</v>
      </c>
      <c r="AO181" s="278">
        <f t="shared" si="315"/>
        <v>0</v>
      </c>
      <c r="AP181" s="278">
        <f t="shared" si="316"/>
        <v>157</v>
      </c>
      <c r="AQ181" s="278">
        <f t="shared" si="317"/>
        <v>709</v>
      </c>
      <c r="AR181" s="279"/>
      <c r="BK181" s="278"/>
      <c r="BL181" s="278"/>
      <c r="BM181" s="278"/>
      <c r="BO181" s="278"/>
      <c r="BP181" s="278"/>
      <c r="BQ181" s="278"/>
      <c r="BS181" s="278"/>
      <c r="BT181" s="278"/>
      <c r="BU181" s="278"/>
      <c r="BW181" s="278"/>
      <c r="BX181" s="278"/>
      <c r="BY181" s="278">
        <v>0</v>
      </c>
      <c r="CA181" s="278">
        <v>15</v>
      </c>
      <c r="CB181" s="278">
        <v>53</v>
      </c>
      <c r="CC181" s="278">
        <v>157</v>
      </c>
      <c r="CE181" s="278">
        <v>79</v>
      </c>
      <c r="CF181" s="278">
        <v>403</v>
      </c>
      <c r="CG181" s="278">
        <v>709</v>
      </c>
      <c r="CI181" s="278">
        <v>508</v>
      </c>
      <c r="CJ181" s="278">
        <v>943</v>
      </c>
      <c r="CK181" s="278"/>
    </row>
    <row r="182" spans="1:89" outlineLevel="1" x14ac:dyDescent="0.3">
      <c r="A182" s="277" t="s">
        <v>157</v>
      </c>
      <c r="B182" s="278">
        <v>4894</v>
      </c>
      <c r="C182" s="278">
        <f>BK182-B182</f>
        <v>3534</v>
      </c>
      <c r="D182" s="278">
        <f t="shared" si="318"/>
        <v>4749</v>
      </c>
      <c r="E182" s="278">
        <f t="shared" si="318"/>
        <v>3116</v>
      </c>
      <c r="F182" s="278">
        <v>136</v>
      </c>
      <c r="G182" s="278">
        <f>BO182-F182</f>
        <v>198</v>
      </c>
      <c r="H182" s="278">
        <f t="shared" si="319"/>
        <v>585</v>
      </c>
      <c r="I182" s="278">
        <f t="shared" si="319"/>
        <v>946</v>
      </c>
      <c r="J182" s="278">
        <v>693</v>
      </c>
      <c r="K182" s="278">
        <f>BS182-J182</f>
        <v>751</v>
      </c>
      <c r="L182" s="278">
        <f t="shared" si="320"/>
        <v>1101</v>
      </c>
      <c r="M182" s="278">
        <f t="shared" si="320"/>
        <v>1066</v>
      </c>
      <c r="N182" s="278">
        <v>930</v>
      </c>
      <c r="O182" s="278">
        <f>BW182-N182</f>
        <v>984</v>
      </c>
      <c r="P182" s="278">
        <f t="shared" si="321"/>
        <v>1727</v>
      </c>
      <c r="Q182" s="278">
        <f t="shared" si="321"/>
        <v>2505</v>
      </c>
      <c r="R182" s="278">
        <v>1595</v>
      </c>
      <c r="S182" s="278">
        <f>CA182-R182</f>
        <v>1910</v>
      </c>
      <c r="T182" s="278">
        <f t="shared" si="322"/>
        <v>2163</v>
      </c>
      <c r="U182" s="278">
        <f t="shared" si="322"/>
        <v>2893</v>
      </c>
      <c r="V182" s="278">
        <v>1977</v>
      </c>
      <c r="W182" s="278">
        <f>CE182-V182</f>
        <v>2473</v>
      </c>
      <c r="X182" s="278">
        <f t="shared" si="323"/>
        <v>3869</v>
      </c>
      <c r="Y182" s="278">
        <f t="shared" si="323"/>
        <v>7920</v>
      </c>
      <c r="Z182" s="278">
        <v>6545</v>
      </c>
      <c r="AA182" s="278">
        <f>CI182-Z182</f>
        <v>4816</v>
      </c>
      <c r="AB182" s="278">
        <f t="shared" si="324"/>
        <v>5334</v>
      </c>
      <c r="AC182" s="278">
        <f t="shared" si="324"/>
        <v>-16695</v>
      </c>
      <c r="AF182" s="278">
        <v>13999</v>
      </c>
      <c r="AG182" s="278">
        <v>17320</v>
      </c>
      <c r="AH182" s="278">
        <v>15782</v>
      </c>
      <c r="AI182" s="278">
        <v>14619</v>
      </c>
      <c r="AJ182" s="278">
        <v>9710</v>
      </c>
      <c r="AK182" s="278">
        <v>12656</v>
      </c>
      <c r="AL182" s="278">
        <f t="shared" si="312"/>
        <v>16293</v>
      </c>
      <c r="AM182" s="278">
        <f t="shared" si="313"/>
        <v>1865</v>
      </c>
      <c r="AN182" s="278">
        <f t="shared" si="314"/>
        <v>3611</v>
      </c>
      <c r="AO182" s="278">
        <f t="shared" si="315"/>
        <v>6146</v>
      </c>
      <c r="AP182" s="278">
        <f t="shared" si="316"/>
        <v>8561</v>
      </c>
      <c r="AQ182" s="278">
        <f t="shared" si="317"/>
        <v>16239</v>
      </c>
      <c r="AR182" s="279"/>
      <c r="BK182" s="278">
        <v>8428</v>
      </c>
      <c r="BL182" s="278">
        <v>13177</v>
      </c>
      <c r="BM182" s="278">
        <v>16293</v>
      </c>
      <c r="BO182" s="278">
        <v>334</v>
      </c>
      <c r="BP182" s="278">
        <v>919</v>
      </c>
      <c r="BQ182" s="278">
        <v>1865</v>
      </c>
      <c r="BS182" s="278">
        <v>1444</v>
      </c>
      <c r="BT182" s="278">
        <v>2545</v>
      </c>
      <c r="BU182" s="278">
        <v>3611</v>
      </c>
      <c r="BW182" s="278">
        <v>1914</v>
      </c>
      <c r="BX182" s="278">
        <v>3641</v>
      </c>
      <c r="BY182" s="278">
        <v>6146</v>
      </c>
      <c r="CA182" s="278">
        <v>3505</v>
      </c>
      <c r="CB182" s="278">
        <v>5668</v>
      </c>
      <c r="CC182" s="278">
        <v>8561</v>
      </c>
      <c r="CE182" s="278">
        <v>4450</v>
      </c>
      <c r="CF182" s="278">
        <v>8319</v>
      </c>
      <c r="CG182" s="278">
        <v>16239</v>
      </c>
      <c r="CI182" s="278">
        <v>11361</v>
      </c>
      <c r="CJ182" s="278">
        <v>16695</v>
      </c>
      <c r="CK182" s="278"/>
    </row>
    <row r="183" spans="1:89" outlineLevel="1" x14ac:dyDescent="0.3">
      <c r="A183" s="277" t="s">
        <v>222</v>
      </c>
      <c r="B183" s="278">
        <v>894</v>
      </c>
      <c r="C183" s="278">
        <f>BK183-B183</f>
        <v>799</v>
      </c>
      <c r="D183" s="278">
        <f t="shared" si="318"/>
        <v>1223</v>
      </c>
      <c r="E183" s="278">
        <f t="shared" si="318"/>
        <v>1137</v>
      </c>
      <c r="F183" s="278">
        <v>127</v>
      </c>
      <c r="G183" s="278">
        <f>BO183-F183</f>
        <v>289</v>
      </c>
      <c r="H183" s="278">
        <f t="shared" si="319"/>
        <v>449</v>
      </c>
      <c r="I183" s="278">
        <f t="shared" si="319"/>
        <v>814</v>
      </c>
      <c r="J183" s="278">
        <v>217</v>
      </c>
      <c r="K183" s="278">
        <f>BS183-J183</f>
        <v>397</v>
      </c>
      <c r="L183" s="278">
        <f t="shared" si="320"/>
        <v>1191</v>
      </c>
      <c r="M183" s="278">
        <f t="shared" si="320"/>
        <v>1705</v>
      </c>
      <c r="N183" s="278">
        <v>3401</v>
      </c>
      <c r="O183" s="278">
        <f>BW183-N183</f>
        <v>2816</v>
      </c>
      <c r="P183" s="278">
        <f t="shared" si="321"/>
        <v>2566</v>
      </c>
      <c r="Q183" s="278">
        <f t="shared" si="321"/>
        <v>4841</v>
      </c>
      <c r="R183" s="278">
        <v>4910</v>
      </c>
      <c r="S183" s="278">
        <f>CA183-R183</f>
        <v>2924</v>
      </c>
      <c r="T183" s="278">
        <f t="shared" si="322"/>
        <v>3793</v>
      </c>
      <c r="U183" s="278">
        <f t="shared" si="322"/>
        <v>5084</v>
      </c>
      <c r="V183" s="278">
        <v>3841</v>
      </c>
      <c r="W183" s="278">
        <f>CE183-V183</f>
        <v>2873</v>
      </c>
      <c r="X183" s="278">
        <f t="shared" si="323"/>
        <v>4134</v>
      </c>
      <c r="Y183" s="278">
        <f t="shared" si="323"/>
        <v>6757</v>
      </c>
      <c r="Z183" s="278">
        <v>5003</v>
      </c>
      <c r="AA183" s="278">
        <f>CI183-Z183</f>
        <v>2896</v>
      </c>
      <c r="AB183" s="278">
        <f t="shared" si="324"/>
        <v>3854</v>
      </c>
      <c r="AC183" s="278">
        <f t="shared" si="324"/>
        <v>-11753</v>
      </c>
      <c r="AF183" s="278">
        <v>4200</v>
      </c>
      <c r="AG183" s="278">
        <v>4853</v>
      </c>
      <c r="AH183" s="278">
        <v>6189</v>
      </c>
      <c r="AI183" s="278">
        <v>7624</v>
      </c>
      <c r="AJ183" s="278">
        <v>5972</v>
      </c>
      <c r="AK183" s="278">
        <v>5501</v>
      </c>
      <c r="AL183" s="278">
        <f t="shared" si="312"/>
        <v>4053</v>
      </c>
      <c r="AM183" s="278">
        <f t="shared" si="313"/>
        <v>1679</v>
      </c>
      <c r="AN183" s="278">
        <f t="shared" si="314"/>
        <v>3510</v>
      </c>
      <c r="AO183" s="278">
        <f t="shared" si="315"/>
        <v>13624</v>
      </c>
      <c r="AP183" s="278">
        <f t="shared" si="316"/>
        <v>16711</v>
      </c>
      <c r="AQ183" s="278">
        <f t="shared" si="317"/>
        <v>17605</v>
      </c>
      <c r="AR183" s="279"/>
      <c r="BK183" s="278">
        <v>1693</v>
      </c>
      <c r="BL183" s="278">
        <v>2916</v>
      </c>
      <c r="BM183" s="278">
        <v>4053</v>
      </c>
      <c r="BO183" s="278">
        <v>416</v>
      </c>
      <c r="BP183" s="278">
        <v>865</v>
      </c>
      <c r="BQ183" s="278">
        <v>1679</v>
      </c>
      <c r="BS183" s="278">
        <v>614</v>
      </c>
      <c r="BT183" s="278">
        <v>1805</v>
      </c>
      <c r="BU183" s="278">
        <v>3510</v>
      </c>
      <c r="BW183" s="278">
        <v>6217</v>
      </c>
      <c r="BX183" s="278">
        <v>8783</v>
      </c>
      <c r="BY183" s="278">
        <v>13624</v>
      </c>
      <c r="CA183" s="278">
        <v>7834</v>
      </c>
      <c r="CB183" s="278">
        <v>11627</v>
      </c>
      <c r="CC183" s="278">
        <v>16711</v>
      </c>
      <c r="CE183" s="278">
        <v>6714</v>
      </c>
      <c r="CF183" s="278">
        <v>10848</v>
      </c>
      <c r="CG183" s="278">
        <v>17605</v>
      </c>
      <c r="CI183" s="278">
        <v>7899</v>
      </c>
      <c r="CJ183" s="278">
        <v>11753</v>
      </c>
      <c r="CK183" s="278"/>
    </row>
    <row r="184" spans="1:89" outlineLevel="1" x14ac:dyDescent="0.3">
      <c r="A184" s="277" t="s">
        <v>223</v>
      </c>
      <c r="B184" s="278">
        <v>105</v>
      </c>
      <c r="C184" s="278">
        <f>BK184-B184</f>
        <v>57</v>
      </c>
      <c r="D184" s="278">
        <f t="shared" si="318"/>
        <v>94</v>
      </c>
      <c r="E184" s="278">
        <f t="shared" si="318"/>
        <v>62</v>
      </c>
      <c r="F184" s="278">
        <v>16</v>
      </c>
      <c r="G184" s="278">
        <f>BO184-F184</f>
        <v>5</v>
      </c>
      <c r="H184" s="278">
        <f t="shared" si="319"/>
        <v>8</v>
      </c>
      <c r="I184" s="278">
        <f t="shared" si="319"/>
        <v>4</v>
      </c>
      <c r="J184" s="278"/>
      <c r="K184" s="278">
        <f>BS184-J184</f>
        <v>0</v>
      </c>
      <c r="L184" s="278">
        <f t="shared" si="320"/>
        <v>0</v>
      </c>
      <c r="M184" s="278">
        <f t="shared" si="320"/>
        <v>0</v>
      </c>
      <c r="N184" s="278"/>
      <c r="O184" s="278">
        <f>BW184-N184</f>
        <v>0</v>
      </c>
      <c r="P184" s="278">
        <f t="shared" si="321"/>
        <v>0</v>
      </c>
      <c r="Q184" s="278">
        <f t="shared" si="321"/>
        <v>0</v>
      </c>
      <c r="R184" s="278"/>
      <c r="S184" s="278">
        <f>CA184-R184</f>
        <v>0</v>
      </c>
      <c r="T184" s="278">
        <f t="shared" si="322"/>
        <v>0</v>
      </c>
      <c r="U184" s="278">
        <f t="shared" si="322"/>
        <v>0</v>
      </c>
      <c r="V184" s="278"/>
      <c r="W184" s="278">
        <f>CE184-V184</f>
        <v>0</v>
      </c>
      <c r="X184" s="278">
        <f t="shared" si="323"/>
        <v>0</v>
      </c>
      <c r="Y184" s="278">
        <f t="shared" si="323"/>
        <v>0</v>
      </c>
      <c r="Z184" s="278">
        <v>0</v>
      </c>
      <c r="AA184" s="278">
        <f>CI184-Z184</f>
        <v>0</v>
      </c>
      <c r="AB184" s="278">
        <f t="shared" si="324"/>
        <v>0</v>
      </c>
      <c r="AC184" s="278">
        <f t="shared" si="324"/>
        <v>0</v>
      </c>
      <c r="AF184" s="278">
        <v>151</v>
      </c>
      <c r="AG184" s="278" t="s">
        <v>146</v>
      </c>
      <c r="AH184" s="278"/>
      <c r="AI184" s="278"/>
      <c r="AJ184" s="278">
        <v>506</v>
      </c>
      <c r="AK184" s="278">
        <v>523</v>
      </c>
      <c r="AL184" s="278">
        <f t="shared" si="312"/>
        <v>318</v>
      </c>
      <c r="AM184" s="278">
        <f t="shared" si="313"/>
        <v>33</v>
      </c>
      <c r="AN184" s="278">
        <f t="shared" si="314"/>
        <v>0</v>
      </c>
      <c r="AO184" s="278">
        <f t="shared" si="315"/>
        <v>0</v>
      </c>
      <c r="AP184" s="278">
        <f t="shared" si="316"/>
        <v>0</v>
      </c>
      <c r="AQ184" s="278">
        <f t="shared" si="317"/>
        <v>0</v>
      </c>
      <c r="AR184" s="279"/>
      <c r="BK184" s="278">
        <v>162</v>
      </c>
      <c r="BL184" s="278">
        <v>256</v>
      </c>
      <c r="BM184" s="278">
        <v>318</v>
      </c>
      <c r="BO184" s="278">
        <v>21</v>
      </c>
      <c r="BP184" s="278">
        <v>29</v>
      </c>
      <c r="BQ184" s="278">
        <v>33</v>
      </c>
      <c r="BS184" s="278"/>
      <c r="BT184" s="278"/>
      <c r="BU184" s="278"/>
      <c r="BW184" s="278"/>
      <c r="BX184" s="278"/>
      <c r="BY184" s="278"/>
      <c r="CA184" s="278"/>
      <c r="CB184" s="278"/>
      <c r="CC184" s="278"/>
      <c r="CE184" s="278"/>
      <c r="CF184" s="278"/>
      <c r="CG184" s="278"/>
      <c r="CI184" s="278"/>
      <c r="CJ184" s="278"/>
      <c r="CK184" s="278"/>
    </row>
    <row r="185" spans="1:89" s="283" customFormat="1" x14ac:dyDescent="0.3">
      <c r="A185" s="280" t="s">
        <v>224</v>
      </c>
      <c r="B185" s="282">
        <f>SUM(B173:B184)</f>
        <v>11017</v>
      </c>
      <c r="C185" s="282">
        <f t="shared" ref="C185:AC185" si="325">SUM(C173:C184)</f>
        <v>9585</v>
      </c>
      <c r="D185" s="282">
        <f t="shared" si="325"/>
        <v>12952</v>
      </c>
      <c r="E185" s="282">
        <f t="shared" si="325"/>
        <v>10735</v>
      </c>
      <c r="F185" s="282">
        <f t="shared" si="325"/>
        <v>535</v>
      </c>
      <c r="G185" s="282">
        <f t="shared" si="325"/>
        <v>1471</v>
      </c>
      <c r="H185" s="282">
        <f t="shared" si="325"/>
        <v>3061</v>
      </c>
      <c r="I185" s="282">
        <f t="shared" si="325"/>
        <v>4943</v>
      </c>
      <c r="J185" s="282">
        <f t="shared" si="325"/>
        <v>2263</v>
      </c>
      <c r="K185" s="282">
        <f t="shared" si="325"/>
        <v>2393</v>
      </c>
      <c r="L185" s="282">
        <f t="shared" si="325"/>
        <v>4992</v>
      </c>
      <c r="M185" s="282">
        <f t="shared" si="325"/>
        <v>5862</v>
      </c>
      <c r="N185" s="282">
        <f t="shared" si="325"/>
        <v>8731</v>
      </c>
      <c r="O185" s="282">
        <f t="shared" si="325"/>
        <v>8149</v>
      </c>
      <c r="P185" s="282">
        <f t="shared" si="325"/>
        <v>11211</v>
      </c>
      <c r="Q185" s="282">
        <f t="shared" si="325"/>
        <v>15716</v>
      </c>
      <c r="R185" s="282">
        <f t="shared" si="325"/>
        <v>11624</v>
      </c>
      <c r="S185" s="282">
        <f t="shared" si="325"/>
        <v>12289</v>
      </c>
      <c r="T185" s="282">
        <f t="shared" si="325"/>
        <v>13357</v>
      </c>
      <c r="U185" s="282">
        <f t="shared" si="325"/>
        <v>17797</v>
      </c>
      <c r="V185" s="282">
        <f t="shared" si="325"/>
        <v>14454</v>
      </c>
      <c r="W185" s="282">
        <f t="shared" si="325"/>
        <v>12770</v>
      </c>
      <c r="X185" s="282">
        <f t="shared" si="325"/>
        <v>16635</v>
      </c>
      <c r="Y185" s="282">
        <f t="shared" si="325"/>
        <v>26319</v>
      </c>
      <c r="Z185" s="282">
        <f t="shared" si="325"/>
        <v>22230</v>
      </c>
      <c r="AA185" s="282">
        <f t="shared" si="325"/>
        <v>18190</v>
      </c>
      <c r="AB185" s="282">
        <f t="shared" si="325"/>
        <v>20206</v>
      </c>
      <c r="AC185" s="282">
        <f t="shared" si="325"/>
        <v>-60626</v>
      </c>
      <c r="AF185" s="282">
        <f t="shared" ref="AF185:AK185" si="326">SUM(AF173:AF184)</f>
        <v>41175</v>
      </c>
      <c r="AG185" s="282">
        <f t="shared" si="326"/>
        <v>49360</v>
      </c>
      <c r="AH185" s="282">
        <f t="shared" si="326"/>
        <v>54217</v>
      </c>
      <c r="AI185" s="282">
        <f t="shared" si="326"/>
        <v>49568</v>
      </c>
      <c r="AJ185" s="282">
        <f t="shared" si="326"/>
        <v>38165</v>
      </c>
      <c r="AK185" s="282">
        <f t="shared" si="326"/>
        <v>45455</v>
      </c>
      <c r="AL185" s="282">
        <f t="shared" si="312"/>
        <v>44289</v>
      </c>
      <c r="AM185" s="282">
        <f t="shared" si="313"/>
        <v>10010</v>
      </c>
      <c r="AN185" s="282">
        <f t="shared" si="314"/>
        <v>15510</v>
      </c>
      <c r="AO185" s="282">
        <f t="shared" si="315"/>
        <v>43807</v>
      </c>
      <c r="AP185" s="282">
        <f t="shared" si="316"/>
        <v>55067</v>
      </c>
      <c r="AQ185" s="282">
        <f t="shared" si="317"/>
        <v>70178</v>
      </c>
      <c r="AR185" s="284"/>
      <c r="BK185" s="282">
        <f>SUM(BK173:BK184)</f>
        <v>20602</v>
      </c>
      <c r="BL185" s="282">
        <f>SUM(BL173:BL184)</f>
        <v>33554</v>
      </c>
      <c r="BM185" s="282">
        <f>SUM(BM173:BM184)</f>
        <v>44289</v>
      </c>
      <c r="BO185" s="282">
        <f>SUM(BO173:BO184)</f>
        <v>2006</v>
      </c>
      <c r="BP185" s="282">
        <f>SUM(BP173:BP184)</f>
        <v>5067</v>
      </c>
      <c r="BQ185" s="282">
        <f t="shared" ref="BQ185" si="327">SUM(BQ173:BQ184)</f>
        <v>10010</v>
      </c>
      <c r="BS185" s="282">
        <f>SUM(BS173:BS183)</f>
        <v>4656</v>
      </c>
      <c r="BT185" s="282">
        <f>SUM(BT173:BT183)</f>
        <v>9648</v>
      </c>
      <c r="BU185" s="282">
        <f>SUM(BU173:BU183)</f>
        <v>15510</v>
      </c>
      <c r="BW185" s="282">
        <f>SUM(BW173:BW183)</f>
        <v>16880</v>
      </c>
      <c r="BX185" s="282">
        <f>SUM(BX173:BX183)</f>
        <v>28091</v>
      </c>
      <c r="BY185" s="282">
        <f>SUM(BY173:BY183)</f>
        <v>43807</v>
      </c>
      <c r="CA185" s="282">
        <f>SUM(CA173:CA183)</f>
        <v>23913</v>
      </c>
      <c r="CB185" s="282">
        <f>SUM(CB173:CB183)</f>
        <v>37270</v>
      </c>
      <c r="CC185" s="282">
        <f>SUM(CC173:CC183)</f>
        <v>55067</v>
      </c>
      <c r="CE185" s="282">
        <f>SUM(CE173:CE183)</f>
        <v>27224</v>
      </c>
      <c r="CF185" s="282">
        <f>SUM(CF173:CF183)</f>
        <v>43859</v>
      </c>
      <c r="CG185" s="282">
        <f>SUM(CG173:CG183)</f>
        <v>70178</v>
      </c>
      <c r="CI185" s="282">
        <f>SUM(CI173:CI183)</f>
        <v>40420</v>
      </c>
      <c r="CJ185" s="282">
        <f>SUM(CJ173:CJ183)</f>
        <v>60626</v>
      </c>
      <c r="CK185" s="282"/>
    </row>
    <row r="186" spans="1:89" x14ac:dyDescent="0.3">
      <c r="A186" s="280"/>
      <c r="B186" s="278"/>
      <c r="C186" s="278"/>
      <c r="D186" s="278"/>
      <c r="E186" s="278"/>
      <c r="F186" s="278"/>
      <c r="G186" s="278"/>
      <c r="H186" s="278"/>
      <c r="I186" s="278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  <c r="AC186" s="278"/>
      <c r="AF186" s="278"/>
      <c r="AG186" s="278"/>
      <c r="AH186" s="278"/>
      <c r="AI186" s="278"/>
      <c r="AJ186" s="278"/>
      <c r="AK186" s="278"/>
      <c r="AL186" s="278"/>
      <c r="AM186" s="278"/>
      <c r="AN186" s="278"/>
      <c r="AO186" s="278"/>
      <c r="AP186" s="278"/>
      <c r="AQ186" s="278"/>
      <c r="AR186" s="279"/>
      <c r="BK186" s="278"/>
      <c r="BL186" s="278"/>
      <c r="BM186" s="278"/>
      <c r="BO186" s="278"/>
      <c r="BP186" s="278"/>
      <c r="BQ186" s="278"/>
      <c r="BS186" s="278"/>
      <c r="BT186" s="278"/>
      <c r="BU186" s="278"/>
      <c r="BW186" s="278"/>
      <c r="BX186" s="278"/>
      <c r="BY186" s="278"/>
      <c r="CA186" s="278"/>
      <c r="CB186" s="278"/>
      <c r="CC186" s="278"/>
      <c r="CE186" s="278"/>
      <c r="CF186" s="278"/>
      <c r="CG186" s="278"/>
      <c r="CI186" s="278"/>
      <c r="CJ186" s="278"/>
      <c r="CK186" s="278"/>
    </row>
    <row r="187" spans="1:89" x14ac:dyDescent="0.3">
      <c r="A187" s="280" t="s">
        <v>225</v>
      </c>
      <c r="B187" s="278"/>
      <c r="C187" s="278"/>
      <c r="D187" s="278"/>
      <c r="E187" s="278"/>
      <c r="F187" s="278"/>
      <c r="G187" s="278"/>
      <c r="H187" s="278"/>
      <c r="I187" s="278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  <c r="AC187" s="278"/>
      <c r="AF187" s="278"/>
      <c r="AG187" s="278"/>
      <c r="AH187" s="278"/>
      <c r="AI187" s="278"/>
      <c r="AJ187" s="278"/>
      <c r="AK187" s="278"/>
      <c r="AL187" s="278"/>
      <c r="AM187" s="278"/>
      <c r="AN187" s="278"/>
      <c r="AO187" s="278"/>
      <c r="AP187" s="278"/>
      <c r="AQ187" s="278"/>
      <c r="AR187" s="279"/>
      <c r="BK187" s="278"/>
      <c r="BL187" s="278"/>
      <c r="BM187" s="278"/>
      <c r="BO187" s="278"/>
      <c r="BP187" s="278"/>
      <c r="BQ187" s="278"/>
      <c r="BS187" s="278"/>
      <c r="BT187" s="278"/>
      <c r="BU187" s="278"/>
      <c r="BW187" s="278"/>
      <c r="BX187" s="278"/>
      <c r="BY187" s="278"/>
      <c r="CA187" s="278"/>
      <c r="CB187" s="278"/>
      <c r="CC187" s="278"/>
      <c r="CE187" s="278"/>
      <c r="CF187" s="278"/>
      <c r="CG187" s="278"/>
      <c r="CI187" s="278"/>
      <c r="CJ187" s="278"/>
      <c r="CK187" s="278"/>
    </row>
    <row r="188" spans="1:89" outlineLevel="1" x14ac:dyDescent="0.3">
      <c r="A188" s="277" t="s">
        <v>226</v>
      </c>
      <c r="B188" s="278"/>
      <c r="C188" s="278"/>
      <c r="D188" s="278"/>
      <c r="E188" s="278"/>
      <c r="F188" s="278"/>
      <c r="G188" s="278"/>
      <c r="H188" s="278"/>
      <c r="I188" s="278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  <c r="AC188" s="278"/>
      <c r="AF188" s="278">
        <v>4478</v>
      </c>
      <c r="AG188" s="278">
        <v>3009</v>
      </c>
      <c r="AH188" s="278">
        <v>848</v>
      </c>
      <c r="AI188" s="278">
        <v>137</v>
      </c>
      <c r="AJ188" s="278"/>
      <c r="AK188" s="278"/>
      <c r="AL188" s="278"/>
      <c r="AM188" s="278"/>
      <c r="AN188" s="278"/>
      <c r="AO188" s="278"/>
      <c r="AP188" s="278"/>
      <c r="AQ188" s="278"/>
      <c r="AR188" s="279"/>
      <c r="BK188" s="278"/>
      <c r="BL188" s="278"/>
      <c r="BM188" s="278"/>
      <c r="BO188" s="278"/>
      <c r="BP188" s="278"/>
      <c r="BQ188" s="278"/>
      <c r="BS188" s="278"/>
      <c r="BT188" s="278"/>
      <c r="BU188" s="278"/>
      <c r="BW188" s="278"/>
      <c r="BX188" s="278"/>
      <c r="BY188" s="278"/>
      <c r="CA188" s="278"/>
      <c r="CB188" s="278"/>
      <c r="CC188" s="278"/>
      <c r="CE188" s="278"/>
      <c r="CF188" s="278"/>
      <c r="CG188" s="278"/>
      <c r="CI188" s="278"/>
      <c r="CJ188" s="278"/>
      <c r="CK188" s="278"/>
    </row>
    <row r="189" spans="1:89" outlineLevel="1" x14ac:dyDescent="0.3">
      <c r="A189" s="277" t="s">
        <v>163</v>
      </c>
      <c r="B189" s="278">
        <v>26333</v>
      </c>
      <c r="C189" s="278">
        <f t="shared" ref="C189:C196" si="328">BK189-B189</f>
        <v>9396</v>
      </c>
      <c r="D189" s="278">
        <f t="shared" ref="D189:E196" si="329">BL189-BK189</f>
        <v>6205</v>
      </c>
      <c r="E189" s="278">
        <f t="shared" si="329"/>
        <v>8337</v>
      </c>
      <c r="F189" s="278">
        <v>957</v>
      </c>
      <c r="G189" s="278">
        <f t="shared" ref="G189:G196" si="330">BO189-F189</f>
        <v>7535</v>
      </c>
      <c r="H189" s="278">
        <f t="shared" ref="H189:I196" si="331">BP189-BO189</f>
        <v>15937</v>
      </c>
      <c r="I189" s="278">
        <f t="shared" si="331"/>
        <v>23810</v>
      </c>
      <c r="J189" s="278">
        <v>8840</v>
      </c>
      <c r="K189" s="278">
        <f t="shared" ref="K189:K196" si="332">BS189-J189</f>
        <v>10810</v>
      </c>
      <c r="L189" s="278">
        <f t="shared" ref="L189:M196" si="333">BT189-BS189</f>
        <v>17885</v>
      </c>
      <c r="M189" s="278">
        <f t="shared" si="333"/>
        <v>28623</v>
      </c>
      <c r="N189" s="278">
        <v>24009</v>
      </c>
      <c r="O189" s="278">
        <f t="shared" ref="O189:O196" si="334">BW189-N189</f>
        <v>22565</v>
      </c>
      <c r="P189" s="278">
        <f t="shared" ref="P189:Q196" si="335">BX189-BW189</f>
        <v>28158</v>
      </c>
      <c r="Q189" s="278">
        <f t="shared" si="335"/>
        <v>32375</v>
      </c>
      <c r="R189" s="278">
        <v>22610</v>
      </c>
      <c r="S189" s="278">
        <f t="shared" ref="S189:S196" si="336">CA189-R189</f>
        <v>26780</v>
      </c>
      <c r="T189" s="278">
        <f t="shared" ref="T189:U196" si="337">CB189-CA189</f>
        <v>24244</v>
      </c>
      <c r="U189" s="278">
        <f t="shared" si="337"/>
        <v>28876</v>
      </c>
      <c r="V189" s="278">
        <v>21808</v>
      </c>
      <c r="W189" s="278">
        <f t="shared" ref="W189:W196" si="338">CE189-V189</f>
        <v>20990</v>
      </c>
      <c r="X189" s="278">
        <f t="shared" ref="X189:Y196" si="339">CF189-CE189</f>
        <v>24208</v>
      </c>
      <c r="Y189" s="278">
        <f t="shared" si="339"/>
        <v>28419</v>
      </c>
      <c r="Z189" s="278">
        <v>21706</v>
      </c>
      <c r="AA189" s="278">
        <f t="shared" ref="AA189:AA196" si="340">CI189-Z189</f>
        <v>22367</v>
      </c>
      <c r="AB189" s="278">
        <f t="shared" ref="AB189:AC196" si="341">CJ189-CI189</f>
        <v>27597</v>
      </c>
      <c r="AC189" s="278">
        <f t="shared" si="341"/>
        <v>-71670</v>
      </c>
      <c r="AF189" s="278">
        <v>39805</v>
      </c>
      <c r="AG189" s="278">
        <v>57073</v>
      </c>
      <c r="AH189" s="278">
        <v>85930</v>
      </c>
      <c r="AI189" s="278">
        <v>96821</v>
      </c>
      <c r="AJ189" s="278">
        <v>103447</v>
      </c>
      <c r="AK189" s="278">
        <v>127174</v>
      </c>
      <c r="AL189" s="278">
        <f t="shared" ref="AL189:AL197" si="342">SUM(B189:E189)</f>
        <v>50271</v>
      </c>
      <c r="AM189" s="278">
        <f t="shared" ref="AM189:AM197" si="343">SUM(F189:I189)</f>
        <v>48239</v>
      </c>
      <c r="AN189" s="278">
        <f t="shared" ref="AN189:AN197" si="344">SUM(J189:M189)</f>
        <v>66158</v>
      </c>
      <c r="AO189" s="278">
        <f t="shared" ref="AO189:AO197" si="345">SUM(N189:Q189)</f>
        <v>107107</v>
      </c>
      <c r="AP189" s="278">
        <f t="shared" ref="AP189:AP197" si="346">SUM(R189:U189)</f>
        <v>102510</v>
      </c>
      <c r="AQ189" s="278">
        <f t="shared" ref="AQ189:AQ197" si="347">SUM(V189:Y189)</f>
        <v>95425</v>
      </c>
      <c r="AR189" s="279"/>
      <c r="BK189" s="278">
        <v>35729</v>
      </c>
      <c r="BL189" s="278">
        <v>41934</v>
      </c>
      <c r="BM189" s="278">
        <v>50271</v>
      </c>
      <c r="BO189" s="278">
        <v>8492</v>
      </c>
      <c r="BP189" s="278">
        <v>24429</v>
      </c>
      <c r="BQ189" s="278">
        <v>48239</v>
      </c>
      <c r="BS189" s="278">
        <v>19650</v>
      </c>
      <c r="BT189" s="278">
        <v>37535</v>
      </c>
      <c r="BU189" s="278">
        <v>66158</v>
      </c>
      <c r="BW189" s="278">
        <v>46574</v>
      </c>
      <c r="BX189" s="278">
        <v>74732</v>
      </c>
      <c r="BY189" s="278">
        <v>107107</v>
      </c>
      <c r="CA189" s="278">
        <v>49390</v>
      </c>
      <c r="CB189" s="278">
        <v>73634</v>
      </c>
      <c r="CC189" s="278">
        <v>102510</v>
      </c>
      <c r="CE189" s="278">
        <v>42798</v>
      </c>
      <c r="CF189" s="278">
        <v>67006</v>
      </c>
      <c r="CG189" s="278">
        <v>95425</v>
      </c>
      <c r="CI189" s="278">
        <v>44073</v>
      </c>
      <c r="CJ189" s="278">
        <v>71670</v>
      </c>
      <c r="CK189" s="278"/>
    </row>
    <row r="190" spans="1:89" outlineLevel="1" x14ac:dyDescent="0.3">
      <c r="A190" s="277" t="s">
        <v>150</v>
      </c>
      <c r="B190" s="278">
        <v>1748</v>
      </c>
      <c r="C190" s="278">
        <f t="shared" si="328"/>
        <v>1552</v>
      </c>
      <c r="D190" s="278">
        <f t="shared" si="329"/>
        <v>1485</v>
      </c>
      <c r="E190" s="278">
        <f t="shared" si="329"/>
        <v>690</v>
      </c>
      <c r="F190" s="278">
        <v>203</v>
      </c>
      <c r="G190" s="278">
        <f t="shared" si="330"/>
        <v>518</v>
      </c>
      <c r="H190" s="278">
        <f t="shared" si="331"/>
        <v>1124</v>
      </c>
      <c r="I190" s="278">
        <f t="shared" si="331"/>
        <v>1502</v>
      </c>
      <c r="J190" s="278">
        <v>1103</v>
      </c>
      <c r="K190" s="278">
        <f t="shared" si="332"/>
        <v>1037</v>
      </c>
      <c r="L190" s="278">
        <f t="shared" si="333"/>
        <v>1197</v>
      </c>
      <c r="M190" s="278">
        <f t="shared" si="333"/>
        <v>1486</v>
      </c>
      <c r="N190" s="278">
        <v>1447</v>
      </c>
      <c r="O190" s="278">
        <f t="shared" si="334"/>
        <v>1655</v>
      </c>
      <c r="P190" s="278">
        <f t="shared" si="335"/>
        <v>1291</v>
      </c>
      <c r="Q190" s="278">
        <f t="shared" si="335"/>
        <v>2107</v>
      </c>
      <c r="R190" s="278">
        <v>2127</v>
      </c>
      <c r="S190" s="278">
        <f t="shared" si="336"/>
        <v>2174</v>
      </c>
      <c r="T190" s="278">
        <f t="shared" si="337"/>
        <v>1725</v>
      </c>
      <c r="U190" s="278">
        <f t="shared" si="337"/>
        <v>2188</v>
      </c>
      <c r="V190" s="278">
        <v>1674</v>
      </c>
      <c r="W190" s="278">
        <f t="shared" si="338"/>
        <v>1616</v>
      </c>
      <c r="X190" s="278">
        <f t="shared" si="339"/>
        <v>1313</v>
      </c>
      <c r="Y190" s="278">
        <f t="shared" si="339"/>
        <v>1985</v>
      </c>
      <c r="Z190" s="278">
        <v>1659</v>
      </c>
      <c r="AA190" s="278">
        <f t="shared" si="340"/>
        <v>1345</v>
      </c>
      <c r="AB190" s="278">
        <f t="shared" si="341"/>
        <v>1680</v>
      </c>
      <c r="AC190" s="278">
        <f t="shared" si="341"/>
        <v>-4684</v>
      </c>
      <c r="AF190" s="278">
        <v>2266</v>
      </c>
      <c r="AG190" s="278">
        <v>3731</v>
      </c>
      <c r="AH190" s="278">
        <v>6189</v>
      </c>
      <c r="AI190" s="278">
        <v>6813</v>
      </c>
      <c r="AJ190" s="278">
        <v>9247</v>
      </c>
      <c r="AK190" s="278">
        <v>12306</v>
      </c>
      <c r="AL190" s="278">
        <f t="shared" si="342"/>
        <v>5475</v>
      </c>
      <c r="AM190" s="278">
        <f t="shared" si="343"/>
        <v>3347</v>
      </c>
      <c r="AN190" s="278">
        <f t="shared" si="344"/>
        <v>4823</v>
      </c>
      <c r="AO190" s="278">
        <f t="shared" si="345"/>
        <v>6500</v>
      </c>
      <c r="AP190" s="278">
        <f t="shared" si="346"/>
        <v>8214</v>
      </c>
      <c r="AQ190" s="278">
        <f t="shared" si="347"/>
        <v>6588</v>
      </c>
      <c r="AR190" s="279"/>
      <c r="BK190" s="278">
        <v>3300</v>
      </c>
      <c r="BL190" s="278">
        <v>4785</v>
      </c>
      <c r="BM190" s="278">
        <v>5475</v>
      </c>
      <c r="BO190" s="278">
        <v>721</v>
      </c>
      <c r="BP190" s="278">
        <v>1845</v>
      </c>
      <c r="BQ190" s="278">
        <v>3347</v>
      </c>
      <c r="BS190" s="278">
        <v>2140</v>
      </c>
      <c r="BT190" s="278">
        <v>3337</v>
      </c>
      <c r="BU190" s="278">
        <v>4823</v>
      </c>
      <c r="BW190" s="278">
        <v>3102</v>
      </c>
      <c r="BX190" s="278">
        <v>4393</v>
      </c>
      <c r="BY190" s="278">
        <v>6500</v>
      </c>
      <c r="CA190" s="278">
        <v>4301</v>
      </c>
      <c r="CB190" s="278">
        <v>6026</v>
      </c>
      <c r="CC190" s="278">
        <v>8214</v>
      </c>
      <c r="CE190" s="278">
        <v>3290</v>
      </c>
      <c r="CF190" s="278">
        <v>4603</v>
      </c>
      <c r="CG190" s="278">
        <v>6588</v>
      </c>
      <c r="CI190" s="278">
        <v>3004</v>
      </c>
      <c r="CJ190" s="278">
        <v>4684</v>
      </c>
      <c r="CK190" s="278"/>
    </row>
    <row r="191" spans="1:89" outlineLevel="1" x14ac:dyDescent="0.3">
      <c r="A191" s="277" t="s">
        <v>227</v>
      </c>
      <c r="B191" s="278"/>
      <c r="C191" s="278">
        <f t="shared" si="328"/>
        <v>0</v>
      </c>
      <c r="D191" s="278">
        <f t="shared" si="329"/>
        <v>0</v>
      </c>
      <c r="E191" s="278">
        <f t="shared" si="329"/>
        <v>0</v>
      </c>
      <c r="F191" s="278"/>
      <c r="G191" s="278">
        <f t="shared" si="330"/>
        <v>0</v>
      </c>
      <c r="H191" s="278">
        <f t="shared" si="331"/>
        <v>0</v>
      </c>
      <c r="I191" s="278">
        <f t="shared" si="331"/>
        <v>0</v>
      </c>
      <c r="J191" s="278"/>
      <c r="K191" s="278">
        <f t="shared" si="332"/>
        <v>0</v>
      </c>
      <c r="L191" s="278">
        <f t="shared" si="333"/>
        <v>0</v>
      </c>
      <c r="M191" s="278">
        <f t="shared" si="333"/>
        <v>0</v>
      </c>
      <c r="N191" s="278"/>
      <c r="O191" s="278">
        <f t="shared" si="334"/>
        <v>0</v>
      </c>
      <c r="P191" s="278">
        <f t="shared" si="335"/>
        <v>0</v>
      </c>
      <c r="Q191" s="278">
        <f t="shared" si="335"/>
        <v>0</v>
      </c>
      <c r="R191" s="278"/>
      <c r="S191" s="278">
        <f t="shared" si="336"/>
        <v>0</v>
      </c>
      <c r="T191" s="278">
        <f t="shared" si="337"/>
        <v>168</v>
      </c>
      <c r="U191" s="278">
        <f t="shared" si="337"/>
        <v>-168</v>
      </c>
      <c r="V191" s="278"/>
      <c r="W191" s="278">
        <f t="shared" si="338"/>
        <v>0</v>
      </c>
      <c r="X191" s="278">
        <f t="shared" si="339"/>
        <v>52</v>
      </c>
      <c r="Y191" s="278">
        <f t="shared" si="339"/>
        <v>3</v>
      </c>
      <c r="Z191" s="278">
        <v>0</v>
      </c>
      <c r="AA191" s="278">
        <f t="shared" si="340"/>
        <v>0</v>
      </c>
      <c r="AB191" s="278">
        <f t="shared" si="341"/>
        <v>0</v>
      </c>
      <c r="AC191" s="278">
        <f t="shared" si="341"/>
        <v>0</v>
      </c>
      <c r="AF191" s="278"/>
      <c r="AG191" s="278"/>
      <c r="AH191" s="278"/>
      <c r="AI191" s="278"/>
      <c r="AJ191" s="278"/>
      <c r="AK191" s="278"/>
      <c r="AL191" s="278">
        <f t="shared" si="342"/>
        <v>0</v>
      </c>
      <c r="AM191" s="278">
        <f t="shared" si="343"/>
        <v>0</v>
      </c>
      <c r="AN191" s="278">
        <f t="shared" si="344"/>
        <v>0</v>
      </c>
      <c r="AO191" s="278">
        <f t="shared" si="345"/>
        <v>0</v>
      </c>
      <c r="AP191" s="278">
        <f t="shared" si="346"/>
        <v>0</v>
      </c>
      <c r="AQ191" s="278">
        <f t="shared" si="347"/>
        <v>55</v>
      </c>
      <c r="AR191" s="279"/>
      <c r="BK191" s="278"/>
      <c r="BL191" s="278"/>
      <c r="BM191" s="278"/>
      <c r="BO191" s="278"/>
      <c r="BP191" s="278"/>
      <c r="BQ191" s="278"/>
      <c r="BS191" s="278"/>
      <c r="BT191" s="278"/>
      <c r="BU191" s="278"/>
      <c r="BW191" s="278"/>
      <c r="BX191" s="278"/>
      <c r="BY191" s="278"/>
      <c r="CA191" s="278"/>
      <c r="CB191" s="278">
        <v>168</v>
      </c>
      <c r="CC191" s="278"/>
      <c r="CE191" s="278"/>
      <c r="CF191" s="278">
        <v>52</v>
      </c>
      <c r="CG191" s="278">
        <v>55</v>
      </c>
      <c r="CI191" s="278"/>
      <c r="CJ191" s="278"/>
      <c r="CK191" s="278"/>
    </row>
    <row r="192" spans="1:89" outlineLevel="1" x14ac:dyDescent="0.3">
      <c r="A192" s="277" t="s">
        <v>220</v>
      </c>
      <c r="B192" s="278">
        <v>639</v>
      </c>
      <c r="C192" s="278">
        <f t="shared" si="328"/>
        <v>278</v>
      </c>
      <c r="D192" s="278">
        <f t="shared" si="329"/>
        <v>285</v>
      </c>
      <c r="E192" s="278">
        <f t="shared" si="329"/>
        <v>262</v>
      </c>
      <c r="F192" s="278">
        <v>89</v>
      </c>
      <c r="G192" s="278">
        <f t="shared" si="330"/>
        <v>525</v>
      </c>
      <c r="H192" s="278">
        <f t="shared" si="331"/>
        <v>847</v>
      </c>
      <c r="I192" s="278">
        <f t="shared" si="331"/>
        <v>1193</v>
      </c>
      <c r="J192" s="278">
        <v>390</v>
      </c>
      <c r="K192" s="278">
        <f t="shared" si="332"/>
        <v>918</v>
      </c>
      <c r="L192" s="278">
        <f t="shared" si="333"/>
        <v>840</v>
      </c>
      <c r="M192" s="278">
        <f t="shared" si="333"/>
        <v>922</v>
      </c>
      <c r="N192" s="278">
        <v>743</v>
      </c>
      <c r="O192" s="278">
        <f t="shared" si="334"/>
        <v>310</v>
      </c>
      <c r="P192" s="278">
        <f t="shared" si="335"/>
        <v>383</v>
      </c>
      <c r="Q192" s="278">
        <f t="shared" si="335"/>
        <v>489</v>
      </c>
      <c r="R192" s="278">
        <v>536</v>
      </c>
      <c r="S192" s="278">
        <f t="shared" si="336"/>
        <v>581</v>
      </c>
      <c r="T192" s="278">
        <f t="shared" si="337"/>
        <v>560</v>
      </c>
      <c r="U192" s="278">
        <f t="shared" si="337"/>
        <v>645</v>
      </c>
      <c r="V192" s="278">
        <v>636</v>
      </c>
      <c r="W192" s="278">
        <f t="shared" si="338"/>
        <v>460</v>
      </c>
      <c r="X192" s="278">
        <f t="shared" si="339"/>
        <v>523</v>
      </c>
      <c r="Y192" s="278">
        <f t="shared" si="339"/>
        <v>704</v>
      </c>
      <c r="Z192" s="278">
        <v>701</v>
      </c>
      <c r="AA192" s="278">
        <f t="shared" si="340"/>
        <v>547</v>
      </c>
      <c r="AB192" s="278">
        <f t="shared" si="341"/>
        <v>618</v>
      </c>
      <c r="AC192" s="278">
        <f t="shared" si="341"/>
        <v>-1866</v>
      </c>
      <c r="AF192" s="278">
        <v>2333</v>
      </c>
      <c r="AG192" s="278">
        <v>2051</v>
      </c>
      <c r="AH192" s="278">
        <v>2806</v>
      </c>
      <c r="AI192" s="278">
        <v>3766</v>
      </c>
      <c r="AJ192" s="278">
        <v>2483</v>
      </c>
      <c r="AK192" s="278">
        <v>3243</v>
      </c>
      <c r="AL192" s="278">
        <f t="shared" si="342"/>
        <v>1464</v>
      </c>
      <c r="AM192" s="278">
        <f t="shared" si="343"/>
        <v>2654</v>
      </c>
      <c r="AN192" s="278">
        <f t="shared" si="344"/>
        <v>3070</v>
      </c>
      <c r="AO192" s="278">
        <f t="shared" si="345"/>
        <v>1925</v>
      </c>
      <c r="AP192" s="278">
        <f t="shared" si="346"/>
        <v>2322</v>
      </c>
      <c r="AQ192" s="278">
        <f t="shared" si="347"/>
        <v>2323</v>
      </c>
      <c r="AR192" s="279"/>
      <c r="BK192" s="278">
        <v>917</v>
      </c>
      <c r="BL192" s="278">
        <v>1202</v>
      </c>
      <c r="BM192" s="278">
        <v>1464</v>
      </c>
      <c r="BO192" s="278">
        <v>614</v>
      </c>
      <c r="BP192" s="278">
        <v>1461</v>
      </c>
      <c r="BQ192" s="278">
        <v>2654</v>
      </c>
      <c r="BS192" s="278">
        <v>1308</v>
      </c>
      <c r="BT192" s="278">
        <v>2148</v>
      </c>
      <c r="BU192" s="278">
        <v>3070</v>
      </c>
      <c r="BW192" s="278">
        <v>1053</v>
      </c>
      <c r="BX192" s="278">
        <v>1436</v>
      </c>
      <c r="BY192" s="278">
        <v>1925</v>
      </c>
      <c r="CA192" s="278">
        <v>1117</v>
      </c>
      <c r="CB192" s="278">
        <v>1677</v>
      </c>
      <c r="CC192" s="278">
        <v>2322</v>
      </c>
      <c r="CE192" s="278">
        <v>1096</v>
      </c>
      <c r="CF192" s="278">
        <v>1619</v>
      </c>
      <c r="CG192" s="278">
        <v>2323</v>
      </c>
      <c r="CI192" s="278">
        <v>1248</v>
      </c>
      <c r="CJ192" s="278">
        <v>1866</v>
      </c>
      <c r="CK192" s="278"/>
    </row>
    <row r="193" spans="1:89" outlineLevel="1" x14ac:dyDescent="0.3">
      <c r="A193" s="277" t="s">
        <v>157</v>
      </c>
      <c r="B193" s="278">
        <v>40591</v>
      </c>
      <c r="C193" s="278">
        <f t="shared" si="328"/>
        <v>21863</v>
      </c>
      <c r="D193" s="278">
        <f t="shared" si="329"/>
        <v>22870</v>
      </c>
      <c r="E193" s="278">
        <f t="shared" si="329"/>
        <v>19047</v>
      </c>
      <c r="F193" s="278">
        <v>3639</v>
      </c>
      <c r="G193" s="278">
        <f t="shared" si="330"/>
        <v>14083</v>
      </c>
      <c r="H193" s="278">
        <f t="shared" si="331"/>
        <v>28567</v>
      </c>
      <c r="I193" s="278">
        <f t="shared" si="331"/>
        <v>42188</v>
      </c>
      <c r="J193" s="278">
        <v>23027</v>
      </c>
      <c r="K193" s="278">
        <f t="shared" si="332"/>
        <v>32423</v>
      </c>
      <c r="L193" s="278">
        <f t="shared" si="333"/>
        <v>37860</v>
      </c>
      <c r="M193" s="278">
        <f t="shared" si="333"/>
        <v>48017</v>
      </c>
      <c r="N193" s="278">
        <v>42166</v>
      </c>
      <c r="O193" s="278">
        <f t="shared" si="334"/>
        <v>37554</v>
      </c>
      <c r="P193" s="278">
        <f t="shared" si="335"/>
        <v>38791</v>
      </c>
      <c r="Q193" s="278">
        <f t="shared" si="335"/>
        <v>50104</v>
      </c>
      <c r="R193" s="278">
        <v>38555</v>
      </c>
      <c r="S193" s="278">
        <f t="shared" si="336"/>
        <v>43445</v>
      </c>
      <c r="T193" s="278">
        <f t="shared" si="337"/>
        <v>45392</v>
      </c>
      <c r="U193" s="278">
        <f t="shared" si="337"/>
        <v>43207</v>
      </c>
      <c r="V193" s="278">
        <v>40210</v>
      </c>
      <c r="W193" s="278">
        <f t="shared" si="338"/>
        <v>37289</v>
      </c>
      <c r="X193" s="278">
        <f t="shared" si="339"/>
        <v>40101</v>
      </c>
      <c r="Y193" s="278">
        <f t="shared" si="339"/>
        <v>45496</v>
      </c>
      <c r="Z193" s="278">
        <v>38428</v>
      </c>
      <c r="AA193" s="278">
        <f t="shared" si="340"/>
        <v>39004</v>
      </c>
      <c r="AB193" s="278">
        <f t="shared" si="341"/>
        <v>49018</v>
      </c>
      <c r="AC193" s="278">
        <f t="shared" si="341"/>
        <v>-126450</v>
      </c>
      <c r="AF193" s="278">
        <v>108574</v>
      </c>
      <c r="AG193" s="278">
        <v>128334</v>
      </c>
      <c r="AH193" s="278">
        <v>159454</v>
      </c>
      <c r="AI193" s="278">
        <v>151752</v>
      </c>
      <c r="AJ193" s="278">
        <v>150349</v>
      </c>
      <c r="AK193" s="278">
        <v>208837</v>
      </c>
      <c r="AL193" s="278">
        <f t="shared" si="342"/>
        <v>104371</v>
      </c>
      <c r="AM193" s="278">
        <f t="shared" si="343"/>
        <v>88477</v>
      </c>
      <c r="AN193" s="278">
        <f t="shared" si="344"/>
        <v>141327</v>
      </c>
      <c r="AO193" s="278">
        <f t="shared" si="345"/>
        <v>168615</v>
      </c>
      <c r="AP193" s="278">
        <f t="shared" si="346"/>
        <v>170599</v>
      </c>
      <c r="AQ193" s="278">
        <f t="shared" si="347"/>
        <v>163096</v>
      </c>
      <c r="AR193" s="279"/>
      <c r="BK193" s="278">
        <v>62454</v>
      </c>
      <c r="BL193" s="278">
        <v>85324</v>
      </c>
      <c r="BM193" s="278">
        <v>104371</v>
      </c>
      <c r="BO193" s="278">
        <v>17722</v>
      </c>
      <c r="BP193" s="278">
        <v>46289</v>
      </c>
      <c r="BQ193" s="278">
        <v>88477</v>
      </c>
      <c r="BS193" s="278">
        <v>55450</v>
      </c>
      <c r="BT193" s="278">
        <v>93310</v>
      </c>
      <c r="BU193" s="278">
        <v>141327</v>
      </c>
      <c r="BW193" s="278">
        <v>79720</v>
      </c>
      <c r="BX193" s="278">
        <v>118511</v>
      </c>
      <c r="BY193" s="278">
        <v>168615</v>
      </c>
      <c r="CA193" s="278">
        <v>82000</v>
      </c>
      <c r="CB193" s="278">
        <v>127392</v>
      </c>
      <c r="CC193" s="278">
        <v>170599</v>
      </c>
      <c r="CE193" s="278">
        <v>77499</v>
      </c>
      <c r="CF193" s="278">
        <v>117600</v>
      </c>
      <c r="CG193" s="278">
        <v>163096</v>
      </c>
      <c r="CI193" s="278">
        <v>77432</v>
      </c>
      <c r="CJ193" s="278">
        <v>126450</v>
      </c>
      <c r="CK193" s="278"/>
    </row>
    <row r="194" spans="1:89" outlineLevel="1" x14ac:dyDescent="0.3">
      <c r="A194" s="277" t="s">
        <v>187</v>
      </c>
      <c r="B194" s="278"/>
      <c r="C194" s="278">
        <f t="shared" si="328"/>
        <v>0</v>
      </c>
      <c r="D194" s="278">
        <f t="shared" si="329"/>
        <v>0</v>
      </c>
      <c r="E194" s="278">
        <f t="shared" si="329"/>
        <v>0</v>
      </c>
      <c r="F194" s="278"/>
      <c r="G194" s="278">
        <f t="shared" si="330"/>
        <v>0</v>
      </c>
      <c r="H194" s="278">
        <f t="shared" si="331"/>
        <v>0</v>
      </c>
      <c r="I194" s="278">
        <f t="shared" si="331"/>
        <v>0</v>
      </c>
      <c r="J194" s="278"/>
      <c r="K194" s="278">
        <f t="shared" si="332"/>
        <v>0</v>
      </c>
      <c r="L194" s="278">
        <f t="shared" si="333"/>
        <v>0</v>
      </c>
      <c r="M194" s="278">
        <f t="shared" si="333"/>
        <v>0</v>
      </c>
      <c r="N194" s="278"/>
      <c r="O194" s="278">
        <f t="shared" si="334"/>
        <v>0</v>
      </c>
      <c r="P194" s="278">
        <f t="shared" si="335"/>
        <v>0</v>
      </c>
      <c r="Q194" s="278">
        <f t="shared" si="335"/>
        <v>0</v>
      </c>
      <c r="R194" s="278">
        <v>17</v>
      </c>
      <c r="S194" s="278">
        <f t="shared" si="336"/>
        <v>19</v>
      </c>
      <c r="T194" s="278">
        <f t="shared" si="337"/>
        <v>3</v>
      </c>
      <c r="U194" s="278">
        <f t="shared" si="337"/>
        <v>-39</v>
      </c>
      <c r="V194" s="278">
        <v>6</v>
      </c>
      <c r="W194" s="278">
        <f t="shared" si="338"/>
        <v>38</v>
      </c>
      <c r="X194" s="278">
        <f t="shared" si="339"/>
        <v>44</v>
      </c>
      <c r="Y194" s="278">
        <f t="shared" si="339"/>
        <v>65</v>
      </c>
      <c r="Z194" s="278">
        <v>74</v>
      </c>
      <c r="AA194" s="278">
        <f t="shared" si="340"/>
        <v>65</v>
      </c>
      <c r="AB194" s="278">
        <f t="shared" si="341"/>
        <v>63</v>
      </c>
      <c r="AC194" s="278">
        <f t="shared" si="341"/>
        <v>-202</v>
      </c>
      <c r="AF194" s="278"/>
      <c r="AG194" s="278"/>
      <c r="AH194" s="278"/>
      <c r="AI194" s="278"/>
      <c r="AJ194" s="278"/>
      <c r="AK194" s="278"/>
      <c r="AL194" s="278">
        <f t="shared" si="342"/>
        <v>0</v>
      </c>
      <c r="AM194" s="278">
        <f t="shared" si="343"/>
        <v>0</v>
      </c>
      <c r="AN194" s="278">
        <f t="shared" si="344"/>
        <v>0</v>
      </c>
      <c r="AO194" s="278">
        <f t="shared" si="345"/>
        <v>0</v>
      </c>
      <c r="AP194" s="278">
        <f t="shared" si="346"/>
        <v>0</v>
      </c>
      <c r="AQ194" s="278">
        <f t="shared" si="347"/>
        <v>153</v>
      </c>
      <c r="AR194" s="279"/>
      <c r="BK194" s="278"/>
      <c r="BL194" s="278"/>
      <c r="BM194" s="278"/>
      <c r="BO194" s="278"/>
      <c r="BP194" s="278"/>
      <c r="BQ194" s="278"/>
      <c r="BS194" s="278"/>
      <c r="BT194" s="278"/>
      <c r="BU194" s="278"/>
      <c r="BW194" s="278"/>
      <c r="BX194" s="278"/>
      <c r="BY194" s="278"/>
      <c r="CA194" s="278">
        <v>36</v>
      </c>
      <c r="CB194" s="278">
        <v>39</v>
      </c>
      <c r="CC194" s="278"/>
      <c r="CE194" s="278">
        <v>44</v>
      </c>
      <c r="CF194" s="278">
        <v>88</v>
      </c>
      <c r="CG194" s="278">
        <v>153</v>
      </c>
      <c r="CI194" s="278">
        <v>139</v>
      </c>
      <c r="CJ194" s="278">
        <v>202</v>
      </c>
      <c r="CK194" s="278"/>
    </row>
    <row r="195" spans="1:89" outlineLevel="1" x14ac:dyDescent="0.3">
      <c r="A195" s="277" t="s">
        <v>222</v>
      </c>
      <c r="B195" s="278">
        <v>8310</v>
      </c>
      <c r="C195" s="278">
        <f t="shared" si="328"/>
        <v>6005</v>
      </c>
      <c r="D195" s="278">
        <f t="shared" si="329"/>
        <v>6599</v>
      </c>
      <c r="E195" s="278">
        <f t="shared" si="329"/>
        <v>5630</v>
      </c>
      <c r="F195" s="278">
        <v>1246</v>
      </c>
      <c r="G195" s="278">
        <f t="shared" si="330"/>
        <v>4678</v>
      </c>
      <c r="H195" s="278">
        <f t="shared" si="331"/>
        <v>8662</v>
      </c>
      <c r="I195" s="278">
        <f t="shared" si="331"/>
        <v>13929</v>
      </c>
      <c r="J195" s="278">
        <v>6035</v>
      </c>
      <c r="K195" s="278">
        <f t="shared" si="332"/>
        <v>9639</v>
      </c>
      <c r="L195" s="278">
        <f t="shared" si="333"/>
        <v>11781</v>
      </c>
      <c r="M195" s="278">
        <f t="shared" si="333"/>
        <v>13824</v>
      </c>
      <c r="N195" s="278">
        <v>11859</v>
      </c>
      <c r="O195" s="278">
        <f t="shared" si="334"/>
        <v>11837</v>
      </c>
      <c r="P195" s="278">
        <f t="shared" si="335"/>
        <v>11729</v>
      </c>
      <c r="Q195" s="278">
        <f t="shared" si="335"/>
        <v>15880</v>
      </c>
      <c r="R195" s="278">
        <v>14103</v>
      </c>
      <c r="S195" s="278">
        <f t="shared" si="336"/>
        <v>11161</v>
      </c>
      <c r="T195" s="278">
        <f t="shared" si="337"/>
        <v>14411</v>
      </c>
      <c r="U195" s="278">
        <f t="shared" si="337"/>
        <v>14087</v>
      </c>
      <c r="V195" s="278">
        <v>12834</v>
      </c>
      <c r="W195" s="278">
        <f t="shared" si="338"/>
        <v>12915</v>
      </c>
      <c r="X195" s="278">
        <f t="shared" si="339"/>
        <v>13648</v>
      </c>
      <c r="Y195" s="278">
        <f t="shared" si="339"/>
        <v>16113</v>
      </c>
      <c r="Z195" s="278">
        <v>14783</v>
      </c>
      <c r="AA195" s="278">
        <f t="shared" si="340"/>
        <v>11902</v>
      </c>
      <c r="AB195" s="278">
        <f t="shared" si="341"/>
        <v>16781</v>
      </c>
      <c r="AC195" s="278">
        <f t="shared" si="341"/>
        <v>-43466</v>
      </c>
      <c r="AF195" s="278">
        <v>22029</v>
      </c>
      <c r="AG195" s="278">
        <v>24196</v>
      </c>
      <c r="AH195" s="278">
        <v>30563</v>
      </c>
      <c r="AI195" s="278">
        <v>33098</v>
      </c>
      <c r="AJ195" s="278">
        <v>40901</v>
      </c>
      <c r="AK195" s="278">
        <v>47187</v>
      </c>
      <c r="AL195" s="278">
        <f t="shared" si="342"/>
        <v>26544</v>
      </c>
      <c r="AM195" s="278">
        <f t="shared" si="343"/>
        <v>28515</v>
      </c>
      <c r="AN195" s="278">
        <f t="shared" si="344"/>
        <v>41279</v>
      </c>
      <c r="AO195" s="278">
        <f t="shared" si="345"/>
        <v>51305</v>
      </c>
      <c r="AP195" s="278">
        <f t="shared" si="346"/>
        <v>53762</v>
      </c>
      <c r="AQ195" s="278">
        <f t="shared" si="347"/>
        <v>55510</v>
      </c>
      <c r="AR195" s="279"/>
      <c r="BK195" s="278">
        <v>14315</v>
      </c>
      <c r="BL195" s="278">
        <v>20914</v>
      </c>
      <c r="BM195" s="278">
        <v>26544</v>
      </c>
      <c r="BO195" s="278">
        <v>5924</v>
      </c>
      <c r="BP195" s="278">
        <v>14586</v>
      </c>
      <c r="BQ195" s="278">
        <v>28515</v>
      </c>
      <c r="BS195" s="278">
        <v>15674</v>
      </c>
      <c r="BT195" s="278">
        <v>27455</v>
      </c>
      <c r="BU195" s="278">
        <v>41279</v>
      </c>
      <c r="BW195" s="278">
        <v>23696</v>
      </c>
      <c r="BX195" s="278">
        <v>35425</v>
      </c>
      <c r="BY195" s="278">
        <v>51305</v>
      </c>
      <c r="CA195" s="278">
        <v>25264</v>
      </c>
      <c r="CB195" s="278">
        <v>39675</v>
      </c>
      <c r="CC195" s="278">
        <v>53762</v>
      </c>
      <c r="CE195" s="278">
        <v>25749</v>
      </c>
      <c r="CF195" s="278">
        <v>39397</v>
      </c>
      <c r="CG195" s="278">
        <v>55510</v>
      </c>
      <c r="CI195" s="278">
        <v>26685</v>
      </c>
      <c r="CJ195" s="278">
        <v>43466</v>
      </c>
      <c r="CK195" s="278"/>
    </row>
    <row r="196" spans="1:89" outlineLevel="1" x14ac:dyDescent="0.3">
      <c r="A196" s="277" t="s">
        <v>228</v>
      </c>
      <c r="B196" s="278"/>
      <c r="C196" s="278">
        <f t="shared" si="328"/>
        <v>0</v>
      </c>
      <c r="D196" s="278">
        <f t="shared" si="329"/>
        <v>0</v>
      </c>
      <c r="E196" s="278">
        <f t="shared" si="329"/>
        <v>0</v>
      </c>
      <c r="F196" s="278"/>
      <c r="G196" s="278">
        <f t="shared" si="330"/>
        <v>0</v>
      </c>
      <c r="H196" s="278">
        <f t="shared" si="331"/>
        <v>0</v>
      </c>
      <c r="I196" s="278">
        <f t="shared" si="331"/>
        <v>0</v>
      </c>
      <c r="J196" s="278">
        <v>0</v>
      </c>
      <c r="K196" s="278">
        <f t="shared" si="332"/>
        <v>0</v>
      </c>
      <c r="L196" s="278">
        <f t="shared" si="333"/>
        <v>0</v>
      </c>
      <c r="M196" s="278">
        <f t="shared" si="333"/>
        <v>0</v>
      </c>
      <c r="N196" s="278">
        <v>0</v>
      </c>
      <c r="O196" s="278">
        <f t="shared" si="334"/>
        <v>0</v>
      </c>
      <c r="P196" s="278">
        <f t="shared" si="335"/>
        <v>0</v>
      </c>
      <c r="Q196" s="278">
        <f t="shared" si="335"/>
        <v>0</v>
      </c>
      <c r="R196" s="278">
        <v>0</v>
      </c>
      <c r="S196" s="278">
        <f t="shared" si="336"/>
        <v>0</v>
      </c>
      <c r="T196" s="278">
        <f t="shared" si="337"/>
        <v>0</v>
      </c>
      <c r="U196" s="278">
        <f t="shared" si="337"/>
        <v>0</v>
      </c>
      <c r="V196" s="278">
        <v>0</v>
      </c>
      <c r="W196" s="278">
        <f t="shared" si="338"/>
        <v>0</v>
      </c>
      <c r="X196" s="278">
        <f t="shared" si="339"/>
        <v>239</v>
      </c>
      <c r="Y196" s="278">
        <f t="shared" si="339"/>
        <v>52</v>
      </c>
      <c r="Z196" s="278">
        <v>0</v>
      </c>
      <c r="AA196" s="278">
        <f t="shared" si="340"/>
        <v>0</v>
      </c>
      <c r="AB196" s="278">
        <f t="shared" si="341"/>
        <v>0</v>
      </c>
      <c r="AC196" s="278">
        <f t="shared" si="341"/>
        <v>0</v>
      </c>
      <c r="AF196" s="278">
        <v>896</v>
      </c>
      <c r="AG196" s="278">
        <v>799</v>
      </c>
      <c r="AH196" s="278">
        <v>1280</v>
      </c>
      <c r="AI196" s="278">
        <v>778</v>
      </c>
      <c r="AJ196" s="278"/>
      <c r="AK196" s="278"/>
      <c r="AL196" s="278">
        <f t="shared" si="342"/>
        <v>0</v>
      </c>
      <c r="AM196" s="278">
        <f t="shared" si="343"/>
        <v>0</v>
      </c>
      <c r="AN196" s="278">
        <f t="shared" si="344"/>
        <v>0</v>
      </c>
      <c r="AO196" s="278">
        <f t="shared" si="345"/>
        <v>0</v>
      </c>
      <c r="AP196" s="278">
        <f t="shared" si="346"/>
        <v>0</v>
      </c>
      <c r="AQ196" s="278">
        <f t="shared" si="347"/>
        <v>291</v>
      </c>
      <c r="AR196" s="279"/>
      <c r="BK196" s="278"/>
      <c r="BL196" s="278"/>
      <c r="BM196" s="278"/>
      <c r="BO196" s="278"/>
      <c r="BP196" s="278"/>
      <c r="BQ196" s="278"/>
      <c r="BS196" s="278">
        <v>0</v>
      </c>
      <c r="BT196" s="278">
        <v>0</v>
      </c>
      <c r="BU196" s="278">
        <v>0</v>
      </c>
      <c r="BW196" s="278">
        <v>0</v>
      </c>
      <c r="BX196" s="278">
        <v>0</v>
      </c>
      <c r="BY196" s="278">
        <v>0</v>
      </c>
      <c r="CA196" s="278">
        <v>0</v>
      </c>
      <c r="CB196" s="278">
        <v>0</v>
      </c>
      <c r="CC196" s="278">
        <v>0</v>
      </c>
      <c r="CE196" s="278">
        <v>0</v>
      </c>
      <c r="CF196" s="278">
        <v>239</v>
      </c>
      <c r="CG196" s="278">
        <v>291</v>
      </c>
      <c r="CI196" s="278"/>
      <c r="CJ196" s="278"/>
      <c r="CK196" s="278"/>
    </row>
    <row r="197" spans="1:89" s="283" customFormat="1" x14ac:dyDescent="0.3">
      <c r="A197" s="280" t="s">
        <v>229</v>
      </c>
      <c r="B197" s="282">
        <f t="shared" ref="B197:AC197" si="348">SUM(B189:B196)</f>
        <v>77621</v>
      </c>
      <c r="C197" s="282">
        <f t="shared" si="348"/>
        <v>39094</v>
      </c>
      <c r="D197" s="282">
        <f t="shared" si="348"/>
        <v>37444</v>
      </c>
      <c r="E197" s="282">
        <f t="shared" si="348"/>
        <v>33966</v>
      </c>
      <c r="F197" s="282">
        <f t="shared" si="348"/>
        <v>6134</v>
      </c>
      <c r="G197" s="282">
        <f t="shared" si="348"/>
        <v>27339</v>
      </c>
      <c r="H197" s="282">
        <f t="shared" si="348"/>
        <v>55137</v>
      </c>
      <c r="I197" s="282">
        <f t="shared" si="348"/>
        <v>82622</v>
      </c>
      <c r="J197" s="282">
        <f t="shared" si="348"/>
        <v>39395</v>
      </c>
      <c r="K197" s="282">
        <f t="shared" si="348"/>
        <v>54827</v>
      </c>
      <c r="L197" s="282">
        <f t="shared" si="348"/>
        <v>69563</v>
      </c>
      <c r="M197" s="282">
        <f t="shared" si="348"/>
        <v>92872</v>
      </c>
      <c r="N197" s="282">
        <f t="shared" si="348"/>
        <v>80224</v>
      </c>
      <c r="O197" s="282">
        <f t="shared" si="348"/>
        <v>73921</v>
      </c>
      <c r="P197" s="282">
        <f t="shared" si="348"/>
        <v>80352</v>
      </c>
      <c r="Q197" s="282">
        <f t="shared" si="348"/>
        <v>100955</v>
      </c>
      <c r="R197" s="282">
        <f t="shared" si="348"/>
        <v>77948</v>
      </c>
      <c r="S197" s="282">
        <f t="shared" si="348"/>
        <v>84160</v>
      </c>
      <c r="T197" s="282">
        <f t="shared" si="348"/>
        <v>86503</v>
      </c>
      <c r="U197" s="282">
        <f t="shared" si="348"/>
        <v>88796</v>
      </c>
      <c r="V197" s="282">
        <f t="shared" si="348"/>
        <v>77168</v>
      </c>
      <c r="W197" s="282">
        <f t="shared" si="348"/>
        <v>73308</v>
      </c>
      <c r="X197" s="282">
        <f t="shared" si="348"/>
        <v>80128</v>
      </c>
      <c r="Y197" s="282">
        <f t="shared" si="348"/>
        <v>92837</v>
      </c>
      <c r="Z197" s="282">
        <f t="shared" si="348"/>
        <v>77351</v>
      </c>
      <c r="AA197" s="282">
        <f t="shared" si="348"/>
        <v>75230</v>
      </c>
      <c r="AB197" s="282">
        <f t="shared" si="348"/>
        <v>95757</v>
      </c>
      <c r="AC197" s="282">
        <f t="shared" si="348"/>
        <v>-248338</v>
      </c>
      <c r="AF197" s="282">
        <f>SUM(AF188:AF196)</f>
        <v>180381</v>
      </c>
      <c r="AG197" s="282">
        <f>SUM(AG188:AG196)</f>
        <v>219193</v>
      </c>
      <c r="AH197" s="282">
        <f>SUM(AH188:AH196)</f>
        <v>287070</v>
      </c>
      <c r="AI197" s="282">
        <f>SUM(AI188:AI196)</f>
        <v>293165</v>
      </c>
      <c r="AJ197" s="282">
        <f t="shared" ref="AJ197:AK197" si="349">SUM(AJ189:AJ196)</f>
        <v>306427</v>
      </c>
      <c r="AK197" s="282">
        <f t="shared" si="349"/>
        <v>398747</v>
      </c>
      <c r="AL197" s="282">
        <f t="shared" si="342"/>
        <v>188125</v>
      </c>
      <c r="AM197" s="282">
        <f t="shared" si="343"/>
        <v>171232</v>
      </c>
      <c r="AN197" s="282">
        <f t="shared" si="344"/>
        <v>256657</v>
      </c>
      <c r="AO197" s="282">
        <f t="shared" si="345"/>
        <v>335452</v>
      </c>
      <c r="AP197" s="282">
        <f t="shared" si="346"/>
        <v>337407</v>
      </c>
      <c r="AQ197" s="282">
        <f t="shared" si="347"/>
        <v>323441</v>
      </c>
      <c r="AR197" s="284"/>
      <c r="BK197" s="282">
        <f>SUM(BK189:BK196)</f>
        <v>116715</v>
      </c>
      <c r="BL197" s="282">
        <f>SUM(BL189:BL196)</f>
        <v>154159</v>
      </c>
      <c r="BM197" s="282">
        <f>SUM(BM189:BM196)</f>
        <v>188125</v>
      </c>
      <c r="BO197" s="282">
        <f>SUM(BO189:BO196)</f>
        <v>33473</v>
      </c>
      <c r="BP197" s="282">
        <f>SUM(BP189:BP196)</f>
        <v>88610</v>
      </c>
      <c r="BQ197" s="282">
        <f t="shared" ref="BQ197" si="350">SUM(BQ189:BQ196)</f>
        <v>171232</v>
      </c>
      <c r="BS197" s="282">
        <f>SUM(BS189:BS196)</f>
        <v>94222</v>
      </c>
      <c r="BT197" s="282">
        <f>SUM(BT189:BT196)</f>
        <v>163785</v>
      </c>
      <c r="BU197" s="282">
        <f>SUM(BU189:BU196)</f>
        <v>256657</v>
      </c>
      <c r="BW197" s="282">
        <f>SUM(BW189:BW196)</f>
        <v>154145</v>
      </c>
      <c r="BX197" s="282">
        <f>SUM(BX189:BX196)</f>
        <v>234497</v>
      </c>
      <c r="BY197" s="282">
        <f>SUM(BY189:BY196)</f>
        <v>335452</v>
      </c>
      <c r="CA197" s="282">
        <f>SUM(CA189:CA196)</f>
        <v>162108</v>
      </c>
      <c r="CB197" s="282">
        <f>SUM(CB189:CB196)</f>
        <v>248611</v>
      </c>
      <c r="CC197" s="282">
        <f>SUM(CC189:CC196)</f>
        <v>337407</v>
      </c>
      <c r="CE197" s="282">
        <f>SUM(CE189:CE196)</f>
        <v>150476</v>
      </c>
      <c r="CF197" s="282">
        <f>SUM(CF189:CF196)</f>
        <v>230604</v>
      </c>
      <c r="CG197" s="282">
        <f>SUM(CG189:CG196)</f>
        <v>323441</v>
      </c>
      <c r="CI197" s="282">
        <f>SUM(CI189:CI196)</f>
        <v>152581</v>
      </c>
      <c r="CJ197" s="282">
        <f>SUM(CJ189:CJ196)</f>
        <v>248338</v>
      </c>
      <c r="CK197" s="282"/>
    </row>
    <row r="198" spans="1:89" x14ac:dyDescent="0.3">
      <c r="A198" s="280"/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  <c r="AC198" s="278"/>
      <c r="AF198" s="278"/>
      <c r="AG198" s="278"/>
      <c r="AH198" s="278"/>
      <c r="AI198" s="278"/>
      <c r="AJ198" s="278"/>
      <c r="AK198" s="278"/>
      <c r="AL198" s="278"/>
      <c r="AM198" s="278"/>
      <c r="AN198" s="278"/>
      <c r="AO198" s="278"/>
      <c r="AP198" s="278"/>
      <c r="AQ198" s="278"/>
      <c r="AR198" s="279"/>
      <c r="BK198" s="278"/>
      <c r="BL198" s="278"/>
      <c r="BM198" s="278"/>
      <c r="BO198" s="278"/>
      <c r="BP198" s="278"/>
      <c r="BQ198" s="278"/>
      <c r="BS198" s="278"/>
      <c r="BT198" s="278"/>
      <c r="BU198" s="278"/>
      <c r="BW198" s="278"/>
      <c r="BX198" s="278"/>
      <c r="BY198" s="278"/>
      <c r="CA198" s="278"/>
      <c r="CB198" s="278"/>
      <c r="CC198" s="278"/>
      <c r="CE198" s="278"/>
      <c r="CF198" s="278"/>
      <c r="CG198" s="278"/>
      <c r="CI198" s="278"/>
      <c r="CJ198" s="278"/>
      <c r="CK198" s="278"/>
    </row>
    <row r="199" spans="1:89" s="283" customFormat="1" x14ac:dyDescent="0.3">
      <c r="A199" s="280" t="s">
        <v>230</v>
      </c>
      <c r="B199" s="282">
        <f t="shared" ref="B199:AC199" si="351">B197+B185</f>
        <v>88638</v>
      </c>
      <c r="C199" s="282">
        <f t="shared" si="351"/>
        <v>48679</v>
      </c>
      <c r="D199" s="282">
        <f t="shared" si="351"/>
        <v>50396</v>
      </c>
      <c r="E199" s="282">
        <f t="shared" si="351"/>
        <v>44701</v>
      </c>
      <c r="F199" s="282">
        <f t="shared" si="351"/>
        <v>6669</v>
      </c>
      <c r="G199" s="282">
        <f t="shared" si="351"/>
        <v>28810</v>
      </c>
      <c r="H199" s="282">
        <f t="shared" si="351"/>
        <v>58198</v>
      </c>
      <c r="I199" s="282">
        <f t="shared" si="351"/>
        <v>87565</v>
      </c>
      <c r="J199" s="282">
        <f t="shared" si="351"/>
        <v>41658</v>
      </c>
      <c r="K199" s="282">
        <f t="shared" si="351"/>
        <v>57220</v>
      </c>
      <c r="L199" s="282">
        <f t="shared" si="351"/>
        <v>74555</v>
      </c>
      <c r="M199" s="282">
        <f t="shared" si="351"/>
        <v>98734</v>
      </c>
      <c r="N199" s="282">
        <f t="shared" si="351"/>
        <v>88955</v>
      </c>
      <c r="O199" s="282">
        <f t="shared" si="351"/>
        <v>82070</v>
      </c>
      <c r="P199" s="282">
        <f t="shared" si="351"/>
        <v>91563</v>
      </c>
      <c r="Q199" s="282">
        <f t="shared" si="351"/>
        <v>116671</v>
      </c>
      <c r="R199" s="282">
        <f t="shared" si="351"/>
        <v>89572</v>
      </c>
      <c r="S199" s="282">
        <f t="shared" si="351"/>
        <v>96449</v>
      </c>
      <c r="T199" s="282">
        <f t="shared" si="351"/>
        <v>99860</v>
      </c>
      <c r="U199" s="282">
        <f t="shared" si="351"/>
        <v>106593</v>
      </c>
      <c r="V199" s="282">
        <f t="shared" si="351"/>
        <v>91622</v>
      </c>
      <c r="W199" s="282">
        <f t="shared" si="351"/>
        <v>86078</v>
      </c>
      <c r="X199" s="282">
        <f t="shared" si="351"/>
        <v>96763</v>
      </c>
      <c r="Y199" s="282">
        <f t="shared" si="351"/>
        <v>119156</v>
      </c>
      <c r="Z199" s="282">
        <f t="shared" si="351"/>
        <v>99581</v>
      </c>
      <c r="AA199" s="282">
        <f t="shared" si="351"/>
        <v>93420</v>
      </c>
      <c r="AB199" s="282">
        <f t="shared" si="351"/>
        <v>115963</v>
      </c>
      <c r="AC199" s="282">
        <f t="shared" si="351"/>
        <v>-308964</v>
      </c>
      <c r="AF199" s="282">
        <f t="shared" ref="AF199:AK199" si="352">AF197+AF185</f>
        <v>221556</v>
      </c>
      <c r="AG199" s="282">
        <f t="shared" si="352"/>
        <v>268553</v>
      </c>
      <c r="AH199" s="282">
        <f t="shared" si="352"/>
        <v>341287</v>
      </c>
      <c r="AI199" s="282">
        <f t="shared" si="352"/>
        <v>342733</v>
      </c>
      <c r="AJ199" s="282">
        <f t="shared" si="352"/>
        <v>344592</v>
      </c>
      <c r="AK199" s="282">
        <f t="shared" si="352"/>
        <v>444202</v>
      </c>
      <c r="AL199" s="282">
        <f t="shared" ref="AL199" si="353">SUM(B199:E199)</f>
        <v>232414</v>
      </c>
      <c r="AM199" s="282">
        <f t="shared" ref="AM199" si="354">SUM(F199:I199)</f>
        <v>181242</v>
      </c>
      <c r="AN199" s="282">
        <f t="shared" ref="AN199" si="355">SUM(J199:M199)</f>
        <v>272167</v>
      </c>
      <c r="AO199" s="282">
        <f t="shared" ref="AO199" si="356">SUM(N199:Q199)</f>
        <v>379259</v>
      </c>
      <c r="AP199" s="282">
        <f t="shared" ref="AP199" si="357">SUM(R199:U199)</f>
        <v>392474</v>
      </c>
      <c r="AQ199" s="282">
        <f>SUM(V199:Y199)</f>
        <v>393619</v>
      </c>
      <c r="AR199" s="284"/>
      <c r="BK199" s="282">
        <f>BK197+BK185</f>
        <v>137317</v>
      </c>
      <c r="BL199" s="282">
        <f>BL197+BL185</f>
        <v>187713</v>
      </c>
      <c r="BM199" s="282">
        <f>BM197+BM185</f>
        <v>232414</v>
      </c>
      <c r="BO199" s="282">
        <f>BO197+BO185</f>
        <v>35479</v>
      </c>
      <c r="BP199" s="282">
        <f>BP197+BP185</f>
        <v>93677</v>
      </c>
      <c r="BQ199" s="282">
        <f t="shared" ref="BQ199" si="358">BQ197+BQ185</f>
        <v>181242</v>
      </c>
      <c r="BS199" s="282">
        <f>BS197+BS185</f>
        <v>98878</v>
      </c>
      <c r="BT199" s="282">
        <f>BT197+BT185</f>
        <v>173433</v>
      </c>
      <c r="BU199" s="282">
        <f>BU197+BU185</f>
        <v>272167</v>
      </c>
      <c r="BW199" s="282">
        <f>BW197+BW185</f>
        <v>171025</v>
      </c>
      <c r="BX199" s="282">
        <f>BX197+BX185</f>
        <v>262588</v>
      </c>
      <c r="BY199" s="282">
        <f>BY197+BY185</f>
        <v>379259</v>
      </c>
      <c r="CA199" s="282">
        <f>CA197+CA185</f>
        <v>186021</v>
      </c>
      <c r="CB199" s="282">
        <f>CB197+CB185</f>
        <v>285881</v>
      </c>
      <c r="CC199" s="282">
        <f>CC197+CC185</f>
        <v>392474</v>
      </c>
      <c r="CE199" s="282">
        <f>CE197+CE185</f>
        <v>177700</v>
      </c>
      <c r="CF199" s="282">
        <f>CF197+CF185</f>
        <v>274463</v>
      </c>
      <c r="CG199" s="282">
        <f>CG197+CG185</f>
        <v>393619</v>
      </c>
      <c r="CI199" s="282">
        <f>CI197+CI185</f>
        <v>193001</v>
      </c>
      <c r="CJ199" s="282">
        <f>CJ197+CJ185</f>
        <v>308964</v>
      </c>
      <c r="CK199" s="282"/>
    </row>
    <row r="200" spans="1:89" x14ac:dyDescent="0.3">
      <c r="A200" s="280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  <c r="AC200" s="278"/>
      <c r="AF200" s="278"/>
      <c r="AG200" s="278"/>
      <c r="AH200" s="278"/>
      <c r="AI200" s="278"/>
      <c r="AJ200" s="278"/>
      <c r="AK200" s="278"/>
      <c r="AL200" s="278"/>
      <c r="AM200" s="278"/>
      <c r="AN200" s="278"/>
      <c r="AO200" s="278"/>
      <c r="AP200" s="278"/>
      <c r="AQ200" s="278"/>
      <c r="AR200" s="279"/>
      <c r="BK200" s="278"/>
      <c r="BL200" s="278"/>
      <c r="BM200" s="278"/>
      <c r="BO200" s="278"/>
      <c r="BP200" s="278"/>
      <c r="BQ200" s="278"/>
      <c r="BS200" s="278"/>
      <c r="BT200" s="278"/>
      <c r="BU200" s="278"/>
      <c r="BW200" s="278"/>
      <c r="BX200" s="278"/>
      <c r="BY200" s="278"/>
      <c r="CA200" s="278"/>
      <c r="CB200" s="278"/>
      <c r="CC200" s="278"/>
      <c r="CE200" s="278"/>
      <c r="CF200" s="278"/>
      <c r="CG200" s="278"/>
      <c r="CI200" s="278"/>
      <c r="CJ200" s="278"/>
      <c r="CK200" s="278"/>
    </row>
    <row r="201" spans="1:89" x14ac:dyDescent="0.3">
      <c r="A201" s="280" t="s">
        <v>231</v>
      </c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  <c r="AC201" s="278"/>
      <c r="AF201" s="278"/>
      <c r="AG201" s="278"/>
      <c r="AH201" s="278"/>
      <c r="AI201" s="278"/>
      <c r="AJ201" s="278"/>
      <c r="AK201" s="278"/>
      <c r="AL201" s="278"/>
      <c r="AM201" s="278"/>
      <c r="AN201" s="278"/>
      <c r="AO201" s="278"/>
      <c r="AP201" s="278"/>
      <c r="AQ201" s="278"/>
      <c r="AR201" s="279"/>
      <c r="BK201" s="278"/>
      <c r="BL201" s="278"/>
      <c r="BM201" s="278"/>
      <c r="BO201" s="278"/>
      <c r="BP201" s="278"/>
      <c r="BQ201" s="278"/>
      <c r="BS201" s="278"/>
      <c r="BT201" s="278"/>
      <c r="BU201" s="278"/>
      <c r="BW201" s="278"/>
      <c r="BX201" s="278"/>
      <c r="BY201" s="278"/>
      <c r="CA201" s="278"/>
      <c r="CB201" s="278"/>
      <c r="CC201" s="278"/>
      <c r="CE201" s="278"/>
      <c r="CF201" s="278"/>
      <c r="CG201" s="278"/>
      <c r="CI201" s="278"/>
      <c r="CJ201" s="278"/>
      <c r="CK201" s="278"/>
    </row>
    <row r="202" spans="1:89" outlineLevel="1" x14ac:dyDescent="0.3">
      <c r="A202" s="277" t="s">
        <v>163</v>
      </c>
      <c r="B202" s="278">
        <v>708</v>
      </c>
      <c r="C202" s="278">
        <f t="shared" ref="C202:C208" si="359">BK202-B202</f>
        <v>90</v>
      </c>
      <c r="D202" s="278">
        <f t="shared" ref="D202:E208" si="360">BL202-BK202</f>
        <v>339</v>
      </c>
      <c r="E202" s="278">
        <f t="shared" si="360"/>
        <v>153</v>
      </c>
      <c r="F202" s="278">
        <v>9</v>
      </c>
      <c r="G202" s="278">
        <f t="shared" ref="G202:G208" si="361">BO202-F202</f>
        <v>68</v>
      </c>
      <c r="H202" s="278">
        <f t="shared" ref="H202:I208" si="362">BP202-BO202</f>
        <v>105</v>
      </c>
      <c r="I202" s="278">
        <f t="shared" si="362"/>
        <v>209</v>
      </c>
      <c r="J202" s="278">
        <v>70</v>
      </c>
      <c r="K202" s="278">
        <f t="shared" ref="K202:K208" si="363">BS202-J202</f>
        <v>27</v>
      </c>
      <c r="L202" s="278">
        <f t="shared" ref="L202:M208" si="364">BT202-BS202</f>
        <v>1</v>
      </c>
      <c r="M202" s="278">
        <f t="shared" si="364"/>
        <v>82</v>
      </c>
      <c r="N202" s="278">
        <v>210</v>
      </c>
      <c r="O202" s="278">
        <f t="shared" ref="O202:O208" si="365">BW202-N202</f>
        <v>381</v>
      </c>
      <c r="P202" s="278">
        <f t="shared" ref="P202:Q208" si="366">BX202-BW202</f>
        <v>356</v>
      </c>
      <c r="Q202" s="278">
        <f t="shared" si="366"/>
        <v>314</v>
      </c>
      <c r="R202" s="278">
        <v>300</v>
      </c>
      <c r="S202" s="278">
        <f t="shared" ref="S202:S208" si="367">CA202-R202</f>
        <v>259</v>
      </c>
      <c r="T202" s="278">
        <f t="shared" ref="T202:U208" si="368">CB202-CA202</f>
        <v>347</v>
      </c>
      <c r="U202" s="278">
        <f t="shared" si="368"/>
        <v>823</v>
      </c>
      <c r="V202" s="278">
        <v>714</v>
      </c>
      <c r="W202" s="278">
        <f t="shared" ref="W202:W208" si="369">CE202-V202</f>
        <v>188</v>
      </c>
      <c r="X202" s="278">
        <f t="shared" ref="X202:Y208" si="370">CF202-CE202</f>
        <v>214</v>
      </c>
      <c r="Y202" s="278">
        <f t="shared" si="370"/>
        <v>1156</v>
      </c>
      <c r="Z202" s="278">
        <v>548</v>
      </c>
      <c r="AA202" s="278">
        <f t="shared" ref="AA202:AA208" si="371">CI202-Z202</f>
        <v>114</v>
      </c>
      <c r="AB202" s="278">
        <f t="shared" ref="AB202:AC208" si="372">CJ202-CI202</f>
        <v>270</v>
      </c>
      <c r="AC202" s="278">
        <f t="shared" si="372"/>
        <v>-932</v>
      </c>
      <c r="AF202" s="278">
        <v>255</v>
      </c>
      <c r="AG202" s="278">
        <v>418</v>
      </c>
      <c r="AH202" s="278">
        <v>657</v>
      </c>
      <c r="AI202" s="278">
        <v>360</v>
      </c>
      <c r="AJ202" s="278">
        <v>1292</v>
      </c>
      <c r="AK202" s="278">
        <v>1887</v>
      </c>
      <c r="AL202" s="278">
        <f t="shared" ref="AL202:AL209" si="373">SUM(B202:E202)</f>
        <v>1290</v>
      </c>
      <c r="AM202" s="278">
        <f t="shared" ref="AM202:AM209" si="374">SUM(F202:I202)</f>
        <v>391</v>
      </c>
      <c r="AN202" s="278">
        <f t="shared" ref="AN202:AN209" si="375">SUM(J202:M202)</f>
        <v>180</v>
      </c>
      <c r="AO202" s="278">
        <f t="shared" ref="AO202:AO209" si="376">SUM(N202:Q202)</f>
        <v>1261</v>
      </c>
      <c r="AP202" s="278">
        <f t="shared" ref="AP202:AP209" si="377">SUM(R202:U202)</f>
        <v>1729</v>
      </c>
      <c r="AQ202" s="278">
        <f t="shared" ref="AQ202:AQ209" si="378">SUM(V202:Y202)</f>
        <v>2272</v>
      </c>
      <c r="AR202" s="279"/>
      <c r="BK202" s="278">
        <v>798</v>
      </c>
      <c r="BL202" s="278">
        <v>1137</v>
      </c>
      <c r="BM202" s="278">
        <v>1290</v>
      </c>
      <c r="BO202" s="278">
        <v>77</v>
      </c>
      <c r="BP202" s="278">
        <v>182</v>
      </c>
      <c r="BQ202" s="278">
        <v>391</v>
      </c>
      <c r="BS202" s="278">
        <v>97</v>
      </c>
      <c r="BT202" s="278">
        <v>98</v>
      </c>
      <c r="BU202" s="278">
        <v>180</v>
      </c>
      <c r="BW202" s="278">
        <v>591</v>
      </c>
      <c r="BX202" s="278">
        <v>947</v>
      </c>
      <c r="BY202" s="278">
        <v>1261</v>
      </c>
      <c r="CA202" s="278">
        <v>559</v>
      </c>
      <c r="CB202" s="278">
        <v>906</v>
      </c>
      <c r="CC202" s="278">
        <v>1729</v>
      </c>
      <c r="CE202" s="278">
        <v>902</v>
      </c>
      <c r="CF202" s="278">
        <v>1116</v>
      </c>
      <c r="CG202" s="278">
        <v>2272</v>
      </c>
      <c r="CI202" s="278">
        <v>662</v>
      </c>
      <c r="CJ202" s="278">
        <v>932</v>
      </c>
      <c r="CK202" s="278"/>
    </row>
    <row r="203" spans="1:89" outlineLevel="1" x14ac:dyDescent="0.3">
      <c r="A203" s="277" t="s">
        <v>165</v>
      </c>
      <c r="B203" s="278">
        <v>3729</v>
      </c>
      <c r="C203" s="278">
        <f t="shared" si="359"/>
        <v>4892</v>
      </c>
      <c r="D203" s="278">
        <f t="shared" si="360"/>
        <v>3861</v>
      </c>
      <c r="E203" s="278">
        <f t="shared" si="360"/>
        <v>3648</v>
      </c>
      <c r="F203" s="278">
        <v>473</v>
      </c>
      <c r="G203" s="278">
        <f t="shared" si="361"/>
        <v>2260</v>
      </c>
      <c r="H203" s="278">
        <f t="shared" si="362"/>
        <v>1689</v>
      </c>
      <c r="I203" s="278">
        <f t="shared" si="362"/>
        <v>2554</v>
      </c>
      <c r="J203" s="278">
        <v>2275</v>
      </c>
      <c r="K203" s="278">
        <f t="shared" si="363"/>
        <v>3525</v>
      </c>
      <c r="L203" s="278">
        <f t="shared" si="364"/>
        <v>1751</v>
      </c>
      <c r="M203" s="278">
        <f t="shared" si="364"/>
        <v>2375</v>
      </c>
      <c r="N203" s="278">
        <v>3365</v>
      </c>
      <c r="O203" s="278">
        <f t="shared" si="365"/>
        <v>4512</v>
      </c>
      <c r="P203" s="278">
        <f t="shared" si="366"/>
        <v>3997</v>
      </c>
      <c r="Q203" s="278">
        <f t="shared" si="366"/>
        <v>4900</v>
      </c>
      <c r="R203" s="278">
        <v>5346</v>
      </c>
      <c r="S203" s="278">
        <f t="shared" si="367"/>
        <v>6955</v>
      </c>
      <c r="T203" s="278">
        <f t="shared" si="368"/>
        <v>5507</v>
      </c>
      <c r="U203" s="278">
        <f t="shared" si="368"/>
        <v>7333</v>
      </c>
      <c r="V203" s="278">
        <v>6848</v>
      </c>
      <c r="W203" s="278">
        <f t="shared" si="369"/>
        <v>6257</v>
      </c>
      <c r="X203" s="278">
        <f t="shared" si="370"/>
        <v>5860</v>
      </c>
      <c r="Y203" s="278">
        <f t="shared" si="370"/>
        <v>9169</v>
      </c>
      <c r="Z203" s="278">
        <v>8531</v>
      </c>
      <c r="AA203" s="278">
        <f t="shared" si="371"/>
        <v>7407</v>
      </c>
      <c r="AB203" s="278">
        <f t="shared" si="372"/>
        <v>6694</v>
      </c>
      <c r="AC203" s="278">
        <f t="shared" si="372"/>
        <v>-22632</v>
      </c>
      <c r="AF203" s="278">
        <v>16474</v>
      </c>
      <c r="AG203" s="278">
        <v>19256</v>
      </c>
      <c r="AH203" s="278">
        <v>22589</v>
      </c>
      <c r="AI203" s="278">
        <v>20945</v>
      </c>
      <c r="AJ203" s="278">
        <v>21805</v>
      </c>
      <c r="AK203" s="278">
        <v>18250</v>
      </c>
      <c r="AL203" s="278">
        <f t="shared" si="373"/>
        <v>16130</v>
      </c>
      <c r="AM203" s="278">
        <f t="shared" si="374"/>
        <v>6976</v>
      </c>
      <c r="AN203" s="278">
        <f t="shared" si="375"/>
        <v>9926</v>
      </c>
      <c r="AO203" s="278">
        <f t="shared" si="376"/>
        <v>16774</v>
      </c>
      <c r="AP203" s="278">
        <f t="shared" si="377"/>
        <v>25141</v>
      </c>
      <c r="AQ203" s="278">
        <f t="shared" si="378"/>
        <v>28134</v>
      </c>
      <c r="AR203" s="279"/>
      <c r="BK203" s="278">
        <v>8621</v>
      </c>
      <c r="BL203" s="278">
        <v>12482</v>
      </c>
      <c r="BM203" s="278">
        <v>16130</v>
      </c>
      <c r="BO203" s="278">
        <v>2733</v>
      </c>
      <c r="BP203" s="278">
        <v>4422</v>
      </c>
      <c r="BQ203" s="278">
        <v>6976</v>
      </c>
      <c r="BS203" s="278">
        <v>5800</v>
      </c>
      <c r="BT203" s="278">
        <v>7551</v>
      </c>
      <c r="BU203" s="278">
        <v>9926</v>
      </c>
      <c r="BW203" s="278">
        <v>7877</v>
      </c>
      <c r="BX203" s="278">
        <v>11874</v>
      </c>
      <c r="BY203" s="278">
        <v>16774</v>
      </c>
      <c r="CA203" s="278">
        <v>12301</v>
      </c>
      <c r="CB203" s="278">
        <v>17808</v>
      </c>
      <c r="CC203" s="278">
        <v>25141</v>
      </c>
      <c r="CE203" s="278">
        <v>13105</v>
      </c>
      <c r="CF203" s="278">
        <v>18965</v>
      </c>
      <c r="CG203" s="278">
        <v>28134</v>
      </c>
      <c r="CI203" s="278">
        <v>15938</v>
      </c>
      <c r="CJ203" s="278">
        <v>22632</v>
      </c>
      <c r="CK203" s="278"/>
    </row>
    <row r="204" spans="1:89" outlineLevel="1" x14ac:dyDescent="0.3">
      <c r="A204" s="277" t="s">
        <v>150</v>
      </c>
      <c r="B204" s="278">
        <v>893</v>
      </c>
      <c r="C204" s="278">
        <f t="shared" si="359"/>
        <v>472</v>
      </c>
      <c r="D204" s="278">
        <f t="shared" si="360"/>
        <v>394</v>
      </c>
      <c r="E204" s="278">
        <f t="shared" si="360"/>
        <v>98</v>
      </c>
      <c r="F204" s="278">
        <v>0</v>
      </c>
      <c r="G204" s="278">
        <f t="shared" si="361"/>
        <v>25</v>
      </c>
      <c r="H204" s="278">
        <f t="shared" si="362"/>
        <v>21</v>
      </c>
      <c r="I204" s="278">
        <f t="shared" si="362"/>
        <v>72</v>
      </c>
      <c r="J204" s="278">
        <v>45</v>
      </c>
      <c r="K204" s="278">
        <f t="shared" si="363"/>
        <v>6</v>
      </c>
      <c r="L204" s="278">
        <f t="shared" si="364"/>
        <v>29</v>
      </c>
      <c r="M204" s="278">
        <f t="shared" si="364"/>
        <v>39</v>
      </c>
      <c r="N204" s="278">
        <v>178</v>
      </c>
      <c r="O204" s="278">
        <f t="shared" si="365"/>
        <v>371</v>
      </c>
      <c r="P204" s="278">
        <f t="shared" si="366"/>
        <v>355</v>
      </c>
      <c r="Q204" s="278">
        <f t="shared" si="366"/>
        <v>821</v>
      </c>
      <c r="R204" s="278">
        <v>875</v>
      </c>
      <c r="S204" s="278">
        <f t="shared" si="367"/>
        <v>845</v>
      </c>
      <c r="T204" s="278">
        <f t="shared" si="368"/>
        <v>581</v>
      </c>
      <c r="U204" s="278">
        <f t="shared" si="368"/>
        <v>1208</v>
      </c>
      <c r="V204" s="278">
        <v>1431</v>
      </c>
      <c r="W204" s="278">
        <f t="shared" si="369"/>
        <v>725</v>
      </c>
      <c r="X204" s="278">
        <f t="shared" si="370"/>
        <v>597</v>
      </c>
      <c r="Y204" s="278">
        <f t="shared" si="370"/>
        <v>1554</v>
      </c>
      <c r="Z204" s="278">
        <v>1079</v>
      </c>
      <c r="AA204" s="278">
        <f t="shared" si="371"/>
        <v>687</v>
      </c>
      <c r="AB204" s="278">
        <f t="shared" si="372"/>
        <v>656</v>
      </c>
      <c r="AC204" s="278">
        <f t="shared" si="372"/>
        <v>-2422</v>
      </c>
      <c r="AF204" s="278">
        <v>2431</v>
      </c>
      <c r="AG204" s="278">
        <v>2774</v>
      </c>
      <c r="AH204" s="278">
        <v>2005</v>
      </c>
      <c r="AI204" s="278">
        <v>2984</v>
      </c>
      <c r="AJ204" s="278">
        <v>2714</v>
      </c>
      <c r="AK204" s="278">
        <v>2752</v>
      </c>
      <c r="AL204" s="278">
        <f t="shared" si="373"/>
        <v>1857</v>
      </c>
      <c r="AM204" s="278">
        <f t="shared" si="374"/>
        <v>118</v>
      </c>
      <c r="AN204" s="278">
        <f t="shared" si="375"/>
        <v>119</v>
      </c>
      <c r="AO204" s="278">
        <f t="shared" si="376"/>
        <v>1725</v>
      </c>
      <c r="AP204" s="278">
        <f t="shared" si="377"/>
        <v>3509</v>
      </c>
      <c r="AQ204" s="278">
        <f t="shared" si="378"/>
        <v>4307</v>
      </c>
      <c r="AR204" s="279"/>
      <c r="BK204" s="278">
        <v>1365</v>
      </c>
      <c r="BL204" s="278">
        <v>1759</v>
      </c>
      <c r="BM204" s="278">
        <v>1857</v>
      </c>
      <c r="BO204" s="278">
        <v>25</v>
      </c>
      <c r="BP204" s="278">
        <v>46</v>
      </c>
      <c r="BQ204" s="278">
        <v>118</v>
      </c>
      <c r="BS204" s="278">
        <v>51</v>
      </c>
      <c r="BT204" s="278">
        <v>80</v>
      </c>
      <c r="BU204" s="278">
        <v>119</v>
      </c>
      <c r="BW204" s="278">
        <v>549</v>
      </c>
      <c r="BX204" s="278">
        <v>904</v>
      </c>
      <c r="BY204" s="278">
        <v>1725</v>
      </c>
      <c r="CA204" s="278">
        <v>1720</v>
      </c>
      <c r="CB204" s="278">
        <v>2301</v>
      </c>
      <c r="CC204" s="278">
        <v>3509</v>
      </c>
      <c r="CE204" s="278">
        <v>2156</v>
      </c>
      <c r="CF204" s="278">
        <v>2753</v>
      </c>
      <c r="CG204" s="278">
        <v>4307</v>
      </c>
      <c r="CI204" s="278">
        <v>1766</v>
      </c>
      <c r="CJ204" s="278">
        <v>2422</v>
      </c>
      <c r="CK204" s="278"/>
    </row>
    <row r="205" spans="1:89" outlineLevel="1" x14ac:dyDescent="0.3">
      <c r="A205" s="277" t="s">
        <v>220</v>
      </c>
      <c r="B205" s="278">
        <v>1410</v>
      </c>
      <c r="C205" s="278">
        <f t="shared" si="359"/>
        <v>347</v>
      </c>
      <c r="D205" s="278">
        <f t="shared" si="360"/>
        <v>362</v>
      </c>
      <c r="E205" s="278">
        <f t="shared" si="360"/>
        <v>937</v>
      </c>
      <c r="F205" s="278">
        <v>189</v>
      </c>
      <c r="G205" s="278">
        <f t="shared" si="361"/>
        <v>146</v>
      </c>
      <c r="H205" s="278">
        <f t="shared" si="362"/>
        <v>74</v>
      </c>
      <c r="I205" s="278">
        <f t="shared" si="362"/>
        <v>130</v>
      </c>
      <c r="J205" s="278">
        <v>291</v>
      </c>
      <c r="K205" s="278">
        <f t="shared" si="363"/>
        <v>74</v>
      </c>
      <c r="L205" s="278">
        <f t="shared" si="364"/>
        <v>152</v>
      </c>
      <c r="M205" s="278">
        <f t="shared" si="364"/>
        <v>437</v>
      </c>
      <c r="N205" s="278">
        <v>1332</v>
      </c>
      <c r="O205" s="278">
        <f t="shared" si="365"/>
        <v>1053</v>
      </c>
      <c r="P205" s="278">
        <f t="shared" si="366"/>
        <v>1287</v>
      </c>
      <c r="Q205" s="278">
        <f t="shared" si="366"/>
        <v>1391</v>
      </c>
      <c r="R205" s="278">
        <v>1471</v>
      </c>
      <c r="S205" s="278">
        <f t="shared" si="367"/>
        <v>1404</v>
      </c>
      <c r="T205" s="278">
        <f t="shared" si="368"/>
        <v>1417</v>
      </c>
      <c r="U205" s="278">
        <f t="shared" si="368"/>
        <v>1664</v>
      </c>
      <c r="V205" s="278">
        <v>1513</v>
      </c>
      <c r="W205" s="278">
        <f t="shared" si="369"/>
        <v>1309</v>
      </c>
      <c r="X205" s="278">
        <f t="shared" si="370"/>
        <v>1040</v>
      </c>
      <c r="Y205" s="278">
        <f t="shared" si="370"/>
        <v>1643</v>
      </c>
      <c r="Z205" s="278">
        <v>1518</v>
      </c>
      <c r="AA205" s="278">
        <f t="shared" si="371"/>
        <v>1338</v>
      </c>
      <c r="AB205" s="278">
        <f t="shared" si="372"/>
        <v>1775</v>
      </c>
      <c r="AC205" s="278">
        <f t="shared" si="372"/>
        <v>-4631</v>
      </c>
      <c r="AF205" s="278">
        <v>2978</v>
      </c>
      <c r="AG205" s="278">
        <v>3639</v>
      </c>
      <c r="AH205" s="278">
        <v>2919</v>
      </c>
      <c r="AI205" s="278">
        <v>4055</v>
      </c>
      <c r="AJ205" s="278">
        <v>4469</v>
      </c>
      <c r="AK205" s="278">
        <v>5235</v>
      </c>
      <c r="AL205" s="278">
        <f t="shared" si="373"/>
        <v>3056</v>
      </c>
      <c r="AM205" s="278">
        <f t="shared" si="374"/>
        <v>539</v>
      </c>
      <c r="AN205" s="278">
        <f t="shared" si="375"/>
        <v>954</v>
      </c>
      <c r="AO205" s="278">
        <f t="shared" si="376"/>
        <v>5063</v>
      </c>
      <c r="AP205" s="278">
        <f t="shared" si="377"/>
        <v>5956</v>
      </c>
      <c r="AQ205" s="278">
        <f t="shared" si="378"/>
        <v>5505</v>
      </c>
      <c r="AR205" s="279"/>
      <c r="BK205" s="278">
        <v>1757</v>
      </c>
      <c r="BL205" s="278">
        <v>2119</v>
      </c>
      <c r="BM205" s="278">
        <v>3056</v>
      </c>
      <c r="BO205" s="278">
        <v>335</v>
      </c>
      <c r="BP205" s="278">
        <v>409</v>
      </c>
      <c r="BQ205" s="278">
        <v>539</v>
      </c>
      <c r="BS205" s="278">
        <v>365</v>
      </c>
      <c r="BT205" s="278">
        <v>517</v>
      </c>
      <c r="BU205" s="278">
        <v>954</v>
      </c>
      <c r="BW205" s="278">
        <v>2385</v>
      </c>
      <c r="BX205" s="278">
        <v>3672</v>
      </c>
      <c r="BY205" s="278">
        <v>5063</v>
      </c>
      <c r="CA205" s="278">
        <v>2875</v>
      </c>
      <c r="CB205" s="278">
        <v>4292</v>
      </c>
      <c r="CC205" s="278">
        <v>5956</v>
      </c>
      <c r="CE205" s="278">
        <v>2822</v>
      </c>
      <c r="CF205" s="278">
        <v>3862</v>
      </c>
      <c r="CG205" s="278">
        <v>5505</v>
      </c>
      <c r="CI205" s="278">
        <v>2856</v>
      </c>
      <c r="CJ205" s="278">
        <v>4631</v>
      </c>
      <c r="CK205" s="278"/>
    </row>
    <row r="206" spans="1:89" outlineLevel="1" x14ac:dyDescent="0.3">
      <c r="A206" s="277" t="s">
        <v>157</v>
      </c>
      <c r="B206" s="278">
        <v>6706</v>
      </c>
      <c r="C206" s="278">
        <f t="shared" si="359"/>
        <v>3908</v>
      </c>
      <c r="D206" s="278">
        <f t="shared" si="360"/>
        <v>2611</v>
      </c>
      <c r="E206" s="278">
        <f t="shared" si="360"/>
        <v>4763</v>
      </c>
      <c r="F206" s="278">
        <v>327</v>
      </c>
      <c r="G206" s="278">
        <f t="shared" si="361"/>
        <v>2082</v>
      </c>
      <c r="H206" s="278">
        <f t="shared" si="362"/>
        <v>1553</v>
      </c>
      <c r="I206" s="278">
        <f t="shared" si="362"/>
        <v>2370</v>
      </c>
      <c r="J206" s="278">
        <v>1978</v>
      </c>
      <c r="K206" s="278">
        <f t="shared" si="363"/>
        <v>1337</v>
      </c>
      <c r="L206" s="278">
        <f t="shared" si="364"/>
        <v>2262</v>
      </c>
      <c r="M206" s="278">
        <f t="shared" si="364"/>
        <v>4172</v>
      </c>
      <c r="N206" s="278">
        <v>5419</v>
      </c>
      <c r="O206" s="278">
        <f t="shared" si="365"/>
        <v>4008</v>
      </c>
      <c r="P206" s="278">
        <f t="shared" si="366"/>
        <v>2681</v>
      </c>
      <c r="Q206" s="278">
        <f t="shared" si="366"/>
        <v>5208</v>
      </c>
      <c r="R206" s="278">
        <v>8995</v>
      </c>
      <c r="S206" s="278">
        <f t="shared" si="367"/>
        <v>8878</v>
      </c>
      <c r="T206" s="278">
        <f t="shared" si="368"/>
        <v>6268</v>
      </c>
      <c r="U206" s="278">
        <f t="shared" si="368"/>
        <v>9073</v>
      </c>
      <c r="V206" s="278">
        <v>6019</v>
      </c>
      <c r="W206" s="278">
        <f t="shared" si="369"/>
        <v>5387</v>
      </c>
      <c r="X206" s="278">
        <f t="shared" si="370"/>
        <v>5237</v>
      </c>
      <c r="Y206" s="278">
        <f t="shared" si="370"/>
        <v>5126</v>
      </c>
      <c r="Z206" s="278">
        <v>5339</v>
      </c>
      <c r="AA206" s="278">
        <f t="shared" si="371"/>
        <v>2942</v>
      </c>
      <c r="AB206" s="278">
        <f t="shared" si="372"/>
        <v>2545</v>
      </c>
      <c r="AC206" s="278">
        <f t="shared" si="372"/>
        <v>-10826</v>
      </c>
      <c r="AF206" s="278">
        <v>18062</v>
      </c>
      <c r="AG206" s="278">
        <v>15261</v>
      </c>
      <c r="AH206" s="278">
        <v>16350</v>
      </c>
      <c r="AI206" s="278">
        <v>15666</v>
      </c>
      <c r="AJ206" s="278">
        <v>15043</v>
      </c>
      <c r="AK206" s="278">
        <v>18401</v>
      </c>
      <c r="AL206" s="278">
        <f t="shared" si="373"/>
        <v>17988</v>
      </c>
      <c r="AM206" s="278">
        <f t="shared" si="374"/>
        <v>6332</v>
      </c>
      <c r="AN206" s="278">
        <f t="shared" si="375"/>
        <v>9749</v>
      </c>
      <c r="AO206" s="278">
        <f t="shared" si="376"/>
        <v>17316</v>
      </c>
      <c r="AP206" s="278">
        <f t="shared" si="377"/>
        <v>33214</v>
      </c>
      <c r="AQ206" s="278">
        <f t="shared" si="378"/>
        <v>21769</v>
      </c>
      <c r="AR206" s="279"/>
      <c r="BK206" s="278">
        <v>10614</v>
      </c>
      <c r="BL206" s="278">
        <v>13225</v>
      </c>
      <c r="BM206" s="278">
        <v>17988</v>
      </c>
      <c r="BO206" s="278">
        <v>2409</v>
      </c>
      <c r="BP206" s="278">
        <v>3962</v>
      </c>
      <c r="BQ206" s="278">
        <v>6332</v>
      </c>
      <c r="BS206" s="278">
        <v>3315</v>
      </c>
      <c r="BT206" s="278">
        <v>5577</v>
      </c>
      <c r="BU206" s="278">
        <v>9749</v>
      </c>
      <c r="BW206" s="278">
        <v>9427</v>
      </c>
      <c r="BX206" s="278">
        <v>12108</v>
      </c>
      <c r="BY206" s="278">
        <v>17316</v>
      </c>
      <c r="CA206" s="278">
        <v>17873</v>
      </c>
      <c r="CB206" s="278">
        <v>24141</v>
      </c>
      <c r="CC206" s="278">
        <v>33214</v>
      </c>
      <c r="CE206" s="278">
        <v>11406</v>
      </c>
      <c r="CF206" s="278">
        <v>16643</v>
      </c>
      <c r="CG206" s="278">
        <v>21769</v>
      </c>
      <c r="CI206" s="278">
        <v>8281</v>
      </c>
      <c r="CJ206" s="278">
        <v>10826</v>
      </c>
      <c r="CK206" s="278"/>
    </row>
    <row r="207" spans="1:89" outlineLevel="1" x14ac:dyDescent="0.3">
      <c r="A207" s="277" t="s">
        <v>158</v>
      </c>
      <c r="B207" s="278"/>
      <c r="C207" s="278">
        <f t="shared" si="359"/>
        <v>0</v>
      </c>
      <c r="D207" s="278">
        <f t="shared" si="360"/>
        <v>0</v>
      </c>
      <c r="E207" s="278">
        <f t="shared" si="360"/>
        <v>0</v>
      </c>
      <c r="F207" s="278"/>
      <c r="G207" s="278">
        <f t="shared" si="361"/>
        <v>0</v>
      </c>
      <c r="H207" s="278">
        <f t="shared" si="362"/>
        <v>0</v>
      </c>
      <c r="I207" s="278">
        <f t="shared" si="362"/>
        <v>0</v>
      </c>
      <c r="J207" s="278">
        <v>0</v>
      </c>
      <c r="K207" s="278">
        <f t="shared" si="363"/>
        <v>0</v>
      </c>
      <c r="L207" s="278">
        <f t="shared" si="364"/>
        <v>0</v>
      </c>
      <c r="M207" s="278">
        <f t="shared" si="364"/>
        <v>0</v>
      </c>
      <c r="N207" s="278">
        <v>0</v>
      </c>
      <c r="O207" s="278">
        <f t="shared" si="365"/>
        <v>0</v>
      </c>
      <c r="P207" s="278">
        <f t="shared" si="366"/>
        <v>0</v>
      </c>
      <c r="Q207" s="278">
        <f t="shared" si="366"/>
        <v>0</v>
      </c>
      <c r="R207" s="278"/>
      <c r="S207" s="278">
        <f t="shared" si="367"/>
        <v>0</v>
      </c>
      <c r="T207" s="278">
        <f t="shared" si="368"/>
        <v>0</v>
      </c>
      <c r="U207" s="278">
        <f t="shared" si="368"/>
        <v>0</v>
      </c>
      <c r="V207" s="278"/>
      <c r="W207" s="278">
        <f t="shared" si="369"/>
        <v>0</v>
      </c>
      <c r="X207" s="278">
        <f t="shared" si="370"/>
        <v>0</v>
      </c>
      <c r="Y207" s="278">
        <f t="shared" si="370"/>
        <v>0</v>
      </c>
      <c r="Z207" s="278"/>
      <c r="AA207" s="278">
        <f t="shared" si="371"/>
        <v>0</v>
      </c>
      <c r="AB207" s="278">
        <f t="shared" si="372"/>
        <v>0</v>
      </c>
      <c r="AC207" s="278">
        <f t="shared" si="372"/>
        <v>0</v>
      </c>
      <c r="AF207" s="278"/>
      <c r="AG207" s="278"/>
      <c r="AH207" s="278"/>
      <c r="AI207" s="278"/>
      <c r="AJ207" s="278"/>
      <c r="AK207" s="278"/>
      <c r="AL207" s="278">
        <f t="shared" si="373"/>
        <v>0</v>
      </c>
      <c r="AM207" s="278">
        <f t="shared" si="374"/>
        <v>0</v>
      </c>
      <c r="AN207" s="278">
        <f t="shared" si="375"/>
        <v>0</v>
      </c>
      <c r="AO207" s="278">
        <f t="shared" si="376"/>
        <v>0</v>
      </c>
      <c r="AP207" s="278">
        <f t="shared" si="377"/>
        <v>0</v>
      </c>
      <c r="AQ207" s="278">
        <f t="shared" si="378"/>
        <v>0</v>
      </c>
      <c r="AR207" s="279"/>
      <c r="BK207" s="278"/>
      <c r="BL207" s="278"/>
      <c r="BM207" s="278">
        <v>0</v>
      </c>
      <c r="BO207" s="278"/>
      <c r="BP207" s="278"/>
      <c r="BQ207" s="278">
        <v>0</v>
      </c>
      <c r="BS207" s="278">
        <v>0</v>
      </c>
      <c r="BT207" s="278">
        <v>0</v>
      </c>
      <c r="BU207" s="278">
        <v>0</v>
      </c>
      <c r="BW207" s="278">
        <v>0</v>
      </c>
      <c r="BX207" s="278">
        <v>0</v>
      </c>
      <c r="BY207" s="278"/>
      <c r="CA207" s="278"/>
      <c r="CB207" s="278"/>
      <c r="CC207" s="278"/>
      <c r="CE207" s="278"/>
      <c r="CF207" s="278"/>
      <c r="CG207" s="278"/>
      <c r="CI207" s="278"/>
      <c r="CJ207" s="278"/>
      <c r="CK207" s="278"/>
    </row>
    <row r="208" spans="1:89" outlineLevel="1" x14ac:dyDescent="0.3">
      <c r="A208" s="277" t="s">
        <v>222</v>
      </c>
      <c r="B208" s="278">
        <v>1515</v>
      </c>
      <c r="C208" s="278">
        <f t="shared" si="359"/>
        <v>794</v>
      </c>
      <c r="D208" s="278">
        <f t="shared" si="360"/>
        <v>831</v>
      </c>
      <c r="E208" s="278">
        <f t="shared" si="360"/>
        <v>1830</v>
      </c>
      <c r="F208" s="278">
        <v>95</v>
      </c>
      <c r="G208" s="278">
        <f t="shared" si="361"/>
        <v>306</v>
      </c>
      <c r="H208" s="278">
        <f t="shared" si="362"/>
        <v>365</v>
      </c>
      <c r="I208" s="278">
        <f t="shared" si="362"/>
        <v>353</v>
      </c>
      <c r="J208" s="278">
        <v>253</v>
      </c>
      <c r="K208" s="278">
        <f t="shared" si="363"/>
        <v>118</v>
      </c>
      <c r="L208" s="278">
        <f t="shared" si="364"/>
        <v>226</v>
      </c>
      <c r="M208" s="278">
        <f t="shared" si="364"/>
        <v>459</v>
      </c>
      <c r="N208" s="278">
        <v>990</v>
      </c>
      <c r="O208" s="278">
        <f t="shared" si="365"/>
        <v>478</v>
      </c>
      <c r="P208" s="278">
        <f t="shared" si="366"/>
        <v>561</v>
      </c>
      <c r="Q208" s="278">
        <f t="shared" si="366"/>
        <v>843</v>
      </c>
      <c r="R208" s="278">
        <v>1201</v>
      </c>
      <c r="S208" s="278">
        <f t="shared" si="367"/>
        <v>485</v>
      </c>
      <c r="T208" s="278">
        <f t="shared" si="368"/>
        <v>690</v>
      </c>
      <c r="U208" s="278">
        <f t="shared" si="368"/>
        <v>1304</v>
      </c>
      <c r="V208" s="278">
        <v>822</v>
      </c>
      <c r="W208" s="278">
        <f t="shared" si="369"/>
        <v>725</v>
      </c>
      <c r="X208" s="278">
        <f t="shared" si="370"/>
        <v>565</v>
      </c>
      <c r="Y208" s="278">
        <f t="shared" si="370"/>
        <v>1451</v>
      </c>
      <c r="Z208" s="278">
        <v>1053</v>
      </c>
      <c r="AA208" s="278">
        <f t="shared" si="371"/>
        <v>556</v>
      </c>
      <c r="AB208" s="278">
        <f t="shared" si="372"/>
        <v>803</v>
      </c>
      <c r="AC208" s="278">
        <f t="shared" si="372"/>
        <v>-2412</v>
      </c>
      <c r="AF208" s="278">
        <v>4936</v>
      </c>
      <c r="AG208" s="278">
        <v>5221</v>
      </c>
      <c r="AH208" s="278">
        <v>6125</v>
      </c>
      <c r="AI208" s="278">
        <v>6642</v>
      </c>
      <c r="AJ208" s="278">
        <v>5734</v>
      </c>
      <c r="AK208" s="278">
        <v>7608</v>
      </c>
      <c r="AL208" s="278">
        <f t="shared" si="373"/>
        <v>4970</v>
      </c>
      <c r="AM208" s="278">
        <f t="shared" si="374"/>
        <v>1119</v>
      </c>
      <c r="AN208" s="278">
        <f t="shared" si="375"/>
        <v>1056</v>
      </c>
      <c r="AO208" s="278">
        <f t="shared" si="376"/>
        <v>2872</v>
      </c>
      <c r="AP208" s="278">
        <f t="shared" si="377"/>
        <v>3680</v>
      </c>
      <c r="AQ208" s="278">
        <f t="shared" si="378"/>
        <v>3563</v>
      </c>
      <c r="AR208" s="279"/>
      <c r="BK208" s="278">
        <v>2309</v>
      </c>
      <c r="BL208" s="278">
        <v>3140</v>
      </c>
      <c r="BM208" s="278">
        <v>4970</v>
      </c>
      <c r="BO208" s="278">
        <v>401</v>
      </c>
      <c r="BP208" s="278">
        <v>766</v>
      </c>
      <c r="BQ208" s="278">
        <v>1119</v>
      </c>
      <c r="BS208" s="278">
        <v>371</v>
      </c>
      <c r="BT208" s="278">
        <v>597</v>
      </c>
      <c r="BU208" s="278">
        <v>1056</v>
      </c>
      <c r="BW208" s="278">
        <v>1468</v>
      </c>
      <c r="BX208" s="278">
        <v>2029</v>
      </c>
      <c r="BY208" s="278">
        <v>2872</v>
      </c>
      <c r="CA208" s="278">
        <v>1686</v>
      </c>
      <c r="CB208" s="278">
        <v>2376</v>
      </c>
      <c r="CC208" s="278">
        <v>3680</v>
      </c>
      <c r="CE208" s="278">
        <v>1547</v>
      </c>
      <c r="CF208" s="278">
        <v>2112</v>
      </c>
      <c r="CG208" s="278">
        <v>3563</v>
      </c>
      <c r="CI208" s="278">
        <v>1609</v>
      </c>
      <c r="CJ208" s="278">
        <v>2412</v>
      </c>
      <c r="CK208" s="278"/>
    </row>
    <row r="209" spans="1:89" s="283" customFormat="1" x14ac:dyDescent="0.3">
      <c r="A209" s="280" t="s">
        <v>232</v>
      </c>
      <c r="B209" s="282">
        <f t="shared" ref="B209:AC209" si="379">SUM(B202:B208)</f>
        <v>14961</v>
      </c>
      <c r="C209" s="282">
        <f t="shared" si="379"/>
        <v>10503</v>
      </c>
      <c r="D209" s="282">
        <f t="shared" si="379"/>
        <v>8398</v>
      </c>
      <c r="E209" s="282">
        <f t="shared" si="379"/>
        <v>11429</v>
      </c>
      <c r="F209" s="282">
        <f t="shared" si="379"/>
        <v>1093</v>
      </c>
      <c r="G209" s="282">
        <f t="shared" si="379"/>
        <v>4887</v>
      </c>
      <c r="H209" s="282">
        <f t="shared" si="379"/>
        <v>3807</v>
      </c>
      <c r="I209" s="282">
        <f t="shared" si="379"/>
        <v>5688</v>
      </c>
      <c r="J209" s="282">
        <f t="shared" si="379"/>
        <v>4912</v>
      </c>
      <c r="K209" s="282">
        <f t="shared" si="379"/>
        <v>5087</v>
      </c>
      <c r="L209" s="282">
        <f t="shared" si="379"/>
        <v>4421</v>
      </c>
      <c r="M209" s="282">
        <f t="shared" si="379"/>
        <v>7564</v>
      </c>
      <c r="N209" s="282">
        <f t="shared" si="379"/>
        <v>11494</v>
      </c>
      <c r="O209" s="282">
        <f t="shared" si="379"/>
        <v>10803</v>
      </c>
      <c r="P209" s="282">
        <f t="shared" si="379"/>
        <v>9237</v>
      </c>
      <c r="Q209" s="282">
        <f t="shared" si="379"/>
        <v>13477</v>
      </c>
      <c r="R209" s="282">
        <f t="shared" si="379"/>
        <v>18188</v>
      </c>
      <c r="S209" s="282">
        <f t="shared" si="379"/>
        <v>18826</v>
      </c>
      <c r="T209" s="282">
        <f t="shared" si="379"/>
        <v>14810</v>
      </c>
      <c r="U209" s="282">
        <f t="shared" si="379"/>
        <v>21405</v>
      </c>
      <c r="V209" s="282">
        <f t="shared" si="379"/>
        <v>17347</v>
      </c>
      <c r="W209" s="282">
        <f t="shared" si="379"/>
        <v>14591</v>
      </c>
      <c r="X209" s="282">
        <f t="shared" si="379"/>
        <v>13513</v>
      </c>
      <c r="Y209" s="282">
        <f t="shared" si="379"/>
        <v>20099</v>
      </c>
      <c r="Z209" s="282">
        <f t="shared" si="379"/>
        <v>18068</v>
      </c>
      <c r="AA209" s="282">
        <f t="shared" si="379"/>
        <v>13044</v>
      </c>
      <c r="AB209" s="282">
        <f t="shared" si="379"/>
        <v>12743</v>
      </c>
      <c r="AC209" s="282">
        <f t="shared" si="379"/>
        <v>-43855</v>
      </c>
      <c r="AF209" s="282">
        <f>SUM(AF202:AF208)</f>
        <v>45136</v>
      </c>
      <c r="AG209" s="282">
        <f>SUM(AG202:AG208)</f>
        <v>46569</v>
      </c>
      <c r="AH209" s="282">
        <f t="shared" ref="AH209:AK209" si="380">SUM(AH202:AH208)</f>
        <v>50645</v>
      </c>
      <c r="AI209" s="282">
        <f t="shared" si="380"/>
        <v>50652</v>
      </c>
      <c r="AJ209" s="282">
        <f t="shared" si="380"/>
        <v>51057</v>
      </c>
      <c r="AK209" s="282">
        <f t="shared" si="380"/>
        <v>54133</v>
      </c>
      <c r="AL209" s="282">
        <f t="shared" si="373"/>
        <v>45291</v>
      </c>
      <c r="AM209" s="282">
        <f t="shared" si="374"/>
        <v>15475</v>
      </c>
      <c r="AN209" s="282">
        <f t="shared" si="375"/>
        <v>21984</v>
      </c>
      <c r="AO209" s="282">
        <f t="shared" si="376"/>
        <v>45011</v>
      </c>
      <c r="AP209" s="282">
        <f t="shared" si="377"/>
        <v>73229</v>
      </c>
      <c r="AQ209" s="282">
        <f t="shared" si="378"/>
        <v>65550</v>
      </c>
      <c r="AR209" s="284"/>
      <c r="BK209" s="282">
        <f>SUM(BK202:BK208)</f>
        <v>25464</v>
      </c>
      <c r="BL209" s="282">
        <f>SUM(BL202:BL208)</f>
        <v>33862</v>
      </c>
      <c r="BM209" s="282">
        <f>SUM(BM202:BM208)</f>
        <v>45291</v>
      </c>
      <c r="BO209" s="282">
        <f>SUM(BO202:BO208)</f>
        <v>5980</v>
      </c>
      <c r="BP209" s="282">
        <f>SUM(BP202:BP208)</f>
        <v>9787</v>
      </c>
      <c r="BQ209" s="282">
        <f t="shared" ref="BQ209" si="381">SUM(BQ202:BQ208)</f>
        <v>15475</v>
      </c>
      <c r="BS209" s="282">
        <f>SUM(BS202:BS208)</f>
        <v>9999</v>
      </c>
      <c r="BT209" s="282">
        <f>SUM(BT202:BT208)</f>
        <v>14420</v>
      </c>
      <c r="BU209" s="282">
        <f>SUM(BU202:BU208)</f>
        <v>21984</v>
      </c>
      <c r="BW209" s="282">
        <f>SUM(BW202:BW208)</f>
        <v>22297</v>
      </c>
      <c r="BX209" s="282">
        <f>SUM(BX202:BX208)</f>
        <v>31534</v>
      </c>
      <c r="BY209" s="282">
        <f t="shared" ref="BY209" si="382">SUM(BY202:BY208)</f>
        <v>45011</v>
      </c>
      <c r="CA209" s="282">
        <f>SUM(CA202:CA208)</f>
        <v>37014</v>
      </c>
      <c r="CB209" s="282">
        <f>SUM(CB202:CB208)</f>
        <v>51824</v>
      </c>
      <c r="CC209" s="282">
        <f>SUM(CC202:CC208)</f>
        <v>73229</v>
      </c>
      <c r="CE209" s="282">
        <f>SUM(CE202:CE208)</f>
        <v>31938</v>
      </c>
      <c r="CF209" s="282">
        <f>SUM(CF202:CF208)</f>
        <v>45451</v>
      </c>
      <c r="CG209" s="282">
        <f>SUM(CG202:CG208)</f>
        <v>65550</v>
      </c>
      <c r="CI209" s="282">
        <f>SUM(CI202:CI208)</f>
        <v>31112</v>
      </c>
      <c r="CJ209" s="282">
        <f>SUM(CJ202:CJ208)</f>
        <v>43855</v>
      </c>
      <c r="CK209" s="282"/>
    </row>
    <row r="210" spans="1:89" x14ac:dyDescent="0.3">
      <c r="A210" s="280"/>
      <c r="B210" s="278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  <c r="AC210" s="278"/>
      <c r="AF210" s="278"/>
      <c r="AG210" s="278"/>
      <c r="AH210" s="278"/>
      <c r="AI210" s="278"/>
      <c r="AJ210" s="278"/>
      <c r="AK210" s="278"/>
      <c r="AL210" s="278"/>
      <c r="AM210" s="278"/>
      <c r="AN210" s="278"/>
      <c r="AO210" s="278"/>
      <c r="AP210" s="278"/>
      <c r="AQ210" s="278"/>
      <c r="AR210" s="279"/>
      <c r="BK210" s="278"/>
      <c r="BL210" s="278"/>
      <c r="BM210" s="278"/>
      <c r="BO210" s="278"/>
      <c r="BP210" s="278"/>
      <c r="BQ210" s="278"/>
      <c r="BS210" s="278"/>
      <c r="BT210" s="278"/>
      <c r="BU210" s="278"/>
      <c r="BW210" s="278"/>
      <c r="BX210" s="278"/>
      <c r="BY210" s="278"/>
      <c r="CA210" s="278"/>
      <c r="CB210" s="278"/>
      <c r="CC210" s="278"/>
      <c r="CE210" s="278"/>
      <c r="CF210" s="278"/>
      <c r="CG210" s="278"/>
      <c r="CI210" s="278"/>
      <c r="CJ210" s="278"/>
      <c r="CK210" s="278"/>
    </row>
    <row r="211" spans="1:89" x14ac:dyDescent="0.3">
      <c r="A211" s="280" t="s">
        <v>233</v>
      </c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  <c r="AC211" s="278"/>
      <c r="AF211" s="278"/>
      <c r="AG211" s="278"/>
      <c r="AH211" s="278"/>
      <c r="AI211" s="278"/>
      <c r="AJ211" s="278"/>
      <c r="AK211" s="278"/>
      <c r="AL211" s="278"/>
      <c r="AM211" s="278"/>
      <c r="AN211" s="278"/>
      <c r="AO211" s="278"/>
      <c r="AP211" s="278"/>
      <c r="AQ211" s="278"/>
      <c r="AR211" s="279"/>
      <c r="BK211" s="278"/>
      <c r="BL211" s="278"/>
      <c r="BM211" s="278"/>
      <c r="BO211" s="278"/>
      <c r="BP211" s="278"/>
      <c r="BQ211" s="278"/>
      <c r="BS211" s="278"/>
      <c r="BT211" s="278"/>
      <c r="BU211" s="278"/>
      <c r="BW211" s="278"/>
      <c r="BX211" s="278"/>
      <c r="BY211" s="278"/>
      <c r="CA211" s="278"/>
      <c r="CB211" s="278"/>
      <c r="CC211" s="278"/>
      <c r="CE211" s="278"/>
      <c r="CF211" s="278"/>
      <c r="CG211" s="278"/>
      <c r="CI211" s="278"/>
      <c r="CJ211" s="278"/>
      <c r="CK211" s="278"/>
    </row>
    <row r="212" spans="1:89" outlineLevel="1" x14ac:dyDescent="0.3">
      <c r="A212" s="277" t="s">
        <v>163</v>
      </c>
      <c r="B212" s="278">
        <v>12334</v>
      </c>
      <c r="C212" s="278">
        <f>BK212-B212</f>
        <v>12328</v>
      </c>
      <c r="D212" s="278">
        <f>BL212-BK212</f>
        <v>12351</v>
      </c>
      <c r="E212" s="278">
        <f>BM212-BL212</f>
        <v>7034</v>
      </c>
      <c r="F212" s="278">
        <v>2769</v>
      </c>
      <c r="G212" s="278">
        <f>BO212-F212</f>
        <v>11446</v>
      </c>
      <c r="H212" s="278">
        <f>BP212-BO212</f>
        <v>16810</v>
      </c>
      <c r="I212" s="278">
        <f>BQ212-BP212</f>
        <v>17862</v>
      </c>
      <c r="J212" s="278">
        <v>9103</v>
      </c>
      <c r="K212" s="278">
        <f>BS212-J212</f>
        <v>14767</v>
      </c>
      <c r="L212" s="278">
        <f>BT212-BS212</f>
        <v>13909</v>
      </c>
      <c r="M212" s="278">
        <f>BU212-BT212</f>
        <v>16577</v>
      </c>
      <c r="N212" s="278">
        <v>15204</v>
      </c>
      <c r="O212" s="278">
        <f>BW212-N212</f>
        <v>16989</v>
      </c>
      <c r="P212" s="278">
        <f>BX212-BW212</f>
        <v>17005</v>
      </c>
      <c r="Q212" s="278">
        <f>BY212-BX212</f>
        <v>17982</v>
      </c>
      <c r="R212" s="278">
        <v>15908</v>
      </c>
      <c r="S212" s="278">
        <f>CA212-R212</f>
        <v>16949</v>
      </c>
      <c r="T212" s="278">
        <f>CB212-CA212</f>
        <v>17937</v>
      </c>
      <c r="U212" s="278">
        <f>CC212-CB212</f>
        <v>17716</v>
      </c>
      <c r="V212" s="278">
        <v>15894</v>
      </c>
      <c r="W212" s="278">
        <f>CE212-V212</f>
        <v>17662</v>
      </c>
      <c r="X212" s="278">
        <f>CF212-CE212</f>
        <v>14956</v>
      </c>
      <c r="Y212" s="278">
        <f>CG212-CF212</f>
        <v>18849</v>
      </c>
      <c r="Z212" s="278">
        <v>16089</v>
      </c>
      <c r="AA212" s="278">
        <f>CI212-Z212</f>
        <v>18211</v>
      </c>
      <c r="AB212" s="278">
        <f>CJ212-CI212</f>
        <v>20596</v>
      </c>
      <c r="AC212" s="278">
        <f>CK212-CJ212</f>
        <v>-54896</v>
      </c>
      <c r="AF212" s="278">
        <v>28040</v>
      </c>
      <c r="AG212" s="278">
        <v>26625</v>
      </c>
      <c r="AH212" s="278">
        <v>29559</v>
      </c>
      <c r="AI212" s="278">
        <v>31424</v>
      </c>
      <c r="AJ212" s="278">
        <v>42310</v>
      </c>
      <c r="AK212" s="278">
        <v>53823</v>
      </c>
      <c r="AL212" s="278">
        <f t="shared" ref="AL212:AL226" si="383">SUM(B212:E212)</f>
        <v>44047</v>
      </c>
      <c r="AM212" s="278">
        <f t="shared" ref="AM212:AM226" si="384">SUM(F212:I212)</f>
        <v>48887</v>
      </c>
      <c r="AN212" s="278">
        <f t="shared" ref="AN212:AN226" si="385">SUM(J212:M212)</f>
        <v>54356</v>
      </c>
      <c r="AO212" s="278">
        <f t="shared" ref="AO212:AO226" si="386">SUM(N212:Q212)</f>
        <v>67180</v>
      </c>
      <c r="AP212" s="278">
        <f t="shared" ref="AP212:AP226" si="387">SUM(R212:U212)</f>
        <v>68510</v>
      </c>
      <c r="AQ212" s="278">
        <f>SUM(V212:Y212)</f>
        <v>67361</v>
      </c>
      <c r="AR212" s="279"/>
      <c r="BK212" s="278">
        <v>24662</v>
      </c>
      <c r="BL212" s="278">
        <v>37013</v>
      </c>
      <c r="BM212" s="278">
        <v>44047</v>
      </c>
      <c r="BO212" s="278">
        <v>14215</v>
      </c>
      <c r="BP212" s="278">
        <v>31025</v>
      </c>
      <c r="BQ212" s="278">
        <v>48887</v>
      </c>
      <c r="BS212" s="278">
        <v>23870</v>
      </c>
      <c r="BT212" s="278">
        <v>37779</v>
      </c>
      <c r="BU212" s="278">
        <v>54356</v>
      </c>
      <c r="BW212" s="278">
        <v>32193</v>
      </c>
      <c r="BX212" s="278">
        <v>49198</v>
      </c>
      <c r="BY212" s="278">
        <v>67180</v>
      </c>
      <c r="CA212" s="278">
        <v>32857</v>
      </c>
      <c r="CB212" s="278">
        <v>50794</v>
      </c>
      <c r="CC212" s="278">
        <v>68510</v>
      </c>
      <c r="CE212" s="278">
        <v>33556</v>
      </c>
      <c r="CF212" s="278">
        <v>48512</v>
      </c>
      <c r="CG212" s="278">
        <v>67361</v>
      </c>
      <c r="CI212" s="278">
        <v>34300</v>
      </c>
      <c r="CJ212" s="278">
        <v>54896</v>
      </c>
      <c r="CK212" s="278"/>
    </row>
    <row r="213" spans="1:89" outlineLevel="1" x14ac:dyDescent="0.3">
      <c r="A213" s="277" t="s">
        <v>165</v>
      </c>
      <c r="B213" s="278">
        <v>560</v>
      </c>
      <c r="C213" s="278">
        <f>BK213-B213</f>
        <v>438</v>
      </c>
      <c r="D213" s="278">
        <f>BL213-BK213</f>
        <v>391</v>
      </c>
      <c r="E213" s="278">
        <f>BM213-BL213</f>
        <v>439</v>
      </c>
      <c r="F213" s="278">
        <v>44</v>
      </c>
      <c r="G213" s="278">
        <f>BO213-F213</f>
        <v>226</v>
      </c>
      <c r="H213" s="278">
        <f>BP213-BO213</f>
        <v>401</v>
      </c>
      <c r="I213" s="278">
        <f>BQ213-BP213</f>
        <v>459</v>
      </c>
      <c r="J213" s="278">
        <v>180</v>
      </c>
      <c r="K213" s="278">
        <f>BS213-J213</f>
        <v>406</v>
      </c>
      <c r="L213" s="278">
        <f>BT213-BS213</f>
        <v>483</v>
      </c>
      <c r="M213" s="278">
        <f>BU213-BT213</f>
        <v>462</v>
      </c>
      <c r="N213" s="278">
        <v>294</v>
      </c>
      <c r="O213" s="278">
        <f>BW213-N213</f>
        <v>604</v>
      </c>
      <c r="P213" s="278">
        <f>BX213-BW213</f>
        <v>621</v>
      </c>
      <c r="Q213" s="278">
        <f>BY213-BX213</f>
        <v>238</v>
      </c>
      <c r="R213" s="278">
        <v>289</v>
      </c>
      <c r="S213" s="278">
        <f>CA213-R213</f>
        <v>294</v>
      </c>
      <c r="T213" s="278">
        <f>CB213-CA213</f>
        <v>218</v>
      </c>
      <c r="U213" s="278">
        <f>CC213-CB213</f>
        <v>402</v>
      </c>
      <c r="V213" s="278">
        <v>252</v>
      </c>
      <c r="W213" s="278">
        <f>CE213-V213</f>
        <v>276</v>
      </c>
      <c r="X213" s="278">
        <f>CF213-CE213</f>
        <v>235</v>
      </c>
      <c r="Y213" s="278">
        <f>CG213-CF213</f>
        <v>390</v>
      </c>
      <c r="Z213" s="278">
        <v>591</v>
      </c>
      <c r="AA213" s="278">
        <f>CI213-Z213</f>
        <v>413</v>
      </c>
      <c r="AB213" s="278">
        <f>CJ213-CI213</f>
        <v>239</v>
      </c>
      <c r="AC213" s="278">
        <f>CK213-CJ213</f>
        <v>-1243</v>
      </c>
      <c r="AF213" s="278">
        <v>2497</v>
      </c>
      <c r="AG213" s="278">
        <v>2044</v>
      </c>
      <c r="AH213" s="278">
        <v>1831</v>
      </c>
      <c r="AI213" s="278">
        <v>2051</v>
      </c>
      <c r="AJ213" s="278">
        <v>1857</v>
      </c>
      <c r="AK213" s="278">
        <v>2757</v>
      </c>
      <c r="AL213" s="278">
        <f t="shared" si="383"/>
        <v>1828</v>
      </c>
      <c r="AM213" s="278">
        <f t="shared" si="384"/>
        <v>1130</v>
      </c>
      <c r="AN213" s="278">
        <f t="shared" si="385"/>
        <v>1531</v>
      </c>
      <c r="AO213" s="278">
        <f t="shared" si="386"/>
        <v>1757</v>
      </c>
      <c r="AP213" s="278">
        <f t="shared" si="387"/>
        <v>1203</v>
      </c>
      <c r="AQ213" s="278">
        <f>SUM(V213:Y213)</f>
        <v>1153</v>
      </c>
      <c r="AR213" s="279"/>
      <c r="BK213" s="278">
        <v>998</v>
      </c>
      <c r="BL213" s="278">
        <v>1389</v>
      </c>
      <c r="BM213" s="278">
        <v>1828</v>
      </c>
      <c r="BO213" s="278">
        <v>270</v>
      </c>
      <c r="BP213" s="278">
        <v>671</v>
      </c>
      <c r="BQ213" s="278">
        <v>1130</v>
      </c>
      <c r="BS213" s="278">
        <v>586</v>
      </c>
      <c r="BT213" s="278">
        <v>1069</v>
      </c>
      <c r="BU213" s="278">
        <v>1531</v>
      </c>
      <c r="BW213" s="278">
        <v>898</v>
      </c>
      <c r="BX213" s="278">
        <v>1519</v>
      </c>
      <c r="BY213" s="278">
        <v>1757</v>
      </c>
      <c r="CA213" s="278">
        <v>583</v>
      </c>
      <c r="CB213" s="278">
        <v>801</v>
      </c>
      <c r="CC213" s="278">
        <v>1203</v>
      </c>
      <c r="CE213" s="278">
        <v>528</v>
      </c>
      <c r="CF213" s="278">
        <v>763</v>
      </c>
      <c r="CG213" s="278">
        <v>1153</v>
      </c>
      <c r="CI213" s="278">
        <v>1004</v>
      </c>
      <c r="CJ213" s="278">
        <v>1243</v>
      </c>
      <c r="CK213" s="278"/>
    </row>
    <row r="214" spans="1:89" outlineLevel="1" x14ac:dyDescent="0.3">
      <c r="A214" s="277" t="s">
        <v>147</v>
      </c>
      <c r="B214" s="278"/>
      <c r="C214" s="278"/>
      <c r="D214" s="278"/>
      <c r="E214" s="278"/>
      <c r="F214" s="278"/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  <c r="AC214" s="278"/>
      <c r="AF214" s="278">
        <v>124</v>
      </c>
      <c r="AG214" s="278">
        <v>0</v>
      </c>
      <c r="AH214" s="278"/>
      <c r="AI214" s="278"/>
      <c r="AJ214" s="278"/>
      <c r="AK214" s="278"/>
      <c r="AL214" s="278"/>
      <c r="AM214" s="278"/>
      <c r="AN214" s="278"/>
      <c r="AO214" s="278"/>
      <c r="AP214" s="278"/>
      <c r="AQ214" s="278"/>
      <c r="AR214" s="279"/>
      <c r="BK214" s="278"/>
      <c r="BL214" s="278"/>
      <c r="BM214" s="278"/>
      <c r="BO214" s="278"/>
      <c r="BP214" s="278"/>
      <c r="BQ214" s="278"/>
      <c r="BS214" s="278"/>
      <c r="BT214" s="278"/>
      <c r="BU214" s="278"/>
      <c r="BW214" s="278"/>
      <c r="BX214" s="278"/>
      <c r="BY214" s="278"/>
      <c r="CA214" s="278"/>
      <c r="CB214" s="278"/>
      <c r="CC214" s="278"/>
      <c r="CE214" s="278"/>
      <c r="CF214" s="278"/>
      <c r="CG214" s="278"/>
      <c r="CI214" s="278"/>
      <c r="CJ214" s="278"/>
      <c r="CK214" s="278"/>
    </row>
    <row r="215" spans="1:89" outlineLevel="1" x14ac:dyDescent="0.3">
      <c r="A215" s="277" t="s">
        <v>234</v>
      </c>
      <c r="B215" s="278">
        <v>1015</v>
      </c>
      <c r="C215" s="278">
        <f t="shared" ref="C215:C225" si="388">BK215-B215</f>
        <v>885</v>
      </c>
      <c r="D215" s="278">
        <f t="shared" ref="D215:E225" si="389">BL215-BK215</f>
        <v>858</v>
      </c>
      <c r="E215" s="278">
        <f t="shared" si="389"/>
        <v>1798</v>
      </c>
      <c r="F215" s="278">
        <v>111</v>
      </c>
      <c r="G215" s="278">
        <f t="shared" ref="G215:G225" si="390">BO215-F215</f>
        <v>1153</v>
      </c>
      <c r="H215" s="278">
        <f t="shared" ref="H215:I225" si="391">BP215-BO215</f>
        <v>1680</v>
      </c>
      <c r="I215" s="278">
        <f t="shared" si="391"/>
        <v>1547</v>
      </c>
      <c r="J215" s="278">
        <v>2395</v>
      </c>
      <c r="K215" s="278">
        <f t="shared" ref="K215:K225" si="392">BS215-J215</f>
        <v>3601</v>
      </c>
      <c r="L215" s="278">
        <f t="shared" ref="L215:M225" si="393">BT215-BS215</f>
        <v>3915</v>
      </c>
      <c r="M215" s="278">
        <f t="shared" si="393"/>
        <v>4668</v>
      </c>
      <c r="N215" s="278">
        <v>5069</v>
      </c>
      <c r="O215" s="278">
        <f t="shared" ref="O215:O225" si="394">BW215-N215</f>
        <v>5632</v>
      </c>
      <c r="P215" s="278">
        <f t="shared" ref="P215:Q225" si="395">BX215-BW215</f>
        <v>3311</v>
      </c>
      <c r="Q215" s="278">
        <f t="shared" si="395"/>
        <v>3135</v>
      </c>
      <c r="R215" s="278">
        <v>7049</v>
      </c>
      <c r="S215" s="278">
        <f t="shared" ref="S215:S225" si="396">CA215-R215</f>
        <v>5081</v>
      </c>
      <c r="T215" s="278">
        <f t="shared" ref="T215:U225" si="397">CB215-CA215</f>
        <v>3635</v>
      </c>
      <c r="U215" s="278">
        <f t="shared" si="397"/>
        <v>2520</v>
      </c>
      <c r="V215" s="278">
        <v>4475</v>
      </c>
      <c r="W215" s="278">
        <f t="shared" ref="W215:W225" si="398">CE215-V215</f>
        <v>7086</v>
      </c>
      <c r="X215" s="278">
        <f t="shared" ref="X215:Y225" si="399">CF215-CE215</f>
        <v>4580</v>
      </c>
      <c r="Y215" s="278">
        <f t="shared" si="399"/>
        <v>5446</v>
      </c>
      <c r="Z215" s="278">
        <v>4649</v>
      </c>
      <c r="AA215" s="278">
        <f t="shared" ref="AA215:AA225" si="400">CI215-Z215</f>
        <v>4306</v>
      </c>
      <c r="AB215" s="278">
        <f t="shared" ref="AB215:AC225" si="401">CJ215-CI215</f>
        <v>3389</v>
      </c>
      <c r="AC215" s="278">
        <f t="shared" si="401"/>
        <v>-12344</v>
      </c>
      <c r="AF215" s="278">
        <v>109</v>
      </c>
      <c r="AG215" s="278">
        <v>1026</v>
      </c>
      <c r="AH215" s="278">
        <v>973</v>
      </c>
      <c r="AI215" s="278">
        <v>1263</v>
      </c>
      <c r="AJ215" s="278">
        <v>2457</v>
      </c>
      <c r="AK215" s="278">
        <v>5580</v>
      </c>
      <c r="AL215" s="278">
        <f t="shared" si="383"/>
        <v>4556</v>
      </c>
      <c r="AM215" s="278">
        <f t="shared" si="384"/>
        <v>4491</v>
      </c>
      <c r="AN215" s="278">
        <f t="shared" si="385"/>
        <v>14579</v>
      </c>
      <c r="AO215" s="278">
        <f t="shared" si="386"/>
        <v>17147</v>
      </c>
      <c r="AP215" s="278">
        <f t="shared" si="387"/>
        <v>18285</v>
      </c>
      <c r="AQ215" s="278">
        <f t="shared" ref="AQ215:AQ226" si="402">SUM(V215:Y215)</f>
        <v>21587</v>
      </c>
      <c r="AR215" s="279"/>
      <c r="BK215" s="278">
        <v>1900</v>
      </c>
      <c r="BL215" s="278">
        <v>2758</v>
      </c>
      <c r="BM215" s="278">
        <v>4556</v>
      </c>
      <c r="BO215" s="278">
        <v>1264</v>
      </c>
      <c r="BP215" s="278">
        <v>2944</v>
      </c>
      <c r="BQ215" s="278">
        <v>4491</v>
      </c>
      <c r="BS215" s="278">
        <v>5996</v>
      </c>
      <c r="BT215" s="278">
        <v>9911</v>
      </c>
      <c r="BU215" s="278">
        <v>14579</v>
      </c>
      <c r="BW215" s="278">
        <v>10701</v>
      </c>
      <c r="BX215" s="278">
        <v>14012</v>
      </c>
      <c r="BY215" s="278">
        <v>17147</v>
      </c>
      <c r="CA215" s="278">
        <v>12130</v>
      </c>
      <c r="CB215" s="278">
        <v>15765</v>
      </c>
      <c r="CC215" s="278">
        <v>18285</v>
      </c>
      <c r="CE215" s="278">
        <v>11561</v>
      </c>
      <c r="CF215" s="278">
        <v>16141</v>
      </c>
      <c r="CG215" s="278">
        <v>21587</v>
      </c>
      <c r="CI215" s="278">
        <v>8955</v>
      </c>
      <c r="CJ215" s="278">
        <v>12344</v>
      </c>
      <c r="CK215" s="278"/>
    </row>
    <row r="216" spans="1:89" outlineLevel="1" x14ac:dyDescent="0.3">
      <c r="A216" s="277" t="s">
        <v>150</v>
      </c>
      <c r="B216" s="278">
        <v>50014</v>
      </c>
      <c r="C216" s="278">
        <f t="shared" si="388"/>
        <v>51294</v>
      </c>
      <c r="D216" s="278">
        <f t="shared" si="389"/>
        <v>54699</v>
      </c>
      <c r="E216" s="278">
        <f t="shared" si="389"/>
        <v>48706</v>
      </c>
      <c r="F216" s="278">
        <v>9788</v>
      </c>
      <c r="G216" s="278">
        <f t="shared" si="390"/>
        <v>47859</v>
      </c>
      <c r="H216" s="278">
        <f t="shared" si="391"/>
        <v>55380</v>
      </c>
      <c r="I216" s="278">
        <f t="shared" si="391"/>
        <v>51548</v>
      </c>
      <c r="J216" s="278">
        <v>40621</v>
      </c>
      <c r="K216" s="278">
        <f t="shared" si="392"/>
        <v>36342</v>
      </c>
      <c r="L216" s="278">
        <f t="shared" si="393"/>
        <v>40617</v>
      </c>
      <c r="M216" s="278">
        <f t="shared" si="393"/>
        <v>70049</v>
      </c>
      <c r="N216" s="278">
        <v>61986</v>
      </c>
      <c r="O216" s="278">
        <f t="shared" si="394"/>
        <v>67444</v>
      </c>
      <c r="P216" s="278">
        <f t="shared" si="395"/>
        <v>58334</v>
      </c>
      <c r="Q216" s="278">
        <f t="shared" si="395"/>
        <v>68683</v>
      </c>
      <c r="R216" s="278">
        <v>64083</v>
      </c>
      <c r="S216" s="278">
        <f t="shared" si="396"/>
        <v>74708</v>
      </c>
      <c r="T216" s="278">
        <f t="shared" si="397"/>
        <v>53952</v>
      </c>
      <c r="U216" s="278">
        <f t="shared" si="397"/>
        <v>83680</v>
      </c>
      <c r="V216" s="278">
        <v>62131</v>
      </c>
      <c r="W216" s="278">
        <f t="shared" si="398"/>
        <v>63703</v>
      </c>
      <c r="X216" s="278">
        <f t="shared" si="399"/>
        <v>62109</v>
      </c>
      <c r="Y216" s="278">
        <f t="shared" si="399"/>
        <v>75754</v>
      </c>
      <c r="Z216" s="278">
        <v>70897</v>
      </c>
      <c r="AA216" s="278">
        <f t="shared" si="400"/>
        <v>75835</v>
      </c>
      <c r="AB216" s="278">
        <f t="shared" si="401"/>
        <v>73878</v>
      </c>
      <c r="AC216" s="278">
        <f t="shared" si="401"/>
        <v>-220610</v>
      </c>
      <c r="AF216" s="278">
        <v>175151</v>
      </c>
      <c r="AG216" s="278">
        <v>167972</v>
      </c>
      <c r="AH216" s="278">
        <v>186612</v>
      </c>
      <c r="AI216" s="278">
        <v>192746</v>
      </c>
      <c r="AJ216" s="278">
        <v>220572</v>
      </c>
      <c r="AK216" s="278">
        <v>260530</v>
      </c>
      <c r="AL216" s="278">
        <f t="shared" si="383"/>
        <v>204713</v>
      </c>
      <c r="AM216" s="278">
        <f t="shared" si="384"/>
        <v>164575</v>
      </c>
      <c r="AN216" s="278">
        <f t="shared" si="385"/>
        <v>187629</v>
      </c>
      <c r="AO216" s="278">
        <f t="shared" si="386"/>
        <v>256447</v>
      </c>
      <c r="AP216" s="278">
        <f t="shared" si="387"/>
        <v>276423</v>
      </c>
      <c r="AQ216" s="278">
        <f t="shared" si="402"/>
        <v>263697</v>
      </c>
      <c r="AR216" s="279"/>
      <c r="BK216" s="278">
        <v>101308</v>
      </c>
      <c r="BL216" s="278">
        <v>156007</v>
      </c>
      <c r="BM216" s="278">
        <v>204713</v>
      </c>
      <c r="BO216" s="278">
        <v>57647</v>
      </c>
      <c r="BP216" s="278">
        <v>113027</v>
      </c>
      <c r="BQ216" s="278">
        <v>164575</v>
      </c>
      <c r="BS216" s="278">
        <v>76963</v>
      </c>
      <c r="BT216" s="278">
        <v>117580</v>
      </c>
      <c r="BU216" s="278">
        <v>187629</v>
      </c>
      <c r="BW216" s="278">
        <v>129430</v>
      </c>
      <c r="BX216" s="278">
        <v>187764</v>
      </c>
      <c r="BY216" s="278">
        <v>256447</v>
      </c>
      <c r="CA216" s="278">
        <v>138791</v>
      </c>
      <c r="CB216" s="278">
        <v>192743</v>
      </c>
      <c r="CC216" s="278">
        <v>276423</v>
      </c>
      <c r="CE216" s="278">
        <v>125834</v>
      </c>
      <c r="CF216" s="278">
        <v>187943</v>
      </c>
      <c r="CG216" s="278">
        <v>263697</v>
      </c>
      <c r="CI216" s="278">
        <v>146732</v>
      </c>
      <c r="CJ216" s="278">
        <v>220610</v>
      </c>
      <c r="CK216" s="278"/>
    </row>
    <row r="217" spans="1:89" outlineLevel="1" x14ac:dyDescent="0.3">
      <c r="A217" s="277" t="s">
        <v>152</v>
      </c>
      <c r="B217" s="278">
        <v>8336</v>
      </c>
      <c r="C217" s="278">
        <f t="shared" si="388"/>
        <v>5815</v>
      </c>
      <c r="D217" s="278">
        <f t="shared" si="389"/>
        <v>5691</v>
      </c>
      <c r="E217" s="278">
        <f t="shared" si="389"/>
        <v>4006</v>
      </c>
      <c r="F217" s="278">
        <v>1328</v>
      </c>
      <c r="G217" s="278">
        <f t="shared" si="390"/>
        <v>9148</v>
      </c>
      <c r="H217" s="278">
        <f t="shared" si="391"/>
        <v>10844</v>
      </c>
      <c r="I217" s="278">
        <f t="shared" si="391"/>
        <v>9330</v>
      </c>
      <c r="J217" s="278">
        <v>5205</v>
      </c>
      <c r="K217" s="278">
        <f t="shared" si="392"/>
        <v>8959</v>
      </c>
      <c r="L217" s="278">
        <f t="shared" si="393"/>
        <v>10813</v>
      </c>
      <c r="M217" s="278">
        <f t="shared" si="393"/>
        <v>11916</v>
      </c>
      <c r="N217" s="278">
        <v>12499</v>
      </c>
      <c r="O217" s="278">
        <f t="shared" si="394"/>
        <v>12231</v>
      </c>
      <c r="P217" s="278">
        <f t="shared" si="395"/>
        <v>4564</v>
      </c>
      <c r="Q217" s="278">
        <f t="shared" si="395"/>
        <v>14378</v>
      </c>
      <c r="R217" s="278">
        <v>8337</v>
      </c>
      <c r="S217" s="278">
        <f t="shared" si="396"/>
        <v>7304</v>
      </c>
      <c r="T217" s="278">
        <f t="shared" si="397"/>
        <v>7568</v>
      </c>
      <c r="U217" s="278">
        <f t="shared" si="397"/>
        <v>11224</v>
      </c>
      <c r="V217" s="278">
        <v>8834</v>
      </c>
      <c r="W217" s="278">
        <f t="shared" si="398"/>
        <v>9005</v>
      </c>
      <c r="X217" s="278">
        <f t="shared" si="399"/>
        <v>9096</v>
      </c>
      <c r="Y217" s="278">
        <f t="shared" si="399"/>
        <v>12003</v>
      </c>
      <c r="Z217" s="278">
        <v>7741</v>
      </c>
      <c r="AA217" s="278">
        <f t="shared" si="400"/>
        <v>10351</v>
      </c>
      <c r="AB217" s="278">
        <f t="shared" si="401"/>
        <v>10677</v>
      </c>
      <c r="AC217" s="278">
        <f t="shared" si="401"/>
        <v>-28769</v>
      </c>
      <c r="AF217" s="278"/>
      <c r="AG217" s="278"/>
      <c r="AH217" s="278">
        <v>384</v>
      </c>
      <c r="AI217" s="278">
        <v>2872</v>
      </c>
      <c r="AJ217" s="278">
        <v>12954</v>
      </c>
      <c r="AK217" s="278">
        <v>25288</v>
      </c>
      <c r="AL217" s="278">
        <f t="shared" si="383"/>
        <v>23848</v>
      </c>
      <c r="AM217" s="278">
        <f t="shared" si="384"/>
        <v>30650</v>
      </c>
      <c r="AN217" s="278">
        <f t="shared" si="385"/>
        <v>36893</v>
      </c>
      <c r="AO217" s="278">
        <f t="shared" si="386"/>
        <v>43672</v>
      </c>
      <c r="AP217" s="278">
        <f t="shared" si="387"/>
        <v>34433</v>
      </c>
      <c r="AQ217" s="278">
        <f t="shared" si="402"/>
        <v>38938</v>
      </c>
      <c r="AR217" s="279"/>
      <c r="BK217" s="278">
        <v>14151</v>
      </c>
      <c r="BL217" s="278">
        <v>19842</v>
      </c>
      <c r="BM217" s="278">
        <v>23848</v>
      </c>
      <c r="BO217" s="278">
        <v>10476</v>
      </c>
      <c r="BP217" s="278">
        <v>21320</v>
      </c>
      <c r="BQ217" s="278">
        <v>30650</v>
      </c>
      <c r="BS217" s="278">
        <v>14164</v>
      </c>
      <c r="BT217" s="278">
        <v>24977</v>
      </c>
      <c r="BU217" s="278">
        <v>36893</v>
      </c>
      <c r="BW217" s="278">
        <v>24730</v>
      </c>
      <c r="BX217" s="278">
        <v>29294</v>
      </c>
      <c r="BY217" s="278">
        <v>43672</v>
      </c>
      <c r="CA217" s="278">
        <v>15641</v>
      </c>
      <c r="CB217" s="278">
        <v>23209</v>
      </c>
      <c r="CC217" s="278">
        <v>34433</v>
      </c>
      <c r="CE217" s="278">
        <v>17839</v>
      </c>
      <c r="CF217" s="278">
        <v>26935</v>
      </c>
      <c r="CG217" s="278">
        <v>38938</v>
      </c>
      <c r="CI217" s="278">
        <v>18092</v>
      </c>
      <c r="CJ217" s="278">
        <v>28769</v>
      </c>
      <c r="CK217" s="278"/>
    </row>
    <row r="218" spans="1:89" outlineLevel="1" x14ac:dyDescent="0.3">
      <c r="A218" s="277" t="s">
        <v>122</v>
      </c>
      <c r="B218" s="278">
        <v>205</v>
      </c>
      <c r="C218" s="278">
        <f t="shared" si="388"/>
        <v>18</v>
      </c>
      <c r="D218" s="278">
        <f t="shared" si="389"/>
        <v>15</v>
      </c>
      <c r="E218" s="278">
        <f t="shared" si="389"/>
        <v>0</v>
      </c>
      <c r="F218" s="278">
        <v>0</v>
      </c>
      <c r="G218" s="278">
        <f t="shared" si="390"/>
        <v>30</v>
      </c>
      <c r="H218" s="278">
        <f t="shared" si="391"/>
        <v>0</v>
      </c>
      <c r="I218" s="278">
        <f t="shared" si="391"/>
        <v>0</v>
      </c>
      <c r="J218" s="278"/>
      <c r="K218" s="278">
        <f t="shared" si="392"/>
        <v>0</v>
      </c>
      <c r="L218" s="278">
        <f t="shared" si="393"/>
        <v>0</v>
      </c>
      <c r="M218" s="278">
        <f t="shared" si="393"/>
        <v>0</v>
      </c>
      <c r="N218" s="278"/>
      <c r="O218" s="278">
        <f t="shared" si="394"/>
        <v>0</v>
      </c>
      <c r="P218" s="278">
        <f t="shared" si="395"/>
        <v>0</v>
      </c>
      <c r="Q218" s="278">
        <f t="shared" si="395"/>
        <v>0</v>
      </c>
      <c r="R218" s="278"/>
      <c r="S218" s="278">
        <f t="shared" si="396"/>
        <v>0</v>
      </c>
      <c r="T218" s="278">
        <f t="shared" si="397"/>
        <v>0</v>
      </c>
      <c r="U218" s="278">
        <f t="shared" si="397"/>
        <v>0</v>
      </c>
      <c r="V218" s="278"/>
      <c r="W218" s="278">
        <f t="shared" si="398"/>
        <v>0</v>
      </c>
      <c r="X218" s="278">
        <f t="shared" si="399"/>
        <v>0</v>
      </c>
      <c r="Y218" s="278">
        <f t="shared" si="399"/>
        <v>0</v>
      </c>
      <c r="Z218" s="278">
        <v>0</v>
      </c>
      <c r="AA218" s="278">
        <f t="shared" si="400"/>
        <v>0</v>
      </c>
      <c r="AB218" s="278">
        <f t="shared" si="401"/>
        <v>0</v>
      </c>
      <c r="AC218" s="278">
        <f t="shared" si="401"/>
        <v>0</v>
      </c>
      <c r="AF218" s="278">
        <v>7072</v>
      </c>
      <c r="AG218" s="278">
        <v>6394</v>
      </c>
      <c r="AH218" s="278">
        <v>4592</v>
      </c>
      <c r="AI218" s="278">
        <v>3271</v>
      </c>
      <c r="AJ218" s="278">
        <v>2471</v>
      </c>
      <c r="AK218" s="278">
        <v>1627</v>
      </c>
      <c r="AL218" s="278">
        <f t="shared" si="383"/>
        <v>238</v>
      </c>
      <c r="AM218" s="278">
        <f t="shared" si="384"/>
        <v>30</v>
      </c>
      <c r="AN218" s="278">
        <f t="shared" si="385"/>
        <v>0</v>
      </c>
      <c r="AO218" s="278">
        <f t="shared" si="386"/>
        <v>0</v>
      </c>
      <c r="AP218" s="278">
        <f t="shared" si="387"/>
        <v>0</v>
      </c>
      <c r="AQ218" s="278">
        <f t="shared" si="402"/>
        <v>0</v>
      </c>
      <c r="AR218" s="279"/>
      <c r="BK218" s="278">
        <v>223</v>
      </c>
      <c r="BL218" s="278">
        <v>238</v>
      </c>
      <c r="BM218" s="278">
        <v>238</v>
      </c>
      <c r="BO218" s="278">
        <v>30</v>
      </c>
      <c r="BP218" s="278">
        <v>30</v>
      </c>
      <c r="BQ218" s="278">
        <v>30</v>
      </c>
      <c r="BS218" s="278"/>
      <c r="BT218" s="278"/>
      <c r="BU218" s="278"/>
      <c r="BW218" s="278"/>
      <c r="BX218" s="278"/>
      <c r="BY218" s="278"/>
      <c r="CA218" s="278"/>
      <c r="CB218" s="278"/>
      <c r="CC218" s="278"/>
      <c r="CE218" s="278"/>
      <c r="CF218" s="278"/>
      <c r="CG218" s="278"/>
      <c r="CI218" s="278"/>
      <c r="CJ218" s="278"/>
      <c r="CK218" s="278"/>
    </row>
    <row r="219" spans="1:89" outlineLevel="1" x14ac:dyDescent="0.3">
      <c r="A219" s="277" t="s">
        <v>188</v>
      </c>
      <c r="B219" s="278"/>
      <c r="C219" s="278">
        <f t="shared" si="388"/>
        <v>0</v>
      </c>
      <c r="D219" s="278">
        <f t="shared" si="389"/>
        <v>0</v>
      </c>
      <c r="E219" s="278">
        <f t="shared" si="389"/>
        <v>0</v>
      </c>
      <c r="F219" s="278"/>
      <c r="G219" s="278">
        <f t="shared" si="390"/>
        <v>0</v>
      </c>
      <c r="H219" s="278">
        <f t="shared" si="391"/>
        <v>0</v>
      </c>
      <c r="I219" s="278">
        <f t="shared" si="391"/>
        <v>0</v>
      </c>
      <c r="J219" s="278"/>
      <c r="K219" s="278">
        <f t="shared" si="392"/>
        <v>0</v>
      </c>
      <c r="L219" s="278">
        <f t="shared" si="393"/>
        <v>0</v>
      </c>
      <c r="M219" s="278">
        <f t="shared" si="393"/>
        <v>0</v>
      </c>
      <c r="N219" s="278"/>
      <c r="O219" s="278">
        <f t="shared" si="394"/>
        <v>0</v>
      </c>
      <c r="P219" s="278">
        <f t="shared" si="395"/>
        <v>0</v>
      </c>
      <c r="Q219" s="278">
        <f t="shared" si="395"/>
        <v>0</v>
      </c>
      <c r="R219" s="278">
        <v>0</v>
      </c>
      <c r="S219" s="278">
        <f t="shared" si="396"/>
        <v>40</v>
      </c>
      <c r="T219" s="278">
        <f t="shared" si="397"/>
        <v>25</v>
      </c>
      <c r="U219" s="278">
        <f t="shared" si="397"/>
        <v>-65</v>
      </c>
      <c r="V219" s="278">
        <v>0</v>
      </c>
      <c r="W219" s="278">
        <f t="shared" si="398"/>
        <v>9</v>
      </c>
      <c r="X219" s="278">
        <f t="shared" si="399"/>
        <v>37</v>
      </c>
      <c r="Y219" s="278">
        <f t="shared" si="399"/>
        <v>23</v>
      </c>
      <c r="Z219" s="278">
        <v>8</v>
      </c>
      <c r="AA219" s="278">
        <f t="shared" si="400"/>
        <v>18</v>
      </c>
      <c r="AB219" s="278">
        <f t="shared" si="401"/>
        <v>15</v>
      </c>
      <c r="AC219" s="278">
        <f t="shared" si="401"/>
        <v>-41</v>
      </c>
      <c r="AF219" s="278"/>
      <c r="AG219" s="278"/>
      <c r="AH219" s="278"/>
      <c r="AI219" s="278"/>
      <c r="AJ219" s="278"/>
      <c r="AK219" s="278"/>
      <c r="AL219" s="278">
        <f t="shared" si="383"/>
        <v>0</v>
      </c>
      <c r="AM219" s="278">
        <f t="shared" si="384"/>
        <v>0</v>
      </c>
      <c r="AN219" s="278">
        <f t="shared" si="385"/>
        <v>0</v>
      </c>
      <c r="AO219" s="278">
        <f t="shared" si="386"/>
        <v>0</v>
      </c>
      <c r="AP219" s="278">
        <f t="shared" si="387"/>
        <v>0</v>
      </c>
      <c r="AQ219" s="278">
        <f t="shared" si="402"/>
        <v>69</v>
      </c>
      <c r="AR219" s="279"/>
      <c r="BK219" s="278"/>
      <c r="BL219" s="278"/>
      <c r="BM219" s="278"/>
      <c r="BO219" s="278"/>
      <c r="BP219" s="278"/>
      <c r="BQ219" s="278"/>
      <c r="BS219" s="278"/>
      <c r="BT219" s="278"/>
      <c r="BU219" s="278"/>
      <c r="BW219" s="278"/>
      <c r="BX219" s="278"/>
      <c r="BY219" s="278"/>
      <c r="CA219" s="278">
        <v>40</v>
      </c>
      <c r="CB219" s="278">
        <v>65</v>
      </c>
      <c r="CC219" s="278"/>
      <c r="CE219" s="278">
        <v>9</v>
      </c>
      <c r="CF219" s="278">
        <v>46</v>
      </c>
      <c r="CG219" s="278">
        <v>69</v>
      </c>
      <c r="CI219" s="278">
        <v>26</v>
      </c>
      <c r="CJ219" s="278">
        <v>41</v>
      </c>
      <c r="CK219" s="278"/>
    </row>
    <row r="220" spans="1:89" outlineLevel="1" x14ac:dyDescent="0.3">
      <c r="A220" s="277" t="s">
        <v>220</v>
      </c>
      <c r="B220" s="278">
        <v>531</v>
      </c>
      <c r="C220" s="278">
        <f t="shared" si="388"/>
        <v>425</v>
      </c>
      <c r="D220" s="278">
        <f t="shared" si="389"/>
        <v>405</v>
      </c>
      <c r="E220" s="278">
        <f t="shared" si="389"/>
        <v>266</v>
      </c>
      <c r="F220" s="278">
        <v>57</v>
      </c>
      <c r="G220" s="278">
        <f t="shared" si="390"/>
        <v>332</v>
      </c>
      <c r="H220" s="278">
        <f t="shared" si="391"/>
        <v>735</v>
      </c>
      <c r="I220" s="278">
        <f t="shared" si="391"/>
        <v>651</v>
      </c>
      <c r="J220" s="278">
        <v>304</v>
      </c>
      <c r="K220" s="278">
        <f t="shared" si="392"/>
        <v>687</v>
      </c>
      <c r="L220" s="278">
        <f t="shared" si="393"/>
        <v>750</v>
      </c>
      <c r="M220" s="278">
        <f t="shared" si="393"/>
        <v>923</v>
      </c>
      <c r="N220" s="278">
        <v>458</v>
      </c>
      <c r="O220" s="278">
        <f t="shared" si="394"/>
        <v>346</v>
      </c>
      <c r="P220" s="278">
        <f t="shared" si="395"/>
        <v>513</v>
      </c>
      <c r="Q220" s="278">
        <f t="shared" si="395"/>
        <v>439</v>
      </c>
      <c r="R220" s="278">
        <v>351</v>
      </c>
      <c r="S220" s="278">
        <f t="shared" si="396"/>
        <v>455</v>
      </c>
      <c r="T220" s="278">
        <f t="shared" si="397"/>
        <v>784</v>
      </c>
      <c r="U220" s="278">
        <f t="shared" si="397"/>
        <v>483</v>
      </c>
      <c r="V220" s="278">
        <v>350</v>
      </c>
      <c r="W220" s="278">
        <f t="shared" si="398"/>
        <v>514</v>
      </c>
      <c r="X220" s="278">
        <f t="shared" si="399"/>
        <v>386</v>
      </c>
      <c r="Y220" s="278">
        <f t="shared" si="399"/>
        <v>776</v>
      </c>
      <c r="Z220" s="278">
        <v>934</v>
      </c>
      <c r="AA220" s="278">
        <f t="shared" si="400"/>
        <v>440</v>
      </c>
      <c r="AB220" s="278">
        <f t="shared" si="401"/>
        <v>677</v>
      </c>
      <c r="AC220" s="278">
        <f t="shared" si="401"/>
        <v>-2051</v>
      </c>
      <c r="AF220" s="278">
        <v>1222</v>
      </c>
      <c r="AG220" s="278">
        <v>2025</v>
      </c>
      <c r="AH220" s="278">
        <v>3035</v>
      </c>
      <c r="AI220" s="278">
        <v>3617</v>
      </c>
      <c r="AJ220" s="278">
        <v>2857</v>
      </c>
      <c r="AK220" s="278">
        <v>2530</v>
      </c>
      <c r="AL220" s="278">
        <f t="shared" si="383"/>
        <v>1627</v>
      </c>
      <c r="AM220" s="278">
        <f t="shared" si="384"/>
        <v>1775</v>
      </c>
      <c r="AN220" s="278">
        <f t="shared" si="385"/>
        <v>2664</v>
      </c>
      <c r="AO220" s="278">
        <f t="shared" si="386"/>
        <v>1756</v>
      </c>
      <c r="AP220" s="278">
        <f t="shared" si="387"/>
        <v>2073</v>
      </c>
      <c r="AQ220" s="278">
        <f t="shared" si="402"/>
        <v>2026</v>
      </c>
      <c r="AR220" s="279"/>
      <c r="BK220" s="278">
        <v>956</v>
      </c>
      <c r="BL220" s="278">
        <v>1361</v>
      </c>
      <c r="BM220" s="278">
        <v>1627</v>
      </c>
      <c r="BO220" s="278">
        <v>389</v>
      </c>
      <c r="BP220" s="278">
        <v>1124</v>
      </c>
      <c r="BQ220" s="278">
        <v>1775</v>
      </c>
      <c r="BS220" s="278">
        <v>991</v>
      </c>
      <c r="BT220" s="278">
        <v>1741</v>
      </c>
      <c r="BU220" s="278">
        <v>2664</v>
      </c>
      <c r="BW220" s="278">
        <v>804</v>
      </c>
      <c r="BX220" s="278">
        <v>1317</v>
      </c>
      <c r="BY220" s="278">
        <v>1756</v>
      </c>
      <c r="CA220" s="278">
        <v>806</v>
      </c>
      <c r="CB220" s="278">
        <v>1590</v>
      </c>
      <c r="CC220" s="278">
        <v>2073</v>
      </c>
      <c r="CE220" s="278">
        <v>864</v>
      </c>
      <c r="CF220" s="278">
        <v>1250</v>
      </c>
      <c r="CG220" s="278">
        <v>2026</v>
      </c>
      <c r="CI220" s="278">
        <v>1374</v>
      </c>
      <c r="CJ220" s="278">
        <v>2051</v>
      </c>
      <c r="CK220" s="278"/>
    </row>
    <row r="221" spans="1:89" outlineLevel="1" x14ac:dyDescent="0.3">
      <c r="A221" s="277" t="s">
        <v>221</v>
      </c>
      <c r="B221" s="278"/>
      <c r="C221" s="278">
        <f t="shared" si="388"/>
        <v>0</v>
      </c>
      <c r="D221" s="278">
        <f t="shared" si="389"/>
        <v>0</v>
      </c>
      <c r="E221" s="278">
        <f t="shared" si="389"/>
        <v>0</v>
      </c>
      <c r="F221" s="278"/>
      <c r="G221" s="278">
        <f t="shared" si="390"/>
        <v>0</v>
      </c>
      <c r="H221" s="278">
        <f t="shared" si="391"/>
        <v>0</v>
      </c>
      <c r="I221" s="278">
        <f t="shared" si="391"/>
        <v>0</v>
      </c>
      <c r="J221" s="278"/>
      <c r="K221" s="278">
        <f t="shared" si="392"/>
        <v>0</v>
      </c>
      <c r="L221" s="278">
        <f t="shared" si="393"/>
        <v>0</v>
      </c>
      <c r="M221" s="278">
        <f t="shared" si="393"/>
        <v>0</v>
      </c>
      <c r="N221" s="278"/>
      <c r="O221" s="278">
        <f t="shared" si="394"/>
        <v>0</v>
      </c>
      <c r="P221" s="278">
        <f t="shared" si="395"/>
        <v>0</v>
      </c>
      <c r="Q221" s="278">
        <f t="shared" si="395"/>
        <v>0</v>
      </c>
      <c r="R221" s="278"/>
      <c r="S221" s="278">
        <f t="shared" si="396"/>
        <v>0</v>
      </c>
      <c r="T221" s="278">
        <f t="shared" si="397"/>
        <v>0</v>
      </c>
      <c r="U221" s="278">
        <f t="shared" si="397"/>
        <v>0</v>
      </c>
      <c r="V221" s="278"/>
      <c r="W221" s="278">
        <f t="shared" si="398"/>
        <v>0</v>
      </c>
      <c r="X221" s="278">
        <f t="shared" si="399"/>
        <v>0</v>
      </c>
      <c r="Y221" s="278">
        <f t="shared" si="399"/>
        <v>0</v>
      </c>
      <c r="Z221" s="278"/>
      <c r="AA221" s="278">
        <f t="shared" si="400"/>
        <v>740</v>
      </c>
      <c r="AB221" s="278">
        <f t="shared" si="401"/>
        <v>640</v>
      </c>
      <c r="AC221" s="278">
        <f t="shared" si="401"/>
        <v>-1380</v>
      </c>
      <c r="AF221" s="278"/>
      <c r="AG221" s="278"/>
      <c r="AH221" s="278"/>
      <c r="AI221" s="278"/>
      <c r="AJ221" s="278"/>
      <c r="AK221" s="278"/>
      <c r="AL221" s="278">
        <f t="shared" si="383"/>
        <v>0</v>
      </c>
      <c r="AM221" s="278">
        <f t="shared" si="384"/>
        <v>0</v>
      </c>
      <c r="AN221" s="278">
        <f t="shared" si="385"/>
        <v>0</v>
      </c>
      <c r="AO221" s="278">
        <f t="shared" si="386"/>
        <v>0</v>
      </c>
      <c r="AP221" s="278">
        <f t="shared" si="387"/>
        <v>0</v>
      </c>
      <c r="AQ221" s="278">
        <f t="shared" si="402"/>
        <v>0</v>
      </c>
      <c r="AR221" s="279"/>
      <c r="BK221" s="278"/>
      <c r="BL221" s="278"/>
      <c r="BM221" s="278"/>
      <c r="BO221" s="278"/>
      <c r="BP221" s="278"/>
      <c r="BQ221" s="278"/>
      <c r="BS221" s="278"/>
      <c r="BT221" s="278"/>
      <c r="BU221" s="278"/>
      <c r="BW221" s="278"/>
      <c r="BX221" s="278"/>
      <c r="BY221" s="278"/>
      <c r="CA221" s="278"/>
      <c r="CB221" s="278"/>
      <c r="CC221" s="278"/>
      <c r="CE221" s="278"/>
      <c r="CF221" s="278"/>
      <c r="CG221" s="278"/>
      <c r="CI221" s="278">
        <v>740</v>
      </c>
      <c r="CJ221" s="278">
        <v>1380</v>
      </c>
      <c r="CK221" s="278"/>
    </row>
    <row r="222" spans="1:89" outlineLevel="1" x14ac:dyDescent="0.3">
      <c r="A222" s="277" t="s">
        <v>157</v>
      </c>
      <c r="B222" s="278">
        <v>54425</v>
      </c>
      <c r="C222" s="278">
        <f t="shared" si="388"/>
        <v>44875</v>
      </c>
      <c r="D222" s="278">
        <f t="shared" si="389"/>
        <v>54345</v>
      </c>
      <c r="E222" s="278">
        <f t="shared" si="389"/>
        <v>35116</v>
      </c>
      <c r="F222" s="278">
        <v>6413</v>
      </c>
      <c r="G222" s="278">
        <f t="shared" si="390"/>
        <v>40843</v>
      </c>
      <c r="H222" s="278">
        <f t="shared" si="391"/>
        <v>61998</v>
      </c>
      <c r="I222" s="278">
        <f t="shared" si="391"/>
        <v>56991</v>
      </c>
      <c r="J222" s="278">
        <v>30905</v>
      </c>
      <c r="K222" s="278">
        <f t="shared" si="392"/>
        <v>54915</v>
      </c>
      <c r="L222" s="278">
        <f t="shared" si="393"/>
        <v>59263</v>
      </c>
      <c r="M222" s="278">
        <f t="shared" si="393"/>
        <v>58077</v>
      </c>
      <c r="N222" s="278">
        <v>58095</v>
      </c>
      <c r="O222" s="278">
        <f t="shared" si="394"/>
        <v>52458</v>
      </c>
      <c r="P222" s="278">
        <f t="shared" si="395"/>
        <v>49009</v>
      </c>
      <c r="Q222" s="278">
        <f t="shared" si="395"/>
        <v>52597</v>
      </c>
      <c r="R222" s="278">
        <v>46590</v>
      </c>
      <c r="S222" s="278">
        <f t="shared" si="396"/>
        <v>50007</v>
      </c>
      <c r="T222" s="278">
        <f t="shared" si="397"/>
        <v>49604</v>
      </c>
      <c r="U222" s="278">
        <f t="shared" si="397"/>
        <v>41603</v>
      </c>
      <c r="V222" s="278">
        <v>46628</v>
      </c>
      <c r="W222" s="278">
        <f t="shared" si="398"/>
        <v>35394</v>
      </c>
      <c r="X222" s="278">
        <f t="shared" si="399"/>
        <v>42522</v>
      </c>
      <c r="Y222" s="278">
        <f t="shared" si="399"/>
        <v>42115</v>
      </c>
      <c r="Z222" s="278">
        <v>35375</v>
      </c>
      <c r="AA222" s="278">
        <f t="shared" si="400"/>
        <v>44262</v>
      </c>
      <c r="AB222" s="278">
        <f t="shared" si="401"/>
        <v>47455</v>
      </c>
      <c r="AC222" s="278">
        <f t="shared" si="401"/>
        <v>-127092</v>
      </c>
      <c r="AF222" s="278">
        <v>211692</v>
      </c>
      <c r="AG222" s="278">
        <v>168877</v>
      </c>
      <c r="AH222" s="278">
        <v>160400</v>
      </c>
      <c r="AI222" s="278">
        <v>170307</v>
      </c>
      <c r="AJ222" s="278">
        <v>202016</v>
      </c>
      <c r="AK222" s="278">
        <v>248383</v>
      </c>
      <c r="AL222" s="278">
        <f t="shared" si="383"/>
        <v>188761</v>
      </c>
      <c r="AM222" s="278">
        <f t="shared" si="384"/>
        <v>166245</v>
      </c>
      <c r="AN222" s="278">
        <f t="shared" si="385"/>
        <v>203160</v>
      </c>
      <c r="AO222" s="278">
        <f t="shared" si="386"/>
        <v>212159</v>
      </c>
      <c r="AP222" s="278">
        <f t="shared" si="387"/>
        <v>187804</v>
      </c>
      <c r="AQ222" s="278">
        <f t="shared" si="402"/>
        <v>166659</v>
      </c>
      <c r="AR222" s="279"/>
      <c r="BK222" s="278">
        <v>99300</v>
      </c>
      <c r="BL222" s="278">
        <v>153645</v>
      </c>
      <c r="BM222" s="278">
        <v>188761</v>
      </c>
      <c r="BO222" s="278">
        <v>47256</v>
      </c>
      <c r="BP222" s="278">
        <v>109254</v>
      </c>
      <c r="BQ222" s="278">
        <v>166245</v>
      </c>
      <c r="BS222" s="278">
        <v>85820</v>
      </c>
      <c r="BT222" s="278">
        <v>145083</v>
      </c>
      <c r="BU222" s="278">
        <v>203160</v>
      </c>
      <c r="BW222" s="278">
        <v>110553</v>
      </c>
      <c r="BX222" s="278">
        <v>159562</v>
      </c>
      <c r="BY222" s="278">
        <v>212159</v>
      </c>
      <c r="CA222" s="278">
        <v>96597</v>
      </c>
      <c r="CB222" s="278">
        <v>146201</v>
      </c>
      <c r="CC222" s="278">
        <v>187804</v>
      </c>
      <c r="CE222" s="278">
        <v>82022</v>
      </c>
      <c r="CF222" s="278">
        <v>124544</v>
      </c>
      <c r="CG222" s="278">
        <v>166659</v>
      </c>
      <c r="CI222" s="278">
        <v>79637</v>
      </c>
      <c r="CJ222" s="278">
        <v>127092</v>
      </c>
      <c r="CK222" s="278"/>
    </row>
    <row r="223" spans="1:89" outlineLevel="1" x14ac:dyDescent="0.3">
      <c r="A223" s="277" t="s">
        <v>187</v>
      </c>
      <c r="B223" s="278"/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>
        <v>49</v>
      </c>
      <c r="AA223" s="278">
        <f t="shared" si="400"/>
        <v>167</v>
      </c>
      <c r="AB223" s="278">
        <f t="shared" si="401"/>
        <v>307</v>
      </c>
      <c r="AC223" s="278">
        <f t="shared" si="401"/>
        <v>-523</v>
      </c>
      <c r="AF223" s="278"/>
      <c r="AG223" s="278"/>
      <c r="AH223" s="278"/>
      <c r="AI223" s="278"/>
      <c r="AJ223" s="278"/>
      <c r="AK223" s="278"/>
      <c r="AL223" s="278">
        <f t="shared" si="383"/>
        <v>0</v>
      </c>
      <c r="AM223" s="278">
        <f t="shared" si="384"/>
        <v>0</v>
      </c>
      <c r="AN223" s="278">
        <f t="shared" si="385"/>
        <v>0</v>
      </c>
      <c r="AO223" s="278">
        <f t="shared" si="386"/>
        <v>0</v>
      </c>
      <c r="AP223" s="278">
        <f t="shared" si="387"/>
        <v>0</v>
      </c>
      <c r="AQ223" s="278">
        <f t="shared" si="402"/>
        <v>0</v>
      </c>
      <c r="AR223" s="279"/>
      <c r="BK223" s="278"/>
      <c r="BL223" s="278"/>
      <c r="BM223" s="278"/>
      <c r="BO223" s="278"/>
      <c r="BP223" s="278"/>
      <c r="BQ223" s="278"/>
      <c r="BS223" s="278"/>
      <c r="BT223" s="278"/>
      <c r="BU223" s="278"/>
      <c r="BW223" s="278"/>
      <c r="BX223" s="278"/>
      <c r="BY223" s="278"/>
      <c r="CA223" s="278"/>
      <c r="CB223" s="278"/>
      <c r="CC223" s="278"/>
      <c r="CE223" s="278"/>
      <c r="CF223" s="278"/>
      <c r="CG223" s="278"/>
      <c r="CI223" s="278">
        <v>216</v>
      </c>
      <c r="CJ223" s="278">
        <v>523</v>
      </c>
      <c r="CK223" s="278"/>
    </row>
    <row r="224" spans="1:89" outlineLevel="1" x14ac:dyDescent="0.3">
      <c r="A224" s="277" t="s">
        <v>158</v>
      </c>
      <c r="B224" s="278"/>
      <c r="C224" s="278">
        <f t="shared" si="388"/>
        <v>0</v>
      </c>
      <c r="D224" s="278">
        <f t="shared" si="389"/>
        <v>0</v>
      </c>
      <c r="E224" s="278">
        <f t="shared" si="389"/>
        <v>0</v>
      </c>
      <c r="F224" s="278"/>
      <c r="G224" s="278">
        <f t="shared" si="390"/>
        <v>0</v>
      </c>
      <c r="H224" s="278">
        <f t="shared" si="391"/>
        <v>0</v>
      </c>
      <c r="I224" s="278">
        <f t="shared" si="391"/>
        <v>0</v>
      </c>
      <c r="J224" s="278">
        <v>0</v>
      </c>
      <c r="K224" s="278">
        <f t="shared" si="392"/>
        <v>0</v>
      </c>
      <c r="L224" s="278">
        <f t="shared" si="393"/>
        <v>0</v>
      </c>
      <c r="M224" s="278">
        <f t="shared" si="393"/>
        <v>0</v>
      </c>
      <c r="N224" s="278">
        <v>460</v>
      </c>
      <c r="O224" s="278">
        <f t="shared" si="394"/>
        <v>0</v>
      </c>
      <c r="P224" s="278">
        <f t="shared" si="395"/>
        <v>119</v>
      </c>
      <c r="Q224" s="278">
        <f t="shared" si="395"/>
        <v>271</v>
      </c>
      <c r="R224" s="278">
        <v>597</v>
      </c>
      <c r="S224" s="278">
        <f t="shared" si="396"/>
        <v>468</v>
      </c>
      <c r="T224" s="278">
        <f t="shared" si="397"/>
        <v>15</v>
      </c>
      <c r="U224" s="278">
        <f t="shared" si="397"/>
        <v>18</v>
      </c>
      <c r="V224" s="278">
        <v>0</v>
      </c>
      <c r="W224" s="278">
        <f t="shared" si="398"/>
        <v>19</v>
      </c>
      <c r="X224" s="278">
        <f t="shared" si="399"/>
        <v>25</v>
      </c>
      <c r="Y224" s="278">
        <f>CG224-CF224</f>
        <v>215</v>
      </c>
      <c r="Z224" s="278">
        <v>78</v>
      </c>
      <c r="AA224" s="278">
        <f t="shared" si="400"/>
        <v>14</v>
      </c>
      <c r="AB224" s="278">
        <f t="shared" si="401"/>
        <v>20</v>
      </c>
      <c r="AC224" s="278">
        <f t="shared" si="401"/>
        <v>-112</v>
      </c>
      <c r="AF224" s="278"/>
      <c r="AG224" s="278"/>
      <c r="AH224" s="278"/>
      <c r="AI224" s="278"/>
      <c r="AJ224" s="278"/>
      <c r="AK224" s="278"/>
      <c r="AL224" s="278">
        <f t="shared" si="383"/>
        <v>0</v>
      </c>
      <c r="AM224" s="278">
        <f t="shared" si="384"/>
        <v>0</v>
      </c>
      <c r="AN224" s="278">
        <f t="shared" si="385"/>
        <v>0</v>
      </c>
      <c r="AO224" s="278">
        <f t="shared" si="386"/>
        <v>850</v>
      </c>
      <c r="AP224" s="278">
        <f t="shared" si="387"/>
        <v>1098</v>
      </c>
      <c r="AQ224" s="278">
        <f t="shared" si="402"/>
        <v>259</v>
      </c>
      <c r="AR224" s="279"/>
      <c r="BK224" s="278"/>
      <c r="BL224" s="278"/>
      <c r="BM224" s="278"/>
      <c r="BO224" s="278"/>
      <c r="BP224" s="278"/>
      <c r="BQ224" s="278"/>
      <c r="BS224" s="278">
        <v>0</v>
      </c>
      <c r="BT224" s="278">
        <v>0</v>
      </c>
      <c r="BU224" s="278">
        <v>0</v>
      </c>
      <c r="BW224" s="278">
        <v>460</v>
      </c>
      <c r="BX224" s="278">
        <v>579</v>
      </c>
      <c r="BY224" s="278">
        <v>850</v>
      </c>
      <c r="CA224" s="278">
        <v>1065</v>
      </c>
      <c r="CB224" s="278">
        <v>1080</v>
      </c>
      <c r="CC224" s="278">
        <v>1098</v>
      </c>
      <c r="CE224" s="278">
        <v>19</v>
      </c>
      <c r="CF224" s="278">
        <v>44</v>
      </c>
      <c r="CG224" s="278">
        <v>259</v>
      </c>
      <c r="CI224" s="278">
        <v>92</v>
      </c>
      <c r="CJ224" s="278">
        <v>112</v>
      </c>
      <c r="CK224" s="278"/>
    </row>
    <row r="225" spans="1:89" outlineLevel="1" x14ac:dyDescent="0.3">
      <c r="A225" s="277" t="s">
        <v>222</v>
      </c>
      <c r="B225" s="278">
        <v>2544</v>
      </c>
      <c r="C225" s="278">
        <f t="shared" si="388"/>
        <v>2046</v>
      </c>
      <c r="D225" s="278">
        <f t="shared" si="389"/>
        <v>2769</v>
      </c>
      <c r="E225" s="278">
        <f t="shared" si="389"/>
        <v>2043</v>
      </c>
      <c r="F225" s="278">
        <v>667</v>
      </c>
      <c r="G225" s="278">
        <f t="shared" si="390"/>
        <v>2817</v>
      </c>
      <c r="H225" s="278">
        <f t="shared" si="391"/>
        <v>3404</v>
      </c>
      <c r="I225" s="278">
        <f t="shared" si="391"/>
        <v>3551</v>
      </c>
      <c r="J225" s="278">
        <v>1643</v>
      </c>
      <c r="K225" s="278">
        <f t="shared" si="392"/>
        <v>2519</v>
      </c>
      <c r="L225" s="278">
        <f t="shared" si="393"/>
        <v>2670</v>
      </c>
      <c r="M225" s="278">
        <f t="shared" si="393"/>
        <v>3732</v>
      </c>
      <c r="N225" s="278">
        <v>2655</v>
      </c>
      <c r="O225" s="278">
        <f t="shared" si="394"/>
        <v>2641</v>
      </c>
      <c r="P225" s="278">
        <f t="shared" si="395"/>
        <v>2453</v>
      </c>
      <c r="Q225" s="278">
        <f t="shared" si="395"/>
        <v>2639</v>
      </c>
      <c r="R225" s="278">
        <v>2565</v>
      </c>
      <c r="S225" s="278">
        <f t="shared" si="396"/>
        <v>2924</v>
      </c>
      <c r="T225" s="278">
        <f t="shared" si="397"/>
        <v>2810</v>
      </c>
      <c r="U225" s="278">
        <f t="shared" si="397"/>
        <v>2598</v>
      </c>
      <c r="V225" s="278">
        <v>2551</v>
      </c>
      <c r="W225" s="278">
        <f t="shared" si="398"/>
        <v>2893</v>
      </c>
      <c r="X225" s="278">
        <f t="shared" si="399"/>
        <v>2815</v>
      </c>
      <c r="Y225" s="278">
        <f>CG225-CF225</f>
        <v>3468</v>
      </c>
      <c r="Z225" s="278">
        <v>3132</v>
      </c>
      <c r="AA225" s="278">
        <f t="shared" si="400"/>
        <v>3449</v>
      </c>
      <c r="AB225" s="278">
        <f t="shared" si="401"/>
        <v>4183</v>
      </c>
      <c r="AC225" s="278">
        <f t="shared" si="401"/>
        <v>-10764</v>
      </c>
      <c r="AF225" s="278">
        <v>6436</v>
      </c>
      <c r="AG225" s="278">
        <v>6998</v>
      </c>
      <c r="AH225" s="278">
        <v>7374</v>
      </c>
      <c r="AI225" s="278">
        <v>9350</v>
      </c>
      <c r="AJ225" s="278">
        <v>12305</v>
      </c>
      <c r="AK225" s="278">
        <v>13323</v>
      </c>
      <c r="AL225" s="278">
        <f t="shared" si="383"/>
        <v>9402</v>
      </c>
      <c r="AM225" s="278">
        <f t="shared" si="384"/>
        <v>10439</v>
      </c>
      <c r="AN225" s="278">
        <f t="shared" si="385"/>
        <v>10564</v>
      </c>
      <c r="AO225" s="278">
        <f t="shared" si="386"/>
        <v>10388</v>
      </c>
      <c r="AP225" s="278">
        <f t="shared" si="387"/>
        <v>10897</v>
      </c>
      <c r="AQ225" s="278">
        <f t="shared" si="402"/>
        <v>11727</v>
      </c>
      <c r="AR225" s="279"/>
      <c r="BK225" s="278">
        <v>4590</v>
      </c>
      <c r="BL225" s="278">
        <v>7359</v>
      </c>
      <c r="BM225" s="278">
        <v>9402</v>
      </c>
      <c r="BO225" s="278">
        <v>3484</v>
      </c>
      <c r="BP225" s="278">
        <v>6888</v>
      </c>
      <c r="BQ225" s="278">
        <v>10439</v>
      </c>
      <c r="BS225" s="278">
        <v>4162</v>
      </c>
      <c r="BT225" s="278">
        <v>6832</v>
      </c>
      <c r="BU225" s="278">
        <v>10564</v>
      </c>
      <c r="BW225" s="278">
        <v>5296</v>
      </c>
      <c r="BX225" s="278">
        <v>7749</v>
      </c>
      <c r="BY225" s="278">
        <v>10388</v>
      </c>
      <c r="CA225" s="278">
        <v>5489</v>
      </c>
      <c r="CB225" s="278">
        <v>8299</v>
      </c>
      <c r="CC225" s="278">
        <v>10897</v>
      </c>
      <c r="CE225" s="278">
        <v>5444</v>
      </c>
      <c r="CF225" s="278">
        <v>8259</v>
      </c>
      <c r="CG225" s="278">
        <v>11727</v>
      </c>
      <c r="CI225" s="278">
        <v>6581</v>
      </c>
      <c r="CJ225" s="278">
        <v>10764</v>
      </c>
      <c r="CK225" s="278"/>
    </row>
    <row r="226" spans="1:89" s="283" customFormat="1" x14ac:dyDescent="0.3">
      <c r="A226" s="280" t="s">
        <v>235</v>
      </c>
      <c r="B226" s="282">
        <f t="shared" ref="B226:AC226" si="403">SUM(B212:B225)</f>
        <v>129964</v>
      </c>
      <c r="C226" s="282">
        <f t="shared" si="403"/>
        <v>118124</v>
      </c>
      <c r="D226" s="282">
        <f t="shared" si="403"/>
        <v>131524</v>
      </c>
      <c r="E226" s="282">
        <f t="shared" si="403"/>
        <v>99408</v>
      </c>
      <c r="F226" s="282">
        <f t="shared" si="403"/>
        <v>21177</v>
      </c>
      <c r="G226" s="282">
        <f t="shared" si="403"/>
        <v>113854</v>
      </c>
      <c r="H226" s="282">
        <f t="shared" si="403"/>
        <v>151252</v>
      </c>
      <c r="I226" s="282">
        <f t="shared" si="403"/>
        <v>141939</v>
      </c>
      <c r="J226" s="282">
        <f t="shared" si="403"/>
        <v>90356</v>
      </c>
      <c r="K226" s="282">
        <f t="shared" si="403"/>
        <v>122196</v>
      </c>
      <c r="L226" s="282">
        <f t="shared" si="403"/>
        <v>132420</v>
      </c>
      <c r="M226" s="282">
        <f t="shared" si="403"/>
        <v>166404</v>
      </c>
      <c r="N226" s="282">
        <f t="shared" si="403"/>
        <v>156720</v>
      </c>
      <c r="O226" s="282">
        <f t="shared" si="403"/>
        <v>158345</v>
      </c>
      <c r="P226" s="282">
        <f t="shared" si="403"/>
        <v>135929</v>
      </c>
      <c r="Q226" s="282">
        <f t="shared" si="403"/>
        <v>160362</v>
      </c>
      <c r="R226" s="282">
        <f t="shared" si="403"/>
        <v>145769</v>
      </c>
      <c r="S226" s="282">
        <f t="shared" si="403"/>
        <v>158230</v>
      </c>
      <c r="T226" s="282">
        <f t="shared" si="403"/>
        <v>136548</v>
      </c>
      <c r="U226" s="282">
        <f t="shared" si="403"/>
        <v>160179</v>
      </c>
      <c r="V226" s="282">
        <f t="shared" si="403"/>
        <v>141115</v>
      </c>
      <c r="W226" s="282">
        <f t="shared" si="403"/>
        <v>136561</v>
      </c>
      <c r="X226" s="282">
        <f t="shared" si="403"/>
        <v>136761</v>
      </c>
      <c r="Y226" s="282">
        <f t="shared" si="403"/>
        <v>159039</v>
      </c>
      <c r="Z226" s="282">
        <f t="shared" si="403"/>
        <v>139543</v>
      </c>
      <c r="AA226" s="282">
        <f t="shared" si="403"/>
        <v>158206</v>
      </c>
      <c r="AB226" s="282">
        <f t="shared" si="403"/>
        <v>162076</v>
      </c>
      <c r="AC226" s="282">
        <f t="shared" si="403"/>
        <v>-459825</v>
      </c>
      <c r="AF226" s="282">
        <f>SUM(AF212:AF225)</f>
        <v>432343</v>
      </c>
      <c r="AG226" s="282">
        <f>SUM(AG212:AG225)</f>
        <v>381961</v>
      </c>
      <c r="AH226" s="282">
        <f>SUM(AH212:AH225)</f>
        <v>394760</v>
      </c>
      <c r="AI226" s="282">
        <f>SUM(AI212:AI225)</f>
        <v>416901</v>
      </c>
      <c r="AJ226" s="282">
        <f t="shared" ref="AJ226:AK226" si="404">SUM(AJ212:AJ225)</f>
        <v>499799</v>
      </c>
      <c r="AK226" s="282">
        <f t="shared" si="404"/>
        <v>613841</v>
      </c>
      <c r="AL226" s="282">
        <f t="shared" si="383"/>
        <v>479020</v>
      </c>
      <c r="AM226" s="282">
        <f t="shared" si="384"/>
        <v>428222</v>
      </c>
      <c r="AN226" s="282">
        <f t="shared" si="385"/>
        <v>511376</v>
      </c>
      <c r="AO226" s="282">
        <f t="shared" si="386"/>
        <v>611356</v>
      </c>
      <c r="AP226" s="282">
        <f t="shared" si="387"/>
        <v>600726</v>
      </c>
      <c r="AQ226" s="282">
        <f t="shared" si="402"/>
        <v>573476</v>
      </c>
      <c r="AR226" s="284"/>
      <c r="BK226" s="282">
        <f>SUM(BK212:BK225)</f>
        <v>248088</v>
      </c>
      <c r="BL226" s="282">
        <f>SUM(BL212:BL225)</f>
        <v>379612</v>
      </c>
      <c r="BM226" s="282">
        <f>SUM(BM212:BM225)</f>
        <v>479020</v>
      </c>
      <c r="BO226" s="282">
        <f>SUM(BO212:BO225)</f>
        <v>135031</v>
      </c>
      <c r="BP226" s="282">
        <f>SUM(BP212:BP225)</f>
        <v>286283</v>
      </c>
      <c r="BQ226" s="282">
        <f t="shared" ref="BQ226" si="405">SUM(BQ212:BQ225)</f>
        <v>428222</v>
      </c>
      <c r="BS226" s="282">
        <f>SUM(BS212:BS225)</f>
        <v>212552</v>
      </c>
      <c r="BT226" s="282">
        <f>SUM(BT212:BT225)</f>
        <v>344972</v>
      </c>
      <c r="BU226" s="282">
        <f>SUM(BU212:BU225)</f>
        <v>511376</v>
      </c>
      <c r="BW226" s="282">
        <f>SUM(BW212:BW225)</f>
        <v>315065</v>
      </c>
      <c r="BX226" s="282">
        <f>SUM(BX212:BX225)</f>
        <v>450994</v>
      </c>
      <c r="BY226" s="282">
        <f>SUM(BY212:BY225)</f>
        <v>611356</v>
      </c>
      <c r="CA226" s="282">
        <f>SUM(CA212:CA225)</f>
        <v>303999</v>
      </c>
      <c r="CB226" s="282">
        <f>SUM(CB212:CB225)</f>
        <v>440547</v>
      </c>
      <c r="CC226" s="282">
        <f>SUM(CC212:CC225)</f>
        <v>600726</v>
      </c>
      <c r="CE226" s="282">
        <f>SUM(CE212:CE225)</f>
        <v>277676</v>
      </c>
      <c r="CF226" s="282">
        <f>SUM(CF212:CF225)</f>
        <v>414437</v>
      </c>
      <c r="CG226" s="282">
        <f>SUM(CG212:CG225)</f>
        <v>573476</v>
      </c>
      <c r="CI226" s="282">
        <f>SUM(CI212:CI225)</f>
        <v>297749</v>
      </c>
      <c r="CJ226" s="282">
        <f>SUM(CJ212:CJ225)</f>
        <v>459825</v>
      </c>
      <c r="CK226" s="282"/>
    </row>
    <row r="227" spans="1:89" x14ac:dyDescent="0.3">
      <c r="A227" s="280"/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  <c r="AC227" s="278"/>
      <c r="AF227" s="278"/>
      <c r="AG227" s="278"/>
      <c r="AH227" s="278"/>
      <c r="AI227" s="278"/>
      <c r="AJ227" s="278"/>
      <c r="AK227" s="278"/>
      <c r="AL227" s="278"/>
      <c r="AM227" s="278"/>
      <c r="AN227" s="278"/>
      <c r="AO227" s="278"/>
      <c r="AP227" s="278"/>
      <c r="AQ227" s="278"/>
      <c r="AR227" s="279"/>
      <c r="BK227" s="278"/>
      <c r="BL227" s="278"/>
      <c r="BM227" s="278"/>
      <c r="BO227" s="278"/>
      <c r="BP227" s="278"/>
      <c r="BQ227" s="278"/>
      <c r="BS227" s="278"/>
      <c r="BT227" s="278"/>
      <c r="BU227" s="278"/>
      <c r="BW227" s="278"/>
      <c r="BX227" s="278"/>
      <c r="BY227" s="278"/>
      <c r="CA227" s="278"/>
      <c r="CB227" s="278"/>
      <c r="CC227" s="278"/>
      <c r="CE227" s="278"/>
      <c r="CF227" s="278"/>
      <c r="CG227" s="278"/>
      <c r="CI227" s="278"/>
      <c r="CJ227" s="278"/>
      <c r="CK227" s="278"/>
    </row>
    <row r="228" spans="1:89" s="283" customFormat="1" x14ac:dyDescent="0.3">
      <c r="A228" s="280" t="s">
        <v>236</v>
      </c>
      <c r="B228" s="282">
        <f t="shared" ref="B228:AC228" si="406">B226+B209</f>
        <v>144925</v>
      </c>
      <c r="C228" s="282">
        <f t="shared" si="406"/>
        <v>128627</v>
      </c>
      <c r="D228" s="282">
        <f t="shared" si="406"/>
        <v>139922</v>
      </c>
      <c r="E228" s="282">
        <f t="shared" si="406"/>
        <v>110837</v>
      </c>
      <c r="F228" s="282">
        <f t="shared" si="406"/>
        <v>22270</v>
      </c>
      <c r="G228" s="282">
        <f t="shared" si="406"/>
        <v>118741</v>
      </c>
      <c r="H228" s="282">
        <f t="shared" si="406"/>
        <v>155059</v>
      </c>
      <c r="I228" s="282">
        <f t="shared" si="406"/>
        <v>147627</v>
      </c>
      <c r="J228" s="282">
        <f t="shared" si="406"/>
        <v>95268</v>
      </c>
      <c r="K228" s="282">
        <f t="shared" si="406"/>
        <v>127283</v>
      </c>
      <c r="L228" s="282">
        <f t="shared" si="406"/>
        <v>136841</v>
      </c>
      <c r="M228" s="282">
        <f t="shared" si="406"/>
        <v>173968</v>
      </c>
      <c r="N228" s="282">
        <f t="shared" si="406"/>
        <v>168214</v>
      </c>
      <c r="O228" s="282">
        <f t="shared" si="406"/>
        <v>169148</v>
      </c>
      <c r="P228" s="282">
        <f t="shared" si="406"/>
        <v>145166</v>
      </c>
      <c r="Q228" s="282">
        <f t="shared" si="406"/>
        <v>173839</v>
      </c>
      <c r="R228" s="282">
        <f t="shared" si="406"/>
        <v>163957</v>
      </c>
      <c r="S228" s="282">
        <f t="shared" si="406"/>
        <v>177056</v>
      </c>
      <c r="T228" s="282">
        <f t="shared" si="406"/>
        <v>151358</v>
      </c>
      <c r="U228" s="282">
        <f t="shared" si="406"/>
        <v>181584</v>
      </c>
      <c r="V228" s="282">
        <f t="shared" si="406"/>
        <v>158462</v>
      </c>
      <c r="W228" s="282">
        <f t="shared" si="406"/>
        <v>151152</v>
      </c>
      <c r="X228" s="282">
        <f t="shared" si="406"/>
        <v>150274</v>
      </c>
      <c r="Y228" s="282">
        <f t="shared" si="406"/>
        <v>179138</v>
      </c>
      <c r="Z228" s="282">
        <f t="shared" si="406"/>
        <v>157611</v>
      </c>
      <c r="AA228" s="282">
        <f t="shared" si="406"/>
        <v>171250</v>
      </c>
      <c r="AB228" s="282">
        <f t="shared" si="406"/>
        <v>174819</v>
      </c>
      <c r="AC228" s="282">
        <f t="shared" si="406"/>
        <v>-503680</v>
      </c>
      <c r="AF228" s="282">
        <f t="shared" ref="AF228:AK228" si="407">AF226+AF209</f>
        <v>477479</v>
      </c>
      <c r="AG228" s="282">
        <f t="shared" si="407"/>
        <v>428530</v>
      </c>
      <c r="AH228" s="282">
        <f t="shared" si="407"/>
        <v>445405</v>
      </c>
      <c r="AI228" s="282">
        <f t="shared" si="407"/>
        <v>467553</v>
      </c>
      <c r="AJ228" s="282">
        <f t="shared" si="407"/>
        <v>550856</v>
      </c>
      <c r="AK228" s="282">
        <f t="shared" si="407"/>
        <v>667974</v>
      </c>
      <c r="AL228" s="282">
        <f t="shared" ref="AL228" si="408">SUM(B228:E228)</f>
        <v>524311</v>
      </c>
      <c r="AM228" s="282">
        <f t="shared" ref="AM228" si="409">SUM(F228:I228)</f>
        <v>443697</v>
      </c>
      <c r="AN228" s="282">
        <f t="shared" ref="AN228" si="410">SUM(J228:M228)</f>
        <v>533360</v>
      </c>
      <c r="AO228" s="282">
        <f t="shared" ref="AO228" si="411">SUM(N228:Q228)</f>
        <v>656367</v>
      </c>
      <c r="AP228" s="282">
        <f t="shared" ref="AP228" si="412">SUM(R228:U228)</f>
        <v>673955</v>
      </c>
      <c r="AQ228" s="282">
        <f>SUM(V228:Y228)</f>
        <v>639026</v>
      </c>
      <c r="AR228" s="284"/>
      <c r="BK228" s="282">
        <f>BK226+BK209</f>
        <v>273552</v>
      </c>
      <c r="BL228" s="282">
        <f>BL226+BL209</f>
        <v>413474</v>
      </c>
      <c r="BM228" s="282">
        <f>BM226+BM209</f>
        <v>524311</v>
      </c>
      <c r="BO228" s="282">
        <f>BO226+BO209</f>
        <v>141011</v>
      </c>
      <c r="BP228" s="282">
        <f>BP226+BP209</f>
        <v>296070</v>
      </c>
      <c r="BQ228" s="282">
        <f t="shared" ref="BQ228" si="413">BQ226+BQ209</f>
        <v>443697</v>
      </c>
      <c r="BS228" s="282">
        <f>BS226+BS209</f>
        <v>222551</v>
      </c>
      <c r="BT228" s="282">
        <f>BT226+BT209</f>
        <v>359392</v>
      </c>
      <c r="BU228" s="282">
        <f>BU226+BU209</f>
        <v>533360</v>
      </c>
      <c r="BW228" s="282">
        <f>BW226+BW209</f>
        <v>337362</v>
      </c>
      <c r="BX228" s="282">
        <f>BX226+BX209</f>
        <v>482528</v>
      </c>
      <c r="BY228" s="282">
        <f>BY226+BY209</f>
        <v>656367</v>
      </c>
      <c r="CA228" s="282">
        <f>CA226+CA209</f>
        <v>341013</v>
      </c>
      <c r="CB228" s="282">
        <f>CB226+CB209</f>
        <v>492371</v>
      </c>
      <c r="CC228" s="282">
        <f>CC226+CC209</f>
        <v>673955</v>
      </c>
      <c r="CE228" s="282">
        <f>CE226+CE209</f>
        <v>309614</v>
      </c>
      <c r="CF228" s="282">
        <f>CF226+CF209</f>
        <v>459888</v>
      </c>
      <c r="CG228" s="282">
        <f>CG226+CG209</f>
        <v>639026</v>
      </c>
      <c r="CI228" s="282">
        <f>CI226+CI209</f>
        <v>328861</v>
      </c>
      <c r="CJ228" s="282">
        <f>CJ226+CJ209</f>
        <v>503680</v>
      </c>
      <c r="CK228" s="282"/>
    </row>
    <row r="229" spans="1:89" x14ac:dyDescent="0.3">
      <c r="A229" s="280"/>
      <c r="B229" s="278"/>
      <c r="C229" s="278"/>
      <c r="D229" s="278"/>
      <c r="E229" s="278"/>
      <c r="F229" s="278"/>
      <c r="G229" s="278"/>
      <c r="H229" s="278"/>
      <c r="I229" s="278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  <c r="AC229" s="278"/>
      <c r="AF229" s="278"/>
      <c r="AG229" s="278"/>
      <c r="AH229" s="278"/>
      <c r="AI229" s="278"/>
      <c r="AJ229" s="278"/>
      <c r="AK229" s="278"/>
      <c r="AL229" s="278"/>
      <c r="AM229" s="278"/>
      <c r="AN229" s="278"/>
      <c r="AO229" s="278"/>
      <c r="AP229" s="278"/>
      <c r="AQ229" s="278"/>
      <c r="AR229" s="279"/>
      <c r="BK229" s="278"/>
      <c r="BL229" s="278"/>
      <c r="BM229" s="278"/>
      <c r="BO229" s="278"/>
      <c r="BP229" s="278"/>
      <c r="BQ229" s="278"/>
      <c r="BS229" s="278"/>
      <c r="BT229" s="278"/>
      <c r="BU229" s="278"/>
      <c r="BW229" s="278"/>
      <c r="BX229" s="278"/>
      <c r="BY229" s="278"/>
      <c r="CA229" s="278"/>
      <c r="CB229" s="278"/>
      <c r="CC229" s="278"/>
      <c r="CE229" s="278"/>
      <c r="CF229" s="278"/>
      <c r="CG229" s="278"/>
      <c r="CI229" s="278"/>
      <c r="CJ229" s="278"/>
      <c r="CK229" s="278"/>
    </row>
    <row r="230" spans="1:89" s="283" customFormat="1" x14ac:dyDescent="0.3">
      <c r="A230" s="280" t="s">
        <v>237</v>
      </c>
      <c r="B230" s="282">
        <f t="shared" ref="B230:AC230" si="414">B228+B199</f>
        <v>233563</v>
      </c>
      <c r="C230" s="282">
        <f t="shared" si="414"/>
        <v>177306</v>
      </c>
      <c r="D230" s="282">
        <f t="shared" si="414"/>
        <v>190318</v>
      </c>
      <c r="E230" s="282">
        <f t="shared" si="414"/>
        <v>155538</v>
      </c>
      <c r="F230" s="282">
        <f t="shared" si="414"/>
        <v>28939</v>
      </c>
      <c r="G230" s="282">
        <f t="shared" si="414"/>
        <v>147551</v>
      </c>
      <c r="H230" s="282">
        <f t="shared" si="414"/>
        <v>213257</v>
      </c>
      <c r="I230" s="282">
        <f t="shared" si="414"/>
        <v>235192</v>
      </c>
      <c r="J230" s="282">
        <f t="shared" si="414"/>
        <v>136926</v>
      </c>
      <c r="K230" s="282">
        <f t="shared" si="414"/>
        <v>184503</v>
      </c>
      <c r="L230" s="282">
        <f t="shared" si="414"/>
        <v>211396</v>
      </c>
      <c r="M230" s="282">
        <f t="shared" si="414"/>
        <v>272702</v>
      </c>
      <c r="N230" s="282">
        <f t="shared" si="414"/>
        <v>257169</v>
      </c>
      <c r="O230" s="282">
        <f t="shared" si="414"/>
        <v>251218</v>
      </c>
      <c r="P230" s="282">
        <f t="shared" si="414"/>
        <v>236729</v>
      </c>
      <c r="Q230" s="282">
        <f t="shared" si="414"/>
        <v>290510</v>
      </c>
      <c r="R230" s="282">
        <f t="shared" si="414"/>
        <v>253529</v>
      </c>
      <c r="S230" s="282">
        <f t="shared" si="414"/>
        <v>273505</v>
      </c>
      <c r="T230" s="282">
        <f t="shared" si="414"/>
        <v>251218</v>
      </c>
      <c r="U230" s="282">
        <f t="shared" si="414"/>
        <v>288177</v>
      </c>
      <c r="V230" s="282">
        <f t="shared" si="414"/>
        <v>250084</v>
      </c>
      <c r="W230" s="282">
        <f t="shared" si="414"/>
        <v>237230</v>
      </c>
      <c r="X230" s="282">
        <f t="shared" si="414"/>
        <v>247037</v>
      </c>
      <c r="Y230" s="282">
        <f t="shared" si="414"/>
        <v>298294</v>
      </c>
      <c r="Z230" s="282">
        <f t="shared" si="414"/>
        <v>257192</v>
      </c>
      <c r="AA230" s="282">
        <f t="shared" si="414"/>
        <v>264670</v>
      </c>
      <c r="AB230" s="282">
        <f t="shared" si="414"/>
        <v>290782</v>
      </c>
      <c r="AC230" s="282">
        <f t="shared" si="414"/>
        <v>-812644</v>
      </c>
      <c r="AF230" s="282">
        <f t="shared" ref="AF230:AK230" si="415">AF228+AF199</f>
        <v>699035</v>
      </c>
      <c r="AG230" s="282">
        <f t="shared" si="415"/>
        <v>697083</v>
      </c>
      <c r="AH230" s="282">
        <f t="shared" si="415"/>
        <v>786692</v>
      </c>
      <c r="AI230" s="282">
        <f t="shared" si="415"/>
        <v>810286</v>
      </c>
      <c r="AJ230" s="282">
        <f t="shared" si="415"/>
        <v>895448</v>
      </c>
      <c r="AK230" s="282">
        <f t="shared" si="415"/>
        <v>1112176</v>
      </c>
      <c r="AL230" s="282">
        <f t="shared" ref="AL230" si="416">SUM(B230:E230)</f>
        <v>756725</v>
      </c>
      <c r="AM230" s="282">
        <f t="shared" ref="AM230" si="417">SUM(F230:I230)</f>
        <v>624939</v>
      </c>
      <c r="AN230" s="282">
        <f t="shared" ref="AN230" si="418">SUM(J230:M230)</f>
        <v>805527</v>
      </c>
      <c r="AO230" s="282">
        <f t="shared" ref="AO230" si="419">SUM(N230:Q230)</f>
        <v>1035626</v>
      </c>
      <c r="AP230" s="282">
        <f t="shared" ref="AP230" si="420">SUM(R230:U230)</f>
        <v>1066429</v>
      </c>
      <c r="AQ230" s="282">
        <f>SUM(V230:Y230)</f>
        <v>1032645</v>
      </c>
      <c r="AR230" s="284"/>
      <c r="BK230" s="282">
        <f>BK228+BK199</f>
        <v>410869</v>
      </c>
      <c r="BL230" s="282">
        <f>BL228+BL199</f>
        <v>601187</v>
      </c>
      <c r="BM230" s="282">
        <f>BM228+BM199</f>
        <v>756725</v>
      </c>
      <c r="BO230" s="282">
        <f>BO228+BO199</f>
        <v>176490</v>
      </c>
      <c r="BP230" s="282">
        <f>BP228+BP199</f>
        <v>389747</v>
      </c>
      <c r="BQ230" s="282">
        <f t="shared" ref="BQ230" si="421">BQ228+BQ199</f>
        <v>624939</v>
      </c>
      <c r="BS230" s="282">
        <f>BS228+BS199</f>
        <v>321429</v>
      </c>
      <c r="BT230" s="282">
        <f>BT228+BT199</f>
        <v>532825</v>
      </c>
      <c r="BU230" s="282">
        <f>BU228+BU199</f>
        <v>805527</v>
      </c>
      <c r="BW230" s="282">
        <f>BW228+BW199</f>
        <v>508387</v>
      </c>
      <c r="BX230" s="282">
        <f>BX228+BX199</f>
        <v>745116</v>
      </c>
      <c r="BY230" s="282">
        <f>BY228+BY199</f>
        <v>1035626</v>
      </c>
      <c r="CA230" s="282">
        <f>CA228+CA199</f>
        <v>527034</v>
      </c>
      <c r="CB230" s="282">
        <f>CB228+CB199</f>
        <v>778252</v>
      </c>
      <c r="CC230" s="282">
        <f>CC228+CC199</f>
        <v>1066429</v>
      </c>
      <c r="CE230" s="282">
        <f>CE228+CE199</f>
        <v>487314</v>
      </c>
      <c r="CF230" s="282">
        <f>CF228+CF199</f>
        <v>734351</v>
      </c>
      <c r="CG230" s="282">
        <f>CG228+CG199</f>
        <v>1032645</v>
      </c>
      <c r="CI230" s="282">
        <f>CI228+CI199</f>
        <v>521862</v>
      </c>
      <c r="CJ230" s="282">
        <f>CJ228+CJ199</f>
        <v>812644</v>
      </c>
      <c r="CK230" s="282"/>
    </row>
    <row r="232" spans="1:89" x14ac:dyDescent="0.3">
      <c r="AF232" s="294"/>
      <c r="AG232" s="294"/>
      <c r="AH232" s="294"/>
      <c r="AI232" s="294"/>
      <c r="AJ232" s="294"/>
      <c r="AK232" s="294"/>
      <c r="AL232" s="294">
        <f>AL230-BM230</f>
        <v>0</v>
      </c>
      <c r="AM232" s="294">
        <f>AM230-BQ230</f>
        <v>0</v>
      </c>
      <c r="AN232" s="294">
        <f>AN230-BU230</f>
        <v>0</v>
      </c>
      <c r="AO232" s="294">
        <f>AO230-BY230</f>
        <v>0</v>
      </c>
      <c r="AP232" s="294">
        <f>AP230-CC230</f>
        <v>0</v>
      </c>
      <c r="AQ232" s="294">
        <f>AQ230-CG230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OEM - Summary - 2W, PV, 3W</vt:lpstr>
      <vt:lpstr>Tractors</vt:lpstr>
      <vt:lpstr>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Iyyappan</dc:creator>
  <cp:lastModifiedBy>Paragon Partners Interns</cp:lastModifiedBy>
  <dcterms:created xsi:type="dcterms:W3CDTF">2026-02-05T04:37:32Z</dcterms:created>
  <dcterms:modified xsi:type="dcterms:W3CDTF">2026-07-14T09:38:00Z</dcterms:modified>
</cp:coreProperties>
</file>